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EU Suppliers" sheetId="2" state="visible" r:id="rId4"/>
    <sheet name="UK Suppliers (non-EU)" sheetId="3" state="visible" r:id="rId5"/>
    <sheet name="Outreach Email Template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<sst xmlns="http://schemas.openxmlformats.org/spreadsheetml/2006/main" count="1074" uniqueCount="628">
  <si>
    <t xml:space="preserve">EU Perfume &amp; Aftershave Wholesale Suppliers - Outreach List</t>
  </si>
  <si>
    <t xml:space="preserve">Compiled Oct 2026 from public web sources. Websites marked 'From directory - verify' came from business directories; open them to confirm before outreach.</t>
  </si>
  <si>
    <t xml:space="preserve">Metric</t>
  </si>
  <si>
    <t xml:space="preserve">Count</t>
  </si>
  <si>
    <t xml:space="preserve">Total EU suppliers</t>
  </si>
  <si>
    <t xml:space="preserve">With a website</t>
  </si>
  <si>
    <t xml:space="preserve">No website found</t>
  </si>
  <si>
    <t xml:space="preserve">High priority</t>
  </si>
  <si>
    <t xml:space="preserve">Medium priority</t>
  </si>
  <si>
    <t xml:space="preserve">Low priority / caution</t>
  </si>
  <si>
    <t xml:space="preserve">With a direct email listed</t>
  </si>
  <si>
    <t xml:space="preserve">Contacted so far</t>
  </si>
  <si>
    <t xml:space="preserve">Accounts opened</t>
  </si>
  <si>
    <t xml:space="preserve">Suppliers by country</t>
  </si>
  <si>
    <t xml:space="preserve">Country</t>
  </si>
  <si>
    <t xml:space="preserve">Suppliers</t>
  </si>
  <si>
    <t xml:space="preserve">Austria</t>
  </si>
  <si>
    <t xml:space="preserve">Belgium</t>
  </si>
  <si>
    <t xml:space="preserve">Bulgaria</t>
  </si>
  <si>
    <t xml:space="preserve">Czech Republic</t>
  </si>
  <si>
    <t xml:space="preserve">France</t>
  </si>
  <si>
    <t xml:space="preserve">Germany</t>
  </si>
  <si>
    <t xml:space="preserve">Greece</t>
  </si>
  <si>
    <t xml:space="preserve">Hungary</t>
  </si>
  <si>
    <t xml:space="preserve">Italy</t>
  </si>
  <si>
    <t xml:space="preserve">Lithuania</t>
  </si>
  <si>
    <t xml:space="preserve">Netherlands</t>
  </si>
  <si>
    <t xml:space="preserve">Poland</t>
  </si>
  <si>
    <t xml:space="preserve">Romania</t>
  </si>
  <si>
    <t xml:space="preserve">Spain</t>
  </si>
  <si>
    <t xml:space="preserve">Sweden</t>
  </si>
  <si>
    <t xml:space="preserve">HOW TO USE</t>
  </si>
  <si>
    <t xml:space="preserve">- The supplier list is grouped into numbered sections: marketplaces first, then by country, then leads with no website found.</t>
  </si>
  <si>
    <t xml:space="preserve">- Website = company homepage. 'Wholesale Sign-up / Contact Page' = the best page to start outreach from.</t>
  </si>
  <si>
    <t xml:space="preserve">- Priority: High = designer/branded focus, clear B2B terms or official distributor; Medium = relevant but unverified; Low = directory-only, mainly retail, or a risk flag.</t>
  </si>
  <si>
    <t xml:space="preserve">- Yellow columns are yours to fill in. Outreach Status has a drop-down.</t>
  </si>
  <si>
    <t xml:space="preserve">AMAZON-SPECIFIC CHECKS BEFORE BUYING</t>
  </si>
  <si>
    <t xml:space="preserve">- Ask for a sample invoice: supplier's full name, address and VAT number; your business name/address; product names + quantities.</t>
  </si>
  <si>
    <t xml:space="preserve">- Fragrance ungating usually needs distributor/manufacturer invoices (often 10+ units, last 180 days). Ask if their invoices have passed ungating before.</t>
  </si>
  <si>
    <t xml:space="preserve">- Ask for a Letter of Authorisation or chain-of-supply proof for restricted / brand-registered lines.</t>
  </si>
  <si>
    <t xml:space="preserve">- Avoid 'equivalents', 'dupes', 'testers' and unrealistically cheap designer stock (e.g. under EUR 5 a bottle).</t>
  </si>
  <si>
    <t xml:space="preserve">- Check VAT numbers on VIES and the company on its national registry (KvK, Handelsregister, Pappers, KRS, ARES) before paying.</t>
  </si>
  <si>
    <t xml:space="preserve">#</t>
  </si>
  <si>
    <t xml:space="preserve">Company</t>
  </si>
  <si>
    <t xml:space="preserve">City / Region</t>
  </si>
  <si>
    <t xml:space="preserve">Website</t>
  </si>
  <si>
    <t xml:space="preserve">Website Check</t>
  </si>
  <si>
    <t xml:space="preserve">Wholesale Sign-up / Contact Page</t>
  </si>
  <si>
    <t xml:space="preserve">Email</t>
  </si>
  <si>
    <t xml:space="preserve">Phone</t>
  </si>
  <si>
    <t xml:space="preserve">Address</t>
  </si>
  <si>
    <t xml:space="preserve">Supplier Type</t>
  </si>
  <si>
    <t xml:space="preserve">Brands / Focus</t>
  </si>
  <si>
    <t xml:space="preserve">MOQ / Terms</t>
  </si>
  <si>
    <t xml:space="preserve">Priority</t>
  </si>
  <si>
    <t xml:space="preserve">Notes / Risk Flags</t>
  </si>
  <si>
    <t xml:space="preserve">Source (where found)</t>
  </si>
  <si>
    <t xml:space="preserve">Outreach Status</t>
  </si>
  <si>
    <t xml:space="preserve">Date Contacted</t>
  </si>
  <si>
    <t xml:space="preserve">Follow-up Date</t>
  </si>
  <si>
    <t xml:space="preserve">Response / Notes</t>
  </si>
  <si>
    <t xml:space="preserve">1. B2B MARKETPLACES &amp; WHOLESALE PLATFORMS (EU-wide)  (3)</t>
  </si>
  <si>
    <t xml:space="preserve">Qogita</t>
  </si>
  <si>
    <t xml:space="preserve">Amsterdam</t>
  </si>
  <si>
    <t xml:space="preserve">https://www.qogita.com</t>
  </si>
  <si>
    <t xml:space="preserve">Confirmed</t>
  </si>
  <si>
    <t xml:space="preserve">Via help centre / chat after sign-up</t>
  </si>
  <si>
    <t xml:space="preserve">B2B wholesale marketplace (500+ vetted distributors)</t>
  </si>
  <si>
    <t xml:space="preserve">Health, beauty &amp; fragrance - big designer brands; GTIN-based catalogue</t>
  </si>
  <si>
    <t xml:space="preserve">Low MOQ; invoices supplied for 3rd-party resellers</t>
  </si>
  <si>
    <t xml:space="preserve">High</t>
  </si>
  <si>
    <t xml:space="preserve">Popular with Amazon sellers. Check per-brand ungating acceptance.</t>
  </si>
  <si>
    <t xml:space="preserve">https://www.qogita.com/brands/lamour/</t>
  </si>
  <si>
    <t xml:space="preserve">Not contacted</t>
  </si>
  <si>
    <t xml:space="preserve">Nova Engel</t>
  </si>
  <si>
    <t xml:space="preserve">Palma de Mallorca (logistics Madrid)</t>
  </si>
  <si>
    <t xml:space="preserve">https://www.novaengel.com</t>
  </si>
  <si>
    <t xml:space="preserve">https://www.novaengel.com/en/company_wholesaler_perfumery</t>
  </si>
  <si>
    <t xml:space="preserve">Via website contact form</t>
  </si>
  <si>
    <t xml:space="preserve">+34 971 75 67 27 / 902 999 169</t>
  </si>
  <si>
    <t xml:space="preserve">C/ Asipo 4, 07011 Palma de Mallorca</t>
  </si>
  <si>
    <t xml:space="preserve">Perfumery wholesaler + dropship/crossdock</t>
  </si>
  <si>
    <t xml:space="preserve">Large branded perfume &amp; cosmetics catalogue; API for wholesale &amp; dropship</t>
  </si>
  <si>
    <t xml:space="preserve">Professional buyers only</t>
  </si>
  <si>
    <t xml:space="preserve">75+ years trading.</t>
  </si>
  <si>
    <t xml:space="preserve">BigBuy</t>
  </si>
  <si>
    <t xml:space="preserve">Aldaia (Valencia)</t>
  </si>
  <si>
    <t xml:space="preserve">https://www.bigbuy.eu</t>
  </si>
  <si>
    <t xml:space="preserve">Via website</t>
  </si>
  <si>
    <t xml:space="preserve">Aldaia, Valencia</t>
  </si>
  <si>
    <t xml:space="preserve">B2B wholesale / dropship platform</t>
  </si>
  <si>
    <t xml:space="preserve">Multi-category incl. perfume &amp; cosmetics</t>
  </si>
  <si>
    <t xml:space="preserve">Subscription (~EUR 69-99/month + setup) - verify</t>
  </si>
  <si>
    <t xml:space="preserve">Medium</t>
  </si>
  <si>
    <t xml:space="preserve">Easy start; higher prices than specialists.</t>
  </si>
  <si>
    <t xml:space="preserve">https://help.wizishop.com/hc/en-us/articles/360015881879-Presentation-of-BigBuy</t>
  </si>
  <si>
    <t xml:space="preserve">2. NETHERLANDS  (7)</t>
  </si>
  <si>
    <t xml:space="preserve">Beautinow</t>
  </si>
  <si>
    <t xml:space="preserve">NL warehouse</t>
  </si>
  <si>
    <t xml:space="preserve">https://beautinow.com</t>
  </si>
  <si>
    <t xml:space="preserve">https://beautinow.com/wholesale-perfume-supplier-europe/</t>
  </si>
  <si>
    <t xml:space="preserve">Not public - use website contact page</t>
  </si>
  <si>
    <t xml:space="preserve">Perfume wholesaler &amp; dropship</t>
  </si>
  <si>
    <t xml:space="preserve">2,000+ fragrances, niche &amp; designer</t>
  </si>
  <si>
    <t xml:space="preserve">Enquire by email; account manager replies in 1 working day</t>
  </si>
  <si>
    <t xml:space="preserve">Claims 100% original stock.</t>
  </si>
  <si>
    <t xml:space="preserve">AH Beauté BV</t>
  </si>
  <si>
    <t xml:space="preserve">Utrecht (warehouses Rotterdam &amp; Antwerp)</t>
  </si>
  <si>
    <t xml:space="preserve">https://www.beautetrade.com/suppliers/ah-beauty-bv-107939/</t>
  </si>
  <si>
    <t xml:space="preserve">Beautetrade profile only</t>
  </si>
  <si>
    <t xml:space="preserve">Via Beautetrade 'contact supplier'</t>
  </si>
  <si>
    <t xml:space="preserve">Utrecht</t>
  </si>
  <si>
    <t xml:space="preserve">Wholesaler (est. 2014)</t>
  </si>
  <si>
    <t xml:space="preserve">Branded perfumes, aftershaves, skincare, make-up</t>
  </si>
  <si>
    <t xml:space="preserve">Full or partial orders, break-bulk</t>
  </si>
  <si>
    <t xml:space="preserve">Exactly matches perfume + aftershave brief.</t>
  </si>
  <si>
    <t xml:space="preserve">EleganceWholesale</t>
  </si>
  <si>
    <t xml:space="preserve">https://elegancewholesale.co.nl</t>
  </si>
  <si>
    <t xml:space="preserve">https://elegancewholesale.co.nl/partner-with-us</t>
  </si>
  <si>
    <t xml:space="preserve">Wholesaler (B2B only)</t>
  </si>
  <si>
    <t xml:space="preserve">Luxury perfumes, cosmetics, designer clothing</t>
  </si>
  <si>
    <t xml:space="preserve">Verified businesses only; partner form</t>
  </si>
  <si>
    <t xml:space="preserve">Disclaimer says 'EleganceTrading' - check KvK.</t>
  </si>
  <si>
    <t xml:space="preserve">https://elegancewholesale.co.nl/our-services</t>
  </si>
  <si>
    <t xml:space="preserve">Tradefor7</t>
  </si>
  <si>
    <t xml:space="preserve">Zoetermeer</t>
  </si>
  <si>
    <t xml:space="preserve">https://tradefor7.com</t>
  </si>
  <si>
    <t xml:space="preserve">From directory - verify</t>
  </si>
  <si>
    <t xml:space="preserve">Wholesaler / distributor</t>
  </si>
  <si>
    <t xml:space="preserve">Lattafa, French Avenue, Volare, Swiss Arabian</t>
  </si>
  <si>
    <t xml:space="preserve">Min EUR 350 ex VAT; min 6 pcs per fragrance</t>
  </si>
  <si>
    <t xml:space="preserve">Fast-moving Arabian brands.</t>
  </si>
  <si>
    <t xml:space="preserve">https://www.marktplaats.nl/v/sieraden-tassen-en-uiterlijk/uiterlijk-parfum/m2420639384-volare-french-avenue-swiss-arabian-lattafa-groothandel</t>
  </si>
  <si>
    <t xml:space="preserve">Stock Perfume</t>
  </si>
  <si>
    <t xml:space="preserve">https://stockperfume.com</t>
  </si>
  <si>
    <t xml:space="preserve">Perfume wholesaler</t>
  </si>
  <si>
    <t xml:space="preserve">Branded perfumes</t>
  </si>
  <si>
    <t xml:space="preserve">Min order EUR 500 (page may be dated)</t>
  </si>
  <si>
    <t xml:space="preserve">Confirm still trading.</t>
  </si>
  <si>
    <t xml:space="preserve">https://oncosmetics.com/company/stock-perfume/</t>
  </si>
  <si>
    <t xml:space="preserve">Join Stadskanaal B.V.</t>
  </si>
  <si>
    <t xml:space="preserve">Stadskanaal</t>
  </si>
  <si>
    <t xml:space="preserve">https://www.beautetrade.com/products/global-wholesale-distributor-of-cosmetics-skincare-fragrances/75837</t>
  </si>
  <si>
    <t xml:space="preserve">Global wholesale distributor</t>
  </si>
  <si>
    <t xml:space="preserve">Cosmetics, skincare, fragrances</t>
  </si>
  <si>
    <t xml:space="preserve">Ask for brand list.</t>
  </si>
  <si>
    <t xml:space="preserve">La Parfumista</t>
  </si>
  <si>
    <t xml:space="preserve">https://laparfumista.com</t>
  </si>
  <si>
    <t xml:space="preserve">Floridadreef 100, Utrecht</t>
  </si>
  <si>
    <t xml:space="preserve">Distributor + online retail (est. 2010)</t>
  </si>
  <si>
    <t xml:space="preserve">Popular &amp; niche perfumes</t>
  </si>
  <si>
    <t xml:space="preserve">Low</t>
  </si>
  <si>
    <t xml:space="preserve">Mainly retail - ask about trade.</t>
  </si>
  <si>
    <t xml:space="preserve">https://oncosmetics.com/company/la-parfumista/</t>
  </si>
  <si>
    <t xml:space="preserve">3. BELGIUM  (2)</t>
  </si>
  <si>
    <t xml:space="preserve">Beautylux (Desa Beautylux)</t>
  </si>
  <si>
    <t xml:space="preserve">Brussels (Schaerbeek)</t>
  </si>
  <si>
    <t xml:space="preserve">https://www.beautylux.be</t>
  </si>
  <si>
    <t xml:space="preserve">@beautylux.be (see website)</t>
  </si>
  <si>
    <t xml:space="preserve">+32 2 7.. (see website)</t>
  </si>
  <si>
    <t xml:space="preserve">Rue François Bossaerts 47-51, Brussels</t>
  </si>
  <si>
    <t xml:space="preserve">Importer &amp; distributor (since 1980)</t>
  </si>
  <si>
    <t xml:space="preserve">Benelux brand distributor e.g. Ariana Grande, Bentley; 450+ doors</t>
  </si>
  <si>
    <t xml:space="preserve">Official brand distributor.</t>
  </si>
  <si>
    <t xml:space="preserve">https://oncosmetics.com/company/beautylux/</t>
  </si>
  <si>
    <t xml:space="preserve">Fragrance Privée</t>
  </si>
  <si>
    <t xml:space="preserve">Brussels</t>
  </si>
  <si>
    <t xml:space="preserve">https://www.fragrance-privee.com</t>
  </si>
  <si>
    <t xml:space="preserve">contact@fragrance-privee.com</t>
  </si>
  <si>
    <t xml:space="preserve">+32 4 88 82 50 07 (Michel Delogne)</t>
  </si>
  <si>
    <t xml:space="preserve">Brussels 1000/1030</t>
  </si>
  <si>
    <t xml:space="preserve">Branded perfume wholesaler</t>
  </si>
  <si>
    <t xml:space="preserve">Big-brand perfumes, '100% authentic'</t>
  </si>
  <si>
    <t xml:space="preserve">Conditions on request</t>
  </si>
  <si>
    <t xml:space="preserve">Named contact - good first call.</t>
  </si>
  <si>
    <t xml:space="preserve">https://www.destockplus.com/acheter/recherche-fournisseur-2-parfumerie.html</t>
  </si>
  <si>
    <t xml:space="preserve">4. GERMANY  (5)</t>
  </si>
  <si>
    <t xml:space="preserve">Alexander Frank - Perfume-Trading.com</t>
  </si>
  <si>
    <t xml:space="preserve">Rangsdorf</t>
  </si>
  <si>
    <t xml:space="preserve">https://perfume-trading.com</t>
  </si>
  <si>
    <t xml:space="preserve">Wholesale &amp; trading company</t>
  </si>
  <si>
    <t xml:space="preserve">Perfumes, fragrances, skin &amp; hair care</t>
  </si>
  <si>
    <t xml:space="preserve">Small (1-10 staff).</t>
  </si>
  <si>
    <t xml:space="preserve">https://ensun.io/search/perfume-cologne-fragrance/germany</t>
  </si>
  <si>
    <t xml:space="preserve">Emporium Handels &amp; Vertriebs GmbH (Parfumtrend)</t>
  </si>
  <si>
    <t xml:space="preserve">Rodenbach</t>
  </si>
  <si>
    <t xml:space="preserve">https://parfumtrend.com</t>
  </si>
  <si>
    <t xml:space="preserve">Industriestr. 15, Rodenbach</t>
  </si>
  <si>
    <t xml:space="preserve">Perfume wholesaler / e-tailer</t>
  </si>
  <si>
    <t xml:space="preserve">1,800+ luxury perfumes in stock, 48h delivery</t>
  </si>
  <si>
    <t xml:space="preserve">Website linked by shared address - confirm via Impressum.</t>
  </si>
  <si>
    <t xml:space="preserve">https://oncosmetics.com/company/parfumtrend/</t>
  </si>
  <si>
    <t xml:space="preserve">Aroma Company</t>
  </si>
  <si>
    <t xml:space="preserve">Langen (Hessen)</t>
  </si>
  <si>
    <t xml:space="preserve">https://aromacompany.de</t>
  </si>
  <si>
    <t xml:space="preserve">August-Bebel-Straße 22, Langen</t>
  </si>
  <si>
    <t xml:space="preserve">Distributor / wholesaler / retailer (est. 1998)</t>
  </si>
  <si>
    <t xml:space="preserve">Fragrances</t>
  </si>
  <si>
    <t xml:space="preserve">https://oncosmetics.com/company/aroma-company</t>
  </si>
  <si>
    <t xml:space="preserve">Brocard Parfums GmbH</t>
  </si>
  <si>
    <t xml:space="preserve">Berlin</t>
  </si>
  <si>
    <t xml:space="preserve">https://brocard.com</t>
  </si>
  <si>
    <t xml:space="preserve">Exporter / distributor</t>
  </si>
  <si>
    <t xml:space="preserve">Distributes 70+ European manufacturers (CIS focus)</t>
  </si>
  <si>
    <t xml:space="preserve">Export focus East.</t>
  </si>
  <si>
    <t xml:space="preserve">https://oncosmetics.com/company/brocard/</t>
  </si>
  <si>
    <t xml:space="preserve">Parfimo GmbH</t>
  </si>
  <si>
    <t xml:space="preserve">Munich</t>
  </si>
  <si>
    <t xml:space="preserve">https://www.parfimo.de</t>
  </si>
  <si>
    <t xml:space="preserve">klein@parfimo.de</t>
  </si>
  <si>
    <t xml:space="preserve">+49 89 20190347</t>
  </si>
  <si>
    <t xml:space="preserve">Stahlgruberring 36, 81829 München</t>
  </si>
  <si>
    <t xml:space="preserve">Perfume trader / online shop</t>
  </si>
  <si>
    <t xml:space="preserve">Designer perfumes</t>
  </si>
  <si>
    <t xml:space="preserve">Mainly consumer shop (ships DE only) - ask about B2B.</t>
  </si>
  <si>
    <t xml:space="preserve">https://implisense.com/de/companies/parfimo-gmbh-muenchen-DE5DGBY5YA30</t>
  </si>
  <si>
    <t xml:space="preserve">5. FRANCE  (6)</t>
  </si>
  <si>
    <t xml:space="preserve">Perfume Europe</t>
  </si>
  <si>
    <t xml:space="preserve">Paris (warehouse)</t>
  </si>
  <si>
    <t xml:space="preserve">https://perfumeeurope.com</t>
  </si>
  <si>
    <t xml:space="preserve">https://perfumeeurope.com/en/</t>
  </si>
  <si>
    <t xml:space="preserve">Paris</t>
  </si>
  <si>
    <t xml:space="preserve">Online B2B perfume wholesaler</t>
  </si>
  <si>
    <t xml:space="preserve">1,500+ references, designer brands</t>
  </si>
  <si>
    <t xml:space="preserve">Min EUR 200 ex VAT; free EU delivery over EUR 500</t>
  </si>
  <si>
    <t xml:space="preserve">EU VAT auto-checked; ex-VAT invoices.</t>
  </si>
  <si>
    <t xml:space="preserve">Parfums en Gros</t>
  </si>
  <si>
    <t xml:space="preserve">Vénissieux (69)</t>
  </si>
  <si>
    <t xml:space="preserve">https://parfums-en-gros.com</t>
  </si>
  <si>
    <t xml:space="preserve">+33 6 .. (see website)</t>
  </si>
  <si>
    <t xml:space="preserve">30 Rue Léo Lagrange, Vénissieux</t>
  </si>
  <si>
    <t xml:space="preserve">Perfume wholesaler (B2B)</t>
  </si>
  <si>
    <t xml:space="preserve">Perfumes &amp; fragrances</t>
  </si>
  <si>
    <t xml:space="preserve">https://oncosmetics.com/company/parfums-en-gros/</t>
  </si>
  <si>
    <t xml:space="preserve">Europ Cosmetics (Ed. Pinaud Inovital)</t>
  </si>
  <si>
    <t xml:space="preserve">Torcy (77)</t>
  </si>
  <si>
    <t xml:space="preserve">https://www.beautetrade.com/suppliers/europ-cosmetics-209557</t>
  </si>
  <si>
    <t xml:space="preserve">3 Rue des Épinettes, 77200 Torcy</t>
  </si>
  <si>
    <t xml:space="preserve">Trading / wholesale / export</t>
  </si>
  <si>
    <t xml:space="preserve">Skincare, haircare, fragrances</t>
  </si>
  <si>
    <t xml:space="preserve">Grossmaillot</t>
  </si>
  <si>
    <t xml:space="preserve">Montfermeil (93)</t>
  </si>
  <si>
    <t xml:space="preserve">https://grossmaillot.com</t>
  </si>
  <si>
    <t xml:space="preserve">Montfermeil 93370</t>
  </si>
  <si>
    <t xml:space="preserve">Wholesaler</t>
  </si>
  <si>
    <t xml:space="preserve">Branded, niche &amp; oriental perfumes</t>
  </si>
  <si>
    <t xml:space="preserve">Bulk pricing on request</t>
  </si>
  <si>
    <t xml:space="preserve">Classified-ad lead - verify authenticity.</t>
  </si>
  <si>
    <t xml:space="preserve">Royaume du Parfum International (RPI)</t>
  </si>
  <si>
    <t xml:space="preserve">Paris 10e</t>
  </si>
  <si>
    <t xml:space="preserve">https://royaumeduparfumparis.com</t>
  </si>
  <si>
    <t xml:space="preserve">Rue Poissonnière, Paris</t>
  </si>
  <si>
    <t xml:space="preserve">Wholesaler &amp; retailer (est. 1996)</t>
  </si>
  <si>
    <t xml:space="preserve">French-made perfumes (own label)</t>
  </si>
  <si>
    <t xml:space="preserve">Mostly own label.</t>
  </si>
  <si>
    <t xml:space="preserve">https://oncosmetics.com/company/royaume-du-parfum-international-rpi/</t>
  </si>
  <si>
    <t xml:space="preserve">Firoza Distribution SAS</t>
  </si>
  <si>
    <t xml:space="preserve">Choisy-le-Roi (94)</t>
  </si>
  <si>
    <t xml:space="preserve">https://www.firozadistribution.com</t>
  </si>
  <si>
    <t xml:space="preserve">firozadistribution@hotmail.fr</t>
  </si>
  <si>
    <t xml:space="preserve">+33 6 68 89 19 45 (Nicolas)</t>
  </si>
  <si>
    <t xml:space="preserve">4 avenue Danville, 94600 Choisy-le-Roi</t>
  </si>
  <si>
    <t xml:space="preserve">Wholesaler with 400 m² showroom</t>
  </si>
  <si>
    <t xml:space="preserve">500+ 'branded' fragrances</t>
  </si>
  <si>
    <t xml:space="preserve">Volume pricing</t>
  </si>
  <si>
    <t xml:space="preserve">CAUTION: ~EUR 3.50/unit at 1,000 pcs - too cheap for genuine designer stock.</t>
  </si>
  <si>
    <t xml:space="preserve">https://www.destockplus.com/acheter/c-813880-firoza-distribution-destockage.html</t>
  </si>
  <si>
    <t xml:space="preserve">6. SPAIN  (10)</t>
  </si>
  <si>
    <t xml:space="preserve">Ocean Fragrances</t>
  </si>
  <si>
    <t xml:space="preserve">Barcelona</t>
  </si>
  <si>
    <t xml:space="preserve">https://oceanfragrances.com</t>
  </si>
  <si>
    <t xml:space="preserve">https://oceanfragrances.com/es/</t>
  </si>
  <si>
    <t xml:space="preserve">+34 682 62 27 67</t>
  </si>
  <si>
    <t xml:space="preserve">La Rambla, 08005 Barcelona</t>
  </si>
  <si>
    <t xml:space="preserve">Wholesaler + dropship/crossdock</t>
  </si>
  <si>
    <t xml:space="preserve">500+ brands, 10,000+ SKUs: Dior, Lancôme, YSL, Guerlain, Paco Rabanne</t>
  </si>
  <si>
    <t xml:space="preserve">Strong designer coverage.</t>
  </si>
  <si>
    <t xml:space="preserve">https://www.proveedores.com/proveedores/ocean-fragrances/</t>
  </si>
  <si>
    <t xml:space="preserve">Distribuidor Perfumes</t>
  </si>
  <si>
    <t xml:space="preserve">https://www.distribuidorperfumes.com</t>
  </si>
  <si>
    <t xml:space="preserve">https://www.distribuidorperfumes.com/</t>
  </si>
  <si>
    <t xml:space="preserve">+34 902 732 332</t>
  </si>
  <si>
    <t xml:space="preserve">Gran Via de les Corts Catalanes 646, 08007 Barcelona</t>
  </si>
  <si>
    <t xml:space="preserve">Wholesaler + dropship (24-48h)</t>
  </si>
  <si>
    <t xml:space="preserve">Top-brand perfumes</t>
  </si>
  <si>
    <t xml:space="preserve">https://www.proveedores.com/proveedores/distribuidor-perfumes/</t>
  </si>
  <si>
    <t xml:space="preserve">IGMACO Distribución Europa S.L.</t>
  </si>
  <si>
    <t xml:space="preserve">Madrid</t>
  </si>
  <si>
    <t xml:space="preserve">https://www.igmaco.com</t>
  </si>
  <si>
    <t xml:space="preserve">+34 915 .. (see website)</t>
  </si>
  <si>
    <t xml:space="preserve">Calle Núñez de Balboa 90, Madrid</t>
  </si>
  <si>
    <t xml:space="preserve">Wholesaler &amp; distributor (est. 2004)</t>
  </si>
  <si>
    <t xml:space="preserve">Selective perfumes, cosmetics, hair care</t>
  </si>
  <si>
    <t xml:space="preserve">Selective (designer) focus.</t>
  </si>
  <si>
    <t xml:space="preserve">https://oncosmetics.com/company/igmaco/</t>
  </si>
  <si>
    <t xml:space="preserve">Madallmes</t>
  </si>
  <si>
    <t xml:space="preserve">Meliana (Valencia)</t>
  </si>
  <si>
    <t xml:space="preserve">https://madallmes.com</t>
  </si>
  <si>
    <t xml:space="preserve">+34 963 218 502</t>
  </si>
  <si>
    <t xml:space="preserve">Carrer Llanterners 10, 46133 Meliana</t>
  </si>
  <si>
    <t xml:space="preserve">Perfumery wholesaler</t>
  </si>
  <si>
    <t xml:space="preserve">8,000+ original products</t>
  </si>
  <si>
    <t xml:space="preserve">https://proveedores.com/proveedores/madallmes/</t>
  </si>
  <si>
    <t xml:space="preserve">Perfumes y Diseño (PYD)</t>
  </si>
  <si>
    <t xml:space="preserve">https://www.pyd.es</t>
  </si>
  <si>
    <t xml:space="preserve">pyd@pyd.es</t>
  </si>
  <si>
    <t xml:space="preserve">Calle Isla de Java 33, 28034 Madrid</t>
  </si>
  <si>
    <t xml:space="preserve">Licensee &amp; brand distributor</t>
  </si>
  <si>
    <t xml:space="preserve">Distributes Cartier, Versace, Moschino; licences Tous, Scalpers</t>
  </si>
  <si>
    <t xml:space="preserve">Trade accounts</t>
  </si>
  <si>
    <t xml:space="preserve">Official distributor.</t>
  </si>
  <si>
    <t xml:space="preserve">https://empresite.eleconomista.es/PERFUMES-DISENO-ESPANA.html</t>
  </si>
  <si>
    <t xml:space="preserve">Orient Fragance</t>
  </si>
  <si>
    <t xml:space="preserve">https://www.orientfragance.com</t>
  </si>
  <si>
    <t xml:space="preserve">https://www.orientfragance.com/en/pages/contact</t>
  </si>
  <si>
    <t xml:space="preserve">orientfragance@gmail.com</t>
  </si>
  <si>
    <t xml:space="preserve">+34 623 109 380</t>
  </si>
  <si>
    <t xml:space="preserve">Santa Perpètua de Mogoda (by appointment)</t>
  </si>
  <si>
    <t xml:space="preserve">Official distributor Spain &amp; Portugal</t>
  </si>
  <si>
    <t xml:space="preserve">Lattafa, Swiss Arabian etc. CPNP registered</t>
  </si>
  <si>
    <t xml:space="preserve">Wholesale registration form</t>
  </si>
  <si>
    <t xml:space="preserve">Authorised distributor for Arabian brands.</t>
  </si>
  <si>
    <t xml:space="preserve">https://www.orientfragance.com/en/pages/contacto</t>
  </si>
  <si>
    <t xml:space="preserve">GPD Central de Perfumería y Cosmética</t>
  </si>
  <si>
    <t xml:space="preserve">https://gpd.es</t>
  </si>
  <si>
    <t xml:space="preserve">Calle de Orense 68, Madrid</t>
  </si>
  <si>
    <t xml:space="preserve">Wholesaler (35+ yrs)</t>
  </si>
  <si>
    <t xml:space="preserve">Perfumery, cosmetics, parapharmacy</t>
  </si>
  <si>
    <t xml:space="preserve">https://oncosmetics.com/company/gpd-central-de-perfumeria-y-cosmetica/</t>
  </si>
  <si>
    <t xml:space="preserve">Mayorista Perfumería</t>
  </si>
  <si>
    <t xml:space="preserve">Valdemoro (Madrid)</t>
  </si>
  <si>
    <t xml:space="preserve">https://mayoristaperfumeria.es</t>
  </si>
  <si>
    <t xml:space="preserve">Calle Ibiza 8, Valdemoro</t>
  </si>
  <si>
    <t xml:space="preserve">Wholesale distributor (est. 1992)</t>
  </si>
  <si>
    <t xml:space="preserve">Branded &amp; private-label perfume/cosmetics</t>
  </si>
  <si>
    <t xml:space="preserve">https://oncosmetics.com/company/mayoristaperfumeria/</t>
  </si>
  <si>
    <t xml:space="preserve">Quisben Ibérica S.L.</t>
  </si>
  <si>
    <t xml:space="preserve">San Sebastián de los Reyes (Madrid)</t>
  </si>
  <si>
    <t xml:space="preserve">https://www.quisben.com</t>
  </si>
  <si>
    <t xml:space="preserve">San Sebastián de los Reyes</t>
  </si>
  <si>
    <t xml:space="preserve">Importer &amp; wholesaler</t>
  </si>
  <si>
    <t xml:space="preserve">Perfumes &amp; deodorants; buys large lots</t>
  </si>
  <si>
    <t xml:space="preserve">Possible job-lot source.</t>
  </si>
  <si>
    <t xml:space="preserve">https://oncosmetics.com/company/quisben-iberica-s-l/</t>
  </si>
  <si>
    <t xml:space="preserve">Beauty Way SL</t>
  </si>
  <si>
    <t xml:space="preserve">Valencia &amp; Ávila</t>
  </si>
  <si>
    <t xml:space="preserve">https://beautyway.es</t>
  </si>
  <si>
    <t xml:space="preserve">Ávila</t>
  </si>
  <si>
    <t xml:space="preserve">Designer perfume distributor (est. 2022)</t>
  </si>
  <si>
    <t xml:space="preserve">Designer perfumes &amp; gift sets</t>
  </si>
  <si>
    <t xml:space="preserve">No minimum order</t>
  </si>
  <si>
    <t xml:space="preserve">Very small (1 employee).</t>
  </si>
  <si>
    <t xml:space="preserve">https://oncosmetics.com/company/beauty-way-sl/</t>
  </si>
  <si>
    <t xml:space="preserve">7. ITALY  (5)</t>
  </si>
  <si>
    <t xml:space="preserve">Parfulandia SRL</t>
  </si>
  <si>
    <t xml:space="preserve">Naples / Vasto</t>
  </si>
  <si>
    <t xml:space="preserve">https://www.parfulandiastore.it</t>
  </si>
  <si>
    <t xml:space="preserve">+39 349 515 6250</t>
  </si>
  <si>
    <t xml:space="preserve">Via Vicinale San Donato 16, Napoli</t>
  </si>
  <si>
    <t xml:space="preserve">Perfume wholesaler (60+ yrs)</t>
  </si>
  <si>
    <t xml:space="preserve">Dior, Lancôme, Chanel, Ferragamo, niche</t>
  </si>
  <si>
    <t xml:space="preserve">https://oncosmetics.com/company/parfulandia-srl/</t>
  </si>
  <si>
    <t xml:space="preserve">Global Perfumes</t>
  </si>
  <si>
    <t xml:space="preserve">Parma</t>
  </si>
  <si>
    <t xml:space="preserve">https://globalperfumes.it</t>
  </si>
  <si>
    <t xml:space="preserve">+39 0521 247899</t>
  </si>
  <si>
    <t xml:space="preserve">Piazza B. Lunardi 11A, Parma</t>
  </si>
  <si>
    <t xml:space="preserve">Importer / distributor / wholesaler (B2B)</t>
  </si>
  <si>
    <t xml:space="preserve">Perfumes for wholesalers &amp; retailers</t>
  </si>
  <si>
    <t xml:space="preserve">https://oncosmetics.com/company/global-perfumes</t>
  </si>
  <si>
    <t xml:space="preserve">Amoretti Profumi Srl</t>
  </si>
  <si>
    <t xml:space="preserve">Turin</t>
  </si>
  <si>
    <t xml:space="preserve">https://amorettiprofumi.com</t>
  </si>
  <si>
    <t xml:space="preserve">Via F.lli De Maistre 27/A, Torino (VAT 04978330019)</t>
  </si>
  <si>
    <t xml:space="preserve">Wholesale &amp; retail (since 1986)</t>
  </si>
  <si>
    <t xml:space="preserve">Claims official dealer of prestige brands</t>
  </si>
  <si>
    <t xml:space="preserve">https://atoka.io/public/it/azienda/amoretti-profumi-srl/e6a0a9e0c2b7</t>
  </si>
  <si>
    <t xml:space="preserve">Profumerie P&amp;P Srl</t>
  </si>
  <si>
    <t xml:space="preserve">Grottaglie (TA)</t>
  </si>
  <si>
    <t xml:space="preserve">https://www.profumeriepep.it</t>
  </si>
  <si>
    <t xml:space="preserve">+39 099 562 3748</t>
  </si>
  <si>
    <t xml:space="preserve">Via Paganini 73, Grottaglie (VAT 02424900732)</t>
  </si>
  <si>
    <t xml:space="preserve">Distributor &amp; wholesaler (~30 yrs)</t>
  </si>
  <si>
    <t xml:space="preserve">Perfumes &amp; cosmetics</t>
  </si>
  <si>
    <t xml:space="preserve">https://atoka.io/public/it/azienda/profumerie-p-p-srl/b936935a4339</t>
  </si>
  <si>
    <t xml:space="preserve">T.D. Distribuzione SRL</t>
  </si>
  <si>
    <t xml:space="preserve">San Giuseppe Vesuviano (NA)</t>
  </si>
  <si>
    <t xml:space="preserve">https://www.tddistribuzione.com</t>
  </si>
  <si>
    <t xml:space="preserve">Via Pianillo 181, San Giuseppe Vesuviano</t>
  </si>
  <si>
    <t xml:space="preserve">Producer &amp; distributor</t>
  </si>
  <si>
    <t xml:space="preserve">Own lines, Arabian perfumes, 'equivalents'</t>
  </si>
  <si>
    <t xml:space="preserve">CAUTION: dupes can't be listed on brand ASINs.</t>
  </si>
  <si>
    <t xml:space="preserve">https://oncosmetics.com/company/t-d-distribuzione-srl/</t>
  </si>
  <si>
    <t xml:space="preserve">8. POLAND  (4)</t>
  </si>
  <si>
    <t xml:space="preserve">Perfume-Supplier.eu (Charms Perfumes &amp; Cosmetics)</t>
  </si>
  <si>
    <t xml:space="preserve">Warsaw</t>
  </si>
  <si>
    <t xml:space="preserve">https://perfume-supplier.eu</t>
  </si>
  <si>
    <t xml:space="preserve">+48 601 .. (see website)</t>
  </si>
  <si>
    <t xml:space="preserve">Zamieniecka 80/158, Warsaw</t>
  </si>
  <si>
    <t xml:space="preserve">Branded perfumes for retailers across Europe</t>
  </si>
  <si>
    <t xml:space="preserve">https://oncosmetics.com/company/charms-perfumes-and-cosmetics/</t>
  </si>
  <si>
    <t xml:space="preserve">Avemi Luxury Distribution</t>
  </si>
  <si>
    <t xml:space="preserve">https://avemi.com</t>
  </si>
  <si>
    <t xml:space="preserve">Nowogrodzka 6A/3, Warsaw</t>
  </si>
  <si>
    <t xml:space="preserve">Exclusive distributor PL/CZ/SK</t>
  </si>
  <si>
    <t xml:space="preserve">Boucheron, Hermès, Serge Lutens, Rochas, Philipp Plein, Juliette Has A Gun</t>
  </si>
  <si>
    <t xml:space="preserve">Official distributor (niche/selective).</t>
  </si>
  <si>
    <t xml:space="preserve">https://emis.cn/php/company-profile/PL/Avemi_Sp_z_oo_en_3712319.html</t>
  </si>
  <si>
    <t xml:space="preserve">Hurtownia Perfum</t>
  </si>
  <si>
    <t xml:space="preserve">Łódź</t>
  </si>
  <si>
    <t xml:space="preserve">https://hurtowniaperfum.com.pl</t>
  </si>
  <si>
    <t xml:space="preserve">Krańcowa 53, Łódź</t>
  </si>
  <si>
    <t xml:space="preserve">Perfume wholesaler (est. 1997)</t>
  </si>
  <si>
    <t xml:space="preserve">Broad range of brands</t>
  </si>
  <si>
    <t xml:space="preserve">https://oncosmetics.com/company/hurtownia-perfum/</t>
  </si>
  <si>
    <t xml:space="preserve">Solg (Oskar Szumacher)</t>
  </si>
  <si>
    <t xml:space="preserve">Przechlewo</t>
  </si>
  <si>
    <t xml:space="preserve">https://solg.pl</t>
  </si>
  <si>
    <t xml:space="preserve">Przechlewo, Pomorskie</t>
  </si>
  <si>
    <t xml:space="preserve">Wholesale supplier</t>
  </si>
  <si>
    <t xml:space="preserve">Cosmetics &amp; perfumes; ships 20+ countries</t>
  </si>
  <si>
    <t xml:space="preserve">Founding info inconsistent.</t>
  </si>
  <si>
    <t xml:space="preserve">https://oncosmetics.com/company/solg-oskar-szumacher/</t>
  </si>
  <si>
    <t xml:space="preserve">9. CZECH REPUBLIC  (3)</t>
  </si>
  <si>
    <t xml:space="preserve">BJUTIP</t>
  </si>
  <si>
    <t xml:space="preserve">Brno - Modřice</t>
  </si>
  <si>
    <t xml:space="preserve">https://www.bjutip.com</t>
  </si>
  <si>
    <t xml:space="preserve">https://www.bjutip.com/register</t>
  </si>
  <si>
    <t xml:space="preserve">sales@bjutip.com / info@bjutip.com</t>
  </si>
  <si>
    <t xml:space="preserve">+420 724 076 367</t>
  </si>
  <si>
    <t xml:space="preserve">Tyršova 1182, 664 42 Modřice</t>
  </si>
  <si>
    <t xml:space="preserve">Distributor (e-com, retail, travel retail)</t>
  </si>
  <si>
    <t xml:space="preserve">Armaf, Lattafa, Paris Corner, Fragrance World + some designer</t>
  </si>
  <si>
    <t xml:space="preserve">Min EUR 1,000; ships 48h</t>
  </si>
  <si>
    <t xml:space="preserve">Works direct with producers.</t>
  </si>
  <si>
    <t xml:space="preserve">https://bjutip.com/contact_us</t>
  </si>
  <si>
    <t xml:space="preserve">Brasty Wholesale (BRASTY GROUP s.r.o.)</t>
  </si>
  <si>
    <t xml:space="preserve">Prague</t>
  </si>
  <si>
    <t xml:space="preserve">https://wholesale.brasty.com</t>
  </si>
  <si>
    <t xml:space="preserve">https://wholesale.brasty.com/</t>
  </si>
  <si>
    <t xml:space="preserve">info@brasty.cz</t>
  </si>
  <si>
    <t xml:space="preserve">+420 581 580 660</t>
  </si>
  <si>
    <t xml:space="preserve">Lípová 511/15, 120 00 Praha 2</t>
  </si>
  <si>
    <t xml:space="preserve">Wholesale arm of CZ perfume e-tailer</t>
  </si>
  <si>
    <t xml:space="preserve">Designer perfumes &amp; cosmetics</t>
  </si>
  <si>
    <t xml:space="preserve">Min EUR 200; any EU-VAT business incl. marketplace sellers</t>
  </si>
  <si>
    <t xml:space="preserve">Explicitly accepts marketplace sellers.</t>
  </si>
  <si>
    <t xml:space="preserve">PremierParfum (fragrances-wholesale.eu)</t>
  </si>
  <si>
    <t xml:space="preserve">https://www.fragrances-wholesale.eu</t>
  </si>
  <si>
    <t xml:space="preserve">B2B perfume wholesaler</t>
  </si>
  <si>
    <t xml:space="preserve">Designer fragrances</t>
  </si>
  <si>
    <t xml:space="preserve">First order min EUR 500; pallets min EUR 15,000</t>
  </si>
  <si>
    <t xml:space="preserve">https://www.fragrances-wholesale.eu/info/terms-and-conditions-nr</t>
  </si>
  <si>
    <t xml:space="preserve">10. ROMANIA, BULGARIA, GREECE &amp; HUNGARY  (8)</t>
  </si>
  <si>
    <t xml:space="preserve">Parfumuri Engros</t>
  </si>
  <si>
    <t xml:space="preserve">Miercurea Ciuc</t>
  </si>
  <si>
    <t xml:space="preserve">https://parfumuri-engros.ro</t>
  </si>
  <si>
    <t xml:space="preserve">+40 371 .. (see website)</t>
  </si>
  <si>
    <t xml:space="preserve">Str. Kőrösi Csoma Sándor 2, Miercurea Ciuc</t>
  </si>
  <si>
    <t xml:space="preserve">8,000+ products, 500+ brands</t>
  </si>
  <si>
    <t xml:space="preserve">Sells to SMEs</t>
  </si>
  <si>
    <t xml:space="preserve">https://oncosmetics.com/company/parfumuri-engros/</t>
  </si>
  <si>
    <t xml:space="preserve">Romscent Trading</t>
  </si>
  <si>
    <t xml:space="preserve">Bucharest</t>
  </si>
  <si>
    <t xml:space="preserve">https://romscent.com</t>
  </si>
  <si>
    <t xml:space="preserve">Bd. Theodor Pallady, Bucharest</t>
  </si>
  <si>
    <t xml:space="preserve">Distributor / wholesaler</t>
  </si>
  <si>
    <t xml:space="preserve">40+ brands from 12 houses incl. Gulf Orchid; ~9,700 SKUs; 2,000+ B2B clients</t>
  </si>
  <si>
    <t xml:space="preserve">Turnover EUR 15m+; new EU logistics centre.</t>
  </si>
  <si>
    <t xml:space="preserve">https://www.revistabiz.ro/gulf-orchid-brandul-de-parfumerie-accesibila-unul-dintre-principalele-motoare-de-crestere-din-portofoliul-romscent-trading/</t>
  </si>
  <si>
    <t xml:space="preserve">Qudo Beauty</t>
  </si>
  <si>
    <t xml:space="preserve">Piatra Neamț</t>
  </si>
  <si>
    <t xml:space="preserve">https://qudobeauty.com</t>
  </si>
  <si>
    <t xml:space="preserve">https://qudobeauty.com/perfumes-and-fragrances-wholesale/</t>
  </si>
  <si>
    <t xml:space="preserve">EU B2B distributor</t>
  </si>
  <si>
    <t xml:space="preserve">Perfumes &amp; fragrances + Korean skincare</t>
  </si>
  <si>
    <t xml:space="preserve">Min EUR 300-500</t>
  </si>
  <si>
    <t xml:space="preserve">Ventus S.A. (Perfumes-Supplier.com)</t>
  </si>
  <si>
    <t xml:space="preserve">Gerakas (Athens)</t>
  </si>
  <si>
    <t xml:space="preserve">https://www.perfumes-supplier.com</t>
  </si>
  <si>
    <t xml:space="preserve">+30 21.. (see website)</t>
  </si>
  <si>
    <t xml:space="preserve">Gerakas, Anatoliki Attiki</t>
  </si>
  <si>
    <t xml:space="preserve">Wholesale fragrance distributor (est. 1995)</t>
  </si>
  <si>
    <t xml:space="preserve">Bulk branded fragrances</t>
  </si>
  <si>
    <t xml:space="preserve">B2B only</t>
  </si>
  <si>
    <t xml:space="preserve">https://oncosmetics.com/company/ventus-s-a/</t>
  </si>
  <si>
    <t xml:space="preserve">Odora</t>
  </si>
  <si>
    <t xml:space="preserve">Sofia</t>
  </si>
  <si>
    <t xml:space="preserve">https://odora.bg</t>
  </si>
  <si>
    <t xml:space="preserve">@odora.bg (see website)</t>
  </si>
  <si>
    <t xml:space="preserve">+359 87 .. (see website)</t>
  </si>
  <si>
    <t xml:space="preserve">Frederik Zholio Kyuri St, Sofia</t>
  </si>
  <si>
    <t xml:space="preserve">Distributor (~300 doors)</t>
  </si>
  <si>
    <t xml:space="preserve">Armaf, Franck Boclet, Gritti, Masque Milano</t>
  </si>
  <si>
    <t xml:space="preserve">https://oncosmetics.com/company/odora-beauty-corp-ad/</t>
  </si>
  <si>
    <t xml:space="preserve">Aromaray Ltd OOD</t>
  </si>
  <si>
    <t xml:space="preserve">https://aromaray.bg</t>
  </si>
  <si>
    <t xml:space="preserve">Razsadnik-Konyovitsa, Sofia</t>
  </si>
  <si>
    <t xml:space="preserve">Exclusive importer BG &amp; EU</t>
  </si>
  <si>
    <t xml:space="preserve">Grandeur, Al Wataniah, Al Absar, Riiffs</t>
  </si>
  <si>
    <t xml:space="preserve">https://oncosmetics.com/company/aromaray-ltd-ood/</t>
  </si>
  <si>
    <t xml:space="preserve">Venera Cosmetics</t>
  </si>
  <si>
    <t xml:space="preserve">Plovdiv</t>
  </si>
  <si>
    <t xml:space="preserve">https://fragrances.bg</t>
  </si>
  <si>
    <t xml:space="preserve">Likely - verify</t>
  </si>
  <si>
    <t xml:space="preserve">Distributor of branded perfumery (est. 1992)</t>
  </si>
  <si>
    <t xml:space="preserve">Branded perfumes &amp; cosmetics</t>
  </si>
  <si>
    <t xml:space="preserve">Website inferred from search ranking.</t>
  </si>
  <si>
    <t xml:space="preserve">https://en.wikipedia.org/wiki/Venera_Cosmetics</t>
  </si>
  <si>
    <t xml:space="preserve">Parfen Kft.</t>
  </si>
  <si>
    <t xml:space="preserve">https://parfen.hu</t>
  </si>
  <si>
    <t xml:space="preserve">+36 70 .. (see website)</t>
  </si>
  <si>
    <t xml:space="preserve">Importer, wholesaler &amp; retailer</t>
  </si>
  <si>
    <t xml:space="preserve">Fragrances &amp; cosmetics</t>
  </si>
  <si>
    <t xml:space="preserve">https://oncosmetics.com/company/parfen/</t>
  </si>
  <si>
    <t xml:space="preserve">11. OTHER EU (Lithuania, Austria)  (2)</t>
  </si>
  <si>
    <t xml:space="preserve">Amco Group UAB (Per-Fumes.com)</t>
  </si>
  <si>
    <t xml:space="preserve">Vilnius</t>
  </si>
  <si>
    <t xml:space="preserve">https://per-fumes.com</t>
  </si>
  <si>
    <t xml:space="preserve">Importer / distributor + online retail</t>
  </si>
  <si>
    <t xml:space="preserve">Mainly retail.</t>
  </si>
  <si>
    <t xml:space="preserve">https://oncosmetics.com/company/amco-group-uab/</t>
  </si>
  <si>
    <t xml:space="preserve">Selective Parfums</t>
  </si>
  <si>
    <t xml:space="preserve">Innsbruck</t>
  </si>
  <si>
    <t xml:space="preserve">https://selectiveparfums.at</t>
  </si>
  <si>
    <t xml:space="preserve">Distributor / supplier</t>
  </si>
  <si>
    <t xml:space="preserve">Niche &amp; high-end</t>
  </si>
  <si>
    <t xml:space="preserve">https://oncosmetics.com/company/selective-parfums/</t>
  </si>
  <si>
    <t xml:space="preserve">12. LEADS WITH NO WEBSITE FOUND (directory / registry only - find site via company registry)  (11)</t>
  </si>
  <si>
    <t xml:space="preserve">Parfum Company Sp. z o.o. S.K.A.</t>
  </si>
  <si>
    <t xml:space="preserve">Zakręt (Warsaw area)</t>
  </si>
  <si>
    <t xml:space="preserve">Not found</t>
  </si>
  <si>
    <t xml:space="preserve">-</t>
  </si>
  <si>
    <t xml:space="preserve">https://www.aplikuj.pl/pracodawca/380091/parfum-company-sp-z-o-o-s-k-a</t>
  </si>
  <si>
    <t xml:space="preserve">Zakręt</t>
  </si>
  <si>
    <t xml:space="preserve">Perfume wholesaler with B2B platform</t>
  </si>
  <si>
    <t xml:space="preserve">Claims largest perfume wholesaler in PL</t>
  </si>
  <si>
    <t xml:space="preserve">24h delivery</t>
  </si>
  <si>
    <t xml:space="preserve">Worth tracking down via KRS - high potential.</t>
  </si>
  <si>
    <t xml:space="preserve">MisterM Plus Sp. z o.o. Sp.k.</t>
  </si>
  <si>
    <t xml:space="preserve">Kraków</t>
  </si>
  <si>
    <t xml:space="preserve">https://www.aplikuj.pl/pracodawca/80046/misterm-plus-sp-z-o-o-spolka-komandytowa</t>
  </si>
  <si>
    <t xml:space="preserve">Trybuny Ludów 15, 30-660 Kraków (KRS 0000567077, NIP 6793113882)</t>
  </si>
  <si>
    <t xml:space="preserve">Perfume &amp; cosmetics wholesaler (20+ yrs)</t>
  </si>
  <si>
    <t xml:space="preserve">Coty, P&amp;G, Reckitt brands</t>
  </si>
  <si>
    <t xml:space="preserve">Coty = Hugo Boss, CK, Gucci, Burberry.</t>
  </si>
  <si>
    <t xml:space="preserve">Prime Stock</t>
  </si>
  <si>
    <t xml:space="preserve">Rotterdam</t>
  </si>
  <si>
    <t xml:space="preserve">https://ensun.io/search/perfume-cologne</t>
  </si>
  <si>
    <t xml:space="preserve">Wholesale perfume distributor (est. 2015)</t>
  </si>
  <si>
    <t xml:space="preserve">Authentic branded &amp; mass-market fragrances</t>
  </si>
  <si>
    <t xml:space="preserve">SAR Beauty AB</t>
  </si>
  <si>
    <t xml:space="preserve">https://funnelfeedr.com/en/company/se/sar-beauty-ab-5595032482</t>
  </si>
  <si>
    <t xml:space="preserve">Org. no. 559503-2482</t>
  </si>
  <si>
    <t xml:space="preserve">Distributor</t>
  </si>
  <si>
    <t xml:space="preserve">A-brand luxury fragrances across Europe</t>
  </si>
  <si>
    <t xml:space="preserve">Look up on Bolagsverket.</t>
  </si>
  <si>
    <t xml:space="preserve">Azurtis SA</t>
  </si>
  <si>
    <t xml:space="preserve">Uccle (Brussels)</t>
  </si>
  <si>
    <t xml:space="preserve">https://us.kompass.com/c/azurtis/be0018421/</t>
  </si>
  <si>
    <t xml:space="preserve">Hamoirlaan 39, 1180 Ukkel</t>
  </si>
  <si>
    <t xml:space="preserve">Wholesale perfume &amp; cosmetics (est. 2005)</t>
  </si>
  <si>
    <t xml:space="preserve">Diotima</t>
  </si>
  <si>
    <t xml:space="preserve">Braine-le-Château</t>
  </si>
  <si>
    <t xml:space="preserve">https://es.kompass.com/c/diotima/be0038464/</t>
  </si>
  <si>
    <t xml:space="preserve">Parc Industriel 20, 1440 Braine-le-Château</t>
  </si>
  <si>
    <t xml:space="preserve">Wholesaler (est. 1978)</t>
  </si>
  <si>
    <t xml:space="preserve">Intercosmo</t>
  </si>
  <si>
    <t xml:space="preserve">Mechelen</t>
  </si>
  <si>
    <t xml:space="preserve">https://fr.kompass.com/en/c/intercosmo/be0180009/</t>
  </si>
  <si>
    <t xml:space="preserve">Eikestraat 86, 2800 Mechelen</t>
  </si>
  <si>
    <t xml:space="preserve">Perfume distributor (est. 1988)</t>
  </si>
  <si>
    <t xml:space="preserve">Sofrapar SARL</t>
  </si>
  <si>
    <t xml:space="preserve">Paris 15e</t>
  </si>
  <si>
    <t xml:space="preserve">https://fr.kompass.com/c/sofrapar/fr0078081/</t>
  </si>
  <si>
    <t xml:space="preserve">Paris 15e (SIREN 632 014 080)</t>
  </si>
  <si>
    <t xml:space="preserve">Perfume &amp; beauty wholesaler (est. 1963)</t>
  </si>
  <si>
    <t xml:space="preserve">Mr Parfums Srl</t>
  </si>
  <si>
    <t xml:space="preserve">Milan</t>
  </si>
  <si>
    <t xml:space="preserve">https://atoka.io/public/it/azienda/mr-parfums-srl-a-socio-unico/f8ca86bdc544</t>
  </si>
  <si>
    <t xml:space="preserve">Via Bergognone 27, 20144 Milano (VAT 07330390969)</t>
  </si>
  <si>
    <t xml:space="preserve">Perfume wholesale agent</t>
  </si>
  <si>
    <t xml:space="preserve">1 employee - broker.</t>
  </si>
  <si>
    <t xml:space="preserve">Consorzio Profumerie Estasi</t>
  </si>
  <si>
    <t xml:space="preserve">Mignano Monte Lungo (CE)</t>
  </si>
  <si>
    <t xml:space="preserve">https://atoka.io/public/it/azienda/consorzio-profumerie-estasi/3cca13127885</t>
  </si>
  <si>
    <t xml:space="preserve">+39 0771 278084 (store - ask for wholesale)</t>
  </si>
  <si>
    <t xml:space="preserve">Via Casilina 63, 81049 Mignano Monte Lungo</t>
  </si>
  <si>
    <t xml:space="preserve">Wholesale perfume &amp; cosmetics</t>
  </si>
  <si>
    <t xml:space="preserve">~55,000 products, 1,150+ brands</t>
  </si>
  <si>
    <t xml:space="preserve">ICOS International Cosmetics GmbH</t>
  </si>
  <si>
    <t xml:space="preserve">Gaimersheim</t>
  </si>
  <si>
    <t xml:space="preserve">https://oncosmetics.com/company/icos-international-cosmetics-gmbh/</t>
  </si>
  <si>
    <t xml:space="preserve">Perfume distributor</t>
  </si>
  <si>
    <t xml:space="preserve">Mainly German market</t>
  </si>
  <si>
    <t xml:space="preserve">UK SUPPLIERS (non-EU - customs apply for EU stock)  (3)</t>
  </si>
  <si>
    <t xml:space="preserve">Shaneel Group</t>
  </si>
  <si>
    <t xml:space="preserve">United Kingdom</t>
  </si>
  <si>
    <t xml:space="preserve">Wembley, London</t>
  </si>
  <si>
    <t xml:space="preserve">https://www.shaneel.com</t>
  </si>
  <si>
    <t xml:space="preserve">78 Wembley Park Drive, Wembley</t>
  </si>
  <si>
    <t xml:space="preserve">Branded fine fragrance distributor (since 1986)</t>
  </si>
  <si>
    <t xml:space="preserve">Branded fine fragrance for independents; owns Designer Parfums, Mayfair</t>
  </si>
  <si>
    <t xml:space="preserve">https://jobs.workable.com/companies/iKxrmDgx2D2P41Cmp6pAvV.md</t>
  </si>
  <si>
    <t xml:space="preserve">Affinity Fragrances</t>
  </si>
  <si>
    <t xml:space="preserve">https://affinityfragrances.com</t>
  </si>
  <si>
    <t xml:space="preserve">Fragrance wholesaler</t>
  </si>
  <si>
    <t xml:space="preserve">Branded perfumes; UK distributor for Lionel Messi fragrances</t>
  </si>
  <si>
    <t xml:space="preserve">https://retail-merchandiser.com/news/affinity-fragrances-focus-on-trust-agility-and-long-term-partnerships-is-driving-its-international-expansion/</t>
  </si>
  <si>
    <t xml:space="preserve">Fragrance Wholesale International Ltd</t>
  </si>
  <si>
    <t xml:space="preserve">https://find-and-update.company-information.service.gov.uk/company/14662527</t>
  </si>
  <si>
    <t xml:space="preserve">See Companies House</t>
  </si>
  <si>
    <t xml:space="preserve">SIC 46450 perfume wholesale</t>
  </si>
  <si>
    <t xml:space="preserve">Subject:</t>
  </si>
  <si>
    <t xml:space="preserve">Wholesale account enquiry - Crowsons Global (branded fragrances)</t>
  </si>
  <si>
    <t xml:space="preserve">Body:</t>
  </si>
  <si>
    <t xml:space="preserve">Hello [Name / Team],</t>
  </si>
  <si>
    <t xml:space="preserve">I'm [Your Name] from Crowsons Global, a UK/EU distribution business. We're looking for a reliable wholesale partner for branded perfumes and aftershaves, which we resell through online marketplaces including Amazon.</t>
  </si>
  <si>
    <t xml:space="preserve">Could you please send:</t>
  </si>
  <si>
    <t xml:space="preserve">  1. Your current wholesale price list / stock list (in Excel if possible)</t>
  </si>
  <si>
    <t xml:space="preserve">  2. Your minimum order value and payment terms</t>
  </si>
  <si>
    <t xml:space="preserve">  3. Delivery times and costs to [UK / your EU warehouse country]</t>
  </si>
  <si>
    <t xml:space="preserve">  4. Confirmation that invoices show your full company details and VAT number, and whether they've been accepted for Amazon brand approvals before</t>
  </si>
  <si>
    <t xml:space="preserve">  5. Which brands you're an authorised distributor for, if any</t>
  </si>
  <si>
    <t xml:space="preserve">Our company details: [Company name, registration number, VAT/EORI number, address, website].</t>
  </si>
  <si>
    <t xml:space="preserve">I'm happy to start with a trial order and grow volume from there.</t>
  </si>
  <si>
    <t xml:space="preserve">Kind regards,</t>
  </si>
  <si>
    <t xml:space="preserve">[Name] | Crowsons Global | [Phone] | [Email]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</si>
</sst>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d/mm/yyyy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0"/>
      <color rgb="FF1F3864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u val="single"/>
      <sz val="10"/>
      <color rgb="FF0563C1"/>
      <name val="Arial"/>
      <family val="0"/>
      <charset val="1"/>
    </font>
    <font>
      <b val="true"/>
      <sz val="10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9E1F2"/>
        <bgColor rgb="FFC6EFCE"/>
      </patternFill>
    </fill>
    <fill>
      <patternFill patternType="solid">
        <fgColor rgb="FFC6EFCE"/>
        <bgColor rgb="FFD9E1F2"/>
      </patternFill>
    </fill>
    <fill>
      <patternFill patternType="solid">
        <fgColor rgb="FFFFF2CC"/>
        <bgColor rgb="FFFFEB9C"/>
      </patternFill>
    </fill>
    <fill>
      <patternFill patternType="solid">
        <fgColor rgb="FFFFEB9C"/>
        <bgColor rgb="FFFFF2CC"/>
      </patternFill>
    </fill>
    <fill>
      <patternFill patternType="solid">
        <fgColor rgb="FFF8CBAD"/>
        <bgColor rgb="FFFFEB9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7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7" fillId="7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563C1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https://www.qogita.com/" TargetMode="External"/><Relationship Id="rId2" Type="http://schemas.openxmlformats.org/officeDocument/2006/relationships/hyperlink" Target="https://www.qogita.com/" TargetMode="External"/><Relationship Id="rId3" Type="http://schemas.openxmlformats.org/officeDocument/2006/relationships/hyperlink" Target="https://www.qogita.com/brands/lamour/" TargetMode="External"/><Relationship Id="rId4" Type="http://schemas.openxmlformats.org/officeDocument/2006/relationships/hyperlink" Target="https://www.novaengel.com/" TargetMode="External"/><Relationship Id="rId5" Type="http://schemas.openxmlformats.org/officeDocument/2006/relationships/hyperlink" Target="https://www.novaengel.com/en/company_wholesaler_perfumery" TargetMode="External"/><Relationship Id="rId6" Type="http://schemas.openxmlformats.org/officeDocument/2006/relationships/hyperlink" Target="https://www.novaengel.com/en/company_wholesaler_perfumery" TargetMode="External"/><Relationship Id="rId7" Type="http://schemas.openxmlformats.org/officeDocument/2006/relationships/hyperlink" Target="https://www.bigbuy.eu/" TargetMode="External"/><Relationship Id="rId8" Type="http://schemas.openxmlformats.org/officeDocument/2006/relationships/hyperlink" Target="https://www.bigbuy.eu/" TargetMode="External"/><Relationship Id="rId9" Type="http://schemas.openxmlformats.org/officeDocument/2006/relationships/hyperlink" Target="https://help.wizishop.com/hc/en-us/articles/360015881879-Presentation-of-BigBuy" TargetMode="External"/><Relationship Id="rId10" Type="http://schemas.openxmlformats.org/officeDocument/2006/relationships/hyperlink" Target="https://beautinow.com/" TargetMode="External"/><Relationship Id="rId11" Type="http://schemas.openxmlformats.org/officeDocument/2006/relationships/hyperlink" Target="https://beautinow.com/wholesale-perfume-supplier-europe/" TargetMode="External"/><Relationship Id="rId12" Type="http://schemas.openxmlformats.org/officeDocument/2006/relationships/hyperlink" Target="https://beautinow.com/wholesale-perfume-supplier-europe/" TargetMode="External"/><Relationship Id="rId13" Type="http://schemas.openxmlformats.org/officeDocument/2006/relationships/hyperlink" Target="https://www.beautetrade.com/suppliers/ah-beauty-bv-107939/" TargetMode="External"/><Relationship Id="rId14" Type="http://schemas.openxmlformats.org/officeDocument/2006/relationships/hyperlink" Target="https://www.beautetrade.com/suppliers/ah-beauty-bv-107939/" TargetMode="External"/><Relationship Id="rId15" Type="http://schemas.openxmlformats.org/officeDocument/2006/relationships/hyperlink" Target="https://www.beautetrade.com/suppliers/ah-beauty-bv-107939/" TargetMode="External"/><Relationship Id="rId16" Type="http://schemas.openxmlformats.org/officeDocument/2006/relationships/hyperlink" Target="https://elegancewholesale.co.nl/" TargetMode="External"/><Relationship Id="rId17" Type="http://schemas.openxmlformats.org/officeDocument/2006/relationships/hyperlink" Target="https://elegancewholesale.co.nl/partner-with-us" TargetMode="External"/><Relationship Id="rId18" Type="http://schemas.openxmlformats.org/officeDocument/2006/relationships/hyperlink" Target="https://elegancewholesale.co.nl/our-services" TargetMode="External"/><Relationship Id="rId19" Type="http://schemas.openxmlformats.org/officeDocument/2006/relationships/hyperlink" Target="https://tradefor7.com/" TargetMode="External"/><Relationship Id="rId20" Type="http://schemas.openxmlformats.org/officeDocument/2006/relationships/hyperlink" Target="https://tradefor7.com/" TargetMode="External"/><Relationship Id="rId21" Type="http://schemas.openxmlformats.org/officeDocument/2006/relationships/hyperlink" Target="https://www.marktplaats.nl/v/sieraden-tassen-en-uiterlijk/uiterlijk-parfum/m2420639384-volare-french-avenue-swiss-arabian-lattafa-groothandel" TargetMode="External"/><Relationship Id="rId22" Type="http://schemas.openxmlformats.org/officeDocument/2006/relationships/hyperlink" Target="https://stockperfume.com/" TargetMode="External"/><Relationship Id="rId23" Type="http://schemas.openxmlformats.org/officeDocument/2006/relationships/hyperlink" Target="https://stockperfume.com/" TargetMode="External"/><Relationship Id="rId24" Type="http://schemas.openxmlformats.org/officeDocument/2006/relationships/hyperlink" Target="https://oncosmetics.com/company/stock-perfume/" TargetMode="External"/><Relationship Id="rId25" Type="http://schemas.openxmlformats.org/officeDocument/2006/relationships/hyperlink" Target="https://www.beautetrade.com/products/global-wholesale-distributor-of-cosmetics-skincare-fragrances/75837" TargetMode="External"/><Relationship Id="rId26" Type="http://schemas.openxmlformats.org/officeDocument/2006/relationships/hyperlink" Target="https://www.beautetrade.com/products/global-wholesale-distributor-of-cosmetics-skincare-fragrances/75837" TargetMode="External"/><Relationship Id="rId27" Type="http://schemas.openxmlformats.org/officeDocument/2006/relationships/hyperlink" Target="https://www.beautetrade.com/products/global-wholesale-distributor-of-cosmetics-skincare-fragrances/75837" TargetMode="External"/><Relationship Id="rId28" Type="http://schemas.openxmlformats.org/officeDocument/2006/relationships/hyperlink" Target="https://laparfumista.com/" TargetMode="External"/><Relationship Id="rId29" Type="http://schemas.openxmlformats.org/officeDocument/2006/relationships/hyperlink" Target="https://laparfumista.com/" TargetMode="External"/><Relationship Id="rId30" Type="http://schemas.openxmlformats.org/officeDocument/2006/relationships/hyperlink" Target="https://oncosmetics.com/company/la-parfumista/" TargetMode="External"/><Relationship Id="rId31" Type="http://schemas.openxmlformats.org/officeDocument/2006/relationships/hyperlink" Target="https://www.beautylux.be/" TargetMode="External"/><Relationship Id="rId32" Type="http://schemas.openxmlformats.org/officeDocument/2006/relationships/hyperlink" Target="https://www.beautylux.be/" TargetMode="External"/><Relationship Id="rId33" Type="http://schemas.openxmlformats.org/officeDocument/2006/relationships/hyperlink" Target="https://oncosmetics.com/company/beautylux/" TargetMode="External"/><Relationship Id="rId34" Type="http://schemas.openxmlformats.org/officeDocument/2006/relationships/hyperlink" Target="https://www.fragrance-privee.com/" TargetMode="External"/><Relationship Id="rId35" Type="http://schemas.openxmlformats.org/officeDocument/2006/relationships/hyperlink" Target="https://www.fragrance-privee.com/" TargetMode="External"/><Relationship Id="rId36" Type="http://schemas.openxmlformats.org/officeDocument/2006/relationships/hyperlink" Target="https://www.destockplus.com/acheter/recherche-fournisseur-2-parfumerie.html" TargetMode="External"/><Relationship Id="rId37" Type="http://schemas.openxmlformats.org/officeDocument/2006/relationships/hyperlink" Target="https://perfume-trading.com/" TargetMode="External"/><Relationship Id="rId38" Type="http://schemas.openxmlformats.org/officeDocument/2006/relationships/hyperlink" Target="https://perfume-trading.com/" TargetMode="External"/><Relationship Id="rId39" Type="http://schemas.openxmlformats.org/officeDocument/2006/relationships/hyperlink" Target="https://ensun.io/search/perfume-cologne-fragrance/germany" TargetMode="External"/><Relationship Id="rId40" Type="http://schemas.openxmlformats.org/officeDocument/2006/relationships/hyperlink" Target="https://parfumtrend.com/" TargetMode="External"/><Relationship Id="rId41" Type="http://schemas.openxmlformats.org/officeDocument/2006/relationships/hyperlink" Target="https://parfumtrend.com/" TargetMode="External"/><Relationship Id="rId42" Type="http://schemas.openxmlformats.org/officeDocument/2006/relationships/hyperlink" Target="https://oncosmetics.com/company/parfumtrend/" TargetMode="External"/><Relationship Id="rId43" Type="http://schemas.openxmlformats.org/officeDocument/2006/relationships/hyperlink" Target="https://aromacompany.de/" TargetMode="External"/><Relationship Id="rId44" Type="http://schemas.openxmlformats.org/officeDocument/2006/relationships/hyperlink" Target="https://aromacompany.de/" TargetMode="External"/><Relationship Id="rId45" Type="http://schemas.openxmlformats.org/officeDocument/2006/relationships/hyperlink" Target="https://oncosmetics.com/company/aroma-company" TargetMode="External"/><Relationship Id="rId46" Type="http://schemas.openxmlformats.org/officeDocument/2006/relationships/hyperlink" Target="https://brocard.com/" TargetMode="External"/><Relationship Id="rId47" Type="http://schemas.openxmlformats.org/officeDocument/2006/relationships/hyperlink" Target="https://brocard.com/" TargetMode="External"/><Relationship Id="rId48" Type="http://schemas.openxmlformats.org/officeDocument/2006/relationships/hyperlink" Target="https://oncosmetics.com/company/brocard/" TargetMode="External"/><Relationship Id="rId49" Type="http://schemas.openxmlformats.org/officeDocument/2006/relationships/hyperlink" Target="https://www.parfimo.de/" TargetMode="External"/><Relationship Id="rId50" Type="http://schemas.openxmlformats.org/officeDocument/2006/relationships/hyperlink" Target="https://www.parfimo.de/" TargetMode="External"/><Relationship Id="rId51" Type="http://schemas.openxmlformats.org/officeDocument/2006/relationships/hyperlink" Target="https://implisense.com/de/companies/parfimo-gmbh-muenchen-DE5DGBY5YA30" TargetMode="External"/><Relationship Id="rId52" Type="http://schemas.openxmlformats.org/officeDocument/2006/relationships/hyperlink" Target="https://perfumeeurope.com/" TargetMode="External"/><Relationship Id="rId53" Type="http://schemas.openxmlformats.org/officeDocument/2006/relationships/hyperlink" Target="https://perfumeeurope.com/en/" TargetMode="External"/><Relationship Id="rId54" Type="http://schemas.openxmlformats.org/officeDocument/2006/relationships/hyperlink" Target="https://perfumeeurope.com/en/" TargetMode="External"/><Relationship Id="rId55" Type="http://schemas.openxmlformats.org/officeDocument/2006/relationships/hyperlink" Target="https://parfums-en-gros.com/" TargetMode="External"/><Relationship Id="rId56" Type="http://schemas.openxmlformats.org/officeDocument/2006/relationships/hyperlink" Target="https://parfums-en-gros.com/" TargetMode="External"/><Relationship Id="rId57" Type="http://schemas.openxmlformats.org/officeDocument/2006/relationships/hyperlink" Target="https://oncosmetics.com/company/parfums-en-gros/" TargetMode="External"/><Relationship Id="rId58" Type="http://schemas.openxmlformats.org/officeDocument/2006/relationships/hyperlink" Target="https://www.beautetrade.com/suppliers/europ-cosmetics-209557" TargetMode="External"/><Relationship Id="rId59" Type="http://schemas.openxmlformats.org/officeDocument/2006/relationships/hyperlink" Target="https://www.beautetrade.com/suppliers/europ-cosmetics-209557" TargetMode="External"/><Relationship Id="rId60" Type="http://schemas.openxmlformats.org/officeDocument/2006/relationships/hyperlink" Target="https://www.beautetrade.com/suppliers/europ-cosmetics-209557" TargetMode="External"/><Relationship Id="rId61" Type="http://schemas.openxmlformats.org/officeDocument/2006/relationships/hyperlink" Target="https://grossmaillot.com/" TargetMode="External"/><Relationship Id="rId62" Type="http://schemas.openxmlformats.org/officeDocument/2006/relationships/hyperlink" Target="https://grossmaillot.com/" TargetMode="External"/><Relationship Id="rId63" Type="http://schemas.openxmlformats.org/officeDocument/2006/relationships/hyperlink" Target="https://www.destockplus.com/acheter/recherche-fournisseur-2-parfumerie.html" TargetMode="External"/><Relationship Id="rId64" Type="http://schemas.openxmlformats.org/officeDocument/2006/relationships/hyperlink" Target="https://royaumeduparfumparis.com/" TargetMode="External"/><Relationship Id="rId65" Type="http://schemas.openxmlformats.org/officeDocument/2006/relationships/hyperlink" Target="https://royaumeduparfumparis.com/" TargetMode="External"/><Relationship Id="rId66" Type="http://schemas.openxmlformats.org/officeDocument/2006/relationships/hyperlink" Target="https://oncosmetics.com/company/royaume-du-parfum-international-rpi/" TargetMode="External"/><Relationship Id="rId67" Type="http://schemas.openxmlformats.org/officeDocument/2006/relationships/hyperlink" Target="https://www.firozadistribution.com/" TargetMode="External"/><Relationship Id="rId68" Type="http://schemas.openxmlformats.org/officeDocument/2006/relationships/hyperlink" Target="https://www.firozadistribution.com/" TargetMode="External"/><Relationship Id="rId69" Type="http://schemas.openxmlformats.org/officeDocument/2006/relationships/hyperlink" Target="https://www.destockplus.com/acheter/c-813880-firoza-distribution-destockage.html" TargetMode="External"/><Relationship Id="rId70" Type="http://schemas.openxmlformats.org/officeDocument/2006/relationships/hyperlink" Target="https://oceanfragrances.com/" TargetMode="External"/><Relationship Id="rId71" Type="http://schemas.openxmlformats.org/officeDocument/2006/relationships/hyperlink" Target="https://oceanfragrances.com/es/" TargetMode="External"/><Relationship Id="rId72" Type="http://schemas.openxmlformats.org/officeDocument/2006/relationships/hyperlink" Target="https://www.proveedores.com/proveedores/ocean-fragrances/" TargetMode="External"/><Relationship Id="rId73" Type="http://schemas.openxmlformats.org/officeDocument/2006/relationships/hyperlink" Target="https://www.distribuidorperfumes.com/" TargetMode="External"/><Relationship Id="rId74" Type="http://schemas.openxmlformats.org/officeDocument/2006/relationships/hyperlink" Target="https://www.distribuidorperfumes.com/" TargetMode="External"/><Relationship Id="rId75" Type="http://schemas.openxmlformats.org/officeDocument/2006/relationships/hyperlink" Target="https://www.proveedores.com/proveedores/distribuidor-perfumes/" TargetMode="External"/><Relationship Id="rId76" Type="http://schemas.openxmlformats.org/officeDocument/2006/relationships/hyperlink" Target="https://www.igmaco.com/" TargetMode="External"/><Relationship Id="rId77" Type="http://schemas.openxmlformats.org/officeDocument/2006/relationships/hyperlink" Target="https://www.igmaco.com/" TargetMode="External"/><Relationship Id="rId78" Type="http://schemas.openxmlformats.org/officeDocument/2006/relationships/hyperlink" Target="https://oncosmetics.com/company/igmaco/" TargetMode="External"/><Relationship Id="rId79" Type="http://schemas.openxmlformats.org/officeDocument/2006/relationships/hyperlink" Target="https://madallmes.com/" TargetMode="External"/><Relationship Id="rId80" Type="http://schemas.openxmlformats.org/officeDocument/2006/relationships/hyperlink" Target="https://madallmes.com/" TargetMode="External"/><Relationship Id="rId81" Type="http://schemas.openxmlformats.org/officeDocument/2006/relationships/hyperlink" Target="https://proveedores.com/proveedores/madallmes/" TargetMode="External"/><Relationship Id="rId82" Type="http://schemas.openxmlformats.org/officeDocument/2006/relationships/hyperlink" Target="https://www.pyd.es/" TargetMode="External"/><Relationship Id="rId83" Type="http://schemas.openxmlformats.org/officeDocument/2006/relationships/hyperlink" Target="https://www.pyd.es/" TargetMode="External"/><Relationship Id="rId84" Type="http://schemas.openxmlformats.org/officeDocument/2006/relationships/hyperlink" Target="https://empresite.eleconomista.es/PERFUMES-DISENO-ESPANA.html" TargetMode="External"/><Relationship Id="rId85" Type="http://schemas.openxmlformats.org/officeDocument/2006/relationships/hyperlink" Target="https://www.orientfragance.com/" TargetMode="External"/><Relationship Id="rId86" Type="http://schemas.openxmlformats.org/officeDocument/2006/relationships/hyperlink" Target="https://www.orientfragance.com/en/pages/contact" TargetMode="External"/><Relationship Id="rId87" Type="http://schemas.openxmlformats.org/officeDocument/2006/relationships/hyperlink" Target="https://www.orientfragance.com/en/pages/contacto" TargetMode="External"/><Relationship Id="rId88" Type="http://schemas.openxmlformats.org/officeDocument/2006/relationships/hyperlink" Target="https://gpd.es/" TargetMode="External"/><Relationship Id="rId89" Type="http://schemas.openxmlformats.org/officeDocument/2006/relationships/hyperlink" Target="https://gpd.es/" TargetMode="External"/><Relationship Id="rId90" Type="http://schemas.openxmlformats.org/officeDocument/2006/relationships/hyperlink" Target="https://oncosmetics.com/company/gpd-central-de-perfumeria-y-cosmetica/" TargetMode="External"/><Relationship Id="rId91" Type="http://schemas.openxmlformats.org/officeDocument/2006/relationships/hyperlink" Target="https://mayoristaperfumeria.es/" TargetMode="External"/><Relationship Id="rId92" Type="http://schemas.openxmlformats.org/officeDocument/2006/relationships/hyperlink" Target="https://mayoristaperfumeria.es/" TargetMode="External"/><Relationship Id="rId93" Type="http://schemas.openxmlformats.org/officeDocument/2006/relationships/hyperlink" Target="https://oncosmetics.com/company/mayoristaperfumeria/" TargetMode="External"/><Relationship Id="rId94" Type="http://schemas.openxmlformats.org/officeDocument/2006/relationships/hyperlink" Target="https://www.quisben.com/" TargetMode="External"/><Relationship Id="rId95" Type="http://schemas.openxmlformats.org/officeDocument/2006/relationships/hyperlink" Target="https://www.quisben.com/" TargetMode="External"/><Relationship Id="rId96" Type="http://schemas.openxmlformats.org/officeDocument/2006/relationships/hyperlink" Target="https://oncosmetics.com/company/quisben-iberica-s-l/" TargetMode="External"/><Relationship Id="rId97" Type="http://schemas.openxmlformats.org/officeDocument/2006/relationships/hyperlink" Target="https://beautyway.es/" TargetMode="External"/><Relationship Id="rId98" Type="http://schemas.openxmlformats.org/officeDocument/2006/relationships/hyperlink" Target="https://beautyway.es/" TargetMode="External"/><Relationship Id="rId99" Type="http://schemas.openxmlformats.org/officeDocument/2006/relationships/hyperlink" Target="https://oncosmetics.com/company/beauty-way-sl/" TargetMode="External"/><Relationship Id="rId100" Type="http://schemas.openxmlformats.org/officeDocument/2006/relationships/hyperlink" Target="https://www.parfulandiastore.it/" TargetMode="External"/><Relationship Id="rId101" Type="http://schemas.openxmlformats.org/officeDocument/2006/relationships/hyperlink" Target="https://www.parfulandiastore.it/" TargetMode="External"/><Relationship Id="rId102" Type="http://schemas.openxmlformats.org/officeDocument/2006/relationships/hyperlink" Target="https://oncosmetics.com/company/parfulandia-srl/" TargetMode="External"/><Relationship Id="rId103" Type="http://schemas.openxmlformats.org/officeDocument/2006/relationships/hyperlink" Target="https://globalperfumes.it/" TargetMode="External"/><Relationship Id="rId104" Type="http://schemas.openxmlformats.org/officeDocument/2006/relationships/hyperlink" Target="https://globalperfumes.it/" TargetMode="External"/><Relationship Id="rId105" Type="http://schemas.openxmlformats.org/officeDocument/2006/relationships/hyperlink" Target="https://oncosmetics.com/company/global-perfumes" TargetMode="External"/><Relationship Id="rId106" Type="http://schemas.openxmlformats.org/officeDocument/2006/relationships/hyperlink" Target="https://amorettiprofumi.com/" TargetMode="External"/><Relationship Id="rId107" Type="http://schemas.openxmlformats.org/officeDocument/2006/relationships/hyperlink" Target="https://amorettiprofumi.com/" TargetMode="External"/><Relationship Id="rId108" Type="http://schemas.openxmlformats.org/officeDocument/2006/relationships/hyperlink" Target="https://atoka.io/public/it/azienda/amoretti-profumi-srl/e6a0a9e0c2b7" TargetMode="External"/><Relationship Id="rId109" Type="http://schemas.openxmlformats.org/officeDocument/2006/relationships/hyperlink" Target="https://www.profumeriepep.it/" TargetMode="External"/><Relationship Id="rId110" Type="http://schemas.openxmlformats.org/officeDocument/2006/relationships/hyperlink" Target="https://www.profumeriepep.it/" TargetMode="External"/><Relationship Id="rId111" Type="http://schemas.openxmlformats.org/officeDocument/2006/relationships/hyperlink" Target="https://atoka.io/public/it/azienda/profumerie-p-p-srl/b936935a4339" TargetMode="External"/><Relationship Id="rId112" Type="http://schemas.openxmlformats.org/officeDocument/2006/relationships/hyperlink" Target="https://www.tddistribuzione.com/" TargetMode="External"/><Relationship Id="rId113" Type="http://schemas.openxmlformats.org/officeDocument/2006/relationships/hyperlink" Target="https://www.tddistribuzione.com/" TargetMode="External"/><Relationship Id="rId114" Type="http://schemas.openxmlformats.org/officeDocument/2006/relationships/hyperlink" Target="https://oncosmetics.com/company/t-d-distribuzione-srl/" TargetMode="External"/><Relationship Id="rId115" Type="http://schemas.openxmlformats.org/officeDocument/2006/relationships/hyperlink" Target="https://perfume-supplier.eu/" TargetMode="External"/><Relationship Id="rId116" Type="http://schemas.openxmlformats.org/officeDocument/2006/relationships/hyperlink" Target="https://perfume-supplier.eu/" TargetMode="External"/><Relationship Id="rId117" Type="http://schemas.openxmlformats.org/officeDocument/2006/relationships/hyperlink" Target="https://oncosmetics.com/company/charms-perfumes-and-cosmetics/" TargetMode="External"/><Relationship Id="rId118" Type="http://schemas.openxmlformats.org/officeDocument/2006/relationships/hyperlink" Target="https://avemi.com/" TargetMode="External"/><Relationship Id="rId119" Type="http://schemas.openxmlformats.org/officeDocument/2006/relationships/hyperlink" Target="https://avemi.com/" TargetMode="External"/><Relationship Id="rId120" Type="http://schemas.openxmlformats.org/officeDocument/2006/relationships/hyperlink" Target="https://emis.cn/php/company-profile/PL/Avemi_Sp_z_oo_en_3712319.html" TargetMode="External"/><Relationship Id="rId121" Type="http://schemas.openxmlformats.org/officeDocument/2006/relationships/hyperlink" Target="https://hurtowniaperfum.com.pl/" TargetMode="External"/><Relationship Id="rId122" Type="http://schemas.openxmlformats.org/officeDocument/2006/relationships/hyperlink" Target="https://hurtowniaperfum.com.pl/" TargetMode="External"/><Relationship Id="rId123" Type="http://schemas.openxmlformats.org/officeDocument/2006/relationships/hyperlink" Target="https://oncosmetics.com/company/hurtownia-perfum/" TargetMode="External"/><Relationship Id="rId124" Type="http://schemas.openxmlformats.org/officeDocument/2006/relationships/hyperlink" Target="https://solg.pl/" TargetMode="External"/><Relationship Id="rId125" Type="http://schemas.openxmlformats.org/officeDocument/2006/relationships/hyperlink" Target="https://solg.pl/" TargetMode="External"/><Relationship Id="rId126" Type="http://schemas.openxmlformats.org/officeDocument/2006/relationships/hyperlink" Target="https://oncosmetics.com/company/solg-oskar-szumacher/" TargetMode="External"/><Relationship Id="rId127" Type="http://schemas.openxmlformats.org/officeDocument/2006/relationships/hyperlink" Target="https://www.bjutip.com/" TargetMode="External"/><Relationship Id="rId128" Type="http://schemas.openxmlformats.org/officeDocument/2006/relationships/hyperlink" Target="https://www.bjutip.com/register" TargetMode="External"/><Relationship Id="rId129" Type="http://schemas.openxmlformats.org/officeDocument/2006/relationships/hyperlink" Target="https://bjutip.com/contact_us" TargetMode="External"/><Relationship Id="rId130" Type="http://schemas.openxmlformats.org/officeDocument/2006/relationships/hyperlink" Target="https://wholesale.brasty.com/" TargetMode="External"/><Relationship Id="rId131" Type="http://schemas.openxmlformats.org/officeDocument/2006/relationships/hyperlink" Target="https://wholesale.brasty.com/" TargetMode="External"/><Relationship Id="rId132" Type="http://schemas.openxmlformats.org/officeDocument/2006/relationships/hyperlink" Target="https://wholesale.brasty.com/" TargetMode="External"/><Relationship Id="rId133" Type="http://schemas.openxmlformats.org/officeDocument/2006/relationships/hyperlink" Target="https://www.fragrances-wholesale.eu/" TargetMode="External"/><Relationship Id="rId134" Type="http://schemas.openxmlformats.org/officeDocument/2006/relationships/hyperlink" Target="https://www.fragrances-wholesale.eu/" TargetMode="External"/><Relationship Id="rId135" Type="http://schemas.openxmlformats.org/officeDocument/2006/relationships/hyperlink" Target="https://www.fragrances-wholesale.eu/info/terms-and-conditions-nr" TargetMode="External"/><Relationship Id="rId136" Type="http://schemas.openxmlformats.org/officeDocument/2006/relationships/hyperlink" Target="https://parfumuri-engros.ro/" TargetMode="External"/><Relationship Id="rId137" Type="http://schemas.openxmlformats.org/officeDocument/2006/relationships/hyperlink" Target="https://parfumuri-engros.ro/" TargetMode="External"/><Relationship Id="rId138" Type="http://schemas.openxmlformats.org/officeDocument/2006/relationships/hyperlink" Target="https://oncosmetics.com/company/parfumuri-engros/" TargetMode="External"/><Relationship Id="rId139" Type="http://schemas.openxmlformats.org/officeDocument/2006/relationships/hyperlink" Target="https://romscent.com/" TargetMode="External"/><Relationship Id="rId140" Type="http://schemas.openxmlformats.org/officeDocument/2006/relationships/hyperlink" Target="https://romscent.com/" TargetMode="External"/><Relationship Id="rId141" Type="http://schemas.openxmlformats.org/officeDocument/2006/relationships/hyperlink" Target="https://www.revistabiz.ro/gulf-orchid-brandul-de-parfumerie-accesibila-unul-dintre-principalele-motoare-de-crestere-din-portofoliul-romscent-trading/" TargetMode="External"/><Relationship Id="rId142" Type="http://schemas.openxmlformats.org/officeDocument/2006/relationships/hyperlink" Target="https://qudobeauty.com/" TargetMode="External"/><Relationship Id="rId143" Type="http://schemas.openxmlformats.org/officeDocument/2006/relationships/hyperlink" Target="https://qudobeauty.com/perfumes-and-fragrances-wholesale/" TargetMode="External"/><Relationship Id="rId144" Type="http://schemas.openxmlformats.org/officeDocument/2006/relationships/hyperlink" Target="https://qudobeauty.com/perfumes-and-fragrances-wholesale/" TargetMode="External"/><Relationship Id="rId145" Type="http://schemas.openxmlformats.org/officeDocument/2006/relationships/hyperlink" Target="https://www.perfumes-supplier.com/" TargetMode="External"/><Relationship Id="rId146" Type="http://schemas.openxmlformats.org/officeDocument/2006/relationships/hyperlink" Target="https://www.perfumes-supplier.com/" TargetMode="External"/><Relationship Id="rId147" Type="http://schemas.openxmlformats.org/officeDocument/2006/relationships/hyperlink" Target="https://oncosmetics.com/company/ventus-s-a/" TargetMode="External"/><Relationship Id="rId148" Type="http://schemas.openxmlformats.org/officeDocument/2006/relationships/hyperlink" Target="https://odora.bg/" TargetMode="External"/><Relationship Id="rId149" Type="http://schemas.openxmlformats.org/officeDocument/2006/relationships/hyperlink" Target="https://odora.bg/" TargetMode="External"/><Relationship Id="rId150" Type="http://schemas.openxmlformats.org/officeDocument/2006/relationships/hyperlink" Target="https://oncosmetics.com/company/odora-beauty-corp-ad/" TargetMode="External"/><Relationship Id="rId151" Type="http://schemas.openxmlformats.org/officeDocument/2006/relationships/hyperlink" Target="https://aromaray.bg/" TargetMode="External"/><Relationship Id="rId152" Type="http://schemas.openxmlformats.org/officeDocument/2006/relationships/hyperlink" Target="https://aromaray.bg/" TargetMode="External"/><Relationship Id="rId153" Type="http://schemas.openxmlformats.org/officeDocument/2006/relationships/hyperlink" Target="https://oncosmetics.com/company/aromaray-ltd-ood/" TargetMode="External"/><Relationship Id="rId154" Type="http://schemas.openxmlformats.org/officeDocument/2006/relationships/hyperlink" Target="https://fragrances.bg/" TargetMode="External"/><Relationship Id="rId155" Type="http://schemas.openxmlformats.org/officeDocument/2006/relationships/hyperlink" Target="https://fragrances.bg/" TargetMode="External"/><Relationship Id="rId156" Type="http://schemas.openxmlformats.org/officeDocument/2006/relationships/hyperlink" Target="https://en.wikipedia.org/wiki/Venera_Cosmetics" TargetMode="External"/><Relationship Id="rId157" Type="http://schemas.openxmlformats.org/officeDocument/2006/relationships/hyperlink" Target="https://parfen.hu/" TargetMode="External"/><Relationship Id="rId158" Type="http://schemas.openxmlformats.org/officeDocument/2006/relationships/hyperlink" Target="https://parfen.hu/" TargetMode="External"/><Relationship Id="rId159" Type="http://schemas.openxmlformats.org/officeDocument/2006/relationships/hyperlink" Target="https://oncosmetics.com/company/parfen/" TargetMode="External"/><Relationship Id="rId160" Type="http://schemas.openxmlformats.org/officeDocument/2006/relationships/hyperlink" Target="https://per-fumes.com/" TargetMode="External"/><Relationship Id="rId161" Type="http://schemas.openxmlformats.org/officeDocument/2006/relationships/hyperlink" Target="https://per-fumes.com/" TargetMode="External"/><Relationship Id="rId162" Type="http://schemas.openxmlformats.org/officeDocument/2006/relationships/hyperlink" Target="https://oncosmetics.com/company/amco-group-uab/" TargetMode="External"/><Relationship Id="rId163" Type="http://schemas.openxmlformats.org/officeDocument/2006/relationships/hyperlink" Target="https://selectiveparfums.at/" TargetMode="External"/><Relationship Id="rId164" Type="http://schemas.openxmlformats.org/officeDocument/2006/relationships/hyperlink" Target="https://selectiveparfums.at/" TargetMode="External"/><Relationship Id="rId165" Type="http://schemas.openxmlformats.org/officeDocument/2006/relationships/hyperlink" Target="https://oncosmetics.com/company/selective-parfums/" TargetMode="External"/><Relationship Id="rId166" Type="http://schemas.openxmlformats.org/officeDocument/2006/relationships/hyperlink" Target="https://www.aplikuj.pl/pracodawca/380091/parfum-company-sp-z-o-o-s-k-a" TargetMode="External"/><Relationship Id="rId167" Type="http://schemas.openxmlformats.org/officeDocument/2006/relationships/hyperlink" Target="https://www.aplikuj.pl/pracodawca/380091/parfum-company-sp-z-o-o-s-k-a" TargetMode="External"/><Relationship Id="rId168" Type="http://schemas.openxmlformats.org/officeDocument/2006/relationships/hyperlink" Target="https://www.aplikuj.pl/pracodawca/80046/misterm-plus-sp-z-o-o-spolka-komandytowa" TargetMode="External"/><Relationship Id="rId169" Type="http://schemas.openxmlformats.org/officeDocument/2006/relationships/hyperlink" Target="https://www.aplikuj.pl/pracodawca/80046/misterm-plus-sp-z-o-o-spolka-komandytowa" TargetMode="External"/><Relationship Id="rId170" Type="http://schemas.openxmlformats.org/officeDocument/2006/relationships/hyperlink" Target="https://ensun.io/search/perfume-cologne" TargetMode="External"/><Relationship Id="rId171" Type="http://schemas.openxmlformats.org/officeDocument/2006/relationships/hyperlink" Target="https://ensun.io/search/perfume-cologne" TargetMode="External"/><Relationship Id="rId172" Type="http://schemas.openxmlformats.org/officeDocument/2006/relationships/hyperlink" Target="https://funnelfeedr.com/en/company/se/sar-beauty-ab-5595032482" TargetMode="External"/><Relationship Id="rId173" Type="http://schemas.openxmlformats.org/officeDocument/2006/relationships/hyperlink" Target="https://funnelfeedr.com/en/company/se/sar-beauty-ab-5595032482" TargetMode="External"/><Relationship Id="rId174" Type="http://schemas.openxmlformats.org/officeDocument/2006/relationships/hyperlink" Target="https://us.kompass.com/c/azurtis/be0018421/" TargetMode="External"/><Relationship Id="rId175" Type="http://schemas.openxmlformats.org/officeDocument/2006/relationships/hyperlink" Target="https://us.kompass.com/c/azurtis/be0018421/" TargetMode="External"/><Relationship Id="rId176" Type="http://schemas.openxmlformats.org/officeDocument/2006/relationships/hyperlink" Target="https://es.kompass.com/c/diotima/be0038464/" TargetMode="External"/><Relationship Id="rId177" Type="http://schemas.openxmlformats.org/officeDocument/2006/relationships/hyperlink" Target="https://es.kompass.com/c/diotima/be0038464/" TargetMode="External"/><Relationship Id="rId178" Type="http://schemas.openxmlformats.org/officeDocument/2006/relationships/hyperlink" Target="https://fr.kompass.com/en/c/intercosmo/be0180009/" TargetMode="External"/><Relationship Id="rId179" Type="http://schemas.openxmlformats.org/officeDocument/2006/relationships/hyperlink" Target="https://fr.kompass.com/en/c/intercosmo/be0180009/" TargetMode="External"/><Relationship Id="rId180" Type="http://schemas.openxmlformats.org/officeDocument/2006/relationships/hyperlink" Target="https://fr.kompass.com/c/sofrapar/fr0078081/" TargetMode="External"/><Relationship Id="rId181" Type="http://schemas.openxmlformats.org/officeDocument/2006/relationships/hyperlink" Target="https://fr.kompass.com/c/sofrapar/fr0078081/" TargetMode="External"/><Relationship Id="rId182" Type="http://schemas.openxmlformats.org/officeDocument/2006/relationships/hyperlink" Target="https://atoka.io/public/it/azienda/mr-parfums-srl-a-socio-unico/f8ca86bdc544" TargetMode="External"/><Relationship Id="rId183" Type="http://schemas.openxmlformats.org/officeDocument/2006/relationships/hyperlink" Target="https://atoka.io/public/it/azienda/mr-parfums-srl-a-socio-unico/f8ca86bdc544" TargetMode="External"/><Relationship Id="rId184" Type="http://schemas.openxmlformats.org/officeDocument/2006/relationships/hyperlink" Target="https://atoka.io/public/it/azienda/consorzio-profumerie-estasi/3cca13127885" TargetMode="External"/><Relationship Id="rId185" Type="http://schemas.openxmlformats.org/officeDocument/2006/relationships/hyperlink" Target="https://atoka.io/public/it/azienda/consorzio-profumerie-estasi/3cca13127885" TargetMode="External"/><Relationship Id="rId186" Type="http://schemas.openxmlformats.org/officeDocument/2006/relationships/hyperlink" Target="https://oncosmetics.com/company/icos-international-cosmetics-gmbh/" TargetMode="External"/><Relationship Id="rId187" Type="http://schemas.openxmlformats.org/officeDocument/2006/relationships/hyperlink" Target="https://oncosmetics.com/company/icos-international-cosmetics-gmbh/" TargetMode="Externa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hyperlink" Target="https://www.shaneel.com/" TargetMode="External"/><Relationship Id="rId2" Type="http://schemas.openxmlformats.org/officeDocument/2006/relationships/hyperlink" Target="https://www.shaneel.com/" TargetMode="External"/><Relationship Id="rId3" Type="http://schemas.openxmlformats.org/officeDocument/2006/relationships/hyperlink" Target="https://jobs.workable.com/companies/iKxrmDgx2D2P41Cmp6pAvV.md" TargetMode="External"/><Relationship Id="rId4" Type="http://schemas.openxmlformats.org/officeDocument/2006/relationships/hyperlink" Target="https://affinityfragrances.com/" TargetMode="External"/><Relationship Id="rId5" Type="http://schemas.openxmlformats.org/officeDocument/2006/relationships/hyperlink" Target="https://affinityfragrances.com/" TargetMode="External"/><Relationship Id="rId6" Type="http://schemas.openxmlformats.org/officeDocument/2006/relationships/hyperlink" Target="https://retail-merchandiser.com/news/affinity-fragrances-focus-on-trust-agility-and-long-term-partnerships-is-driving-its-international-expansion/" TargetMode="External"/><Relationship Id="rId7" Type="http://schemas.openxmlformats.org/officeDocument/2006/relationships/hyperlink" Target="https://find-and-update.company-information.service.gov.uk/company/14662527" TargetMode="External"/><Relationship Id="rId8" Type="http://schemas.openxmlformats.org/officeDocument/2006/relationships/hyperlink" Target="https://find-and-update.company-information.service.gov.uk/company/14662527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4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2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</row>
    <row r="5" customFormat="false" ht="15" hidden="false" customHeight="false" outlineLevel="0" collapsed="false">
      <c r="A5" s="4" t="s">
        <v>4</v>
      </c>
      <c r="B5" s="4" t="n">
        <f aca="false">COUNT('EU Suppliers'!A2:A79)</f>
        <v>66</v>
      </c>
    </row>
    <row r="6" customFormat="false" ht="15" hidden="false" customHeight="false" outlineLevel="0" collapsed="false">
      <c r="A6" s="4" t="s">
        <v>5</v>
      </c>
      <c r="B6" s="4" t="n">
        <f aca="false">COUNTIF('EU Suppliers'!E2:E79,"http*")</f>
        <v>55</v>
      </c>
    </row>
    <row r="7" customFormat="false" ht="15" hidden="false" customHeight="false" outlineLevel="0" collapsed="false">
      <c r="A7" s="4" t="s">
        <v>6</v>
      </c>
      <c r="B7" s="4" t="n">
        <f aca="false">COUNTIF('EU Suppliers'!E2:E79,"Not found")</f>
        <v>11</v>
      </c>
    </row>
    <row r="8" customFormat="false" ht="15" hidden="false" customHeight="false" outlineLevel="0" collapsed="false">
      <c r="A8" s="4" t="s">
        <v>7</v>
      </c>
      <c r="B8" s="4" t="n">
        <f aca="false">COUNTIF('EU Suppliers'!N2:N79,"High")</f>
        <v>20</v>
      </c>
    </row>
    <row r="9" customFormat="false" ht="15" hidden="false" customHeight="false" outlineLevel="0" collapsed="false">
      <c r="A9" s="4" t="s">
        <v>8</v>
      </c>
      <c r="B9" s="4" t="n">
        <f aca="false">COUNTIF('EU Suppliers'!N2:N79,"Medium")</f>
        <v>27</v>
      </c>
    </row>
    <row r="10" customFormat="false" ht="15" hidden="false" customHeight="false" outlineLevel="0" collapsed="false">
      <c r="A10" s="4" t="s">
        <v>9</v>
      </c>
      <c r="B10" s="4" t="n">
        <f aca="false">COUNTIF('EU Suppliers'!N2:N79,"Low")</f>
        <v>19</v>
      </c>
    </row>
    <row r="11" customFormat="false" ht="15" hidden="false" customHeight="false" outlineLevel="0" collapsed="false">
      <c r="A11" s="4" t="s">
        <v>10</v>
      </c>
      <c r="B11" s="4" t="n">
        <f aca="false">COUNTIF('EU Suppliers'!H2:H79,"*@*.*")</f>
        <v>9</v>
      </c>
    </row>
    <row r="12" customFormat="false" ht="15" hidden="false" customHeight="false" outlineLevel="0" collapsed="false">
      <c r="A12" s="4" t="s">
        <v>11</v>
      </c>
      <c r="B12" s="4" t="n">
        <f aca="false">COUNTA('EU Suppliers'!Q2:Q79)-COUNTIF('EU Suppliers'!Q2:Q79,"Not contacted")</f>
        <v>0</v>
      </c>
    </row>
    <row r="13" customFormat="false" ht="15" hidden="false" customHeight="false" outlineLevel="0" collapsed="false">
      <c r="A13" s="4" t="s">
        <v>12</v>
      </c>
      <c r="B13" s="4" t="n">
        <f aca="false">COUNTIF('EU Suppliers'!Q2:Q79,"Account opened")</f>
        <v>0</v>
      </c>
    </row>
    <row r="15" customFormat="false" ht="15" hidden="false" customHeight="false" outlineLevel="0" collapsed="false">
      <c r="A15" s="5" t="s">
        <v>13</v>
      </c>
    </row>
    <row r="16" customFormat="false" ht="15" hidden="false" customHeight="false" outlineLevel="0" collapsed="false">
      <c r="A16" s="3" t="s">
        <v>14</v>
      </c>
      <c r="B16" s="3" t="s">
        <v>15</v>
      </c>
    </row>
    <row r="17" customFormat="false" ht="15" hidden="false" customHeight="false" outlineLevel="0" collapsed="false">
      <c r="A17" s="4" t="s">
        <v>16</v>
      </c>
      <c r="B17" s="4" t="n">
        <f aca="false">COUNTIF('EU Suppliers'!C2:C79,A17)</f>
        <v>1</v>
      </c>
    </row>
    <row r="18" customFormat="false" ht="15" hidden="false" customHeight="false" outlineLevel="0" collapsed="false">
      <c r="A18" s="4" t="s">
        <v>17</v>
      </c>
      <c r="B18" s="4" t="n">
        <f aca="false">COUNTIF('EU Suppliers'!C2:C79,A18)</f>
        <v>5</v>
      </c>
    </row>
    <row r="19" customFormat="false" ht="15" hidden="false" customHeight="false" outlineLevel="0" collapsed="false">
      <c r="A19" s="4" t="s">
        <v>18</v>
      </c>
      <c r="B19" s="4" t="n">
        <f aca="false">COUNTIF('EU Suppliers'!C2:C79,A19)</f>
        <v>3</v>
      </c>
    </row>
    <row r="20" customFormat="false" ht="15" hidden="false" customHeight="false" outlineLevel="0" collapsed="false">
      <c r="A20" s="4" t="s">
        <v>19</v>
      </c>
      <c r="B20" s="4" t="n">
        <f aca="false">COUNTIF('EU Suppliers'!C2:C79,A20)</f>
        <v>3</v>
      </c>
    </row>
    <row r="21" customFormat="false" ht="15" hidden="false" customHeight="false" outlineLevel="0" collapsed="false">
      <c r="A21" s="4" t="s">
        <v>20</v>
      </c>
      <c r="B21" s="4" t="n">
        <f aca="false">COUNTIF('EU Suppliers'!C2:C79,A21)</f>
        <v>7</v>
      </c>
    </row>
    <row r="22" customFormat="false" ht="15" hidden="false" customHeight="false" outlineLevel="0" collapsed="false">
      <c r="A22" s="4" t="s">
        <v>21</v>
      </c>
      <c r="B22" s="4" t="n">
        <f aca="false">COUNTIF('EU Suppliers'!C2:C79,A22)</f>
        <v>6</v>
      </c>
    </row>
    <row r="23" customFormat="false" ht="15" hidden="false" customHeight="false" outlineLevel="0" collapsed="false">
      <c r="A23" s="4" t="s">
        <v>22</v>
      </c>
      <c r="B23" s="4" t="n">
        <f aca="false">COUNTIF('EU Suppliers'!C2:C79,A23)</f>
        <v>1</v>
      </c>
    </row>
    <row r="24" customFormat="false" ht="15" hidden="false" customHeight="false" outlineLevel="0" collapsed="false">
      <c r="A24" s="4" t="s">
        <v>23</v>
      </c>
      <c r="B24" s="4" t="n">
        <f aca="false">COUNTIF('EU Suppliers'!C2:C79,A24)</f>
        <v>1</v>
      </c>
    </row>
    <row r="25" customFormat="false" ht="15" hidden="false" customHeight="false" outlineLevel="0" collapsed="false">
      <c r="A25" s="4" t="s">
        <v>24</v>
      </c>
      <c r="B25" s="4" t="n">
        <f aca="false">COUNTIF('EU Suppliers'!C2:C79,A25)</f>
        <v>7</v>
      </c>
    </row>
    <row r="26" customFormat="false" ht="15" hidden="false" customHeight="false" outlineLevel="0" collapsed="false">
      <c r="A26" s="4" t="s">
        <v>25</v>
      </c>
      <c r="B26" s="4" t="n">
        <f aca="false">COUNTIF('EU Suppliers'!C2:C79,A26)</f>
        <v>1</v>
      </c>
    </row>
    <row r="27" customFormat="false" ht="15" hidden="false" customHeight="false" outlineLevel="0" collapsed="false">
      <c r="A27" s="4" t="s">
        <v>26</v>
      </c>
      <c r="B27" s="4" t="n">
        <f aca="false">COUNTIF('EU Suppliers'!C2:C79,A27)</f>
        <v>9</v>
      </c>
    </row>
    <row r="28" customFormat="false" ht="15" hidden="false" customHeight="false" outlineLevel="0" collapsed="false">
      <c r="A28" s="4" t="s">
        <v>27</v>
      </c>
      <c r="B28" s="4" t="n">
        <f aca="false">COUNTIF('EU Suppliers'!C2:C79,A28)</f>
        <v>6</v>
      </c>
    </row>
    <row r="29" customFormat="false" ht="15" hidden="false" customHeight="false" outlineLevel="0" collapsed="false">
      <c r="A29" s="4" t="s">
        <v>28</v>
      </c>
      <c r="B29" s="4" t="n">
        <f aca="false">COUNTIF('EU Suppliers'!C2:C79,A29)</f>
        <v>3</v>
      </c>
    </row>
    <row r="30" customFormat="false" ht="15" hidden="false" customHeight="false" outlineLevel="0" collapsed="false">
      <c r="A30" s="4" t="s">
        <v>29</v>
      </c>
      <c r="B30" s="4" t="n">
        <f aca="false">COUNTIF('EU Suppliers'!C2:C79,A30)</f>
        <v>12</v>
      </c>
    </row>
    <row r="31" customFormat="false" ht="15" hidden="false" customHeight="false" outlineLevel="0" collapsed="false">
      <c r="A31" s="4" t="s">
        <v>30</v>
      </c>
      <c r="B31" s="4" t="n">
        <f aca="false">COUNTIF('EU Suppliers'!C2:C79,A31)</f>
        <v>1</v>
      </c>
    </row>
    <row r="33" customFormat="false" ht="15" hidden="false" customHeight="false" outlineLevel="0" collapsed="false">
      <c r="A33" s="6" t="s">
        <v>31</v>
      </c>
    </row>
    <row r="34" customFormat="false" ht="15" hidden="false" customHeight="false" outlineLevel="0" collapsed="false">
      <c r="A34" s="7" t="s">
        <v>32</v>
      </c>
    </row>
    <row r="35" customFormat="false" ht="15" hidden="false" customHeight="false" outlineLevel="0" collapsed="false">
      <c r="A35" s="7" t="s">
        <v>33</v>
      </c>
    </row>
    <row r="36" customFormat="false" ht="15" hidden="false" customHeight="false" outlineLevel="0" collapsed="false">
      <c r="A36" s="7" t="s">
        <v>34</v>
      </c>
    </row>
    <row r="37" customFormat="false" ht="15" hidden="false" customHeight="false" outlineLevel="0" collapsed="false">
      <c r="A37" s="7" t="s">
        <v>35</v>
      </c>
    </row>
    <row r="38" customFormat="false" ht="15" hidden="false" customHeight="false" outlineLevel="0" collapsed="false">
      <c r="A38" s="6" t="s">
        <v>36</v>
      </c>
    </row>
    <row r="39" customFormat="false" ht="15" hidden="false" customHeight="false" outlineLevel="0" collapsed="false">
      <c r="A39" s="7" t="s">
        <v>37</v>
      </c>
    </row>
    <row r="40" customFormat="false" ht="15" hidden="false" customHeight="false" outlineLevel="0" collapsed="false">
      <c r="A40" s="7" t="s">
        <v>38</v>
      </c>
    </row>
    <row r="41" customFormat="false" ht="15" hidden="false" customHeight="false" outlineLevel="0" collapsed="false">
      <c r="A41" s="7" t="s">
        <v>39</v>
      </c>
    </row>
    <row r="42" customFormat="false" ht="15" hidden="false" customHeight="false" outlineLevel="0" collapsed="false">
      <c r="A42" s="7" t="s">
        <v>40</v>
      </c>
    </row>
    <row r="43" customFormat="false" ht="15" hidden="false" customHeight="false" outlineLevel="0" collapsed="false">
      <c r="A43" s="7" t="s">
        <v>41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7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4"/>
    <col collapsed="false" customWidth="true" hidden="false" outlineLevel="0" max="3" min="3" style="0" width="14"/>
    <col collapsed="false" customWidth="true" hidden="false" outlineLevel="0" max="4" min="4" style="0" width="22"/>
    <col collapsed="false" customWidth="true" hidden="false" outlineLevel="0" max="5" min="5" style="0" width="36"/>
    <col collapsed="false" customWidth="true" hidden="false" outlineLevel="0" max="6" min="6" style="0" width="16"/>
    <col collapsed="false" customWidth="true" hidden="false" outlineLevel="0" max="7" min="7" style="0" width="40"/>
    <col collapsed="false" customWidth="true" hidden="false" outlineLevel="0" max="8" min="8" style="0" width="30"/>
    <col collapsed="false" customWidth="true" hidden="false" outlineLevel="0" max="9" min="9" style="0" width="24"/>
    <col collapsed="false" customWidth="true" hidden="false" outlineLevel="0" max="10" min="10" style="0" width="34"/>
    <col collapsed="false" customWidth="true" hidden="false" outlineLevel="0" max="11" min="11" style="0" width="30"/>
    <col collapsed="false" customWidth="true" hidden="false" outlineLevel="0" max="12" min="12" style="0" width="42"/>
    <col collapsed="false" customWidth="true" hidden="false" outlineLevel="0" max="13" min="13" style="0" width="34"/>
    <col collapsed="false" customWidth="true" hidden="false" outlineLevel="0" max="14" min="14" style="0" width="10"/>
    <col collapsed="false" customWidth="true" hidden="false" outlineLevel="0" max="15" min="15" style="0" width="40"/>
    <col collapsed="false" customWidth="true" hidden="false" outlineLevel="0" max="16" min="16" style="0" width="38"/>
    <col collapsed="false" customWidth="true" hidden="false" outlineLevel="0" max="17" min="17" style="0" width="16"/>
    <col collapsed="false" customWidth="true" hidden="false" outlineLevel="0" max="19" min="18" style="0" width="14"/>
    <col collapsed="false" customWidth="true" hidden="false" outlineLevel="0" max="20" min="20" style="0" width="30"/>
  </cols>
  <sheetData>
    <row r="1" customFormat="false" ht="30" hidden="false" customHeight="true" outlineLevel="0" collapsed="false">
      <c r="A1" s="8" t="s">
        <v>42</v>
      </c>
      <c r="B1" s="8" t="s">
        <v>43</v>
      </c>
      <c r="C1" s="8" t="s">
        <v>14</v>
      </c>
      <c r="D1" s="8" t="s">
        <v>44</v>
      </c>
      <c r="E1" s="8" t="s">
        <v>45</v>
      </c>
      <c r="F1" s="8" t="s">
        <v>46</v>
      </c>
      <c r="G1" s="8" t="s">
        <v>47</v>
      </c>
      <c r="H1" s="8" t="s">
        <v>48</v>
      </c>
      <c r="I1" s="8" t="s">
        <v>49</v>
      </c>
      <c r="J1" s="8" t="s">
        <v>50</v>
      </c>
      <c r="K1" s="8" t="s">
        <v>51</v>
      </c>
      <c r="L1" s="8" t="s">
        <v>52</v>
      </c>
      <c r="M1" s="8" t="s">
        <v>53</v>
      </c>
      <c r="N1" s="8" t="s">
        <v>54</v>
      </c>
      <c r="O1" s="8" t="s">
        <v>55</v>
      </c>
      <c r="P1" s="8" t="s">
        <v>56</v>
      </c>
      <c r="Q1" s="8" t="s">
        <v>57</v>
      </c>
      <c r="R1" s="8" t="s">
        <v>58</v>
      </c>
      <c r="S1" s="8" t="s">
        <v>59</v>
      </c>
      <c r="T1" s="8" t="s">
        <v>60</v>
      </c>
    </row>
    <row r="2" customFormat="false" ht="21.75" hidden="false" customHeight="true" outlineLevel="0" collapsed="false">
      <c r="A2" s="9" t="s">
        <v>61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</row>
    <row r="3" customFormat="false" ht="23.85" hidden="false" customHeight="false" outlineLevel="0" collapsed="false">
      <c r="A3" s="10" t="n">
        <v>1</v>
      </c>
      <c r="B3" s="10" t="s">
        <v>62</v>
      </c>
      <c r="C3" s="10" t="s">
        <v>26</v>
      </c>
      <c r="D3" s="10" t="s">
        <v>63</v>
      </c>
      <c r="E3" s="11" t="s">
        <v>64</v>
      </c>
      <c r="F3" s="10" t="s">
        <v>65</v>
      </c>
      <c r="G3" s="11" t="s">
        <v>64</v>
      </c>
      <c r="H3" s="10" t="s">
        <v>66</v>
      </c>
      <c r="I3" s="10"/>
      <c r="J3" s="10" t="s">
        <v>63</v>
      </c>
      <c r="K3" s="10" t="s">
        <v>67</v>
      </c>
      <c r="L3" s="10" t="s">
        <v>68</v>
      </c>
      <c r="M3" s="10" t="s">
        <v>69</v>
      </c>
      <c r="N3" s="12" t="s">
        <v>70</v>
      </c>
      <c r="O3" s="10" t="s">
        <v>71</v>
      </c>
      <c r="P3" s="11" t="s">
        <v>72</v>
      </c>
      <c r="Q3" s="13" t="s">
        <v>73</v>
      </c>
      <c r="R3" s="14"/>
      <c r="S3" s="14"/>
      <c r="T3" s="13"/>
    </row>
    <row r="4" customFormat="false" ht="23.85" hidden="false" customHeight="false" outlineLevel="0" collapsed="false">
      <c r="A4" s="10" t="n">
        <v>2</v>
      </c>
      <c r="B4" s="10" t="s">
        <v>74</v>
      </c>
      <c r="C4" s="10" t="s">
        <v>29</v>
      </c>
      <c r="D4" s="10" t="s">
        <v>75</v>
      </c>
      <c r="E4" s="11" t="s">
        <v>76</v>
      </c>
      <c r="F4" s="10" t="s">
        <v>65</v>
      </c>
      <c r="G4" s="11" t="s">
        <v>77</v>
      </c>
      <c r="H4" s="10" t="s">
        <v>78</v>
      </c>
      <c r="I4" s="10" t="s">
        <v>79</v>
      </c>
      <c r="J4" s="10" t="s">
        <v>80</v>
      </c>
      <c r="K4" s="10" t="s">
        <v>81</v>
      </c>
      <c r="L4" s="10" t="s">
        <v>82</v>
      </c>
      <c r="M4" s="10" t="s">
        <v>83</v>
      </c>
      <c r="N4" s="12" t="s">
        <v>70</v>
      </c>
      <c r="O4" s="10" t="s">
        <v>84</v>
      </c>
      <c r="P4" s="11" t="s">
        <v>77</v>
      </c>
      <c r="Q4" s="13" t="s">
        <v>73</v>
      </c>
      <c r="R4" s="14"/>
      <c r="S4" s="14"/>
      <c r="T4" s="13"/>
    </row>
    <row r="5" customFormat="false" ht="23.85" hidden="false" customHeight="false" outlineLevel="0" collapsed="false">
      <c r="A5" s="10" t="n">
        <v>3</v>
      </c>
      <c r="B5" s="10" t="s">
        <v>85</v>
      </c>
      <c r="C5" s="10" t="s">
        <v>29</v>
      </c>
      <c r="D5" s="10" t="s">
        <v>86</v>
      </c>
      <c r="E5" s="11" t="s">
        <v>87</v>
      </c>
      <c r="F5" s="10" t="s">
        <v>65</v>
      </c>
      <c r="G5" s="11" t="s">
        <v>87</v>
      </c>
      <c r="H5" s="10" t="s">
        <v>88</v>
      </c>
      <c r="I5" s="10"/>
      <c r="J5" s="10" t="s">
        <v>89</v>
      </c>
      <c r="K5" s="10" t="s">
        <v>90</v>
      </c>
      <c r="L5" s="10" t="s">
        <v>91</v>
      </c>
      <c r="M5" s="10" t="s">
        <v>92</v>
      </c>
      <c r="N5" s="15" t="s">
        <v>93</v>
      </c>
      <c r="O5" s="10" t="s">
        <v>94</v>
      </c>
      <c r="P5" s="11" t="s">
        <v>95</v>
      </c>
      <c r="Q5" s="13" t="s">
        <v>73</v>
      </c>
      <c r="R5" s="14"/>
      <c r="S5" s="14"/>
      <c r="T5" s="13"/>
    </row>
    <row r="6" customFormat="false" ht="21.75" hidden="false" customHeight="true" outlineLevel="0" collapsed="false">
      <c r="A6" s="9" t="s">
        <v>96</v>
      </c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</row>
    <row r="7" customFormat="false" ht="23.85" hidden="false" customHeight="false" outlineLevel="0" collapsed="false">
      <c r="A7" s="10" t="n">
        <v>4</v>
      </c>
      <c r="B7" s="10" t="s">
        <v>97</v>
      </c>
      <c r="C7" s="10" t="s">
        <v>26</v>
      </c>
      <c r="D7" s="10" t="s">
        <v>98</v>
      </c>
      <c r="E7" s="11" t="s">
        <v>99</v>
      </c>
      <c r="F7" s="10" t="s">
        <v>65</v>
      </c>
      <c r="G7" s="11" t="s">
        <v>100</v>
      </c>
      <c r="H7" s="10" t="s">
        <v>101</v>
      </c>
      <c r="I7" s="10"/>
      <c r="J7" s="10" t="s">
        <v>26</v>
      </c>
      <c r="K7" s="10" t="s">
        <v>102</v>
      </c>
      <c r="L7" s="10" t="s">
        <v>103</v>
      </c>
      <c r="M7" s="10" t="s">
        <v>104</v>
      </c>
      <c r="N7" s="12" t="s">
        <v>70</v>
      </c>
      <c r="O7" s="10" t="s">
        <v>105</v>
      </c>
      <c r="P7" s="11" t="s">
        <v>100</v>
      </c>
      <c r="Q7" s="13" t="s">
        <v>73</v>
      </c>
      <c r="R7" s="14"/>
      <c r="S7" s="14"/>
      <c r="T7" s="13"/>
    </row>
    <row r="8" customFormat="false" ht="23.85" hidden="false" customHeight="false" outlineLevel="0" collapsed="false">
      <c r="A8" s="10" t="n">
        <v>5</v>
      </c>
      <c r="B8" s="10" t="s">
        <v>106</v>
      </c>
      <c r="C8" s="10" t="s">
        <v>26</v>
      </c>
      <c r="D8" s="10" t="s">
        <v>107</v>
      </c>
      <c r="E8" s="11" t="s">
        <v>108</v>
      </c>
      <c r="F8" s="10" t="s">
        <v>109</v>
      </c>
      <c r="G8" s="11" t="s">
        <v>108</v>
      </c>
      <c r="H8" s="10" t="s">
        <v>110</v>
      </c>
      <c r="I8" s="10"/>
      <c r="J8" s="10" t="s">
        <v>111</v>
      </c>
      <c r="K8" s="10" t="s">
        <v>112</v>
      </c>
      <c r="L8" s="10" t="s">
        <v>113</v>
      </c>
      <c r="M8" s="10" t="s">
        <v>114</v>
      </c>
      <c r="N8" s="12" t="s">
        <v>70</v>
      </c>
      <c r="O8" s="10" t="s">
        <v>115</v>
      </c>
      <c r="P8" s="11" t="s">
        <v>108</v>
      </c>
      <c r="Q8" s="13" t="s">
        <v>73</v>
      </c>
      <c r="R8" s="14"/>
      <c r="S8" s="14"/>
      <c r="T8" s="13"/>
    </row>
    <row r="9" customFormat="false" ht="23.85" hidden="false" customHeight="false" outlineLevel="0" collapsed="false">
      <c r="A9" s="10" t="n">
        <v>6</v>
      </c>
      <c r="B9" s="10" t="s">
        <v>116</v>
      </c>
      <c r="C9" s="10" t="s">
        <v>26</v>
      </c>
      <c r="D9" s="10"/>
      <c r="E9" s="11" t="s">
        <v>117</v>
      </c>
      <c r="F9" s="10" t="s">
        <v>65</v>
      </c>
      <c r="G9" s="11" t="s">
        <v>118</v>
      </c>
      <c r="H9" s="10" t="s">
        <v>101</v>
      </c>
      <c r="I9" s="10"/>
      <c r="J9" s="10" t="s">
        <v>26</v>
      </c>
      <c r="K9" s="10" t="s">
        <v>119</v>
      </c>
      <c r="L9" s="10" t="s">
        <v>120</v>
      </c>
      <c r="M9" s="10" t="s">
        <v>121</v>
      </c>
      <c r="N9" s="15" t="s">
        <v>93</v>
      </c>
      <c r="O9" s="10" t="s">
        <v>122</v>
      </c>
      <c r="P9" s="11" t="s">
        <v>123</v>
      </c>
      <c r="Q9" s="13" t="s">
        <v>73</v>
      </c>
      <c r="R9" s="14"/>
      <c r="S9" s="14"/>
      <c r="T9" s="13"/>
    </row>
    <row r="10" customFormat="false" ht="23.85" hidden="false" customHeight="false" outlineLevel="0" collapsed="false">
      <c r="A10" s="10" t="n">
        <v>7</v>
      </c>
      <c r="B10" s="10" t="s">
        <v>124</v>
      </c>
      <c r="C10" s="10" t="s">
        <v>26</v>
      </c>
      <c r="D10" s="10" t="s">
        <v>125</v>
      </c>
      <c r="E10" s="11" t="s">
        <v>126</v>
      </c>
      <c r="F10" s="10" t="s">
        <v>127</v>
      </c>
      <c r="G10" s="11" t="s">
        <v>126</v>
      </c>
      <c r="H10" s="10" t="s">
        <v>101</v>
      </c>
      <c r="I10" s="10"/>
      <c r="J10" s="10" t="s">
        <v>125</v>
      </c>
      <c r="K10" s="10" t="s">
        <v>128</v>
      </c>
      <c r="L10" s="10" t="s">
        <v>129</v>
      </c>
      <c r="M10" s="10" t="s">
        <v>130</v>
      </c>
      <c r="N10" s="15" t="s">
        <v>93</v>
      </c>
      <c r="O10" s="10" t="s">
        <v>131</v>
      </c>
      <c r="P10" s="11" t="s">
        <v>132</v>
      </c>
      <c r="Q10" s="13" t="s">
        <v>73</v>
      </c>
      <c r="R10" s="14"/>
      <c r="S10" s="14"/>
      <c r="T10" s="13"/>
    </row>
    <row r="11" customFormat="false" ht="23.85" hidden="false" customHeight="false" outlineLevel="0" collapsed="false">
      <c r="A11" s="10" t="n">
        <v>8</v>
      </c>
      <c r="B11" s="10" t="s">
        <v>133</v>
      </c>
      <c r="C11" s="10" t="s">
        <v>26</v>
      </c>
      <c r="D11" s="10" t="s">
        <v>111</v>
      </c>
      <c r="E11" s="11" t="s">
        <v>134</v>
      </c>
      <c r="F11" s="10" t="s">
        <v>65</v>
      </c>
      <c r="G11" s="11" t="s">
        <v>134</v>
      </c>
      <c r="H11" s="10" t="s">
        <v>101</v>
      </c>
      <c r="I11" s="10"/>
      <c r="J11" s="10" t="s">
        <v>111</v>
      </c>
      <c r="K11" s="10" t="s">
        <v>135</v>
      </c>
      <c r="L11" s="10" t="s">
        <v>136</v>
      </c>
      <c r="M11" s="10" t="s">
        <v>137</v>
      </c>
      <c r="N11" s="15" t="s">
        <v>93</v>
      </c>
      <c r="O11" s="10" t="s">
        <v>138</v>
      </c>
      <c r="P11" s="11" t="s">
        <v>139</v>
      </c>
      <c r="Q11" s="13" t="s">
        <v>73</v>
      </c>
      <c r="R11" s="14"/>
      <c r="S11" s="14"/>
      <c r="T11" s="13"/>
    </row>
    <row r="12" customFormat="false" ht="23.85" hidden="false" customHeight="false" outlineLevel="0" collapsed="false">
      <c r="A12" s="10" t="n">
        <v>9</v>
      </c>
      <c r="B12" s="10" t="s">
        <v>140</v>
      </c>
      <c r="C12" s="10" t="s">
        <v>26</v>
      </c>
      <c r="D12" s="10" t="s">
        <v>141</v>
      </c>
      <c r="E12" s="11" t="s">
        <v>142</v>
      </c>
      <c r="F12" s="10" t="s">
        <v>109</v>
      </c>
      <c r="G12" s="11" t="s">
        <v>142</v>
      </c>
      <c r="H12" s="10" t="s">
        <v>110</v>
      </c>
      <c r="I12" s="10"/>
      <c r="J12" s="10" t="s">
        <v>141</v>
      </c>
      <c r="K12" s="10" t="s">
        <v>143</v>
      </c>
      <c r="L12" s="10" t="s">
        <v>144</v>
      </c>
      <c r="M12" s="10"/>
      <c r="N12" s="15" t="s">
        <v>93</v>
      </c>
      <c r="O12" s="10" t="s">
        <v>145</v>
      </c>
      <c r="P12" s="11" t="s">
        <v>142</v>
      </c>
      <c r="Q12" s="13" t="s">
        <v>73</v>
      </c>
      <c r="R12" s="14"/>
      <c r="S12" s="14"/>
      <c r="T12" s="13"/>
    </row>
    <row r="13" customFormat="false" ht="23.85" hidden="false" customHeight="false" outlineLevel="0" collapsed="false">
      <c r="A13" s="10" t="n">
        <v>10</v>
      </c>
      <c r="B13" s="10" t="s">
        <v>146</v>
      </c>
      <c r="C13" s="10" t="s">
        <v>26</v>
      </c>
      <c r="D13" s="10" t="s">
        <v>111</v>
      </c>
      <c r="E13" s="11" t="s">
        <v>147</v>
      </c>
      <c r="F13" s="10" t="s">
        <v>127</v>
      </c>
      <c r="G13" s="11" t="s">
        <v>147</v>
      </c>
      <c r="H13" s="10" t="s">
        <v>101</v>
      </c>
      <c r="I13" s="10"/>
      <c r="J13" s="10" t="s">
        <v>148</v>
      </c>
      <c r="K13" s="10" t="s">
        <v>149</v>
      </c>
      <c r="L13" s="10" t="s">
        <v>150</v>
      </c>
      <c r="M13" s="10"/>
      <c r="N13" s="16" t="s">
        <v>151</v>
      </c>
      <c r="O13" s="10" t="s">
        <v>152</v>
      </c>
      <c r="P13" s="11" t="s">
        <v>153</v>
      </c>
      <c r="Q13" s="13" t="s">
        <v>73</v>
      </c>
      <c r="R13" s="14"/>
      <c r="S13" s="14"/>
      <c r="T13" s="13"/>
    </row>
    <row r="14" customFormat="false" ht="21.75" hidden="false" customHeight="true" outlineLevel="0" collapsed="false">
      <c r="A14" s="9" t="s">
        <v>154</v>
      </c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</row>
    <row r="15" customFormat="false" ht="23.85" hidden="false" customHeight="false" outlineLevel="0" collapsed="false">
      <c r="A15" s="10" t="n">
        <v>11</v>
      </c>
      <c r="B15" s="10" t="s">
        <v>155</v>
      </c>
      <c r="C15" s="10" t="s">
        <v>17</v>
      </c>
      <c r="D15" s="10" t="s">
        <v>156</v>
      </c>
      <c r="E15" s="11" t="s">
        <v>157</v>
      </c>
      <c r="F15" s="10" t="s">
        <v>127</v>
      </c>
      <c r="G15" s="11" t="s">
        <v>157</v>
      </c>
      <c r="H15" s="10" t="s">
        <v>158</v>
      </c>
      <c r="I15" s="10" t="s">
        <v>159</v>
      </c>
      <c r="J15" s="10" t="s">
        <v>160</v>
      </c>
      <c r="K15" s="10" t="s">
        <v>161</v>
      </c>
      <c r="L15" s="10" t="s">
        <v>162</v>
      </c>
      <c r="M15" s="10"/>
      <c r="N15" s="12" t="s">
        <v>70</v>
      </c>
      <c r="O15" s="10" t="s">
        <v>163</v>
      </c>
      <c r="P15" s="11" t="s">
        <v>164</v>
      </c>
      <c r="Q15" s="13" t="s">
        <v>73</v>
      </c>
      <c r="R15" s="14"/>
      <c r="S15" s="14"/>
      <c r="T15" s="13"/>
    </row>
    <row r="16" customFormat="false" ht="23.85" hidden="false" customHeight="false" outlineLevel="0" collapsed="false">
      <c r="A16" s="10" t="n">
        <v>12</v>
      </c>
      <c r="B16" s="10" t="s">
        <v>165</v>
      </c>
      <c r="C16" s="10" t="s">
        <v>17</v>
      </c>
      <c r="D16" s="10" t="s">
        <v>166</v>
      </c>
      <c r="E16" s="11" t="s">
        <v>167</v>
      </c>
      <c r="F16" s="10" t="s">
        <v>127</v>
      </c>
      <c r="G16" s="11" t="s">
        <v>167</v>
      </c>
      <c r="H16" s="10" t="s">
        <v>168</v>
      </c>
      <c r="I16" s="10" t="s">
        <v>169</v>
      </c>
      <c r="J16" s="10" t="s">
        <v>170</v>
      </c>
      <c r="K16" s="10" t="s">
        <v>171</v>
      </c>
      <c r="L16" s="10" t="s">
        <v>172</v>
      </c>
      <c r="M16" s="10" t="s">
        <v>173</v>
      </c>
      <c r="N16" s="12" t="s">
        <v>70</v>
      </c>
      <c r="O16" s="10" t="s">
        <v>174</v>
      </c>
      <c r="P16" s="11" t="s">
        <v>175</v>
      </c>
      <c r="Q16" s="13" t="s">
        <v>73</v>
      </c>
      <c r="R16" s="14"/>
      <c r="S16" s="14"/>
      <c r="T16" s="13"/>
    </row>
    <row r="17" customFormat="false" ht="21.75" hidden="false" customHeight="true" outlineLevel="0" collapsed="false">
      <c r="A17" s="9" t="s">
        <v>176</v>
      </c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</row>
    <row r="18" customFormat="false" ht="23.85" hidden="false" customHeight="false" outlineLevel="0" collapsed="false">
      <c r="A18" s="10" t="n">
        <v>13</v>
      </c>
      <c r="B18" s="10" t="s">
        <v>177</v>
      </c>
      <c r="C18" s="10" t="s">
        <v>21</v>
      </c>
      <c r="D18" s="10" t="s">
        <v>178</v>
      </c>
      <c r="E18" s="11" t="s">
        <v>179</v>
      </c>
      <c r="F18" s="10" t="s">
        <v>127</v>
      </c>
      <c r="G18" s="11" t="s">
        <v>179</v>
      </c>
      <c r="H18" s="10" t="s">
        <v>101</v>
      </c>
      <c r="I18" s="10"/>
      <c r="J18" s="10" t="s">
        <v>178</v>
      </c>
      <c r="K18" s="10" t="s">
        <v>180</v>
      </c>
      <c r="L18" s="10" t="s">
        <v>181</v>
      </c>
      <c r="M18" s="10"/>
      <c r="N18" s="15" t="s">
        <v>93</v>
      </c>
      <c r="O18" s="10" t="s">
        <v>182</v>
      </c>
      <c r="P18" s="11" t="s">
        <v>183</v>
      </c>
      <c r="Q18" s="13" t="s">
        <v>73</v>
      </c>
      <c r="R18" s="14"/>
      <c r="S18" s="14"/>
      <c r="T18" s="13"/>
    </row>
    <row r="19" customFormat="false" ht="23.85" hidden="false" customHeight="false" outlineLevel="0" collapsed="false">
      <c r="A19" s="10" t="n">
        <v>14</v>
      </c>
      <c r="B19" s="10" t="s">
        <v>184</v>
      </c>
      <c r="C19" s="10" t="s">
        <v>21</v>
      </c>
      <c r="D19" s="10" t="s">
        <v>185</v>
      </c>
      <c r="E19" s="11" t="s">
        <v>186</v>
      </c>
      <c r="F19" s="10" t="s">
        <v>127</v>
      </c>
      <c r="G19" s="11" t="s">
        <v>186</v>
      </c>
      <c r="H19" s="10" t="s">
        <v>101</v>
      </c>
      <c r="I19" s="10"/>
      <c r="J19" s="10" t="s">
        <v>187</v>
      </c>
      <c r="K19" s="10" t="s">
        <v>188</v>
      </c>
      <c r="L19" s="10" t="s">
        <v>189</v>
      </c>
      <c r="M19" s="10"/>
      <c r="N19" s="15" t="s">
        <v>93</v>
      </c>
      <c r="O19" s="10" t="s">
        <v>190</v>
      </c>
      <c r="P19" s="11" t="s">
        <v>191</v>
      </c>
      <c r="Q19" s="13" t="s">
        <v>73</v>
      </c>
      <c r="R19" s="14"/>
      <c r="S19" s="14"/>
      <c r="T19" s="13"/>
    </row>
    <row r="20" customFormat="false" ht="23.85" hidden="false" customHeight="false" outlineLevel="0" collapsed="false">
      <c r="A20" s="10" t="n">
        <v>15</v>
      </c>
      <c r="B20" s="10" t="s">
        <v>192</v>
      </c>
      <c r="C20" s="10" t="s">
        <v>21</v>
      </c>
      <c r="D20" s="10" t="s">
        <v>193</v>
      </c>
      <c r="E20" s="11" t="s">
        <v>194</v>
      </c>
      <c r="F20" s="10" t="s">
        <v>127</v>
      </c>
      <c r="G20" s="11" t="s">
        <v>194</v>
      </c>
      <c r="H20" s="10" t="s">
        <v>101</v>
      </c>
      <c r="I20" s="10"/>
      <c r="J20" s="10" t="s">
        <v>195</v>
      </c>
      <c r="K20" s="10" t="s">
        <v>196</v>
      </c>
      <c r="L20" s="10" t="s">
        <v>197</v>
      </c>
      <c r="M20" s="10"/>
      <c r="N20" s="16" t="s">
        <v>151</v>
      </c>
      <c r="O20" s="10"/>
      <c r="P20" s="11" t="s">
        <v>198</v>
      </c>
      <c r="Q20" s="13" t="s">
        <v>73</v>
      </c>
      <c r="R20" s="14"/>
      <c r="S20" s="14"/>
      <c r="T20" s="13"/>
    </row>
    <row r="21" customFormat="false" ht="23.85" hidden="false" customHeight="false" outlineLevel="0" collapsed="false">
      <c r="A21" s="10" t="n">
        <v>16</v>
      </c>
      <c r="B21" s="10" t="s">
        <v>199</v>
      </c>
      <c r="C21" s="10" t="s">
        <v>21</v>
      </c>
      <c r="D21" s="10" t="s">
        <v>200</v>
      </c>
      <c r="E21" s="11" t="s">
        <v>201</v>
      </c>
      <c r="F21" s="10" t="s">
        <v>127</v>
      </c>
      <c r="G21" s="11" t="s">
        <v>201</v>
      </c>
      <c r="H21" s="10" t="s">
        <v>101</v>
      </c>
      <c r="I21" s="10"/>
      <c r="J21" s="10" t="s">
        <v>200</v>
      </c>
      <c r="K21" s="10" t="s">
        <v>202</v>
      </c>
      <c r="L21" s="10" t="s">
        <v>203</v>
      </c>
      <c r="M21" s="10"/>
      <c r="N21" s="16" t="s">
        <v>151</v>
      </c>
      <c r="O21" s="10" t="s">
        <v>204</v>
      </c>
      <c r="P21" s="11" t="s">
        <v>205</v>
      </c>
      <c r="Q21" s="13" t="s">
        <v>73</v>
      </c>
      <c r="R21" s="14"/>
      <c r="S21" s="14"/>
      <c r="T21" s="13"/>
    </row>
    <row r="22" customFormat="false" ht="23.85" hidden="false" customHeight="false" outlineLevel="0" collapsed="false">
      <c r="A22" s="10" t="n">
        <v>17</v>
      </c>
      <c r="B22" s="10" t="s">
        <v>206</v>
      </c>
      <c r="C22" s="10" t="s">
        <v>21</v>
      </c>
      <c r="D22" s="10" t="s">
        <v>207</v>
      </c>
      <c r="E22" s="11" t="s">
        <v>208</v>
      </c>
      <c r="F22" s="10" t="s">
        <v>127</v>
      </c>
      <c r="G22" s="11" t="s">
        <v>208</v>
      </c>
      <c r="H22" s="10" t="s">
        <v>209</v>
      </c>
      <c r="I22" s="10" t="s">
        <v>210</v>
      </c>
      <c r="J22" s="10" t="s">
        <v>211</v>
      </c>
      <c r="K22" s="10" t="s">
        <v>212</v>
      </c>
      <c r="L22" s="10" t="s">
        <v>213</v>
      </c>
      <c r="M22" s="10"/>
      <c r="N22" s="16" t="s">
        <v>151</v>
      </c>
      <c r="O22" s="10" t="s">
        <v>214</v>
      </c>
      <c r="P22" s="11" t="s">
        <v>215</v>
      </c>
      <c r="Q22" s="13" t="s">
        <v>73</v>
      </c>
      <c r="R22" s="14"/>
      <c r="S22" s="14"/>
      <c r="T22" s="13"/>
    </row>
    <row r="23" customFormat="false" ht="21.75" hidden="false" customHeight="true" outlineLevel="0" collapsed="false">
      <c r="A23" s="9" t="s">
        <v>216</v>
      </c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</row>
    <row r="24" customFormat="false" ht="23.85" hidden="false" customHeight="false" outlineLevel="0" collapsed="false">
      <c r="A24" s="10" t="n">
        <v>18</v>
      </c>
      <c r="B24" s="10" t="s">
        <v>217</v>
      </c>
      <c r="C24" s="10" t="s">
        <v>20</v>
      </c>
      <c r="D24" s="10" t="s">
        <v>218</v>
      </c>
      <c r="E24" s="11" t="s">
        <v>219</v>
      </c>
      <c r="F24" s="10" t="s">
        <v>65</v>
      </c>
      <c r="G24" s="11" t="s">
        <v>220</v>
      </c>
      <c r="H24" s="10" t="s">
        <v>101</v>
      </c>
      <c r="I24" s="10"/>
      <c r="J24" s="10" t="s">
        <v>221</v>
      </c>
      <c r="K24" s="10" t="s">
        <v>222</v>
      </c>
      <c r="L24" s="10" t="s">
        <v>223</v>
      </c>
      <c r="M24" s="10" t="s">
        <v>224</v>
      </c>
      <c r="N24" s="12" t="s">
        <v>70</v>
      </c>
      <c r="O24" s="10" t="s">
        <v>225</v>
      </c>
      <c r="P24" s="11" t="s">
        <v>220</v>
      </c>
      <c r="Q24" s="13" t="s">
        <v>73</v>
      </c>
      <c r="R24" s="14"/>
      <c r="S24" s="14"/>
      <c r="T24" s="13"/>
    </row>
    <row r="25" customFormat="false" ht="23.85" hidden="false" customHeight="false" outlineLevel="0" collapsed="false">
      <c r="A25" s="10" t="n">
        <v>19</v>
      </c>
      <c r="B25" s="10" t="s">
        <v>226</v>
      </c>
      <c r="C25" s="10" t="s">
        <v>20</v>
      </c>
      <c r="D25" s="10" t="s">
        <v>227</v>
      </c>
      <c r="E25" s="11" t="s">
        <v>228</v>
      </c>
      <c r="F25" s="10" t="s">
        <v>127</v>
      </c>
      <c r="G25" s="11" t="s">
        <v>228</v>
      </c>
      <c r="H25" s="10" t="s">
        <v>101</v>
      </c>
      <c r="I25" s="10" t="s">
        <v>229</v>
      </c>
      <c r="J25" s="10" t="s">
        <v>230</v>
      </c>
      <c r="K25" s="10" t="s">
        <v>231</v>
      </c>
      <c r="L25" s="10" t="s">
        <v>232</v>
      </c>
      <c r="M25" s="10"/>
      <c r="N25" s="15" t="s">
        <v>93</v>
      </c>
      <c r="O25" s="10"/>
      <c r="P25" s="11" t="s">
        <v>233</v>
      </c>
      <c r="Q25" s="13" t="s">
        <v>73</v>
      </c>
      <c r="R25" s="14"/>
      <c r="S25" s="14"/>
      <c r="T25" s="13"/>
    </row>
    <row r="26" customFormat="false" ht="23.85" hidden="false" customHeight="false" outlineLevel="0" collapsed="false">
      <c r="A26" s="10" t="n">
        <v>20</v>
      </c>
      <c r="B26" s="10" t="s">
        <v>234</v>
      </c>
      <c r="C26" s="10" t="s">
        <v>20</v>
      </c>
      <c r="D26" s="10" t="s">
        <v>235</v>
      </c>
      <c r="E26" s="11" t="s">
        <v>236</v>
      </c>
      <c r="F26" s="10" t="s">
        <v>109</v>
      </c>
      <c r="G26" s="11" t="s">
        <v>236</v>
      </c>
      <c r="H26" s="10" t="s">
        <v>110</v>
      </c>
      <c r="I26" s="10"/>
      <c r="J26" s="10" t="s">
        <v>237</v>
      </c>
      <c r="K26" s="10" t="s">
        <v>238</v>
      </c>
      <c r="L26" s="10" t="s">
        <v>239</v>
      </c>
      <c r="M26" s="10"/>
      <c r="N26" s="15" t="s">
        <v>93</v>
      </c>
      <c r="O26" s="10"/>
      <c r="P26" s="11" t="s">
        <v>236</v>
      </c>
      <c r="Q26" s="13" t="s">
        <v>73</v>
      </c>
      <c r="R26" s="14"/>
      <c r="S26" s="14"/>
      <c r="T26" s="13"/>
    </row>
    <row r="27" customFormat="false" ht="23.85" hidden="false" customHeight="false" outlineLevel="0" collapsed="false">
      <c r="A27" s="10" t="n">
        <v>21</v>
      </c>
      <c r="B27" s="10" t="s">
        <v>240</v>
      </c>
      <c r="C27" s="10" t="s">
        <v>20</v>
      </c>
      <c r="D27" s="10" t="s">
        <v>241</v>
      </c>
      <c r="E27" s="11" t="s">
        <v>242</v>
      </c>
      <c r="F27" s="10" t="s">
        <v>127</v>
      </c>
      <c r="G27" s="11" t="s">
        <v>242</v>
      </c>
      <c r="H27" s="10" t="s">
        <v>101</v>
      </c>
      <c r="I27" s="10"/>
      <c r="J27" s="10" t="s">
        <v>243</v>
      </c>
      <c r="K27" s="10" t="s">
        <v>244</v>
      </c>
      <c r="L27" s="10" t="s">
        <v>245</v>
      </c>
      <c r="M27" s="10" t="s">
        <v>246</v>
      </c>
      <c r="N27" s="16" t="s">
        <v>151</v>
      </c>
      <c r="O27" s="10" t="s">
        <v>247</v>
      </c>
      <c r="P27" s="11" t="s">
        <v>175</v>
      </c>
      <c r="Q27" s="13" t="s">
        <v>73</v>
      </c>
      <c r="R27" s="14"/>
      <c r="S27" s="14"/>
      <c r="T27" s="13"/>
    </row>
    <row r="28" customFormat="false" ht="23.85" hidden="false" customHeight="false" outlineLevel="0" collapsed="false">
      <c r="A28" s="10" t="n">
        <v>22</v>
      </c>
      <c r="B28" s="10" t="s">
        <v>248</v>
      </c>
      <c r="C28" s="10" t="s">
        <v>20</v>
      </c>
      <c r="D28" s="10" t="s">
        <v>249</v>
      </c>
      <c r="E28" s="11" t="s">
        <v>250</v>
      </c>
      <c r="F28" s="10" t="s">
        <v>127</v>
      </c>
      <c r="G28" s="11" t="s">
        <v>250</v>
      </c>
      <c r="H28" s="10" t="s">
        <v>101</v>
      </c>
      <c r="I28" s="10"/>
      <c r="J28" s="10" t="s">
        <v>251</v>
      </c>
      <c r="K28" s="10" t="s">
        <v>252</v>
      </c>
      <c r="L28" s="10" t="s">
        <v>253</v>
      </c>
      <c r="M28" s="10"/>
      <c r="N28" s="16" t="s">
        <v>151</v>
      </c>
      <c r="O28" s="10" t="s">
        <v>254</v>
      </c>
      <c r="P28" s="11" t="s">
        <v>255</v>
      </c>
      <c r="Q28" s="13" t="s">
        <v>73</v>
      </c>
      <c r="R28" s="14"/>
      <c r="S28" s="14"/>
      <c r="T28" s="13"/>
    </row>
    <row r="29" customFormat="false" ht="23.85" hidden="false" customHeight="false" outlineLevel="0" collapsed="false">
      <c r="A29" s="10" t="n">
        <v>23</v>
      </c>
      <c r="B29" s="10" t="s">
        <v>256</v>
      </c>
      <c r="C29" s="10" t="s">
        <v>20</v>
      </c>
      <c r="D29" s="10" t="s">
        <v>257</v>
      </c>
      <c r="E29" s="11" t="s">
        <v>258</v>
      </c>
      <c r="F29" s="10" t="s">
        <v>127</v>
      </c>
      <c r="G29" s="11" t="s">
        <v>258</v>
      </c>
      <c r="H29" s="10" t="s">
        <v>259</v>
      </c>
      <c r="I29" s="10" t="s">
        <v>260</v>
      </c>
      <c r="J29" s="10" t="s">
        <v>261</v>
      </c>
      <c r="K29" s="10" t="s">
        <v>262</v>
      </c>
      <c r="L29" s="10" t="s">
        <v>263</v>
      </c>
      <c r="M29" s="10" t="s">
        <v>264</v>
      </c>
      <c r="N29" s="16" t="s">
        <v>151</v>
      </c>
      <c r="O29" s="10" t="s">
        <v>265</v>
      </c>
      <c r="P29" s="11" t="s">
        <v>266</v>
      </c>
      <c r="Q29" s="13" t="s">
        <v>73</v>
      </c>
      <c r="R29" s="14"/>
      <c r="S29" s="14"/>
      <c r="T29" s="13"/>
    </row>
    <row r="30" customFormat="false" ht="21.75" hidden="false" customHeight="true" outlineLevel="0" collapsed="false">
      <c r="A30" s="9" t="s">
        <v>267</v>
      </c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</row>
    <row r="31" customFormat="false" ht="23.85" hidden="false" customHeight="false" outlineLevel="0" collapsed="false">
      <c r="A31" s="10" t="n">
        <v>24</v>
      </c>
      <c r="B31" s="10" t="s">
        <v>268</v>
      </c>
      <c r="C31" s="10" t="s">
        <v>29</v>
      </c>
      <c r="D31" s="10" t="s">
        <v>269</v>
      </c>
      <c r="E31" s="11" t="s">
        <v>270</v>
      </c>
      <c r="F31" s="10" t="s">
        <v>127</v>
      </c>
      <c r="G31" s="11" t="s">
        <v>271</v>
      </c>
      <c r="H31" s="10" t="s">
        <v>88</v>
      </c>
      <c r="I31" s="10" t="s">
        <v>272</v>
      </c>
      <c r="J31" s="10" t="s">
        <v>273</v>
      </c>
      <c r="K31" s="10" t="s">
        <v>274</v>
      </c>
      <c r="L31" s="10" t="s">
        <v>275</v>
      </c>
      <c r="M31" s="10"/>
      <c r="N31" s="12" t="s">
        <v>70</v>
      </c>
      <c r="O31" s="10" t="s">
        <v>276</v>
      </c>
      <c r="P31" s="11" t="s">
        <v>277</v>
      </c>
      <c r="Q31" s="13" t="s">
        <v>73</v>
      </c>
      <c r="R31" s="14"/>
      <c r="S31" s="14"/>
      <c r="T31" s="13"/>
    </row>
    <row r="32" customFormat="false" ht="23.85" hidden="false" customHeight="false" outlineLevel="0" collapsed="false">
      <c r="A32" s="10" t="n">
        <v>25</v>
      </c>
      <c r="B32" s="10" t="s">
        <v>278</v>
      </c>
      <c r="C32" s="10" t="s">
        <v>29</v>
      </c>
      <c r="D32" s="10" t="s">
        <v>269</v>
      </c>
      <c r="E32" s="11" t="s">
        <v>279</v>
      </c>
      <c r="F32" s="10" t="s">
        <v>127</v>
      </c>
      <c r="G32" s="11" t="s">
        <v>280</v>
      </c>
      <c r="H32" s="10" t="s">
        <v>88</v>
      </c>
      <c r="I32" s="10" t="s">
        <v>281</v>
      </c>
      <c r="J32" s="10" t="s">
        <v>282</v>
      </c>
      <c r="K32" s="10" t="s">
        <v>283</v>
      </c>
      <c r="L32" s="10" t="s">
        <v>284</v>
      </c>
      <c r="M32" s="10"/>
      <c r="N32" s="12" t="s">
        <v>70</v>
      </c>
      <c r="O32" s="10"/>
      <c r="P32" s="11" t="s">
        <v>285</v>
      </c>
      <c r="Q32" s="13" t="s">
        <v>73</v>
      </c>
      <c r="R32" s="14"/>
      <c r="S32" s="14"/>
      <c r="T32" s="13"/>
    </row>
    <row r="33" customFormat="false" ht="23.85" hidden="false" customHeight="false" outlineLevel="0" collapsed="false">
      <c r="A33" s="10" t="n">
        <v>26</v>
      </c>
      <c r="B33" s="10" t="s">
        <v>286</v>
      </c>
      <c r="C33" s="10" t="s">
        <v>29</v>
      </c>
      <c r="D33" s="10" t="s">
        <v>287</v>
      </c>
      <c r="E33" s="11" t="s">
        <v>288</v>
      </c>
      <c r="F33" s="10" t="s">
        <v>127</v>
      </c>
      <c r="G33" s="11" t="s">
        <v>288</v>
      </c>
      <c r="H33" s="10" t="s">
        <v>101</v>
      </c>
      <c r="I33" s="10" t="s">
        <v>289</v>
      </c>
      <c r="J33" s="10" t="s">
        <v>290</v>
      </c>
      <c r="K33" s="10" t="s">
        <v>291</v>
      </c>
      <c r="L33" s="10" t="s">
        <v>292</v>
      </c>
      <c r="M33" s="10"/>
      <c r="N33" s="12" t="s">
        <v>70</v>
      </c>
      <c r="O33" s="10" t="s">
        <v>293</v>
      </c>
      <c r="P33" s="11" t="s">
        <v>294</v>
      </c>
      <c r="Q33" s="13" t="s">
        <v>73</v>
      </c>
      <c r="R33" s="14"/>
      <c r="S33" s="14"/>
      <c r="T33" s="13"/>
    </row>
    <row r="34" customFormat="false" ht="23.85" hidden="false" customHeight="false" outlineLevel="0" collapsed="false">
      <c r="A34" s="10" t="n">
        <v>27</v>
      </c>
      <c r="B34" s="10" t="s">
        <v>295</v>
      </c>
      <c r="C34" s="10" t="s">
        <v>29</v>
      </c>
      <c r="D34" s="10" t="s">
        <v>296</v>
      </c>
      <c r="E34" s="11" t="s">
        <v>297</v>
      </c>
      <c r="F34" s="10" t="s">
        <v>127</v>
      </c>
      <c r="G34" s="11" t="s">
        <v>297</v>
      </c>
      <c r="H34" s="10" t="s">
        <v>101</v>
      </c>
      <c r="I34" s="10" t="s">
        <v>298</v>
      </c>
      <c r="J34" s="10" t="s">
        <v>299</v>
      </c>
      <c r="K34" s="10" t="s">
        <v>300</v>
      </c>
      <c r="L34" s="10" t="s">
        <v>301</v>
      </c>
      <c r="M34" s="10"/>
      <c r="N34" s="15" t="s">
        <v>93</v>
      </c>
      <c r="O34" s="10"/>
      <c r="P34" s="11" t="s">
        <v>302</v>
      </c>
      <c r="Q34" s="13" t="s">
        <v>73</v>
      </c>
      <c r="R34" s="14"/>
      <c r="S34" s="14"/>
      <c r="T34" s="13"/>
    </row>
    <row r="35" customFormat="false" ht="23.85" hidden="false" customHeight="false" outlineLevel="0" collapsed="false">
      <c r="A35" s="10" t="n">
        <v>28</v>
      </c>
      <c r="B35" s="10" t="s">
        <v>303</v>
      </c>
      <c r="C35" s="10" t="s">
        <v>29</v>
      </c>
      <c r="D35" s="10" t="s">
        <v>287</v>
      </c>
      <c r="E35" s="11" t="s">
        <v>304</v>
      </c>
      <c r="F35" s="10" t="s">
        <v>127</v>
      </c>
      <c r="G35" s="11" t="s">
        <v>304</v>
      </c>
      <c r="H35" s="10" t="s">
        <v>305</v>
      </c>
      <c r="I35" s="10"/>
      <c r="J35" s="10" t="s">
        <v>306</v>
      </c>
      <c r="K35" s="10" t="s">
        <v>307</v>
      </c>
      <c r="L35" s="10" t="s">
        <v>308</v>
      </c>
      <c r="M35" s="10" t="s">
        <v>309</v>
      </c>
      <c r="N35" s="15" t="s">
        <v>93</v>
      </c>
      <c r="O35" s="10" t="s">
        <v>310</v>
      </c>
      <c r="P35" s="11" t="s">
        <v>311</v>
      </c>
      <c r="Q35" s="13" t="s">
        <v>73</v>
      </c>
      <c r="R35" s="14"/>
      <c r="S35" s="14"/>
      <c r="T35" s="13"/>
    </row>
    <row r="36" customFormat="false" ht="23.85" hidden="false" customHeight="false" outlineLevel="0" collapsed="false">
      <c r="A36" s="10" t="n">
        <v>29</v>
      </c>
      <c r="B36" s="10" t="s">
        <v>312</v>
      </c>
      <c r="C36" s="10" t="s">
        <v>29</v>
      </c>
      <c r="D36" s="10" t="s">
        <v>269</v>
      </c>
      <c r="E36" s="11" t="s">
        <v>313</v>
      </c>
      <c r="F36" s="10" t="s">
        <v>65</v>
      </c>
      <c r="G36" s="11" t="s">
        <v>314</v>
      </c>
      <c r="H36" s="10" t="s">
        <v>315</v>
      </c>
      <c r="I36" s="10" t="s">
        <v>316</v>
      </c>
      <c r="J36" s="10" t="s">
        <v>317</v>
      </c>
      <c r="K36" s="10" t="s">
        <v>318</v>
      </c>
      <c r="L36" s="10" t="s">
        <v>319</v>
      </c>
      <c r="M36" s="10" t="s">
        <v>320</v>
      </c>
      <c r="N36" s="15" t="s">
        <v>93</v>
      </c>
      <c r="O36" s="10" t="s">
        <v>321</v>
      </c>
      <c r="P36" s="11" t="s">
        <v>322</v>
      </c>
      <c r="Q36" s="13" t="s">
        <v>73</v>
      </c>
      <c r="R36" s="14"/>
      <c r="S36" s="14"/>
      <c r="T36" s="13"/>
    </row>
    <row r="37" customFormat="false" ht="23.85" hidden="false" customHeight="false" outlineLevel="0" collapsed="false">
      <c r="A37" s="10" t="n">
        <v>30</v>
      </c>
      <c r="B37" s="10" t="s">
        <v>323</v>
      </c>
      <c r="C37" s="10" t="s">
        <v>29</v>
      </c>
      <c r="D37" s="10" t="s">
        <v>287</v>
      </c>
      <c r="E37" s="11" t="s">
        <v>324</v>
      </c>
      <c r="F37" s="10" t="s">
        <v>127</v>
      </c>
      <c r="G37" s="11" t="s">
        <v>324</v>
      </c>
      <c r="H37" s="10" t="s">
        <v>101</v>
      </c>
      <c r="I37" s="10"/>
      <c r="J37" s="10" t="s">
        <v>325</v>
      </c>
      <c r="K37" s="10" t="s">
        <v>326</v>
      </c>
      <c r="L37" s="10" t="s">
        <v>327</v>
      </c>
      <c r="M37" s="10"/>
      <c r="N37" s="15" t="s">
        <v>93</v>
      </c>
      <c r="O37" s="10"/>
      <c r="P37" s="11" t="s">
        <v>328</v>
      </c>
      <c r="Q37" s="13" t="s">
        <v>73</v>
      </c>
      <c r="R37" s="14"/>
      <c r="S37" s="14"/>
      <c r="T37" s="13"/>
    </row>
    <row r="38" customFormat="false" ht="23.85" hidden="false" customHeight="false" outlineLevel="0" collapsed="false">
      <c r="A38" s="10" t="n">
        <v>31</v>
      </c>
      <c r="B38" s="10" t="s">
        <v>329</v>
      </c>
      <c r="C38" s="10" t="s">
        <v>29</v>
      </c>
      <c r="D38" s="10" t="s">
        <v>330</v>
      </c>
      <c r="E38" s="11" t="s">
        <v>331</v>
      </c>
      <c r="F38" s="10" t="s">
        <v>127</v>
      </c>
      <c r="G38" s="11" t="s">
        <v>331</v>
      </c>
      <c r="H38" s="10" t="s">
        <v>101</v>
      </c>
      <c r="I38" s="10"/>
      <c r="J38" s="10" t="s">
        <v>332</v>
      </c>
      <c r="K38" s="10" t="s">
        <v>333</v>
      </c>
      <c r="L38" s="10" t="s">
        <v>334</v>
      </c>
      <c r="M38" s="10"/>
      <c r="N38" s="15" t="s">
        <v>93</v>
      </c>
      <c r="O38" s="10"/>
      <c r="P38" s="11" t="s">
        <v>335</v>
      </c>
      <c r="Q38" s="13" t="s">
        <v>73</v>
      </c>
      <c r="R38" s="14"/>
      <c r="S38" s="14"/>
      <c r="T38" s="13"/>
    </row>
    <row r="39" customFormat="false" ht="23.85" hidden="false" customHeight="false" outlineLevel="0" collapsed="false">
      <c r="A39" s="10" t="n">
        <v>32</v>
      </c>
      <c r="B39" s="10" t="s">
        <v>336</v>
      </c>
      <c r="C39" s="10" t="s">
        <v>29</v>
      </c>
      <c r="D39" s="10" t="s">
        <v>337</v>
      </c>
      <c r="E39" s="11" t="s">
        <v>338</v>
      </c>
      <c r="F39" s="10" t="s">
        <v>127</v>
      </c>
      <c r="G39" s="11" t="s">
        <v>338</v>
      </c>
      <c r="H39" s="10" t="s">
        <v>101</v>
      </c>
      <c r="I39" s="10"/>
      <c r="J39" s="10" t="s">
        <v>339</v>
      </c>
      <c r="K39" s="10" t="s">
        <v>340</v>
      </c>
      <c r="L39" s="10" t="s">
        <v>341</v>
      </c>
      <c r="M39" s="10"/>
      <c r="N39" s="15" t="s">
        <v>93</v>
      </c>
      <c r="O39" s="10" t="s">
        <v>342</v>
      </c>
      <c r="P39" s="11" t="s">
        <v>343</v>
      </c>
      <c r="Q39" s="13" t="s">
        <v>73</v>
      </c>
      <c r="R39" s="14"/>
      <c r="S39" s="14"/>
      <c r="T39" s="13"/>
    </row>
    <row r="40" customFormat="false" ht="23.85" hidden="false" customHeight="false" outlineLevel="0" collapsed="false">
      <c r="A40" s="10" t="n">
        <v>33</v>
      </c>
      <c r="B40" s="10" t="s">
        <v>344</v>
      </c>
      <c r="C40" s="10" t="s">
        <v>29</v>
      </c>
      <c r="D40" s="10" t="s">
        <v>345</v>
      </c>
      <c r="E40" s="11" t="s">
        <v>346</v>
      </c>
      <c r="F40" s="10" t="s">
        <v>127</v>
      </c>
      <c r="G40" s="11" t="s">
        <v>346</v>
      </c>
      <c r="H40" s="10" t="s">
        <v>101</v>
      </c>
      <c r="I40" s="10"/>
      <c r="J40" s="10" t="s">
        <v>347</v>
      </c>
      <c r="K40" s="10" t="s">
        <v>348</v>
      </c>
      <c r="L40" s="10" t="s">
        <v>349</v>
      </c>
      <c r="M40" s="10" t="s">
        <v>350</v>
      </c>
      <c r="N40" s="16" t="s">
        <v>151</v>
      </c>
      <c r="O40" s="10" t="s">
        <v>351</v>
      </c>
      <c r="P40" s="11" t="s">
        <v>352</v>
      </c>
      <c r="Q40" s="13" t="s">
        <v>73</v>
      </c>
      <c r="R40" s="14"/>
      <c r="S40" s="14"/>
      <c r="T40" s="13"/>
    </row>
    <row r="41" customFormat="false" ht="21.75" hidden="false" customHeight="true" outlineLevel="0" collapsed="false">
      <c r="A41" s="9" t="s">
        <v>353</v>
      </c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</row>
    <row r="42" customFormat="false" ht="23.85" hidden="false" customHeight="false" outlineLevel="0" collapsed="false">
      <c r="A42" s="10" t="n">
        <v>34</v>
      </c>
      <c r="B42" s="10" t="s">
        <v>354</v>
      </c>
      <c r="C42" s="10" t="s">
        <v>24</v>
      </c>
      <c r="D42" s="10" t="s">
        <v>355</v>
      </c>
      <c r="E42" s="11" t="s">
        <v>356</v>
      </c>
      <c r="F42" s="10" t="s">
        <v>127</v>
      </c>
      <c r="G42" s="11" t="s">
        <v>356</v>
      </c>
      <c r="H42" s="10" t="s">
        <v>101</v>
      </c>
      <c r="I42" s="10" t="s">
        <v>357</v>
      </c>
      <c r="J42" s="10" t="s">
        <v>358</v>
      </c>
      <c r="K42" s="10" t="s">
        <v>359</v>
      </c>
      <c r="L42" s="10" t="s">
        <v>360</v>
      </c>
      <c r="M42" s="10"/>
      <c r="N42" s="12" t="s">
        <v>70</v>
      </c>
      <c r="O42" s="10"/>
      <c r="P42" s="11" t="s">
        <v>361</v>
      </c>
      <c r="Q42" s="13" t="s">
        <v>73</v>
      </c>
      <c r="R42" s="14"/>
      <c r="S42" s="14"/>
      <c r="T42" s="13"/>
    </row>
    <row r="43" customFormat="false" ht="23.85" hidden="false" customHeight="false" outlineLevel="0" collapsed="false">
      <c r="A43" s="10" t="n">
        <v>35</v>
      </c>
      <c r="B43" s="10" t="s">
        <v>362</v>
      </c>
      <c r="C43" s="10" t="s">
        <v>24</v>
      </c>
      <c r="D43" s="10" t="s">
        <v>363</v>
      </c>
      <c r="E43" s="11" t="s">
        <v>364</v>
      </c>
      <c r="F43" s="10" t="s">
        <v>127</v>
      </c>
      <c r="G43" s="11" t="s">
        <v>364</v>
      </c>
      <c r="H43" s="10" t="s">
        <v>101</v>
      </c>
      <c r="I43" s="10" t="s">
        <v>365</v>
      </c>
      <c r="J43" s="10" t="s">
        <v>366</v>
      </c>
      <c r="K43" s="10" t="s">
        <v>367</v>
      </c>
      <c r="L43" s="10" t="s">
        <v>368</v>
      </c>
      <c r="M43" s="10"/>
      <c r="N43" s="12" t="s">
        <v>70</v>
      </c>
      <c r="O43" s="10"/>
      <c r="P43" s="11" t="s">
        <v>369</v>
      </c>
      <c r="Q43" s="13" t="s">
        <v>73</v>
      </c>
      <c r="R43" s="14"/>
      <c r="S43" s="14"/>
      <c r="T43" s="13"/>
    </row>
    <row r="44" customFormat="false" ht="23.85" hidden="false" customHeight="false" outlineLevel="0" collapsed="false">
      <c r="A44" s="10" t="n">
        <v>36</v>
      </c>
      <c r="B44" s="10" t="s">
        <v>370</v>
      </c>
      <c r="C44" s="10" t="s">
        <v>24</v>
      </c>
      <c r="D44" s="10" t="s">
        <v>371</v>
      </c>
      <c r="E44" s="11" t="s">
        <v>372</v>
      </c>
      <c r="F44" s="10" t="s">
        <v>127</v>
      </c>
      <c r="G44" s="11" t="s">
        <v>372</v>
      </c>
      <c r="H44" s="10" t="s">
        <v>101</v>
      </c>
      <c r="I44" s="10"/>
      <c r="J44" s="10" t="s">
        <v>373</v>
      </c>
      <c r="K44" s="10" t="s">
        <v>374</v>
      </c>
      <c r="L44" s="10" t="s">
        <v>375</v>
      </c>
      <c r="M44" s="10"/>
      <c r="N44" s="15" t="s">
        <v>93</v>
      </c>
      <c r="O44" s="10"/>
      <c r="P44" s="11" t="s">
        <v>376</v>
      </c>
      <c r="Q44" s="13" t="s">
        <v>73</v>
      </c>
      <c r="R44" s="14"/>
      <c r="S44" s="14"/>
      <c r="T44" s="13"/>
    </row>
    <row r="45" customFormat="false" ht="23.85" hidden="false" customHeight="false" outlineLevel="0" collapsed="false">
      <c r="A45" s="10" t="n">
        <v>37</v>
      </c>
      <c r="B45" s="10" t="s">
        <v>377</v>
      </c>
      <c r="C45" s="10" t="s">
        <v>24</v>
      </c>
      <c r="D45" s="10" t="s">
        <v>378</v>
      </c>
      <c r="E45" s="11" t="s">
        <v>379</v>
      </c>
      <c r="F45" s="10" t="s">
        <v>127</v>
      </c>
      <c r="G45" s="11" t="s">
        <v>379</v>
      </c>
      <c r="H45" s="10" t="s">
        <v>101</v>
      </c>
      <c r="I45" s="10" t="s">
        <v>380</v>
      </c>
      <c r="J45" s="10" t="s">
        <v>381</v>
      </c>
      <c r="K45" s="10" t="s">
        <v>382</v>
      </c>
      <c r="L45" s="10" t="s">
        <v>383</v>
      </c>
      <c r="M45" s="10"/>
      <c r="N45" s="15" t="s">
        <v>93</v>
      </c>
      <c r="O45" s="10"/>
      <c r="P45" s="11" t="s">
        <v>384</v>
      </c>
      <c r="Q45" s="13" t="s">
        <v>73</v>
      </c>
      <c r="R45" s="14"/>
      <c r="S45" s="14"/>
      <c r="T45" s="13"/>
    </row>
    <row r="46" customFormat="false" ht="23.85" hidden="false" customHeight="false" outlineLevel="0" collapsed="false">
      <c r="A46" s="10" t="n">
        <v>38</v>
      </c>
      <c r="B46" s="10" t="s">
        <v>385</v>
      </c>
      <c r="C46" s="10" t="s">
        <v>24</v>
      </c>
      <c r="D46" s="10" t="s">
        <v>386</v>
      </c>
      <c r="E46" s="11" t="s">
        <v>387</v>
      </c>
      <c r="F46" s="10" t="s">
        <v>127</v>
      </c>
      <c r="G46" s="11" t="s">
        <v>387</v>
      </c>
      <c r="H46" s="10" t="s">
        <v>101</v>
      </c>
      <c r="I46" s="10"/>
      <c r="J46" s="10" t="s">
        <v>388</v>
      </c>
      <c r="K46" s="10" t="s">
        <v>389</v>
      </c>
      <c r="L46" s="10" t="s">
        <v>390</v>
      </c>
      <c r="M46" s="10"/>
      <c r="N46" s="16" t="s">
        <v>151</v>
      </c>
      <c r="O46" s="10" t="s">
        <v>391</v>
      </c>
      <c r="P46" s="11" t="s">
        <v>392</v>
      </c>
      <c r="Q46" s="13" t="s">
        <v>73</v>
      </c>
      <c r="R46" s="14"/>
      <c r="S46" s="14"/>
      <c r="T46" s="13"/>
    </row>
    <row r="47" customFormat="false" ht="21.75" hidden="false" customHeight="true" outlineLevel="0" collapsed="false">
      <c r="A47" s="9" t="s">
        <v>393</v>
      </c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</row>
    <row r="48" customFormat="false" ht="23.85" hidden="false" customHeight="false" outlineLevel="0" collapsed="false">
      <c r="A48" s="10" t="n">
        <v>39</v>
      </c>
      <c r="B48" s="10" t="s">
        <v>394</v>
      </c>
      <c r="C48" s="10" t="s">
        <v>27</v>
      </c>
      <c r="D48" s="10" t="s">
        <v>395</v>
      </c>
      <c r="E48" s="11" t="s">
        <v>396</v>
      </c>
      <c r="F48" s="10" t="s">
        <v>127</v>
      </c>
      <c r="G48" s="11" t="s">
        <v>396</v>
      </c>
      <c r="H48" s="10" t="s">
        <v>101</v>
      </c>
      <c r="I48" s="10" t="s">
        <v>397</v>
      </c>
      <c r="J48" s="10" t="s">
        <v>398</v>
      </c>
      <c r="K48" s="10" t="s">
        <v>171</v>
      </c>
      <c r="L48" s="10" t="s">
        <v>399</v>
      </c>
      <c r="M48" s="10"/>
      <c r="N48" s="12" t="s">
        <v>70</v>
      </c>
      <c r="O48" s="10"/>
      <c r="P48" s="11" t="s">
        <v>400</v>
      </c>
      <c r="Q48" s="13" t="s">
        <v>73</v>
      </c>
      <c r="R48" s="14"/>
      <c r="S48" s="14"/>
      <c r="T48" s="13"/>
    </row>
    <row r="49" customFormat="false" ht="23.85" hidden="false" customHeight="false" outlineLevel="0" collapsed="false">
      <c r="A49" s="10" t="n">
        <v>40</v>
      </c>
      <c r="B49" s="10" t="s">
        <v>401</v>
      </c>
      <c r="C49" s="10" t="s">
        <v>27</v>
      </c>
      <c r="D49" s="10" t="s">
        <v>395</v>
      </c>
      <c r="E49" s="11" t="s">
        <v>402</v>
      </c>
      <c r="F49" s="10" t="s">
        <v>127</v>
      </c>
      <c r="G49" s="11" t="s">
        <v>402</v>
      </c>
      <c r="H49" s="10" t="s">
        <v>101</v>
      </c>
      <c r="I49" s="10"/>
      <c r="J49" s="10" t="s">
        <v>403</v>
      </c>
      <c r="K49" s="10" t="s">
        <v>404</v>
      </c>
      <c r="L49" s="10" t="s">
        <v>405</v>
      </c>
      <c r="M49" s="10"/>
      <c r="N49" s="15" t="s">
        <v>93</v>
      </c>
      <c r="O49" s="10" t="s">
        <v>406</v>
      </c>
      <c r="P49" s="11" t="s">
        <v>407</v>
      </c>
      <c r="Q49" s="13" t="s">
        <v>73</v>
      </c>
      <c r="R49" s="14"/>
      <c r="S49" s="14"/>
      <c r="T49" s="13"/>
    </row>
    <row r="50" customFormat="false" ht="23.85" hidden="false" customHeight="false" outlineLevel="0" collapsed="false">
      <c r="A50" s="10" t="n">
        <v>41</v>
      </c>
      <c r="B50" s="10" t="s">
        <v>408</v>
      </c>
      <c r="C50" s="10" t="s">
        <v>27</v>
      </c>
      <c r="D50" s="10" t="s">
        <v>409</v>
      </c>
      <c r="E50" s="11" t="s">
        <v>410</v>
      </c>
      <c r="F50" s="10" t="s">
        <v>127</v>
      </c>
      <c r="G50" s="11" t="s">
        <v>410</v>
      </c>
      <c r="H50" s="10" t="s">
        <v>101</v>
      </c>
      <c r="I50" s="10"/>
      <c r="J50" s="10" t="s">
        <v>411</v>
      </c>
      <c r="K50" s="10" t="s">
        <v>412</v>
      </c>
      <c r="L50" s="10" t="s">
        <v>413</v>
      </c>
      <c r="M50" s="10"/>
      <c r="N50" s="15" t="s">
        <v>93</v>
      </c>
      <c r="O50" s="10"/>
      <c r="P50" s="11" t="s">
        <v>414</v>
      </c>
      <c r="Q50" s="13" t="s">
        <v>73</v>
      </c>
      <c r="R50" s="14"/>
      <c r="S50" s="14"/>
      <c r="T50" s="13"/>
    </row>
    <row r="51" customFormat="false" ht="23.85" hidden="false" customHeight="false" outlineLevel="0" collapsed="false">
      <c r="A51" s="10" t="n">
        <v>42</v>
      </c>
      <c r="B51" s="10" t="s">
        <v>415</v>
      </c>
      <c r="C51" s="10" t="s">
        <v>27</v>
      </c>
      <c r="D51" s="10" t="s">
        <v>416</v>
      </c>
      <c r="E51" s="11" t="s">
        <v>417</v>
      </c>
      <c r="F51" s="10" t="s">
        <v>127</v>
      </c>
      <c r="G51" s="11" t="s">
        <v>417</v>
      </c>
      <c r="H51" s="10" t="s">
        <v>101</v>
      </c>
      <c r="I51" s="10"/>
      <c r="J51" s="10" t="s">
        <v>418</v>
      </c>
      <c r="K51" s="10" t="s">
        <v>419</v>
      </c>
      <c r="L51" s="10" t="s">
        <v>420</v>
      </c>
      <c r="M51" s="10"/>
      <c r="N51" s="16" t="s">
        <v>151</v>
      </c>
      <c r="O51" s="10" t="s">
        <v>421</v>
      </c>
      <c r="P51" s="11" t="s">
        <v>422</v>
      </c>
      <c r="Q51" s="13" t="s">
        <v>73</v>
      </c>
      <c r="R51" s="14"/>
      <c r="S51" s="14"/>
      <c r="T51" s="13"/>
    </row>
    <row r="52" customFormat="false" ht="21.75" hidden="false" customHeight="true" outlineLevel="0" collapsed="false">
      <c r="A52" s="9" t="s">
        <v>423</v>
      </c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</row>
    <row r="53" customFormat="false" ht="23.85" hidden="false" customHeight="false" outlineLevel="0" collapsed="false">
      <c r="A53" s="10" t="n">
        <v>43</v>
      </c>
      <c r="B53" s="10" t="s">
        <v>424</v>
      </c>
      <c r="C53" s="10" t="s">
        <v>19</v>
      </c>
      <c r="D53" s="10" t="s">
        <v>425</v>
      </c>
      <c r="E53" s="11" t="s">
        <v>426</v>
      </c>
      <c r="F53" s="10" t="s">
        <v>65</v>
      </c>
      <c r="G53" s="11" t="s">
        <v>427</v>
      </c>
      <c r="H53" s="10" t="s">
        <v>428</v>
      </c>
      <c r="I53" s="10" t="s">
        <v>429</v>
      </c>
      <c r="J53" s="10" t="s">
        <v>430</v>
      </c>
      <c r="K53" s="10" t="s">
        <v>431</v>
      </c>
      <c r="L53" s="10" t="s">
        <v>432</v>
      </c>
      <c r="M53" s="10" t="s">
        <v>433</v>
      </c>
      <c r="N53" s="12" t="s">
        <v>70</v>
      </c>
      <c r="O53" s="10" t="s">
        <v>434</v>
      </c>
      <c r="P53" s="11" t="s">
        <v>435</v>
      </c>
      <c r="Q53" s="13" t="s">
        <v>73</v>
      </c>
      <c r="R53" s="14"/>
      <c r="S53" s="14"/>
      <c r="T53" s="13"/>
    </row>
    <row r="54" customFormat="false" ht="23.85" hidden="false" customHeight="false" outlineLevel="0" collapsed="false">
      <c r="A54" s="10" t="n">
        <v>44</v>
      </c>
      <c r="B54" s="10" t="s">
        <v>436</v>
      </c>
      <c r="C54" s="10" t="s">
        <v>19</v>
      </c>
      <c r="D54" s="10" t="s">
        <v>437</v>
      </c>
      <c r="E54" s="11" t="s">
        <v>438</v>
      </c>
      <c r="F54" s="10" t="s">
        <v>65</v>
      </c>
      <c r="G54" s="11" t="s">
        <v>439</v>
      </c>
      <c r="H54" s="10" t="s">
        <v>440</v>
      </c>
      <c r="I54" s="10" t="s">
        <v>441</v>
      </c>
      <c r="J54" s="10" t="s">
        <v>442</v>
      </c>
      <c r="K54" s="10" t="s">
        <v>443</v>
      </c>
      <c r="L54" s="10" t="s">
        <v>444</v>
      </c>
      <c r="M54" s="10" t="s">
        <v>445</v>
      </c>
      <c r="N54" s="12" t="s">
        <v>70</v>
      </c>
      <c r="O54" s="10" t="s">
        <v>446</v>
      </c>
      <c r="P54" s="11" t="s">
        <v>439</v>
      </c>
      <c r="Q54" s="13" t="s">
        <v>73</v>
      </c>
      <c r="R54" s="14"/>
      <c r="S54" s="14"/>
      <c r="T54" s="13"/>
    </row>
    <row r="55" customFormat="false" ht="23.85" hidden="false" customHeight="false" outlineLevel="0" collapsed="false">
      <c r="A55" s="10" t="n">
        <v>45</v>
      </c>
      <c r="B55" s="10" t="s">
        <v>447</v>
      </c>
      <c r="C55" s="10" t="s">
        <v>19</v>
      </c>
      <c r="D55" s="10"/>
      <c r="E55" s="11" t="s">
        <v>448</v>
      </c>
      <c r="F55" s="10" t="s">
        <v>65</v>
      </c>
      <c r="G55" s="11" t="s">
        <v>448</v>
      </c>
      <c r="H55" s="10" t="s">
        <v>101</v>
      </c>
      <c r="I55" s="10"/>
      <c r="J55" s="10"/>
      <c r="K55" s="10" t="s">
        <v>449</v>
      </c>
      <c r="L55" s="10" t="s">
        <v>450</v>
      </c>
      <c r="M55" s="10" t="s">
        <v>451</v>
      </c>
      <c r="N55" s="12" t="s">
        <v>70</v>
      </c>
      <c r="O55" s="10"/>
      <c r="P55" s="11" t="s">
        <v>452</v>
      </c>
      <c r="Q55" s="13" t="s">
        <v>73</v>
      </c>
      <c r="R55" s="14"/>
      <c r="S55" s="14"/>
      <c r="T55" s="13"/>
    </row>
    <row r="56" customFormat="false" ht="21.75" hidden="false" customHeight="true" outlineLevel="0" collapsed="false">
      <c r="A56" s="9" t="s">
        <v>453</v>
      </c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</row>
    <row r="57" customFormat="false" ht="23.85" hidden="false" customHeight="false" outlineLevel="0" collapsed="false">
      <c r="A57" s="10" t="n">
        <v>46</v>
      </c>
      <c r="B57" s="10" t="s">
        <v>454</v>
      </c>
      <c r="C57" s="10" t="s">
        <v>28</v>
      </c>
      <c r="D57" s="10" t="s">
        <v>455</v>
      </c>
      <c r="E57" s="11" t="s">
        <v>456</v>
      </c>
      <c r="F57" s="10" t="s">
        <v>127</v>
      </c>
      <c r="G57" s="11" t="s">
        <v>456</v>
      </c>
      <c r="H57" s="10" t="s">
        <v>101</v>
      </c>
      <c r="I57" s="10" t="s">
        <v>457</v>
      </c>
      <c r="J57" s="10" t="s">
        <v>458</v>
      </c>
      <c r="K57" s="10" t="s">
        <v>112</v>
      </c>
      <c r="L57" s="10" t="s">
        <v>459</v>
      </c>
      <c r="M57" s="10" t="s">
        <v>460</v>
      </c>
      <c r="N57" s="12" t="s">
        <v>70</v>
      </c>
      <c r="O57" s="10"/>
      <c r="P57" s="11" t="s">
        <v>461</v>
      </c>
      <c r="Q57" s="13" t="s">
        <v>73</v>
      </c>
      <c r="R57" s="14"/>
      <c r="S57" s="14"/>
      <c r="T57" s="13"/>
    </row>
    <row r="58" customFormat="false" ht="23.85" hidden="false" customHeight="false" outlineLevel="0" collapsed="false">
      <c r="A58" s="10" t="n">
        <v>47</v>
      </c>
      <c r="B58" s="10" t="s">
        <v>462</v>
      </c>
      <c r="C58" s="10" t="s">
        <v>28</v>
      </c>
      <c r="D58" s="10" t="s">
        <v>463</v>
      </c>
      <c r="E58" s="11" t="s">
        <v>464</v>
      </c>
      <c r="F58" s="10" t="s">
        <v>127</v>
      </c>
      <c r="G58" s="11" t="s">
        <v>464</v>
      </c>
      <c r="H58" s="10" t="s">
        <v>101</v>
      </c>
      <c r="I58" s="10"/>
      <c r="J58" s="10" t="s">
        <v>465</v>
      </c>
      <c r="K58" s="10" t="s">
        <v>466</v>
      </c>
      <c r="L58" s="10" t="s">
        <v>467</v>
      </c>
      <c r="M58" s="10"/>
      <c r="N58" s="15" t="s">
        <v>93</v>
      </c>
      <c r="O58" s="10" t="s">
        <v>468</v>
      </c>
      <c r="P58" s="11" t="s">
        <v>469</v>
      </c>
      <c r="Q58" s="13" t="s">
        <v>73</v>
      </c>
      <c r="R58" s="14"/>
      <c r="S58" s="14"/>
      <c r="T58" s="13"/>
    </row>
    <row r="59" customFormat="false" ht="23.85" hidden="false" customHeight="false" outlineLevel="0" collapsed="false">
      <c r="A59" s="10" t="n">
        <v>48</v>
      </c>
      <c r="B59" s="10" t="s">
        <v>470</v>
      </c>
      <c r="C59" s="10" t="s">
        <v>28</v>
      </c>
      <c r="D59" s="10" t="s">
        <v>471</v>
      </c>
      <c r="E59" s="11" t="s">
        <v>472</v>
      </c>
      <c r="F59" s="10" t="s">
        <v>65</v>
      </c>
      <c r="G59" s="11" t="s">
        <v>473</v>
      </c>
      <c r="H59" s="10" t="s">
        <v>101</v>
      </c>
      <c r="I59" s="10"/>
      <c r="J59" s="10" t="s">
        <v>28</v>
      </c>
      <c r="K59" s="10" t="s">
        <v>474</v>
      </c>
      <c r="L59" s="10" t="s">
        <v>475</v>
      </c>
      <c r="M59" s="10" t="s">
        <v>476</v>
      </c>
      <c r="N59" s="15" t="s">
        <v>93</v>
      </c>
      <c r="O59" s="10"/>
      <c r="P59" s="11" t="s">
        <v>473</v>
      </c>
      <c r="Q59" s="13" t="s">
        <v>73</v>
      </c>
      <c r="R59" s="14"/>
      <c r="S59" s="14"/>
      <c r="T59" s="13"/>
    </row>
    <row r="60" customFormat="false" ht="23.85" hidden="false" customHeight="false" outlineLevel="0" collapsed="false">
      <c r="A60" s="10" t="n">
        <v>49</v>
      </c>
      <c r="B60" s="10" t="s">
        <v>477</v>
      </c>
      <c r="C60" s="10" t="s">
        <v>22</v>
      </c>
      <c r="D60" s="10" t="s">
        <v>478</v>
      </c>
      <c r="E60" s="11" t="s">
        <v>479</v>
      </c>
      <c r="F60" s="10" t="s">
        <v>127</v>
      </c>
      <c r="G60" s="11" t="s">
        <v>479</v>
      </c>
      <c r="H60" s="10" t="s">
        <v>101</v>
      </c>
      <c r="I60" s="10" t="s">
        <v>480</v>
      </c>
      <c r="J60" s="10" t="s">
        <v>481</v>
      </c>
      <c r="K60" s="10" t="s">
        <v>482</v>
      </c>
      <c r="L60" s="10" t="s">
        <v>483</v>
      </c>
      <c r="M60" s="10" t="s">
        <v>484</v>
      </c>
      <c r="N60" s="12" t="s">
        <v>70</v>
      </c>
      <c r="O60" s="10"/>
      <c r="P60" s="11" t="s">
        <v>485</v>
      </c>
      <c r="Q60" s="13" t="s">
        <v>73</v>
      </c>
      <c r="R60" s="14"/>
      <c r="S60" s="14"/>
      <c r="T60" s="13"/>
    </row>
    <row r="61" customFormat="false" ht="23.85" hidden="false" customHeight="false" outlineLevel="0" collapsed="false">
      <c r="A61" s="10" t="n">
        <v>50</v>
      </c>
      <c r="B61" s="10" t="s">
        <v>486</v>
      </c>
      <c r="C61" s="10" t="s">
        <v>18</v>
      </c>
      <c r="D61" s="10" t="s">
        <v>487</v>
      </c>
      <c r="E61" s="11" t="s">
        <v>488</v>
      </c>
      <c r="F61" s="10" t="s">
        <v>127</v>
      </c>
      <c r="G61" s="11" t="s">
        <v>488</v>
      </c>
      <c r="H61" s="10" t="s">
        <v>489</v>
      </c>
      <c r="I61" s="10" t="s">
        <v>490</v>
      </c>
      <c r="J61" s="10" t="s">
        <v>491</v>
      </c>
      <c r="K61" s="10" t="s">
        <v>492</v>
      </c>
      <c r="L61" s="10" t="s">
        <v>493</v>
      </c>
      <c r="M61" s="10"/>
      <c r="N61" s="15" t="s">
        <v>93</v>
      </c>
      <c r="O61" s="10"/>
      <c r="P61" s="11" t="s">
        <v>494</v>
      </c>
      <c r="Q61" s="13" t="s">
        <v>73</v>
      </c>
      <c r="R61" s="14"/>
      <c r="S61" s="14"/>
      <c r="T61" s="13"/>
    </row>
    <row r="62" customFormat="false" ht="23.85" hidden="false" customHeight="false" outlineLevel="0" collapsed="false">
      <c r="A62" s="10" t="n">
        <v>51</v>
      </c>
      <c r="B62" s="10" t="s">
        <v>495</v>
      </c>
      <c r="C62" s="10" t="s">
        <v>18</v>
      </c>
      <c r="D62" s="10" t="s">
        <v>487</v>
      </c>
      <c r="E62" s="11" t="s">
        <v>496</v>
      </c>
      <c r="F62" s="10" t="s">
        <v>127</v>
      </c>
      <c r="G62" s="11" t="s">
        <v>496</v>
      </c>
      <c r="H62" s="10" t="s">
        <v>101</v>
      </c>
      <c r="I62" s="10"/>
      <c r="J62" s="10" t="s">
        <v>497</v>
      </c>
      <c r="K62" s="10" t="s">
        <v>498</v>
      </c>
      <c r="L62" s="10" t="s">
        <v>499</v>
      </c>
      <c r="M62" s="10"/>
      <c r="N62" s="15" t="s">
        <v>93</v>
      </c>
      <c r="O62" s="10"/>
      <c r="P62" s="11" t="s">
        <v>500</v>
      </c>
      <c r="Q62" s="13" t="s">
        <v>73</v>
      </c>
      <c r="R62" s="14"/>
      <c r="S62" s="14"/>
      <c r="T62" s="13"/>
    </row>
    <row r="63" customFormat="false" ht="23.85" hidden="false" customHeight="false" outlineLevel="0" collapsed="false">
      <c r="A63" s="10" t="n">
        <v>52</v>
      </c>
      <c r="B63" s="10" t="s">
        <v>501</v>
      </c>
      <c r="C63" s="10" t="s">
        <v>18</v>
      </c>
      <c r="D63" s="10" t="s">
        <v>502</v>
      </c>
      <c r="E63" s="11" t="s">
        <v>503</v>
      </c>
      <c r="F63" s="10" t="s">
        <v>504</v>
      </c>
      <c r="G63" s="11" t="s">
        <v>503</v>
      </c>
      <c r="H63" s="10" t="s">
        <v>101</v>
      </c>
      <c r="I63" s="10"/>
      <c r="J63" s="10" t="s">
        <v>502</v>
      </c>
      <c r="K63" s="10" t="s">
        <v>505</v>
      </c>
      <c r="L63" s="10" t="s">
        <v>506</v>
      </c>
      <c r="M63" s="10"/>
      <c r="N63" s="16" t="s">
        <v>151</v>
      </c>
      <c r="O63" s="10" t="s">
        <v>507</v>
      </c>
      <c r="P63" s="11" t="s">
        <v>508</v>
      </c>
      <c r="Q63" s="13" t="s">
        <v>73</v>
      </c>
      <c r="R63" s="14"/>
      <c r="S63" s="14"/>
      <c r="T63" s="13"/>
    </row>
    <row r="64" customFormat="false" ht="23.85" hidden="false" customHeight="false" outlineLevel="0" collapsed="false">
      <c r="A64" s="10" t="n">
        <v>53</v>
      </c>
      <c r="B64" s="10" t="s">
        <v>509</v>
      </c>
      <c r="C64" s="10" t="s">
        <v>23</v>
      </c>
      <c r="D64" s="10"/>
      <c r="E64" s="11" t="s">
        <v>510</v>
      </c>
      <c r="F64" s="10" t="s">
        <v>127</v>
      </c>
      <c r="G64" s="11" t="s">
        <v>510</v>
      </c>
      <c r="H64" s="10" t="s">
        <v>101</v>
      </c>
      <c r="I64" s="10" t="s">
        <v>511</v>
      </c>
      <c r="J64" s="10"/>
      <c r="K64" s="10" t="s">
        <v>512</v>
      </c>
      <c r="L64" s="10" t="s">
        <v>513</v>
      </c>
      <c r="M64" s="10"/>
      <c r="N64" s="15" t="s">
        <v>93</v>
      </c>
      <c r="O64" s="10"/>
      <c r="P64" s="11" t="s">
        <v>514</v>
      </c>
      <c r="Q64" s="13" t="s">
        <v>73</v>
      </c>
      <c r="R64" s="14"/>
      <c r="S64" s="14"/>
      <c r="T64" s="13"/>
    </row>
    <row r="65" customFormat="false" ht="21.75" hidden="false" customHeight="true" outlineLevel="0" collapsed="false">
      <c r="A65" s="9" t="s">
        <v>515</v>
      </c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</row>
    <row r="66" customFormat="false" ht="23.85" hidden="false" customHeight="false" outlineLevel="0" collapsed="false">
      <c r="A66" s="10" t="n">
        <v>54</v>
      </c>
      <c r="B66" s="10" t="s">
        <v>516</v>
      </c>
      <c r="C66" s="10" t="s">
        <v>25</v>
      </c>
      <c r="D66" s="10" t="s">
        <v>517</v>
      </c>
      <c r="E66" s="11" t="s">
        <v>518</v>
      </c>
      <c r="F66" s="10" t="s">
        <v>127</v>
      </c>
      <c r="G66" s="11" t="s">
        <v>518</v>
      </c>
      <c r="H66" s="10" t="s">
        <v>101</v>
      </c>
      <c r="I66" s="10"/>
      <c r="J66" s="10" t="s">
        <v>517</v>
      </c>
      <c r="K66" s="10" t="s">
        <v>519</v>
      </c>
      <c r="L66" s="10" t="s">
        <v>197</v>
      </c>
      <c r="M66" s="10"/>
      <c r="N66" s="16" t="s">
        <v>151</v>
      </c>
      <c r="O66" s="10" t="s">
        <v>520</v>
      </c>
      <c r="P66" s="11" t="s">
        <v>521</v>
      </c>
      <c r="Q66" s="13" t="s">
        <v>73</v>
      </c>
      <c r="R66" s="14"/>
      <c r="S66" s="14"/>
      <c r="T66" s="13"/>
    </row>
    <row r="67" customFormat="false" ht="23.85" hidden="false" customHeight="false" outlineLevel="0" collapsed="false">
      <c r="A67" s="10" t="n">
        <v>55</v>
      </c>
      <c r="B67" s="10" t="s">
        <v>522</v>
      </c>
      <c r="C67" s="10" t="s">
        <v>16</v>
      </c>
      <c r="D67" s="10" t="s">
        <v>523</v>
      </c>
      <c r="E67" s="11" t="s">
        <v>524</v>
      </c>
      <c r="F67" s="10" t="s">
        <v>127</v>
      </c>
      <c r="G67" s="11" t="s">
        <v>524</v>
      </c>
      <c r="H67" s="10" t="s">
        <v>101</v>
      </c>
      <c r="I67" s="10"/>
      <c r="J67" s="10" t="s">
        <v>523</v>
      </c>
      <c r="K67" s="10" t="s">
        <v>525</v>
      </c>
      <c r="L67" s="10" t="s">
        <v>526</v>
      </c>
      <c r="M67" s="10"/>
      <c r="N67" s="16" t="s">
        <v>151</v>
      </c>
      <c r="O67" s="10"/>
      <c r="P67" s="11" t="s">
        <v>527</v>
      </c>
      <c r="Q67" s="13" t="s">
        <v>73</v>
      </c>
      <c r="R67" s="14"/>
      <c r="S67" s="14"/>
      <c r="T67" s="13"/>
    </row>
    <row r="68" customFormat="false" ht="21.75" hidden="false" customHeight="true" outlineLevel="0" collapsed="false">
      <c r="A68" s="9" t="s">
        <v>528</v>
      </c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</row>
    <row r="69" customFormat="false" ht="23.85" hidden="false" customHeight="false" outlineLevel="0" collapsed="false">
      <c r="A69" s="10" t="n">
        <v>56</v>
      </c>
      <c r="B69" s="10" t="s">
        <v>529</v>
      </c>
      <c r="C69" s="10" t="s">
        <v>27</v>
      </c>
      <c r="D69" s="10" t="s">
        <v>530</v>
      </c>
      <c r="E69" s="10" t="s">
        <v>531</v>
      </c>
      <c r="F69" s="10" t="s">
        <v>532</v>
      </c>
      <c r="G69" s="11" t="s">
        <v>533</v>
      </c>
      <c r="H69" s="10" t="s">
        <v>101</v>
      </c>
      <c r="I69" s="10"/>
      <c r="J69" s="10" t="s">
        <v>534</v>
      </c>
      <c r="K69" s="10" t="s">
        <v>535</v>
      </c>
      <c r="L69" s="10" t="s">
        <v>536</v>
      </c>
      <c r="M69" s="10" t="s">
        <v>537</v>
      </c>
      <c r="N69" s="12" t="s">
        <v>70</v>
      </c>
      <c r="O69" s="10" t="s">
        <v>538</v>
      </c>
      <c r="P69" s="11" t="s">
        <v>533</v>
      </c>
      <c r="Q69" s="13" t="s">
        <v>73</v>
      </c>
      <c r="R69" s="14"/>
      <c r="S69" s="14"/>
      <c r="T69" s="13"/>
    </row>
    <row r="70" customFormat="false" ht="23.85" hidden="false" customHeight="false" outlineLevel="0" collapsed="false">
      <c r="A70" s="10" t="n">
        <v>57</v>
      </c>
      <c r="B70" s="10" t="s">
        <v>539</v>
      </c>
      <c r="C70" s="10" t="s">
        <v>27</v>
      </c>
      <c r="D70" s="10" t="s">
        <v>540</v>
      </c>
      <c r="E70" s="10" t="s">
        <v>531</v>
      </c>
      <c r="F70" s="10" t="s">
        <v>532</v>
      </c>
      <c r="G70" s="11" t="s">
        <v>541</v>
      </c>
      <c r="H70" s="10" t="s">
        <v>101</v>
      </c>
      <c r="I70" s="10"/>
      <c r="J70" s="10" t="s">
        <v>542</v>
      </c>
      <c r="K70" s="10" t="s">
        <v>543</v>
      </c>
      <c r="L70" s="10" t="s">
        <v>544</v>
      </c>
      <c r="M70" s="10"/>
      <c r="N70" s="12" t="s">
        <v>70</v>
      </c>
      <c r="O70" s="10" t="s">
        <v>545</v>
      </c>
      <c r="P70" s="11" t="s">
        <v>541</v>
      </c>
      <c r="Q70" s="13" t="s">
        <v>73</v>
      </c>
      <c r="R70" s="14"/>
      <c r="S70" s="14"/>
      <c r="T70" s="13"/>
    </row>
    <row r="71" customFormat="false" ht="23.85" hidden="false" customHeight="false" outlineLevel="0" collapsed="false">
      <c r="A71" s="10" t="n">
        <v>58</v>
      </c>
      <c r="B71" s="10" t="s">
        <v>546</v>
      </c>
      <c r="C71" s="10" t="s">
        <v>26</v>
      </c>
      <c r="D71" s="10" t="s">
        <v>547</v>
      </c>
      <c r="E71" s="10" t="s">
        <v>531</v>
      </c>
      <c r="F71" s="10" t="s">
        <v>532</v>
      </c>
      <c r="G71" s="11" t="s">
        <v>548</v>
      </c>
      <c r="H71" s="10" t="s">
        <v>101</v>
      </c>
      <c r="I71" s="10"/>
      <c r="J71" s="10" t="s">
        <v>547</v>
      </c>
      <c r="K71" s="10" t="s">
        <v>549</v>
      </c>
      <c r="L71" s="10" t="s">
        <v>550</v>
      </c>
      <c r="M71" s="10"/>
      <c r="N71" s="15" t="s">
        <v>93</v>
      </c>
      <c r="O71" s="10"/>
      <c r="P71" s="11" t="s">
        <v>548</v>
      </c>
      <c r="Q71" s="13" t="s">
        <v>73</v>
      </c>
      <c r="R71" s="14"/>
      <c r="S71" s="14"/>
      <c r="T71" s="13"/>
    </row>
    <row r="72" customFormat="false" ht="23.85" hidden="false" customHeight="false" outlineLevel="0" collapsed="false">
      <c r="A72" s="10" t="n">
        <v>59</v>
      </c>
      <c r="B72" s="10" t="s">
        <v>551</v>
      </c>
      <c r="C72" s="10" t="s">
        <v>30</v>
      </c>
      <c r="D72" s="10"/>
      <c r="E72" s="10" t="s">
        <v>531</v>
      </c>
      <c r="F72" s="10" t="s">
        <v>532</v>
      </c>
      <c r="G72" s="11" t="s">
        <v>552</v>
      </c>
      <c r="H72" s="10" t="s">
        <v>101</v>
      </c>
      <c r="I72" s="10"/>
      <c r="J72" s="10" t="s">
        <v>553</v>
      </c>
      <c r="K72" s="10" t="s">
        <v>554</v>
      </c>
      <c r="L72" s="10" t="s">
        <v>555</v>
      </c>
      <c r="M72" s="10"/>
      <c r="N72" s="15" t="s">
        <v>93</v>
      </c>
      <c r="O72" s="10" t="s">
        <v>556</v>
      </c>
      <c r="P72" s="11" t="s">
        <v>552</v>
      </c>
      <c r="Q72" s="13" t="s">
        <v>73</v>
      </c>
      <c r="R72" s="14"/>
      <c r="S72" s="14"/>
      <c r="T72" s="13"/>
    </row>
    <row r="73" customFormat="false" ht="23.85" hidden="false" customHeight="false" outlineLevel="0" collapsed="false">
      <c r="A73" s="10" t="n">
        <v>60</v>
      </c>
      <c r="B73" s="10" t="s">
        <v>557</v>
      </c>
      <c r="C73" s="10" t="s">
        <v>17</v>
      </c>
      <c r="D73" s="10" t="s">
        <v>558</v>
      </c>
      <c r="E73" s="10" t="s">
        <v>531</v>
      </c>
      <c r="F73" s="10" t="s">
        <v>532</v>
      </c>
      <c r="G73" s="11" t="s">
        <v>559</v>
      </c>
      <c r="H73" s="10" t="s">
        <v>101</v>
      </c>
      <c r="I73" s="10"/>
      <c r="J73" s="10" t="s">
        <v>560</v>
      </c>
      <c r="K73" s="10" t="s">
        <v>561</v>
      </c>
      <c r="L73" s="10"/>
      <c r="M73" s="10"/>
      <c r="N73" s="16" t="s">
        <v>151</v>
      </c>
      <c r="O73" s="10"/>
      <c r="P73" s="11" t="s">
        <v>559</v>
      </c>
      <c r="Q73" s="13" t="s">
        <v>73</v>
      </c>
      <c r="R73" s="14"/>
      <c r="S73" s="14"/>
      <c r="T73" s="13"/>
    </row>
    <row r="74" customFormat="false" ht="23.85" hidden="false" customHeight="false" outlineLevel="0" collapsed="false">
      <c r="A74" s="10" t="n">
        <v>61</v>
      </c>
      <c r="B74" s="10" t="s">
        <v>562</v>
      </c>
      <c r="C74" s="10" t="s">
        <v>17</v>
      </c>
      <c r="D74" s="10" t="s">
        <v>563</v>
      </c>
      <c r="E74" s="10" t="s">
        <v>531</v>
      </c>
      <c r="F74" s="10" t="s">
        <v>532</v>
      </c>
      <c r="G74" s="11" t="s">
        <v>564</v>
      </c>
      <c r="H74" s="10" t="s">
        <v>101</v>
      </c>
      <c r="I74" s="10"/>
      <c r="J74" s="10" t="s">
        <v>565</v>
      </c>
      <c r="K74" s="10" t="s">
        <v>566</v>
      </c>
      <c r="L74" s="10"/>
      <c r="M74" s="10"/>
      <c r="N74" s="16" t="s">
        <v>151</v>
      </c>
      <c r="O74" s="10"/>
      <c r="P74" s="11" t="s">
        <v>564</v>
      </c>
      <c r="Q74" s="13" t="s">
        <v>73</v>
      </c>
      <c r="R74" s="14"/>
      <c r="S74" s="14"/>
      <c r="T74" s="13"/>
    </row>
    <row r="75" customFormat="false" ht="23.85" hidden="false" customHeight="false" outlineLevel="0" collapsed="false">
      <c r="A75" s="10" t="n">
        <v>62</v>
      </c>
      <c r="B75" s="10" t="s">
        <v>567</v>
      </c>
      <c r="C75" s="10" t="s">
        <v>17</v>
      </c>
      <c r="D75" s="10" t="s">
        <v>568</v>
      </c>
      <c r="E75" s="10" t="s">
        <v>531</v>
      </c>
      <c r="F75" s="10" t="s">
        <v>532</v>
      </c>
      <c r="G75" s="11" t="s">
        <v>569</v>
      </c>
      <c r="H75" s="10" t="s">
        <v>101</v>
      </c>
      <c r="I75" s="10"/>
      <c r="J75" s="10" t="s">
        <v>570</v>
      </c>
      <c r="K75" s="10" t="s">
        <v>571</v>
      </c>
      <c r="L75" s="10"/>
      <c r="M75" s="10"/>
      <c r="N75" s="16" t="s">
        <v>151</v>
      </c>
      <c r="O75" s="10"/>
      <c r="P75" s="11" t="s">
        <v>569</v>
      </c>
      <c r="Q75" s="13" t="s">
        <v>73</v>
      </c>
      <c r="R75" s="14"/>
      <c r="S75" s="14"/>
      <c r="T75" s="13"/>
    </row>
    <row r="76" customFormat="false" ht="23.85" hidden="false" customHeight="false" outlineLevel="0" collapsed="false">
      <c r="A76" s="10" t="n">
        <v>63</v>
      </c>
      <c r="B76" s="10" t="s">
        <v>572</v>
      </c>
      <c r="C76" s="10" t="s">
        <v>20</v>
      </c>
      <c r="D76" s="10" t="s">
        <v>573</v>
      </c>
      <c r="E76" s="10" t="s">
        <v>531</v>
      </c>
      <c r="F76" s="10" t="s">
        <v>532</v>
      </c>
      <c r="G76" s="11" t="s">
        <v>574</v>
      </c>
      <c r="H76" s="10" t="s">
        <v>101</v>
      </c>
      <c r="I76" s="10"/>
      <c r="J76" s="10" t="s">
        <v>575</v>
      </c>
      <c r="K76" s="10" t="s">
        <v>576</v>
      </c>
      <c r="L76" s="10"/>
      <c r="M76" s="10"/>
      <c r="N76" s="16" t="s">
        <v>151</v>
      </c>
      <c r="O76" s="10"/>
      <c r="P76" s="11" t="s">
        <v>574</v>
      </c>
      <c r="Q76" s="13" t="s">
        <v>73</v>
      </c>
      <c r="R76" s="14"/>
      <c r="S76" s="14"/>
      <c r="T76" s="13"/>
    </row>
    <row r="77" customFormat="false" ht="23.85" hidden="false" customHeight="false" outlineLevel="0" collapsed="false">
      <c r="A77" s="10" t="n">
        <v>64</v>
      </c>
      <c r="B77" s="10" t="s">
        <v>577</v>
      </c>
      <c r="C77" s="10" t="s">
        <v>24</v>
      </c>
      <c r="D77" s="10" t="s">
        <v>578</v>
      </c>
      <c r="E77" s="10" t="s">
        <v>531</v>
      </c>
      <c r="F77" s="10" t="s">
        <v>532</v>
      </c>
      <c r="G77" s="11" t="s">
        <v>579</v>
      </c>
      <c r="H77" s="10" t="s">
        <v>101</v>
      </c>
      <c r="I77" s="10"/>
      <c r="J77" s="10" t="s">
        <v>580</v>
      </c>
      <c r="K77" s="10" t="s">
        <v>581</v>
      </c>
      <c r="L77" s="10"/>
      <c r="M77" s="10"/>
      <c r="N77" s="16" t="s">
        <v>151</v>
      </c>
      <c r="O77" s="10" t="s">
        <v>582</v>
      </c>
      <c r="P77" s="11" t="s">
        <v>579</v>
      </c>
      <c r="Q77" s="13" t="s">
        <v>73</v>
      </c>
      <c r="R77" s="14"/>
      <c r="S77" s="14"/>
      <c r="T77" s="13"/>
    </row>
    <row r="78" customFormat="false" ht="23.85" hidden="false" customHeight="false" outlineLevel="0" collapsed="false">
      <c r="A78" s="10" t="n">
        <v>65</v>
      </c>
      <c r="B78" s="10" t="s">
        <v>583</v>
      </c>
      <c r="C78" s="10" t="s">
        <v>24</v>
      </c>
      <c r="D78" s="10" t="s">
        <v>584</v>
      </c>
      <c r="E78" s="10" t="s">
        <v>531</v>
      </c>
      <c r="F78" s="10" t="s">
        <v>532</v>
      </c>
      <c r="G78" s="11" t="s">
        <v>585</v>
      </c>
      <c r="H78" s="10" t="s">
        <v>101</v>
      </c>
      <c r="I78" s="10" t="s">
        <v>586</v>
      </c>
      <c r="J78" s="10" t="s">
        <v>587</v>
      </c>
      <c r="K78" s="10" t="s">
        <v>588</v>
      </c>
      <c r="L78" s="10" t="s">
        <v>589</v>
      </c>
      <c r="M78" s="10"/>
      <c r="N78" s="15" t="s">
        <v>93</v>
      </c>
      <c r="O78" s="10"/>
      <c r="P78" s="11" t="s">
        <v>585</v>
      </c>
      <c r="Q78" s="13" t="s">
        <v>73</v>
      </c>
      <c r="R78" s="14"/>
      <c r="S78" s="14"/>
      <c r="T78" s="13"/>
    </row>
    <row r="79" customFormat="false" ht="23.85" hidden="false" customHeight="false" outlineLevel="0" collapsed="false">
      <c r="A79" s="10" t="n">
        <v>66</v>
      </c>
      <c r="B79" s="10" t="s">
        <v>590</v>
      </c>
      <c r="C79" s="10" t="s">
        <v>21</v>
      </c>
      <c r="D79" s="10" t="s">
        <v>591</v>
      </c>
      <c r="E79" s="10" t="s">
        <v>531</v>
      </c>
      <c r="F79" s="10" t="s">
        <v>532</v>
      </c>
      <c r="G79" s="11" t="s">
        <v>592</v>
      </c>
      <c r="H79" s="10" t="s">
        <v>101</v>
      </c>
      <c r="I79" s="10"/>
      <c r="J79" s="10" t="s">
        <v>591</v>
      </c>
      <c r="K79" s="10" t="s">
        <v>593</v>
      </c>
      <c r="L79" s="10" t="s">
        <v>594</v>
      </c>
      <c r="M79" s="10"/>
      <c r="N79" s="16" t="s">
        <v>151</v>
      </c>
      <c r="O79" s="10"/>
      <c r="P79" s="11" t="s">
        <v>592</v>
      </c>
      <c r="Q79" s="13" t="s">
        <v>73</v>
      </c>
      <c r="R79" s="14"/>
      <c r="S79" s="14"/>
      <c r="T79" s="13"/>
    </row>
  </sheetData>
  <mergeCells count="12">
    <mergeCell ref="A2:T2"/>
    <mergeCell ref="A6:T6"/>
    <mergeCell ref="A14:T14"/>
    <mergeCell ref="A17:T17"/>
    <mergeCell ref="A23:T23"/>
    <mergeCell ref="A30:T30"/>
    <mergeCell ref="A41:T41"/>
    <mergeCell ref="A47:T47"/>
    <mergeCell ref="A52:T52"/>
    <mergeCell ref="A56:T56"/>
    <mergeCell ref="A65:T65"/>
    <mergeCell ref="A68:T68"/>
  </mergeCells>
  <dataValidations count="1">
    <dataValidation allowBlank="true" errorStyle="stop" operator="between" showDropDown="false" showErrorMessage="false" showInputMessage="false" sqref="Q2:Q79" type="list">
      <formula1>"Not contacted,Emailed,Called,Replied,Account opened,Price list received,Ordered,Rejected,Not a fit"</formula1>
      <formula2>0</formula2>
    </dataValidation>
  </dataValidations>
  <hyperlinks>
    <hyperlink ref="E3" r:id="rId1" display="https://www.qogita.com"/>
    <hyperlink ref="G3" r:id="rId2" display="https://www.qogita.com"/>
    <hyperlink ref="P3" r:id="rId3" display="https://www.qogita.com/brands/lamour/"/>
    <hyperlink ref="E4" r:id="rId4" display="https://www.novaengel.com"/>
    <hyperlink ref="G4" r:id="rId5" display="https://www.novaengel.com/en/company_wholesaler_perfumery"/>
    <hyperlink ref="P4" r:id="rId6" display="https://www.novaengel.com/en/company_wholesaler_perfumery"/>
    <hyperlink ref="E5" r:id="rId7" display="https://www.bigbuy.eu"/>
    <hyperlink ref="G5" r:id="rId8" display="https://www.bigbuy.eu"/>
    <hyperlink ref="P5" r:id="rId9" display="https://help.wizishop.com/hc/en-us/articles/360015881879-Presentation-of-BigBuy"/>
    <hyperlink ref="E7" r:id="rId10" display="https://beautinow.com"/>
    <hyperlink ref="G7" r:id="rId11" display="https://beautinow.com/wholesale-perfume-supplier-europe/"/>
    <hyperlink ref="P7" r:id="rId12" display="https://beautinow.com/wholesale-perfume-supplier-europe/"/>
    <hyperlink ref="E8" r:id="rId13" display="https://www.beautetrade.com/suppliers/ah-beauty-bv-107939/"/>
    <hyperlink ref="G8" r:id="rId14" display="https://www.beautetrade.com/suppliers/ah-beauty-bv-107939/"/>
    <hyperlink ref="P8" r:id="rId15" display="https://www.beautetrade.com/suppliers/ah-beauty-bv-107939/"/>
    <hyperlink ref="E9" r:id="rId16" display="https://elegancewholesale.co.nl"/>
    <hyperlink ref="G9" r:id="rId17" display="https://elegancewholesale.co.nl/partner-with-us"/>
    <hyperlink ref="P9" r:id="rId18" display="https://elegancewholesale.co.nl/our-services"/>
    <hyperlink ref="E10" r:id="rId19" display="https://tradefor7.com"/>
    <hyperlink ref="G10" r:id="rId20" display="https://tradefor7.com"/>
    <hyperlink ref="P10" r:id="rId21" display="https://www.marktplaats.nl/v/sieraden-tassen-en-uiterlijk/uiterlijk-parfum/m2420639384-volare-french-avenue-swiss-arabian-lattafa-groothandel"/>
    <hyperlink ref="E11" r:id="rId22" display="https://stockperfume.com"/>
    <hyperlink ref="G11" r:id="rId23" display="https://stockperfume.com"/>
    <hyperlink ref="P11" r:id="rId24" display="https://oncosmetics.com/company/stock-perfume/"/>
    <hyperlink ref="E12" r:id="rId25" display="https://www.beautetrade.com/products/global-wholesale-distributor-of-cosmetics-skincare-fragrances/75837"/>
    <hyperlink ref="G12" r:id="rId26" display="https://www.beautetrade.com/products/global-wholesale-distributor-of-cosmetics-skincare-fragrances/75837"/>
    <hyperlink ref="P12" r:id="rId27" display="https://www.beautetrade.com/products/global-wholesale-distributor-of-cosmetics-skincare-fragrances/75837"/>
    <hyperlink ref="E13" r:id="rId28" display="https://laparfumista.com"/>
    <hyperlink ref="G13" r:id="rId29" display="https://laparfumista.com"/>
    <hyperlink ref="P13" r:id="rId30" display="https://oncosmetics.com/company/la-parfumista/"/>
    <hyperlink ref="E15" r:id="rId31" display="https://www.beautylux.be"/>
    <hyperlink ref="G15" r:id="rId32" display="https://www.beautylux.be"/>
    <hyperlink ref="P15" r:id="rId33" display="https://oncosmetics.com/company/beautylux/"/>
    <hyperlink ref="E16" r:id="rId34" display="https://www.fragrance-privee.com"/>
    <hyperlink ref="G16" r:id="rId35" display="https://www.fragrance-privee.com"/>
    <hyperlink ref="P16" r:id="rId36" display="https://www.destockplus.com/acheter/recherche-fournisseur-2-parfumerie.html"/>
    <hyperlink ref="E18" r:id="rId37" display="https://perfume-trading.com"/>
    <hyperlink ref="G18" r:id="rId38" display="https://perfume-trading.com"/>
    <hyperlink ref="P18" r:id="rId39" display="https://ensun.io/search/perfume-cologne-fragrance/germany"/>
    <hyperlink ref="E19" r:id="rId40" display="https://parfumtrend.com"/>
    <hyperlink ref="G19" r:id="rId41" display="https://parfumtrend.com"/>
    <hyperlink ref="P19" r:id="rId42" display="https://oncosmetics.com/company/parfumtrend/"/>
    <hyperlink ref="E20" r:id="rId43" display="https://aromacompany.de"/>
    <hyperlink ref="G20" r:id="rId44" display="https://aromacompany.de"/>
    <hyperlink ref="P20" r:id="rId45" display="https://oncosmetics.com/company/aroma-company"/>
    <hyperlink ref="E21" r:id="rId46" display="https://brocard.com"/>
    <hyperlink ref="G21" r:id="rId47" display="https://brocard.com"/>
    <hyperlink ref="P21" r:id="rId48" display="https://oncosmetics.com/company/brocard/"/>
    <hyperlink ref="E22" r:id="rId49" display="https://www.parfimo.de"/>
    <hyperlink ref="G22" r:id="rId50" display="https://www.parfimo.de"/>
    <hyperlink ref="P22" r:id="rId51" display="https://implisense.com/de/companies/parfimo-gmbh-muenchen-DE5DGBY5YA30"/>
    <hyperlink ref="E24" r:id="rId52" display="https://perfumeeurope.com"/>
    <hyperlink ref="G24" r:id="rId53" display="https://perfumeeurope.com/en/"/>
    <hyperlink ref="P24" r:id="rId54" display="https://perfumeeurope.com/en/"/>
    <hyperlink ref="E25" r:id="rId55" display="https://parfums-en-gros.com"/>
    <hyperlink ref="G25" r:id="rId56" display="https://parfums-en-gros.com"/>
    <hyperlink ref="P25" r:id="rId57" display="https://oncosmetics.com/company/parfums-en-gros/"/>
    <hyperlink ref="E26" r:id="rId58" display="https://www.beautetrade.com/suppliers/europ-cosmetics-209557"/>
    <hyperlink ref="G26" r:id="rId59" display="https://www.beautetrade.com/suppliers/europ-cosmetics-209557"/>
    <hyperlink ref="P26" r:id="rId60" display="https://www.beautetrade.com/suppliers/europ-cosmetics-209557"/>
    <hyperlink ref="E27" r:id="rId61" display="https://grossmaillot.com"/>
    <hyperlink ref="G27" r:id="rId62" display="https://grossmaillot.com"/>
    <hyperlink ref="P27" r:id="rId63" display="https://www.destockplus.com/acheter/recherche-fournisseur-2-parfumerie.html"/>
    <hyperlink ref="E28" r:id="rId64" display="https://royaumeduparfumparis.com"/>
    <hyperlink ref="G28" r:id="rId65" display="https://royaumeduparfumparis.com"/>
    <hyperlink ref="P28" r:id="rId66" display="https://oncosmetics.com/company/royaume-du-parfum-international-rpi/"/>
    <hyperlink ref="E29" r:id="rId67" display="https://www.firozadistribution.com"/>
    <hyperlink ref="G29" r:id="rId68" display="https://www.firozadistribution.com"/>
    <hyperlink ref="P29" r:id="rId69" display="https://www.destockplus.com/acheter/c-813880-firoza-distribution-destockage.html"/>
    <hyperlink ref="E31" r:id="rId70" display="https://oceanfragrances.com"/>
    <hyperlink ref="G31" r:id="rId71" display="https://oceanfragrances.com/es/"/>
    <hyperlink ref="P31" r:id="rId72" display="https://www.proveedores.com/proveedores/ocean-fragrances/"/>
    <hyperlink ref="E32" r:id="rId73" display="https://www.distribuidorperfumes.com"/>
    <hyperlink ref="G32" r:id="rId74" display="https://www.distribuidorperfumes.com/"/>
    <hyperlink ref="P32" r:id="rId75" display="https://www.proveedores.com/proveedores/distribuidor-perfumes/"/>
    <hyperlink ref="E33" r:id="rId76" display="https://www.igmaco.com"/>
    <hyperlink ref="G33" r:id="rId77" display="https://www.igmaco.com"/>
    <hyperlink ref="P33" r:id="rId78" display="https://oncosmetics.com/company/igmaco/"/>
    <hyperlink ref="E34" r:id="rId79" display="https://madallmes.com"/>
    <hyperlink ref="G34" r:id="rId80" display="https://madallmes.com"/>
    <hyperlink ref="P34" r:id="rId81" display="https://proveedores.com/proveedores/madallmes/"/>
    <hyperlink ref="E35" r:id="rId82" display="https://www.pyd.es"/>
    <hyperlink ref="G35" r:id="rId83" display="https://www.pyd.es"/>
    <hyperlink ref="P35" r:id="rId84" display="https://empresite.eleconomista.es/PERFUMES-DISENO-ESPANA.html"/>
    <hyperlink ref="E36" r:id="rId85" display="https://www.orientfragance.com"/>
    <hyperlink ref="G36" r:id="rId86" display="https://www.orientfragance.com/en/pages/contact"/>
    <hyperlink ref="P36" r:id="rId87" display="https://www.orientfragance.com/en/pages/contacto"/>
    <hyperlink ref="E37" r:id="rId88" display="https://gpd.es"/>
    <hyperlink ref="G37" r:id="rId89" display="https://gpd.es"/>
    <hyperlink ref="P37" r:id="rId90" display="https://oncosmetics.com/company/gpd-central-de-perfumeria-y-cosmetica/"/>
    <hyperlink ref="E38" r:id="rId91" display="https://mayoristaperfumeria.es"/>
    <hyperlink ref="G38" r:id="rId92" display="https://mayoristaperfumeria.es"/>
    <hyperlink ref="P38" r:id="rId93" display="https://oncosmetics.com/company/mayoristaperfumeria/"/>
    <hyperlink ref="E39" r:id="rId94" display="https://www.quisben.com"/>
    <hyperlink ref="G39" r:id="rId95" display="https://www.quisben.com"/>
    <hyperlink ref="P39" r:id="rId96" display="https://oncosmetics.com/company/quisben-iberica-s-l/"/>
    <hyperlink ref="E40" r:id="rId97" display="https://beautyway.es"/>
    <hyperlink ref="G40" r:id="rId98" display="https://beautyway.es"/>
    <hyperlink ref="P40" r:id="rId99" display="https://oncosmetics.com/company/beauty-way-sl/"/>
    <hyperlink ref="E42" r:id="rId100" display="https://www.parfulandiastore.it"/>
    <hyperlink ref="G42" r:id="rId101" display="https://www.parfulandiastore.it"/>
    <hyperlink ref="P42" r:id="rId102" display="https://oncosmetics.com/company/parfulandia-srl/"/>
    <hyperlink ref="E43" r:id="rId103" display="https://globalperfumes.it"/>
    <hyperlink ref="G43" r:id="rId104" display="https://globalperfumes.it"/>
    <hyperlink ref="P43" r:id="rId105" display="https://oncosmetics.com/company/global-perfumes"/>
    <hyperlink ref="E44" r:id="rId106" display="https://amorettiprofumi.com"/>
    <hyperlink ref="G44" r:id="rId107" display="https://amorettiprofumi.com"/>
    <hyperlink ref="P44" r:id="rId108" display="https://atoka.io/public/it/azienda/amoretti-profumi-srl/e6a0a9e0c2b7"/>
    <hyperlink ref="E45" r:id="rId109" display="https://www.profumeriepep.it"/>
    <hyperlink ref="G45" r:id="rId110" display="https://www.profumeriepep.it"/>
    <hyperlink ref="P45" r:id="rId111" display="https://atoka.io/public/it/azienda/profumerie-p-p-srl/b936935a4339"/>
    <hyperlink ref="E46" r:id="rId112" display="https://www.tddistribuzione.com"/>
    <hyperlink ref="G46" r:id="rId113" display="https://www.tddistribuzione.com"/>
    <hyperlink ref="P46" r:id="rId114" display="https://oncosmetics.com/company/t-d-distribuzione-srl/"/>
    <hyperlink ref="E48" r:id="rId115" display="https://perfume-supplier.eu"/>
    <hyperlink ref="G48" r:id="rId116" display="https://perfume-supplier.eu"/>
    <hyperlink ref="P48" r:id="rId117" display="https://oncosmetics.com/company/charms-perfumes-and-cosmetics/"/>
    <hyperlink ref="E49" r:id="rId118" display="https://avemi.com"/>
    <hyperlink ref="G49" r:id="rId119" display="https://avemi.com"/>
    <hyperlink ref="P49" r:id="rId120" display="https://emis.cn/php/company-profile/PL/Avemi_Sp_z_oo_en_3712319.html"/>
    <hyperlink ref="E50" r:id="rId121" display="https://hurtowniaperfum.com.pl"/>
    <hyperlink ref="G50" r:id="rId122" display="https://hurtowniaperfum.com.pl"/>
    <hyperlink ref="P50" r:id="rId123" display="https://oncosmetics.com/company/hurtownia-perfum/"/>
    <hyperlink ref="E51" r:id="rId124" display="https://solg.pl"/>
    <hyperlink ref="G51" r:id="rId125" display="https://solg.pl"/>
    <hyperlink ref="P51" r:id="rId126" display="https://oncosmetics.com/company/solg-oskar-szumacher/"/>
    <hyperlink ref="E53" r:id="rId127" display="https://www.bjutip.com"/>
    <hyperlink ref="G53" r:id="rId128" display="https://www.bjutip.com/register"/>
    <hyperlink ref="P53" r:id="rId129" display="https://bjutip.com/contact_us"/>
    <hyperlink ref="E54" r:id="rId130" display="https://wholesale.brasty.com"/>
    <hyperlink ref="G54" r:id="rId131" display="https://wholesale.brasty.com/"/>
    <hyperlink ref="P54" r:id="rId132" display="https://wholesale.brasty.com/"/>
    <hyperlink ref="E55" r:id="rId133" display="https://www.fragrances-wholesale.eu"/>
    <hyperlink ref="G55" r:id="rId134" display="https://www.fragrances-wholesale.eu"/>
    <hyperlink ref="P55" r:id="rId135" display="https://www.fragrances-wholesale.eu/info/terms-and-conditions-nr"/>
    <hyperlink ref="E57" r:id="rId136" display="https://parfumuri-engros.ro"/>
    <hyperlink ref="G57" r:id="rId137" display="https://parfumuri-engros.ro"/>
    <hyperlink ref="P57" r:id="rId138" display="https://oncosmetics.com/company/parfumuri-engros/"/>
    <hyperlink ref="E58" r:id="rId139" display="https://romscent.com"/>
    <hyperlink ref="G58" r:id="rId140" display="https://romscent.com"/>
    <hyperlink ref="P58" r:id="rId141" display="https://www.revistabiz.ro/gulf-orchid-brandul-de-parfumerie-accesibila-unul-dintre-principalele-motoare-de-crestere-din-portofoliul-romscent-trading/"/>
    <hyperlink ref="E59" r:id="rId142" display="https://qudobeauty.com"/>
    <hyperlink ref="G59" r:id="rId143" display="https://qudobeauty.com/perfumes-and-fragrances-wholesale/"/>
    <hyperlink ref="P59" r:id="rId144" display="https://qudobeauty.com/perfumes-and-fragrances-wholesale/"/>
    <hyperlink ref="E60" r:id="rId145" display="https://www.perfumes-supplier.com"/>
    <hyperlink ref="G60" r:id="rId146" display="https://www.perfumes-supplier.com"/>
    <hyperlink ref="P60" r:id="rId147" display="https://oncosmetics.com/company/ventus-s-a/"/>
    <hyperlink ref="E61" r:id="rId148" display="https://odora.bg"/>
    <hyperlink ref="G61" r:id="rId149" display="https://odora.bg"/>
    <hyperlink ref="P61" r:id="rId150" display="https://oncosmetics.com/company/odora-beauty-corp-ad/"/>
    <hyperlink ref="E62" r:id="rId151" display="https://aromaray.bg"/>
    <hyperlink ref="G62" r:id="rId152" display="https://aromaray.bg"/>
    <hyperlink ref="P62" r:id="rId153" display="https://oncosmetics.com/company/aromaray-ltd-ood/"/>
    <hyperlink ref="E63" r:id="rId154" display="https://fragrances.bg"/>
    <hyperlink ref="G63" r:id="rId155" display="https://fragrances.bg"/>
    <hyperlink ref="P63" r:id="rId156" display="https://en.wikipedia.org/wiki/Venera_Cosmetics"/>
    <hyperlink ref="E64" r:id="rId157" display="https://parfen.hu"/>
    <hyperlink ref="G64" r:id="rId158" display="https://parfen.hu"/>
    <hyperlink ref="P64" r:id="rId159" display="https://oncosmetics.com/company/parfen/"/>
    <hyperlink ref="E66" r:id="rId160" display="https://per-fumes.com"/>
    <hyperlink ref="G66" r:id="rId161" display="https://per-fumes.com"/>
    <hyperlink ref="P66" r:id="rId162" display="https://oncosmetics.com/company/amco-group-uab/"/>
    <hyperlink ref="E67" r:id="rId163" display="https://selectiveparfums.at"/>
    <hyperlink ref="G67" r:id="rId164" display="https://selectiveparfums.at"/>
    <hyperlink ref="P67" r:id="rId165" display="https://oncosmetics.com/company/selective-parfums/"/>
    <hyperlink ref="G69" r:id="rId166" display="https://www.aplikuj.pl/pracodawca/380091/parfum-company-sp-z-o-o-s-k-a"/>
    <hyperlink ref="P69" r:id="rId167" display="https://www.aplikuj.pl/pracodawca/380091/parfum-company-sp-z-o-o-s-k-a"/>
    <hyperlink ref="G70" r:id="rId168" display="https://www.aplikuj.pl/pracodawca/80046/misterm-plus-sp-z-o-o-spolka-komandytowa"/>
    <hyperlink ref="P70" r:id="rId169" display="https://www.aplikuj.pl/pracodawca/80046/misterm-plus-sp-z-o-o-spolka-komandytowa"/>
    <hyperlink ref="G71" r:id="rId170" display="https://ensun.io/search/perfume-cologne"/>
    <hyperlink ref="P71" r:id="rId171" display="https://ensun.io/search/perfume-cologne"/>
    <hyperlink ref="G72" r:id="rId172" display="https://funnelfeedr.com/en/company/se/sar-beauty-ab-5595032482"/>
    <hyperlink ref="P72" r:id="rId173" display="https://funnelfeedr.com/en/company/se/sar-beauty-ab-5595032482"/>
    <hyperlink ref="G73" r:id="rId174" display="https://us.kompass.com/c/azurtis/be0018421/"/>
    <hyperlink ref="P73" r:id="rId175" display="https://us.kompass.com/c/azurtis/be0018421/"/>
    <hyperlink ref="G74" r:id="rId176" display="https://es.kompass.com/c/diotima/be0038464/"/>
    <hyperlink ref="P74" r:id="rId177" display="https://es.kompass.com/c/diotima/be0038464/"/>
    <hyperlink ref="G75" r:id="rId178" display="https://fr.kompass.com/en/c/intercosmo/be0180009/"/>
    <hyperlink ref="P75" r:id="rId179" display="https://fr.kompass.com/en/c/intercosmo/be0180009/"/>
    <hyperlink ref="G76" r:id="rId180" display="https://fr.kompass.com/c/sofrapar/fr0078081/"/>
    <hyperlink ref="P76" r:id="rId181" display="https://fr.kompass.com/c/sofrapar/fr0078081/"/>
    <hyperlink ref="G77" r:id="rId182" display="https://atoka.io/public/it/azienda/mr-parfums-srl-a-socio-unico/f8ca86bdc544"/>
    <hyperlink ref="P77" r:id="rId183" display="https://atoka.io/public/it/azienda/mr-parfums-srl-a-socio-unico/f8ca86bdc544"/>
    <hyperlink ref="G78" r:id="rId184" display="https://atoka.io/public/it/azienda/consorzio-profumerie-estasi/3cca13127885"/>
    <hyperlink ref="P78" r:id="rId185" display="https://atoka.io/public/it/azienda/consorzio-profumerie-estasi/3cca13127885"/>
    <hyperlink ref="G79" r:id="rId186" display="https://oncosmetics.com/company/icos-international-cosmetics-gmbh/"/>
    <hyperlink ref="P79" r:id="rId187" display="https://oncosmetics.com/company/icos-international-cosmetics-gmbh/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4"/>
    <col collapsed="false" customWidth="true" hidden="false" outlineLevel="0" max="3" min="3" style="0" width="14"/>
    <col collapsed="false" customWidth="true" hidden="false" outlineLevel="0" max="4" min="4" style="0" width="22"/>
    <col collapsed="false" customWidth="true" hidden="false" outlineLevel="0" max="5" min="5" style="0" width="36"/>
    <col collapsed="false" customWidth="true" hidden="false" outlineLevel="0" max="6" min="6" style="0" width="16"/>
    <col collapsed="false" customWidth="true" hidden="false" outlineLevel="0" max="7" min="7" style="0" width="40"/>
    <col collapsed="false" customWidth="true" hidden="false" outlineLevel="0" max="8" min="8" style="0" width="30"/>
    <col collapsed="false" customWidth="true" hidden="false" outlineLevel="0" max="9" min="9" style="0" width="24"/>
    <col collapsed="false" customWidth="true" hidden="false" outlineLevel="0" max="10" min="10" style="0" width="34"/>
    <col collapsed="false" customWidth="true" hidden="false" outlineLevel="0" max="11" min="11" style="0" width="30"/>
    <col collapsed="false" customWidth="true" hidden="false" outlineLevel="0" max="12" min="12" style="0" width="42"/>
    <col collapsed="false" customWidth="true" hidden="false" outlineLevel="0" max="13" min="13" style="0" width="34"/>
    <col collapsed="false" customWidth="true" hidden="false" outlineLevel="0" max="14" min="14" style="0" width="10"/>
    <col collapsed="false" customWidth="true" hidden="false" outlineLevel="0" max="15" min="15" style="0" width="40"/>
    <col collapsed="false" customWidth="true" hidden="false" outlineLevel="0" max="16" min="16" style="0" width="38"/>
    <col collapsed="false" customWidth="true" hidden="false" outlineLevel="0" max="17" min="17" style="0" width="16"/>
    <col collapsed="false" customWidth="true" hidden="false" outlineLevel="0" max="19" min="18" style="0" width="14"/>
    <col collapsed="false" customWidth="true" hidden="false" outlineLevel="0" max="20" min="20" style="0" width="30"/>
  </cols>
  <sheetData>
    <row r="1" customFormat="false" ht="30" hidden="false" customHeight="true" outlineLevel="0" collapsed="false">
      <c r="A1" s="8" t="s">
        <v>42</v>
      </c>
      <c r="B1" s="8" t="s">
        <v>43</v>
      </c>
      <c r="C1" s="8" t="s">
        <v>14</v>
      </c>
      <c r="D1" s="8" t="s">
        <v>44</v>
      </c>
      <c r="E1" s="8" t="s">
        <v>45</v>
      </c>
      <c r="F1" s="8" t="s">
        <v>46</v>
      </c>
      <c r="G1" s="8" t="s">
        <v>47</v>
      </c>
      <c r="H1" s="8" t="s">
        <v>48</v>
      </c>
      <c r="I1" s="8" t="s">
        <v>49</v>
      </c>
      <c r="J1" s="8" t="s">
        <v>50</v>
      </c>
      <c r="K1" s="8" t="s">
        <v>51</v>
      </c>
      <c r="L1" s="8" t="s">
        <v>52</v>
      </c>
      <c r="M1" s="8" t="s">
        <v>53</v>
      </c>
      <c r="N1" s="8" t="s">
        <v>54</v>
      </c>
      <c r="O1" s="8" t="s">
        <v>55</v>
      </c>
      <c r="P1" s="8" t="s">
        <v>56</v>
      </c>
      <c r="Q1" s="8" t="s">
        <v>57</v>
      </c>
      <c r="R1" s="8" t="s">
        <v>58</v>
      </c>
      <c r="S1" s="8" t="s">
        <v>59</v>
      </c>
      <c r="T1" s="8" t="s">
        <v>60</v>
      </c>
    </row>
    <row r="2" customFormat="false" ht="21.75" hidden="false" customHeight="true" outlineLevel="0" collapsed="false">
      <c r="A2" s="9" t="s">
        <v>595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</row>
    <row r="3" customFormat="false" ht="23.85" hidden="false" customHeight="false" outlineLevel="0" collapsed="false">
      <c r="A3" s="10" t="n">
        <v>1</v>
      </c>
      <c r="B3" s="10" t="s">
        <v>596</v>
      </c>
      <c r="C3" s="10" t="s">
        <v>597</v>
      </c>
      <c r="D3" s="10" t="s">
        <v>598</v>
      </c>
      <c r="E3" s="11" t="s">
        <v>599</v>
      </c>
      <c r="F3" s="10" t="s">
        <v>127</v>
      </c>
      <c r="G3" s="11" t="s">
        <v>599</v>
      </c>
      <c r="H3" s="10" t="s">
        <v>101</v>
      </c>
      <c r="I3" s="10"/>
      <c r="J3" s="10" t="s">
        <v>600</v>
      </c>
      <c r="K3" s="10" t="s">
        <v>601</v>
      </c>
      <c r="L3" s="10" t="s">
        <v>602</v>
      </c>
      <c r="M3" s="10"/>
      <c r="N3" s="12" t="s">
        <v>70</v>
      </c>
      <c r="O3" s="10"/>
      <c r="P3" s="11" t="s">
        <v>603</v>
      </c>
      <c r="Q3" s="13" t="s">
        <v>73</v>
      </c>
      <c r="R3" s="14"/>
      <c r="S3" s="14"/>
      <c r="T3" s="13"/>
    </row>
    <row r="4" customFormat="false" ht="23.85" hidden="false" customHeight="false" outlineLevel="0" collapsed="false">
      <c r="A4" s="10" t="n">
        <v>2</v>
      </c>
      <c r="B4" s="10" t="s">
        <v>604</v>
      </c>
      <c r="C4" s="10" t="s">
        <v>597</v>
      </c>
      <c r="D4" s="10"/>
      <c r="E4" s="11" t="s">
        <v>605</v>
      </c>
      <c r="F4" s="10" t="s">
        <v>127</v>
      </c>
      <c r="G4" s="11" t="s">
        <v>605</v>
      </c>
      <c r="H4" s="10" t="s">
        <v>101</v>
      </c>
      <c r="I4" s="10"/>
      <c r="J4" s="10"/>
      <c r="K4" s="10" t="s">
        <v>606</v>
      </c>
      <c r="L4" s="10" t="s">
        <v>607</v>
      </c>
      <c r="M4" s="10"/>
      <c r="N4" s="15" t="s">
        <v>93</v>
      </c>
      <c r="O4" s="10"/>
      <c r="P4" s="11" t="s">
        <v>608</v>
      </c>
      <c r="Q4" s="13" t="s">
        <v>73</v>
      </c>
      <c r="R4" s="14"/>
      <c r="S4" s="14"/>
      <c r="T4" s="13"/>
    </row>
    <row r="5" customFormat="false" ht="23.85" hidden="false" customHeight="false" outlineLevel="0" collapsed="false">
      <c r="A5" s="10" t="n">
        <v>3</v>
      </c>
      <c r="B5" s="10" t="s">
        <v>609</v>
      </c>
      <c r="C5" s="10" t="s">
        <v>597</v>
      </c>
      <c r="D5" s="10"/>
      <c r="E5" s="10" t="s">
        <v>531</v>
      </c>
      <c r="F5" s="10" t="s">
        <v>532</v>
      </c>
      <c r="G5" s="11" t="s">
        <v>610</v>
      </c>
      <c r="H5" s="10" t="s">
        <v>101</v>
      </c>
      <c r="I5" s="10"/>
      <c r="J5" s="10" t="s">
        <v>611</v>
      </c>
      <c r="K5" s="10" t="s">
        <v>612</v>
      </c>
      <c r="L5" s="10"/>
      <c r="M5" s="10"/>
      <c r="N5" s="16" t="s">
        <v>151</v>
      </c>
      <c r="O5" s="10"/>
      <c r="P5" s="11" t="s">
        <v>610</v>
      </c>
      <c r="Q5" s="13" t="s">
        <v>73</v>
      </c>
      <c r="R5" s="14"/>
      <c r="S5" s="14"/>
      <c r="T5" s="13"/>
    </row>
  </sheetData>
  <mergeCells count="1">
    <mergeCell ref="A2:T2"/>
  </mergeCells>
  <dataValidations count="1">
    <dataValidation allowBlank="true" errorStyle="stop" operator="between" showDropDown="false" showErrorMessage="false" showInputMessage="false" sqref="Q2:Q5" type="list">
      <formula1>"Not contacted,Emailed,Called,Replied,Account opened,Price list received,Ordered,Rejected,Not a fit"</formula1>
      <formula2>0</formula2>
    </dataValidation>
  </dataValidations>
  <hyperlinks>
    <hyperlink ref="E3" r:id="rId1" display="https://www.shaneel.com"/>
    <hyperlink ref="G3" r:id="rId2" display="https://www.shaneel.com"/>
    <hyperlink ref="P3" r:id="rId3" display="https://jobs.workable.com/companies/iKxrmDgx2D2P41Cmp6pAvV.md"/>
    <hyperlink ref="E4" r:id="rId4" display="https://affinityfragrances.com"/>
    <hyperlink ref="G4" r:id="rId5" display="https://affinityfragrances.com"/>
    <hyperlink ref="P4" r:id="rId6" display="https://retail-merchandiser.com/news/affinity-fragrances-focus-on-trust-agility-and-long-term-partnerships-is-driving-its-international-expansion/"/>
    <hyperlink ref="G5" r:id="rId7" display="https://find-and-update.company-information.service.gov.uk/company/14662527"/>
    <hyperlink ref="P5" r:id="rId8" display="https://find-and-update.company-information.service.gov.uk/company/14662527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10"/>
  </cols>
  <sheetData>
    <row r="1" customFormat="false" ht="15" hidden="false" customHeight="false" outlineLevel="0" collapsed="false">
      <c r="A1" s="17" t="s">
        <v>613</v>
      </c>
      <c r="B1" s="18" t="s">
        <v>614</v>
      </c>
    </row>
    <row r="2" customFormat="false" ht="15" hidden="false" customHeight="false" outlineLevel="0" collapsed="false">
      <c r="A2" s="17"/>
      <c r="B2" s="18"/>
    </row>
    <row r="3" customFormat="false" ht="15" hidden="false" customHeight="false" outlineLevel="0" collapsed="false">
      <c r="A3" s="17" t="s">
        <v>615</v>
      </c>
      <c r="B3" s="18" t="s">
        <v>616</v>
      </c>
    </row>
    <row r="4" customFormat="false" ht="23.85" hidden="false" customHeight="false" outlineLevel="0" collapsed="false">
      <c r="A4" s="17"/>
      <c r="B4" s="18" t="s">
        <v>617</v>
      </c>
    </row>
    <row r="5" customFormat="false" ht="15" hidden="false" customHeight="false" outlineLevel="0" collapsed="false">
      <c r="A5" s="17"/>
      <c r="B5" s="18" t="s">
        <v>618</v>
      </c>
    </row>
    <row r="6" customFormat="false" ht="15" hidden="false" customHeight="false" outlineLevel="0" collapsed="false">
      <c r="A6" s="17"/>
      <c r="B6" s="18" t="s">
        <v>619</v>
      </c>
    </row>
    <row r="7" customFormat="false" ht="15" hidden="false" customHeight="false" outlineLevel="0" collapsed="false">
      <c r="A7" s="17"/>
      <c r="B7" s="18" t="s">
        <v>620</v>
      </c>
    </row>
    <row r="8" customFormat="false" ht="15" hidden="false" customHeight="false" outlineLevel="0" collapsed="false">
      <c r="A8" s="17"/>
      <c r="B8" s="18" t="s">
        <v>621</v>
      </c>
    </row>
    <row r="9" customFormat="false" ht="23.85" hidden="false" customHeight="false" outlineLevel="0" collapsed="false">
      <c r="A9" s="17"/>
      <c r="B9" s="18" t="s">
        <v>622</v>
      </c>
    </row>
    <row r="10" customFormat="false" ht="15" hidden="false" customHeight="false" outlineLevel="0" collapsed="false">
      <c r="A10" s="17"/>
      <c r="B10" s="18" t="s">
        <v>623</v>
      </c>
    </row>
    <row r="11" customFormat="false" ht="15" hidden="false" customHeight="false" outlineLevel="0" collapsed="false">
      <c r="A11" s="17"/>
      <c r="B11" s="18" t="s">
        <v>624</v>
      </c>
    </row>
    <row r="12" customFormat="false" ht="15" hidden="false" customHeight="false" outlineLevel="0" collapsed="false">
      <c r="A12" s="17"/>
      <c r="B12" s="18" t="s">
        <v>625</v>
      </c>
    </row>
    <row r="13" customFormat="false" ht="15" hidden="false" customHeight="false" outlineLevel="0" collapsed="false">
      <c r="A13" s="17"/>
      <c r="B13" s="18" t="s">
        <v>626</v>
      </c>
    </row>
    <row r="14" customFormat="false" ht="15" hidden="false" customHeight="false" outlineLevel="0" collapsed="false">
      <c r="A14" s="17"/>
      <c r="B14" s="18" t="s">
        <v>627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2026-10-12T22:00:27Z</dcterms:created>
  <dc:creator>openpyxl</dc:creator>
  <dc:description/>
  <dc:language>en-US</dc:language>
  <cp:lastModifiedBy/>
  <dcterms:modified xsi:type="dcterms:W3CDTF">2026-10-12T22:00:27Z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