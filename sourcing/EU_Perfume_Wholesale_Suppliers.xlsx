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EU Suppliers" sheetId="2" state="visible" r:id="rId4"/>
    <sheet name="UK Suppliers (non-EU)" sheetId="3" state="visible" r:id="rId5"/>
    <sheet name="Outreach Email Template" sheetId="4" state="visible" r:id="rId6"/>
  </sheets>
  <definedNames>
    <definedName function="false" hidden="true" localSheetId="1" name="_xlnm._FilterDatabase" vbProcedure="false">'EU Suppliers'!$A$1:$R$68</definedName>
    <definedName function="false" hidden="true" localSheetId="2" name="_xlnm._FilterDatabase" vbProcedure="false">'UK Suppliers (non-EU)'!$A$1:$R$4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<sst xmlns="http://schemas.openxmlformats.org/spreadsheetml/2006/main" count="898" uniqueCount="556">
  <si>
    <t xml:space="preserve">EU Perfume &amp; Aftershave Wholesale Suppliers - Outreach List</t>
  </si>
  <si>
    <t xml:space="preserve">Compiled Oct 2026 from public web sources. Contact details come from supplier sites and directories - verify before sending orders or payment.</t>
  </si>
  <si>
    <t xml:space="preserve">Metric</t>
  </si>
  <si>
    <t xml:space="preserve">Count</t>
  </si>
  <si>
    <t xml:space="preserve">Total EU suppliers</t>
  </si>
  <si>
    <t xml:space="preserve">High priority</t>
  </si>
  <si>
    <t xml:space="preserve">Medium priority</t>
  </si>
  <si>
    <t xml:space="preserve">Low priority / caution</t>
  </si>
  <si>
    <t xml:space="preserve">With a direct email listed</t>
  </si>
  <si>
    <t xml:space="preserve">Contacted so far</t>
  </si>
  <si>
    <t xml:space="preserve">Accounts opened</t>
  </si>
  <si>
    <t xml:space="preserve">Suppliers by country</t>
  </si>
  <si>
    <t xml:space="preserve">Country</t>
  </si>
  <si>
    <t xml:space="preserve">Suppliers</t>
  </si>
  <si>
    <t xml:space="preserve">Austria</t>
  </si>
  <si>
    <t xml:space="preserve">Belgium</t>
  </si>
  <si>
    <t xml:space="preserve">Bulgaria</t>
  </si>
  <si>
    <t xml:space="preserve">Czech Republic</t>
  </si>
  <si>
    <t xml:space="preserve">France</t>
  </si>
  <si>
    <t xml:space="preserve">Germany</t>
  </si>
  <si>
    <t xml:space="preserve">Greece</t>
  </si>
  <si>
    <t xml:space="preserve">Hungary</t>
  </si>
  <si>
    <t xml:space="preserve">Italy</t>
  </si>
  <si>
    <t xml:space="preserve">Lithuania</t>
  </si>
  <si>
    <t xml:space="preserve">Netherlands</t>
  </si>
  <si>
    <t xml:space="preserve">Poland</t>
  </si>
  <si>
    <t xml:space="preserve">Romania</t>
  </si>
  <si>
    <t xml:space="preserve">Spain</t>
  </si>
  <si>
    <t xml:space="preserve">Sweden</t>
  </si>
  <si>
    <t xml:space="preserve">HOW TO USE</t>
  </si>
  <si>
    <t xml:space="preserve">- Priority: High = designer/branded focus, clear B2B terms or official distributor; Medium = relevant but unverified; Low = directory-only, mainly retail, or a risk flag.</t>
  </si>
  <si>
    <t xml:space="preserve">- Yellow columns (Outreach Status, Date Contacted, Follow-up Date, Response) are yours to fill in. Status has a drop-down.</t>
  </si>
  <si>
    <t xml:space="preserve">- 'Not public' in Email = the address is behind the supplier's contact form or a directory paywall. Use the website contact page / Impressum / Mentions légales.</t>
  </si>
  <si>
    <t xml:space="preserve">AMAZON-SPECIFIC CHECKS BEFORE BUYING</t>
  </si>
  <si>
    <t xml:space="preserve">- Ask for a sample invoice: it must show the supplier's full company name, address, VAT number, your business name/address, and product names + quantities.</t>
  </si>
  <si>
    <t xml:space="preserve">- Amazon ungating for fragrance usually needs invoices from a manufacturer or distributor, often for 10+ units in the last 180 days. Ask suppliers if their invoices have passed Amazon ungating before.</t>
  </si>
  <si>
    <t xml:space="preserve">- Ask for a Letter of Authorisation or proof of chain of supply for brands that are restricted or brand-registered (Chanel, Dior, Tom Ford etc. are usually not resellable).</t>
  </si>
  <si>
    <t xml:space="preserve">- Avoid 'equivalents', 'dupes', 'testers' and unusually cheap stock (e.g. under EUR 5 a bottle for a designer brand). These risk inauthentic complaints and account suspension.</t>
  </si>
  <si>
    <t xml:space="preserve">- Check the VAT number on VIES (ec.europa.eu/taxation_customs/vies) and the company registry (KvK, Handelsregister, Pappers, KRS, ARES) before paying.</t>
  </si>
  <si>
    <t xml:space="preserve">#</t>
  </si>
  <si>
    <t xml:space="preserve">Company</t>
  </si>
  <si>
    <t xml:space="preserve">City / Region</t>
  </si>
  <si>
    <t xml:space="preserve">Website / Sign-up URL</t>
  </si>
  <si>
    <t xml:space="preserve">Email</t>
  </si>
  <si>
    <t xml:space="preserve">Phone</t>
  </si>
  <si>
    <t xml:space="preserve">Address</t>
  </si>
  <si>
    <t xml:space="preserve">Supplier Type</t>
  </si>
  <si>
    <t xml:space="preserve">Brands / Focus</t>
  </si>
  <si>
    <t xml:space="preserve">MOQ / Terms</t>
  </si>
  <si>
    <t xml:space="preserve">Priority</t>
  </si>
  <si>
    <t xml:space="preserve">Notes / Risk Flags</t>
  </si>
  <si>
    <t xml:space="preserve">Source (where found)</t>
  </si>
  <si>
    <t xml:space="preserve">Outreach Status</t>
  </si>
  <si>
    <t xml:space="preserve">Date Contacted</t>
  </si>
  <si>
    <t xml:space="preserve">Follow-up Date</t>
  </si>
  <si>
    <t xml:space="preserve">Response / Notes</t>
  </si>
  <si>
    <t xml:space="preserve">Qogita</t>
  </si>
  <si>
    <t xml:space="preserve">Amsterdam</t>
  </si>
  <si>
    <t xml:space="preserve">https://www.qogita.com</t>
  </si>
  <si>
    <t xml:space="preserve">Via in-app / help centre after sign-up</t>
  </si>
  <si>
    <t xml:space="preserve">Amsterdam, NL</t>
  </si>
  <si>
    <t xml:space="preserve">B2B wholesale marketplace (500+ vetted distributors)</t>
  </si>
  <si>
    <t xml:space="preserve">Health, beauty &amp; fragrance - big designer brands; GTIN-based catalogue</t>
  </si>
  <si>
    <t xml:space="preserve">Low MOQ; free shipping offers; supplies invoices for 3rd-party resellers</t>
  </si>
  <si>
    <t xml:space="preserve">High</t>
  </si>
  <si>
    <t xml:space="preserve">Popular with Amazon sellers; invoices issued by Qogita. Check per-brand Amazon ungating acceptance.</t>
  </si>
  <si>
    <t xml:space="preserve">https://www.qogita.com/brands/lamour/</t>
  </si>
  <si>
    <t xml:space="preserve">Not contacted</t>
  </si>
  <si>
    <t xml:space="preserve">Nova Engel</t>
  </si>
  <si>
    <t xml:space="preserve">Palma de Mallorca (logistics Madrid)</t>
  </si>
  <si>
    <t xml:space="preserve">https://www.novaengel.com/en/</t>
  </si>
  <si>
    <t xml:space="preserve">Via website contact form</t>
  </si>
  <si>
    <t xml:space="preserve">+34 971 75 67 27 / 902 999 169</t>
  </si>
  <si>
    <t xml:space="preserve">C/ Asipo 4, 07011 Palma de Mallorca</t>
  </si>
  <si>
    <t xml:space="preserve">Wholesaler + dropship/crossdock (B2B only)</t>
  </si>
  <si>
    <t xml:space="preserve">Perfumery &amp; cosmetics, large branded catalogue; API for wholesale &amp; dropship</t>
  </si>
  <si>
    <t xml:space="preserve">Professional buyers only; register account</t>
  </si>
  <si>
    <t xml:space="preserve">75+ years trading; well-established perfumery wholesaler.</t>
  </si>
  <si>
    <t xml:space="preserve">https://www.novaengel.com/en/company_wholesaler_perfumery</t>
  </si>
  <si>
    <t xml:space="preserve">BigBuy</t>
  </si>
  <si>
    <t xml:space="preserve">Aldaia (Valencia)</t>
  </si>
  <si>
    <t xml:space="preserve">https://www.bigbuy.eu</t>
  </si>
  <si>
    <t xml:space="preserve">Via website</t>
  </si>
  <si>
    <t xml:space="preserve">Aldaia, Valencia</t>
  </si>
  <si>
    <t xml:space="preserve">B2B wholesale / dropship platform</t>
  </si>
  <si>
    <t xml:space="preserve">Multi-category incl. perfume &amp; cosmetics</t>
  </si>
  <si>
    <t xml:space="preserve">Subscription packs (~EUR 69-99/month + setup fee) - verify</t>
  </si>
  <si>
    <t xml:space="preserve">Medium</t>
  </si>
  <si>
    <t xml:space="preserve">Easy to start; prices higher than specialist perfume wholesalers.</t>
  </si>
  <si>
    <t xml:space="preserve">https://help.wizishop.com/hc/en-us/articles/360015881879-Presentation-of-BigBuy</t>
  </si>
  <si>
    <t xml:space="preserve">Beautinow</t>
  </si>
  <si>
    <t xml:space="preserve">(NL warehouse)</t>
  </si>
  <si>
    <t xml:space="preserve">https://beautinow.com/wholesale-perfume-supplier-europe/</t>
  </si>
  <si>
    <t xml:space="preserve">Not public - use website contact form / Impressum</t>
  </si>
  <si>
    <t xml:space="preserve">Perfume wholesaler &amp; dropship</t>
  </si>
  <si>
    <t xml:space="preserve">2,000+ fragrances, niche &amp; designer brands; buys direct from houses/distributors</t>
  </si>
  <si>
    <t xml:space="preserve">Request by email; account manager replies within 1 working day</t>
  </si>
  <si>
    <t xml:space="preserve">Claims 100% original stock; ask for invoices + brand chain of supply.</t>
  </si>
  <si>
    <t xml:space="preserve">EleganceWholesale</t>
  </si>
  <si>
    <t xml:space="preserve">https://elegancewholesale.co.nl/partner-with-us</t>
  </si>
  <si>
    <t xml:space="preserve">Wholesaler (B2B only)</t>
  </si>
  <si>
    <t xml:space="preserve">Luxury perfumes, cosmetics, designer clothing</t>
  </si>
  <si>
    <t xml:space="preserve">Verified businesses only; partner application form</t>
  </si>
  <si>
    <t xml:space="preserve">Site disclaimer also says 'EleganceTrading' - check KvK registration.</t>
  </si>
  <si>
    <t xml:space="preserve">https://elegancewholesale.co.nl/our-services</t>
  </si>
  <si>
    <t xml:space="preserve">AH Beauté BV</t>
  </si>
  <si>
    <t xml:space="preserve">Utrecht (warehouses Rotterdam &amp; Antwerp)</t>
  </si>
  <si>
    <t xml:space="preserve">https://www.beautetrade.com/suppliers/ah-beauty-bv-107939/</t>
  </si>
  <si>
    <t xml:space="preserve">Via Beautetrade 'contact supplier'</t>
  </si>
  <si>
    <t xml:space="preserve">Utrecht</t>
  </si>
  <si>
    <t xml:space="preserve">Wholesaler (est. 2014)</t>
  </si>
  <si>
    <t xml:space="preserve">Branded perfumes, aftershaves, skincare, make-up</t>
  </si>
  <si>
    <t xml:space="preserve">Full or partial orders, break-bulk</t>
  </si>
  <si>
    <t xml:space="preserve">Exactly matches perfume + aftershave brief.</t>
  </si>
  <si>
    <t xml:space="preserve">Tradefor7</t>
  </si>
  <si>
    <t xml:space="preserve">Zoetermeer</t>
  </si>
  <si>
    <t xml:space="preserve">https://tradefor7.com</t>
  </si>
  <si>
    <t xml:space="preserve">Wholesaler / distributor</t>
  </si>
  <si>
    <t xml:space="preserve">Arabian brands: Lattafa, French Avenue, Volare, Swiss Arabian</t>
  </si>
  <si>
    <t xml:space="preserve">Min order EUR 350 ex VAT; min 6 pcs per fragrance; free registration</t>
  </si>
  <si>
    <t xml:space="preserve">Good for fast-moving Arabian fragrances on Amazon.</t>
  </si>
  <si>
    <t xml:space="preserve">https://www.marktplaats.nl/v/sieraden-tassen-en-uiterlijk/uiterlijk-parfum/m2420639384-volare-french-avenue-swiss-arabian-lattafa-groothandel</t>
  </si>
  <si>
    <t xml:space="preserve">Prime Stock</t>
  </si>
  <si>
    <t xml:space="preserve">Rotterdam</t>
  </si>
  <si>
    <t xml:space="preserve">Wholesale perfume distributor (est. 2015)</t>
  </si>
  <si>
    <t xml:space="preserve">Authentic branded perfumes, colognes, mass-market fragrances</t>
  </si>
  <si>
    <t xml:space="preserve">Website not confirmed - find via KvK / Google.</t>
  </si>
  <si>
    <t xml:space="preserve">https://ensun.io/search/perfume-cologne</t>
  </si>
  <si>
    <t xml:space="preserve">Stock Perfume</t>
  </si>
  <si>
    <t xml:space="preserve">https://stockperfume.com</t>
  </si>
  <si>
    <t xml:space="preserve">Perfume wholesaler</t>
  </si>
  <si>
    <t xml:space="preserve">Branded perfumes</t>
  </si>
  <si>
    <t xml:space="preserve">Min order EUR 500 (page may be dated)</t>
  </si>
  <si>
    <t xml:space="preserve">Confirm still trading.</t>
  </si>
  <si>
    <t xml:space="preserve">https://oncosmetics.com/company/stock-perfume/</t>
  </si>
  <si>
    <t xml:space="preserve">Join Stadskanaal B.V.</t>
  </si>
  <si>
    <t xml:space="preserve">Stadskanaal</t>
  </si>
  <si>
    <t xml:space="preserve">https://www.beautetrade.com/products/global-wholesale-distributor-of-cosmetics-skincare-fragrances/75837</t>
  </si>
  <si>
    <t xml:space="preserve">Global wholesale distributor</t>
  </si>
  <si>
    <t xml:space="preserve">Cosmetics, skincare, fragrances</t>
  </si>
  <si>
    <t xml:space="preserve">Brands not listed - ask for price list.</t>
  </si>
  <si>
    <t xml:space="preserve">La Parfumista</t>
  </si>
  <si>
    <t xml:space="preserve">Distributor / supplier + online retail (est. 2010)</t>
  </si>
  <si>
    <t xml:space="preserve">Perfumes</t>
  </si>
  <si>
    <t xml:space="preserve">Low</t>
  </si>
  <si>
    <t xml:space="preserve">Mainly retail - ask if they do trade.</t>
  </si>
  <si>
    <t xml:space="preserve">https://oncosmetics.com/company/la-parfumista/</t>
  </si>
  <si>
    <t xml:space="preserve">Beautylux (Desa Beautylux)</t>
  </si>
  <si>
    <t xml:space="preserve">Brussels (Schaerbeek)</t>
  </si>
  <si>
    <t xml:space="preserve">https://www.beautylux.be</t>
  </si>
  <si>
    <t xml:space="preserve">@beautylux.be (see website)</t>
  </si>
  <si>
    <t xml:space="preserve">+32 2 7.. (see website)</t>
  </si>
  <si>
    <t xml:space="preserve">Rue François Bossaerts 47-51, Brussels</t>
  </si>
  <si>
    <t xml:space="preserve">Importer &amp; distributor (since 1980)</t>
  </si>
  <si>
    <t xml:space="preserve">Benelux distributor - e.g. Ariana Grande, Bentley fragrances; 450+ points of sale</t>
  </si>
  <si>
    <t xml:space="preserve">Official brand distributor - may give authorised invoices.</t>
  </si>
  <si>
    <t xml:space="preserve">https://oncosmetics.com/company/beautylux/</t>
  </si>
  <si>
    <t xml:space="preserve">Fragrance Privée</t>
  </si>
  <si>
    <t xml:space="preserve">Brussels</t>
  </si>
  <si>
    <t xml:space="preserve">https://www.fragrance-privee.com</t>
  </si>
  <si>
    <t xml:space="preserve">contact@fragrance-privee.com</t>
  </si>
  <si>
    <t xml:space="preserve">+32 4 88 82 50 07 (Michel Delogne)</t>
  </si>
  <si>
    <t xml:space="preserve">Brussels 1000/1030</t>
  </si>
  <si>
    <t xml:space="preserve">Branded perfume wholesaler</t>
  </si>
  <si>
    <t xml:space="preserve">Big-brand perfumes, '100% authentic', clients in Europe &amp; worldwide</t>
  </si>
  <si>
    <t xml:space="preserve">Conditions on request</t>
  </si>
  <si>
    <t xml:space="preserve">Named contact available - good first call.</t>
  </si>
  <si>
    <t xml:space="preserve">https://www.destockplus.com/acheter/recherche-fournisseur-2-parfumerie.html</t>
  </si>
  <si>
    <t xml:space="preserve">Azurtis</t>
  </si>
  <si>
    <t xml:space="preserve">Uccle (Brussels)</t>
  </si>
  <si>
    <t xml:space="preserve">https://us.kompass.com/c/azurtis/be0018421/</t>
  </si>
  <si>
    <t xml:space="preserve">See Kompass listing</t>
  </si>
  <si>
    <t xml:space="preserve">Uccle</t>
  </si>
  <si>
    <t xml:space="preserve">Wholesale of perfume &amp; cosmetics</t>
  </si>
  <si>
    <t xml:space="preserve">Directory-only lead.</t>
  </si>
  <si>
    <t xml:space="preserve">Diotima</t>
  </si>
  <si>
    <t xml:space="preserve">Braine-le-Château</t>
  </si>
  <si>
    <t xml:space="preserve">https://es.kompass.com/c/diotima/be0038464/</t>
  </si>
  <si>
    <t xml:space="preserve">Wholesaler (est. 1978)</t>
  </si>
  <si>
    <t xml:space="preserve">Imports from France; exports to Luxembourg</t>
  </si>
  <si>
    <t xml:space="preserve">Intercosmo</t>
  </si>
  <si>
    <t xml:space="preserve">Mechelen</t>
  </si>
  <si>
    <t xml:space="preserve">https://fr.kompass.com/en/c/intercosmo/be0180009/</t>
  </si>
  <si>
    <t xml:space="preserve">Perfume &amp; perfumery products</t>
  </si>
  <si>
    <t xml:space="preserve">Parfimo GmbH</t>
  </si>
  <si>
    <t xml:space="preserve">Munich</t>
  </si>
  <si>
    <t xml:space="preserve">Munich (HRB 250042)</t>
  </si>
  <si>
    <t xml:space="preserve">Wholesale of cosmetics/perfume (est. 2017)</t>
  </si>
  <si>
    <t xml:space="preserve">Purchase &amp; sale of perfumes</t>
  </si>
  <si>
    <t xml:space="preserve">Find website via Handelsregister / Northdata.</t>
  </si>
  <si>
    <t xml:space="preserve">https://implisense.com/de/companies/parfimo-gmbh-muenchen-DE5DGBY5YA30</t>
  </si>
  <si>
    <t xml:space="preserve">Emporium Handels &amp; Vertriebs GmbH</t>
  </si>
  <si>
    <t xml:space="preserve">Rodenbach</t>
  </si>
  <si>
    <t xml:space="preserve">Luxury perfume supplier</t>
  </si>
  <si>
    <t xml:space="preserve">1,800+ items in stock, 48h delivery</t>
  </si>
  <si>
    <t xml:space="preserve">Ask whether they sell B2B.</t>
  </si>
  <si>
    <t xml:space="preserve">https://ensun.io/search/perfume-cologne-fragrance/germany</t>
  </si>
  <si>
    <t xml:space="preserve">Alexander Frank - Perfume-Trading.com</t>
  </si>
  <si>
    <t xml:space="preserve">Rangsdorf</t>
  </si>
  <si>
    <t xml:space="preserve">https://perfume-trading.com</t>
  </si>
  <si>
    <t xml:space="preserve">Wholesale &amp; trading company</t>
  </si>
  <si>
    <t xml:space="preserve">Perfumes, fragrances, skin &amp; hair care, cosmetics</t>
  </si>
  <si>
    <t xml:space="preserve">Small (1-10 staff).</t>
  </si>
  <si>
    <t xml:space="preserve">Parfumenia GmbH</t>
  </si>
  <si>
    <t xml:space="preserve">Hamburg</t>
  </si>
  <si>
    <t xml:space="preserve">Distributor / exporter</t>
  </si>
  <si>
    <t xml:space="preserve">Sells to dept stores, perfumeries, drugstores on 6 continents</t>
  </si>
  <si>
    <t xml:space="preserve">Could not confirm website - check Handelsregister.</t>
  </si>
  <si>
    <t xml:space="preserve">https://ensun.io/search/perfume-cologne/germany</t>
  </si>
  <si>
    <t xml:space="preserve">Brocard Parfums GmbH</t>
  </si>
  <si>
    <t xml:space="preserve">Berlin</t>
  </si>
  <si>
    <t xml:space="preserve">https://oncosmetics.com/company/brocard/</t>
  </si>
  <si>
    <t xml:space="preserve">Exporter / distributor</t>
  </si>
  <si>
    <t xml:space="preserve">Distribution of 70+ European manufacturers (historically CIS markets)</t>
  </si>
  <si>
    <t xml:space="preserve">Export focus East - may not sell to UK/EU resellers.</t>
  </si>
  <si>
    <t xml:space="preserve">ICOS International Cosmetics GmbH</t>
  </si>
  <si>
    <t xml:space="preserve">Gaimersheim</t>
  </si>
  <si>
    <t xml:space="preserve">Perfume distributor</t>
  </si>
  <si>
    <t xml:space="preserve">Mainly German market</t>
  </si>
  <si>
    <t xml:space="preserve">https://oncosmetics.com/company/icos-international-cosmetics-gmbh/</t>
  </si>
  <si>
    <t xml:space="preserve">Aroma Company</t>
  </si>
  <si>
    <t xml:space="preserve">Darmstadt area</t>
  </si>
  <si>
    <t xml:space="preserve">Distributor / wholesaler / retailer</t>
  </si>
  <si>
    <t xml:space="preserve">https://oncosmetics.com/company/aroma-company</t>
  </si>
  <si>
    <t xml:space="preserve">Perfume Europe</t>
  </si>
  <si>
    <t xml:space="preserve">Paris (warehouse)</t>
  </si>
  <si>
    <t xml:space="preserve">https://perfumeeurope.com/en/</t>
  </si>
  <si>
    <t xml:space="preserve">Paris</t>
  </si>
  <si>
    <t xml:space="preserve">Online B2B perfume wholesaler</t>
  </si>
  <si>
    <t xml:space="preserve">1,500+ references, designer brands</t>
  </si>
  <si>
    <t xml:space="preserve">Min order EUR 200 ex VAT; EUR 35 shipping; free EU delivery over EUR 500; prices after account approval</t>
  </si>
  <si>
    <t xml:space="preserve">EU VAT no. auto-checked; invoices ex-VAT.</t>
  </si>
  <si>
    <t xml:space="preserve">Firoza Distribution SAS</t>
  </si>
  <si>
    <t xml:space="preserve">Choisy-le-Roi (94)</t>
  </si>
  <si>
    <t xml:space="preserve">https://www.firozadistribution.com</t>
  </si>
  <si>
    <t xml:space="preserve">firozadistribution@hotmail.fr</t>
  </si>
  <si>
    <t xml:space="preserve">+33 6 68 89 19 45 (Nicolas)</t>
  </si>
  <si>
    <t xml:space="preserve">4 avenue Danville, 94600 Choisy-le-Roi (showroom)</t>
  </si>
  <si>
    <t xml:space="preserve">Wholesaler with 400 m² showroom</t>
  </si>
  <si>
    <t xml:space="preserve">500+ men's &amp; women's fragrances, 'branded'</t>
  </si>
  <si>
    <t xml:space="preserve">Volume pricing; showroom Mon-Sat</t>
  </si>
  <si>
    <t xml:space="preserve">CAUTION: advertised ~EUR 3.50/unit at 1,000 pcs - too cheap for genuine designer stock. Verify SIRET + authenticity before buying.</t>
  </si>
  <si>
    <t xml:space="preserve">https://www.destockplus.com/acheter/c-813880-firoza-distribution-destockage.html</t>
  </si>
  <si>
    <t xml:space="preserve">Parfums en Gros</t>
  </si>
  <si>
    <t xml:space="preserve">Vénissieux (69)</t>
  </si>
  <si>
    <t xml:space="preserve">https://parfums-en-gros.com</t>
  </si>
  <si>
    <t xml:space="preserve">+33 6 .. (see website)</t>
  </si>
  <si>
    <t xml:space="preserve">30 Rue Léo Lagrange, Vénissieux</t>
  </si>
  <si>
    <t xml:space="preserve">Perfume wholesaler (B2B)</t>
  </si>
  <si>
    <t xml:space="preserve">Perfumes &amp; fragrances</t>
  </si>
  <si>
    <t xml:space="preserve">https://oncosmetics.com/company/parfums-en-gros/</t>
  </si>
  <si>
    <t xml:space="preserve">Europ Cosmetics (Ed. Pinaud Inovital)</t>
  </si>
  <si>
    <t xml:space="preserve">Torcy (77)</t>
  </si>
  <si>
    <t xml:space="preserve">https://www.beautetrade.com/suppliers/europ-cosmetics-209557</t>
  </si>
  <si>
    <t xml:space="preserve">Le Gué Langlois, 3 Rue des Épinettes, 77200 Torcy</t>
  </si>
  <si>
    <t xml:space="preserve">Trading company / wholesaler / exporter</t>
  </si>
  <si>
    <t xml:space="preserve">Skincare, haircare, fragrances</t>
  </si>
  <si>
    <t xml:space="preserve">Royaume du Parfum International (RPI)</t>
  </si>
  <si>
    <t xml:space="preserve">Paris 10e</t>
  </si>
  <si>
    <t xml:space="preserve">Wholesaler &amp; retailer (est. 1996)</t>
  </si>
  <si>
    <t xml:space="preserve">French-made perfumes</t>
  </si>
  <si>
    <t xml:space="preserve">Mostly own-label - check if they carry designer brands.</t>
  </si>
  <si>
    <t xml:space="preserve">https://oncosmetics.com/company/royaume-du-parfum-international-rpi/</t>
  </si>
  <si>
    <t xml:space="preserve">Grossmaillot</t>
  </si>
  <si>
    <t xml:space="preserve">Montfermeil (93)</t>
  </si>
  <si>
    <t xml:space="preserve">Montfermeil</t>
  </si>
  <si>
    <t xml:space="preserve">Wholesaler</t>
  </si>
  <si>
    <t xml:space="preserve">Branded, niche &amp; oriental perfumes</t>
  </si>
  <si>
    <t xml:space="preserve">Wholesale pricing</t>
  </si>
  <si>
    <t xml:space="preserve">Classified-ad lead - verify authenticity.</t>
  </si>
  <si>
    <t xml:space="preserve">Sofrapar</t>
  </si>
  <si>
    <t xml:space="preserve">https://lb.kompass.com/c/sofrapar/fr0078081/</t>
  </si>
  <si>
    <t xml:space="preserve">Wholesale perfume &amp; cosmetics</t>
  </si>
  <si>
    <t xml:space="preserve">Ocean Fragrances</t>
  </si>
  <si>
    <t xml:space="preserve">Barcelona</t>
  </si>
  <si>
    <t xml:space="preserve">https://oceanfragrances.com/es/</t>
  </si>
  <si>
    <t xml:space="preserve">Via website (email hidden in directory)</t>
  </si>
  <si>
    <t xml:space="preserve">+34 682 62 27 67</t>
  </si>
  <si>
    <t xml:space="preserve">La Rambla, 08005 Barcelona</t>
  </si>
  <si>
    <t xml:space="preserve">Wholesaler + dropship/crossdock</t>
  </si>
  <si>
    <t xml:space="preserve">500+ brands, 10,000+ SKUs: Dior, Lancôme, YSL, Guerlain, Paco Rabanne, JPG</t>
  </si>
  <si>
    <t xml:space="preserve">Strong designer-brand coverage.</t>
  </si>
  <si>
    <t xml:space="preserve">https://www.proveedores.com/proveedores/ocean-fragrances/</t>
  </si>
  <si>
    <t xml:space="preserve">Distribuidor Perfumes</t>
  </si>
  <si>
    <t xml:space="preserve">https://www.distribuidorperfumes.com/</t>
  </si>
  <si>
    <t xml:space="preserve">+34 902 732 332</t>
  </si>
  <si>
    <t xml:space="preserve">Gran Via de les Corts Catalanes 646, 5º 3ª, 08007 Barcelona</t>
  </si>
  <si>
    <t xml:space="preserve">Wholesaler + dropship (24-48h)</t>
  </si>
  <si>
    <t xml:space="preserve">Top-brand perfumes for shops &amp; online sellers</t>
  </si>
  <si>
    <t xml:space="preserve">https://www.proveedores.com/proveedores/distribuidor-perfumes/</t>
  </si>
  <si>
    <t xml:space="preserve">IGMACO Distribución Europa S.L.</t>
  </si>
  <si>
    <t xml:space="preserve">Madrid</t>
  </si>
  <si>
    <t xml:space="preserve">https://www.igmaco.com</t>
  </si>
  <si>
    <t xml:space="preserve">+34 915 .. (see website)</t>
  </si>
  <si>
    <t xml:space="preserve">Calle de Núñez de Balboa 90, Madrid</t>
  </si>
  <si>
    <t xml:space="preserve">Wholesaler &amp; distributor (est. 2004)</t>
  </si>
  <si>
    <t xml:space="preserve">Selective perfumes, cosmetics, hair care; import/export</t>
  </si>
  <si>
    <t xml:space="preserve">Selective (designer) focus.</t>
  </si>
  <si>
    <t xml:space="preserve">https://oncosmetics.com/company/igmaco/</t>
  </si>
  <si>
    <t xml:space="preserve">Orient Fragance</t>
  </si>
  <si>
    <t xml:space="preserve">Barcelona (warehouse Santa Perpètua de Mogoda)</t>
  </si>
  <si>
    <t xml:space="preserve">https://www.orientfragance.com/en/pages/contact</t>
  </si>
  <si>
    <t xml:space="preserve">orientfragance@gmail.com</t>
  </si>
  <si>
    <t xml:space="preserve">+34 623 109 380</t>
  </si>
  <si>
    <t xml:space="preserve">Santa Perpètua de Mogoda (by appointment)</t>
  </si>
  <si>
    <t xml:space="preserve">Official distributor Spain &amp; Portugal</t>
  </si>
  <si>
    <t xml:space="preserve">Arabian: Lattafa, Swiss Arabian etc. CPNP registered</t>
  </si>
  <si>
    <t xml:space="preserve">Wholesale registration form; reply within 24 business hours</t>
  </si>
  <si>
    <t xml:space="preserve">Authorised distributor - good for Amazon paperwork on Arabian brands.</t>
  </si>
  <si>
    <t xml:space="preserve">https://www.orientfragance.com/en/pages/contacto</t>
  </si>
  <si>
    <t xml:space="preserve">Mayorista Perfumería</t>
  </si>
  <si>
    <t xml:space="preserve">Valdemoro (Madrid)</t>
  </si>
  <si>
    <t xml:space="preserve">Valdemoro</t>
  </si>
  <si>
    <t xml:space="preserve">Wholesale distributor (est. 1992)</t>
  </si>
  <si>
    <t xml:space="preserve">Branded &amp; private-label cosmetics/perfume for shops</t>
  </si>
  <si>
    <t xml:space="preserve">https://oncosmetics.com/company/mayoristaperfumeria/</t>
  </si>
  <si>
    <t xml:space="preserve">GPD Central de Perfumería y Cosmética</t>
  </si>
  <si>
    <t xml:space="preserve">Wholesaler (35+ years)</t>
  </si>
  <si>
    <t xml:space="preserve">Perfumery &amp; cosmetics for retailers</t>
  </si>
  <si>
    <t xml:space="preserve">https://oncosmetics.com/company/gpd-central-de-perfumeria-y-cosmetica/</t>
  </si>
  <si>
    <t xml:space="preserve">Quisben Ibérica S.L.</t>
  </si>
  <si>
    <t xml:space="preserve">Madrid area</t>
  </si>
  <si>
    <t xml:space="preserve">Importer &amp; wholesaler</t>
  </si>
  <si>
    <t xml:space="preserve">Perfumes &amp; deodorants; buys large lots</t>
  </si>
  <si>
    <t xml:space="preserve">Possible clearance/job-lot source.</t>
  </si>
  <si>
    <t xml:space="preserve">https://oncosmetics.com/company/quisben-iberica-s-l/</t>
  </si>
  <si>
    <t xml:space="preserve">Madallmes</t>
  </si>
  <si>
    <t xml:space="preserve">Meliana (Valencia)</t>
  </si>
  <si>
    <t xml:space="preserve">+34 963 218 502</t>
  </si>
  <si>
    <t xml:space="preserve">Meliana, Valencia</t>
  </si>
  <si>
    <t xml:space="preserve">Perfumery wholesaler</t>
  </si>
  <si>
    <t xml:space="preserve">Perfumery products</t>
  </si>
  <si>
    <t xml:space="preserve">https://proveedores.com/proveedores/madallmes/</t>
  </si>
  <si>
    <t xml:space="preserve">Beauty Way SL</t>
  </si>
  <si>
    <t xml:space="preserve">Valencia &amp; Ávila</t>
  </si>
  <si>
    <t xml:space="preserve">Valencia</t>
  </si>
  <si>
    <t xml:space="preserve">Designer perfume distributor (est. 2022)</t>
  </si>
  <si>
    <t xml:space="preserve">Designer perfumes</t>
  </si>
  <si>
    <t xml:space="preserve">No minimum order</t>
  </si>
  <si>
    <t xml:space="preserve">Very small (1 employee).</t>
  </si>
  <si>
    <t xml:space="preserve">https://oncosmetics.com/company/beauty-way-sl/</t>
  </si>
  <si>
    <t xml:space="preserve">Perfumes y Diseño</t>
  </si>
  <si>
    <t xml:space="preserve">Licensee &amp; brand distributor</t>
  </si>
  <si>
    <t xml:space="preserve">Distributes Cartier, Moschino, Versace; licences Tous, Scalpers</t>
  </si>
  <si>
    <t xml:space="preserve">Trade accounts for retailers</t>
  </si>
  <si>
    <t xml:space="preserve">Official distributor - authorised invoices if accepted.</t>
  </si>
  <si>
    <t xml:space="preserve">https://www.modaes.com/cosmetica/perfumes-y-diseno-sella-un-acuerdo-de-distribucion-con-euroitalia-en-espana-y-andorra</t>
  </si>
  <si>
    <t xml:space="preserve">Parfulandia SRL</t>
  </si>
  <si>
    <t xml:space="preserve">Naples / Vasto</t>
  </si>
  <si>
    <t xml:space="preserve">https://www.parfulandiastore.it</t>
  </si>
  <si>
    <t xml:space="preserve">+39 349 515 6250</t>
  </si>
  <si>
    <t xml:space="preserve">Via Vicinale San Donato 16, Napoli</t>
  </si>
  <si>
    <t xml:space="preserve">Perfume wholesaler (60+ yrs)</t>
  </si>
  <si>
    <t xml:space="preserve">Dior, Lancôme, Chanel, Ferragamo, niche</t>
  </si>
  <si>
    <t xml:space="preserve">https://oncosmetics.com/company/parfulandia-srl/</t>
  </si>
  <si>
    <t xml:space="preserve">Global Perfumes</t>
  </si>
  <si>
    <t xml:space="preserve">Parma</t>
  </si>
  <si>
    <t xml:space="preserve">https://globalperfumes.it</t>
  </si>
  <si>
    <t xml:space="preserve">+39 0521 247899</t>
  </si>
  <si>
    <t xml:space="preserve">Piazza B. Lunardi 11A, Parma</t>
  </si>
  <si>
    <t xml:space="preserve">Importer / distributor / wholesaler (B2B only)</t>
  </si>
  <si>
    <t xml:space="preserve">Perfumes for wholesalers &amp; retailers</t>
  </si>
  <si>
    <t xml:space="preserve">https://oncosmetics.com/company/global-perfumes</t>
  </si>
  <si>
    <t xml:space="preserve">Consorzio Profumerie Estasi</t>
  </si>
  <si>
    <t xml:space="preserve">Mignano Monte Lungo (CE)</t>
  </si>
  <si>
    <t xml:space="preserve">+39 0771 278084 (Formia store - ask for wholesale)</t>
  </si>
  <si>
    <t xml:space="preserve">Via Casilina 63, 81049 Mignano Monte Lungo (VAT 03801720610)</t>
  </si>
  <si>
    <t xml:space="preserve">Wholesale perfume &amp; cosmetics (ATECO 46.45)</t>
  </si>
  <si>
    <t xml:space="preserve">~55,000 products, 1,150+ brands</t>
  </si>
  <si>
    <t xml:space="preserve">https://atoka.io/public/it/azienda/consorzio-profumerie-estasi/3cca13127885</t>
  </si>
  <si>
    <t xml:space="preserve">Amoretti Profumi Srl</t>
  </si>
  <si>
    <t xml:space="preserve">Turin</t>
  </si>
  <si>
    <t xml:space="preserve">Claims official dealer of prestige brands</t>
  </si>
  <si>
    <t xml:space="preserve">Mainly online retail - ask about trade.</t>
  </si>
  <si>
    <t xml:space="preserve">https://atoka.io/public/it/azienda/amoretti-profumi-srl/e6a0a9e0c2b7</t>
  </si>
  <si>
    <t xml:space="preserve">Profumerie P&amp;P Srl</t>
  </si>
  <si>
    <t xml:space="preserve">Distributor &amp; wholesaler (~30 yrs)</t>
  </si>
  <si>
    <t xml:space="preserve">https://atoka.io/public/it/azienda/profumerie-p-p-srl/b936935a4339</t>
  </si>
  <si>
    <t xml:space="preserve">Mr Parfums Srl</t>
  </si>
  <si>
    <t xml:space="preserve">Milan</t>
  </si>
  <si>
    <t xml:space="preserve">Perfume wholesale intermediary/agent</t>
  </si>
  <si>
    <t xml:space="preserve">1 employee - broker.</t>
  </si>
  <si>
    <t xml:space="preserve">https://atoka.io/public/it/azienda/mr-parfums-srl-a-socio-unico/f8ca86bdc544</t>
  </si>
  <si>
    <t xml:space="preserve">T.D. Distribuzione SRL</t>
  </si>
  <si>
    <t xml:space="preserve">San Giuseppe Vesuviano (NA)</t>
  </si>
  <si>
    <t xml:space="preserve">San Giuseppe Vesuviano</t>
  </si>
  <si>
    <t xml:space="preserve">Producer &amp; distributor</t>
  </si>
  <si>
    <t xml:space="preserve">Arabian perfumes, 'equivalents', gift sets</t>
  </si>
  <si>
    <t xml:space="preserve">CAUTION: 'equivalents' (dupes) cannot be listed against brand ASINs on Amazon.</t>
  </si>
  <si>
    <t xml:space="preserve">https://oncosmetics.com/company/t-d-distribuzione-srl/</t>
  </si>
  <si>
    <t xml:space="preserve">Parfum Company Sp. z o.o. S.K.A.</t>
  </si>
  <si>
    <t xml:space="preserve">Zakręt (Warsaw area)</t>
  </si>
  <si>
    <t xml:space="preserve">Zakręt</t>
  </si>
  <si>
    <t xml:space="preserve">Perfume wholesaler with B2B platform</t>
  </si>
  <si>
    <t xml:space="preserve">Claims largest perfume wholesale in PL; 100,000s of units stocked</t>
  </si>
  <si>
    <t xml:space="preserve">24h express delivery; B2B platform</t>
  </si>
  <si>
    <t xml:space="preserve">Find B2B portal via KRS/Google.</t>
  </si>
  <si>
    <t xml:space="preserve">https://www.aplikuj.pl/pracodawca/380091/parfum-company-sp-z-o-o-s-k-a</t>
  </si>
  <si>
    <t xml:space="preserve">Perfume-Supplier.eu (Charms Perfumes &amp; Cosmetics)</t>
  </si>
  <si>
    <t xml:space="preserve">Warsaw</t>
  </si>
  <si>
    <t xml:space="preserve">https://perfume-supplier.eu</t>
  </si>
  <si>
    <t xml:space="preserve">+48 601 .. (see website)</t>
  </si>
  <si>
    <t xml:space="preserve">Zamieniecka 80/158, Warsaw</t>
  </si>
  <si>
    <t xml:space="preserve">Branded perfumes for retailers across Europe</t>
  </si>
  <si>
    <t xml:space="preserve">https://oncosmetics.com/company/charms-perfumes-and-cosmetics/</t>
  </si>
  <si>
    <t xml:space="preserve">MisterM Plus Sp. z o.o. Sp.k.</t>
  </si>
  <si>
    <t xml:space="preserve">Kraków</t>
  </si>
  <si>
    <t xml:space="preserve">Perfume &amp; cosmetics wholesaler (20+ yrs)</t>
  </si>
  <si>
    <t xml:space="preserve">Coty, P&amp;G, Reckitt brands</t>
  </si>
  <si>
    <t xml:space="preserve">Coty = Hugo Boss, CK, Gucci, Burberry etc.</t>
  </si>
  <si>
    <t xml:space="preserve">https://www.aplikuj.pl/pracodawca/80046/misterm-plus-sp-z-o-o-spolka-komandytowa</t>
  </si>
  <si>
    <t xml:space="preserve">Hurtownia Perfum</t>
  </si>
  <si>
    <t xml:space="preserve">Łódź</t>
  </si>
  <si>
    <t xml:space="preserve">Perfume wholesaler (est. 1997)</t>
  </si>
  <si>
    <t xml:space="preserve">Broad range of brands for perfume shops</t>
  </si>
  <si>
    <t xml:space="preserve">https://oncosmetics.com/company/hurtownia-perfum/</t>
  </si>
  <si>
    <t xml:space="preserve">Avemi Luxury Distribution</t>
  </si>
  <si>
    <t xml:space="preserve">Exclusive distributor PL/CZ/SK</t>
  </si>
  <si>
    <t xml:space="preserve">High-end niche fragrances</t>
  </si>
  <si>
    <t xml:space="preserve">Niche - authorised distributor.</t>
  </si>
  <si>
    <t xml:space="preserve">https://ensun.io/search/luxury-perfume/poland</t>
  </si>
  <si>
    <t xml:space="preserve">Solg (Oskar Szumacher)</t>
  </si>
  <si>
    <t xml:space="preserve">Wholesale supplier</t>
  </si>
  <si>
    <t xml:space="preserve">Cosmetics &amp; perfumes; ships 20+ countries</t>
  </si>
  <si>
    <t xml:space="preserve">Founding info inconsistent - verify.</t>
  </si>
  <si>
    <t xml:space="preserve">https://oncosmetics.com/company/solg-oskar-szumacher/</t>
  </si>
  <si>
    <t xml:space="preserve">BJUTIP</t>
  </si>
  <si>
    <t xml:space="preserve">Brno - Modřice</t>
  </si>
  <si>
    <t xml:space="preserve">https://www.bjutip.com/register</t>
  </si>
  <si>
    <t xml:space="preserve">sales@bjutip.com / info@bjutip.com</t>
  </si>
  <si>
    <t xml:space="preserve">+420 724 076 367</t>
  </si>
  <si>
    <t xml:space="preserve">Tyršova 1182, 664 42 Modřice (visiting: Vintrovna 395/25, Popůvky)</t>
  </si>
  <si>
    <t xml:space="preserve">Distributor (e-com, retail, travel retail)</t>
  </si>
  <si>
    <t xml:space="preserve">Armaf, Lattafa, Paris Corner, Fragrance World, Risala + some designer</t>
  </si>
  <si>
    <t xml:space="preserve">Min order EUR 1,000; ships in 48h; account approved in 48h</t>
  </si>
  <si>
    <t xml:space="preserve">Works direct with producers.</t>
  </si>
  <si>
    <t xml:space="preserve">https://bjutip.com/contact_us</t>
  </si>
  <si>
    <t xml:space="preserve">Brasty Wholesale (BRASTY GROUP s.r.o.)</t>
  </si>
  <si>
    <t xml:space="preserve">Prague</t>
  </si>
  <si>
    <t xml:space="preserve">https://wholesale.brasty.com/</t>
  </si>
  <si>
    <t xml:space="preserve">info@brasty.cz</t>
  </si>
  <si>
    <t xml:space="preserve">+420 581 580 660</t>
  </si>
  <si>
    <t xml:space="preserve">Lípová 511/15, 120 00 Praha 2 (IČO 24276821)</t>
  </si>
  <si>
    <t xml:space="preserve">Wholesale arm of big CZ perfume e-tailer</t>
  </si>
  <si>
    <t xml:space="preserve">Designer perfumes &amp; cosmetics</t>
  </si>
  <si>
    <t xml:space="preserve">Min order EUR 200; any business with valid EU VAT (incl. marketplace sellers)</t>
  </si>
  <si>
    <t xml:space="preserve">Explicitly accepts marketplace sellers.</t>
  </si>
  <si>
    <t xml:space="preserve">PremierParfum (fragrances-wholesale.eu)</t>
  </si>
  <si>
    <t xml:space="preserve">https://www.fragrances-wholesale.eu</t>
  </si>
  <si>
    <t xml:space="preserve">B2B perfume wholesaler</t>
  </si>
  <si>
    <t xml:space="preserve">Designer fragrances</t>
  </si>
  <si>
    <t xml:space="preserve">First order min EUR 500; pallets min EUR 15,000; prices for verified B2B only</t>
  </si>
  <si>
    <t xml:space="preserve">https://www.fragrances-wholesale.eu/info/terms-and-conditions-nr</t>
  </si>
  <si>
    <t xml:space="preserve">Parfen Kft.</t>
  </si>
  <si>
    <t xml:space="preserve">https://parfen.hu</t>
  </si>
  <si>
    <t xml:space="preserve">+36 70 .. (see website)</t>
  </si>
  <si>
    <t xml:space="preserve">Importer, wholesaler &amp; retailer</t>
  </si>
  <si>
    <t xml:space="preserve">Fragrances &amp; cosmetics</t>
  </si>
  <si>
    <t xml:space="preserve">https://oncosmetics.com/company/parfen/</t>
  </si>
  <si>
    <t xml:space="preserve">Parfumuri Engros</t>
  </si>
  <si>
    <t xml:space="preserve">Miercurea Ciuc</t>
  </si>
  <si>
    <t xml:space="preserve">https://parfumuri-engros.ro</t>
  </si>
  <si>
    <t xml:space="preserve">+40 371 .. (see website)</t>
  </si>
  <si>
    <t xml:space="preserve">Strada Kőrösi Csoma Sándor 2, Miercurea Ciuc</t>
  </si>
  <si>
    <t xml:space="preserve">Wholesaler (est. 2014, 11-50 staff)</t>
  </si>
  <si>
    <t xml:space="preserve">Original fragrances, 8,000+ products, 500+ brands</t>
  </si>
  <si>
    <t xml:space="preserve">Sells to SMEs</t>
  </si>
  <si>
    <t xml:space="preserve">https://oncosmetics.com/company/parfumuri-engros/</t>
  </si>
  <si>
    <t xml:space="preserve">Qudo Beauty</t>
  </si>
  <si>
    <t xml:space="preserve">Piatra Neamț</t>
  </si>
  <si>
    <t xml:space="preserve">https://qudobeauty.com/perfumes-and-fragrances-wholesale/</t>
  </si>
  <si>
    <t xml:space="preserve">EU B2B distributor</t>
  </si>
  <si>
    <t xml:space="preserve">Perfumes &amp; fragrances + Korean skincare</t>
  </si>
  <si>
    <t xml:space="preserve">Min EUR 300-500; free shipping from EUR 500</t>
  </si>
  <si>
    <t xml:space="preserve">Romscent</t>
  </si>
  <si>
    <t xml:space="preserve">Bucharest</t>
  </si>
  <si>
    <t xml:space="preserve">Distributor / wholesaler</t>
  </si>
  <si>
    <t xml:space="preserve">https://oncosmetics.com/company/romscent</t>
  </si>
  <si>
    <t xml:space="preserve">Odora</t>
  </si>
  <si>
    <t xml:space="preserve">Sofia</t>
  </si>
  <si>
    <t xml:space="preserve">https://odora.bg</t>
  </si>
  <si>
    <t xml:space="preserve">@odora.bg (see website)</t>
  </si>
  <si>
    <t xml:space="preserve">+359 87 .. (see website)</t>
  </si>
  <si>
    <t xml:space="preserve">Frederik Zholio Kyuri St, Sofia</t>
  </si>
  <si>
    <t xml:space="preserve">Distributor (~300 doors in BG)</t>
  </si>
  <si>
    <t xml:space="preserve">Armaf, Franck Boclet, Gritti, Masque Milano, Electimuss</t>
  </si>
  <si>
    <t xml:space="preserve">https://oncosmetics.com/company/odora-beauty-corp-ad/</t>
  </si>
  <si>
    <t xml:space="preserve">Aromaray Ltd OOD</t>
  </si>
  <si>
    <t xml:space="preserve">https://aromaray.bg</t>
  </si>
  <si>
    <t xml:space="preserve">Razsadnik-Konyovitsa, Sofia</t>
  </si>
  <si>
    <t xml:space="preserve">Exclusive importer/distributor BG &amp; EU</t>
  </si>
  <si>
    <t xml:space="preserve">Arabian: Grandeur, Al Wataniah, Al Absar, Riiffs</t>
  </si>
  <si>
    <t xml:space="preserve">https://oncosmetics.com/company/aromaray-ltd-ood/</t>
  </si>
  <si>
    <t xml:space="preserve">Venera Cosmetics</t>
  </si>
  <si>
    <t xml:space="preserve">Plovdiv</t>
  </si>
  <si>
    <t xml:space="preserve">Distributor &amp; wholesaler (est. 1992)</t>
  </si>
  <si>
    <t xml:space="preserve">Perfumes &amp; cosmetics</t>
  </si>
  <si>
    <t xml:space="preserve">https://oncosmetics.com/company/venera-cosmetics/</t>
  </si>
  <si>
    <t xml:space="preserve">Ventus S.A. (Perfumes-Supplier.com)</t>
  </si>
  <si>
    <t xml:space="preserve">Gerakas (Athens)</t>
  </si>
  <si>
    <t xml:space="preserve">https://www.perfumes-supplier.com</t>
  </si>
  <si>
    <t xml:space="preserve">+30 21.. (see website)</t>
  </si>
  <si>
    <t xml:space="preserve">Gerakas, Anatoliki Attiki</t>
  </si>
  <si>
    <t xml:space="preserve">Wholesale fragrance distributor (est. 1995)</t>
  </si>
  <si>
    <t xml:space="preserve">Bulk branded fragrances for retailers</t>
  </si>
  <si>
    <t xml:space="preserve">B2B only</t>
  </si>
  <si>
    <t xml:space="preserve">https://oncosmetics.com/company/ventus-s-a/</t>
  </si>
  <si>
    <t xml:space="preserve">Amco Group UAB (Per-Fumes.com)</t>
  </si>
  <si>
    <t xml:space="preserve">Vilnius</t>
  </si>
  <si>
    <t xml:space="preserve">https://per-fumes.com</t>
  </si>
  <si>
    <t xml:space="preserve">Importer / distributor + online retail</t>
  </si>
  <si>
    <t xml:space="preserve">Fragrances</t>
  </si>
  <si>
    <t xml:space="preserve">Mainly retail - ask about trade.</t>
  </si>
  <si>
    <t xml:space="preserve">https://oncosmetics.com/company/amco-group-uab/</t>
  </si>
  <si>
    <t xml:space="preserve">Selective Parfums</t>
  </si>
  <si>
    <t xml:space="preserve">Innsbruck</t>
  </si>
  <si>
    <t xml:space="preserve">Distributor / supplier</t>
  </si>
  <si>
    <t xml:space="preserve">Niche &amp; high-end</t>
  </si>
  <si>
    <t xml:space="preserve">https://oncosmetics.com/company/selective-parfums/</t>
  </si>
  <si>
    <t xml:space="preserve">SAR Beauty AB</t>
  </si>
  <si>
    <t xml:space="preserve">Org. no. 559503-2482</t>
  </si>
  <si>
    <t xml:space="preserve">Distributor</t>
  </si>
  <si>
    <t xml:space="preserve">A-brand luxury fragrances across Europe</t>
  </si>
  <si>
    <t xml:space="preserve">Look up via Bolagsverket.</t>
  </si>
  <si>
    <t xml:space="preserve">https://funnelfeedr.com/en/company/se/sar-beauty-ab-5595032482</t>
  </si>
  <si>
    <t xml:space="preserve">Shaneel Group</t>
  </si>
  <si>
    <t xml:space="preserve">United Kingdom</t>
  </si>
  <si>
    <t xml:space="preserve">London</t>
  </si>
  <si>
    <t xml:space="preserve">Branded fine fragrance distributor (since 1986)</t>
  </si>
  <si>
    <t xml:space="preserve">Branded fine fragrance for independent retailers; Europe network</t>
  </si>
  <si>
    <t xml:space="preserve">UK - post-Brexit customs apply for EU stock.</t>
  </si>
  <si>
    <t xml:space="preserve">https://jobs.workable.com/companies/iKxrmDgx2D2P41Cmp6pAvV.md</t>
  </si>
  <si>
    <t xml:space="preserve">Affinity Fragrances</t>
  </si>
  <si>
    <t xml:space="preserve">Fragrance wholesaler</t>
  </si>
  <si>
    <t xml:space="preserve">Branded perfumes &amp; beauty to UK and international</t>
  </si>
  <si>
    <t xml:space="preserve">https://localpage.uk/question/health-and-wellbeing/can-you-recommend-a-reliable-wholesale-distributor-of-luxury-fragrances-in-the-uk</t>
  </si>
  <si>
    <t xml:space="preserve">Fragrance Wholesale International Ltd</t>
  </si>
  <si>
    <t xml:space="preserve">https://find-and-update.company-information.service.gov.uk/company/14662527</t>
  </si>
  <si>
    <t xml:space="preserve">See Companies House</t>
  </si>
  <si>
    <t xml:space="preserve">SIC 46450 perfume wholesale</t>
  </si>
  <si>
    <t xml:space="preserve">Check Companies House for officers/address.</t>
  </si>
  <si>
    <t xml:space="preserve">Subject:</t>
  </si>
  <si>
    <t xml:space="preserve">Wholesale account enquiry - Crowsons Global (branded fragrances)</t>
  </si>
  <si>
    <t xml:space="preserve">Body:</t>
  </si>
  <si>
    <t xml:space="preserve">Hello [Name / Team],</t>
  </si>
  <si>
    <t xml:space="preserve">I'm [Your Name] from Crowsons Global, a UK/EU distribution business. We're looking for a reliable wholesale partner for branded perfumes and aftershaves, which we resell through online marketplaces including Amazon.</t>
  </si>
  <si>
    <t xml:space="preserve">Could you please send:</t>
  </si>
  <si>
    <t xml:space="preserve">  1. Your current wholesale price list / stock list (in Excel if possible)</t>
  </si>
  <si>
    <t xml:space="preserve">  2. Your minimum order value and payment terms</t>
  </si>
  <si>
    <t xml:space="preserve">  3. Delivery times and costs to [UK / your EU warehouse country]</t>
  </si>
  <si>
    <t xml:space="preserve">  4. Confirmation that invoices show your full company details and VAT number, and whether they've been accepted for Amazon brand approvals before</t>
  </si>
  <si>
    <t xml:space="preserve">  5. Which brands you're an authorised distributor for, if any</t>
  </si>
  <si>
    <t xml:space="preserve">Our company details: [Company name, registration number, VAT/EORI number, address, website].</t>
  </si>
  <si>
    <t xml:space="preserve">I'm happy to start with a trial order and grow volume from there.</t>
  </si>
  <si>
    <t xml:space="preserve">Kind regards,</t>
  </si>
  <si>
    <t xml:space="preserve">[Name] | Crowsons Global | [Phone] | [Email]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</si>
</sst>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F2CC"/>
        <bgColor rgb="FFFFEB9C"/>
      </patternFill>
    </fill>
    <fill>
      <patternFill patternType="solid">
        <fgColor rgb="FFFFEB9C"/>
        <bgColor rgb="FFFFF2CC"/>
      </patternFill>
    </fill>
    <fill>
      <patternFill patternType="solid">
        <fgColor rgb="FFF8CBAD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qogita.com/" TargetMode="External"/><Relationship Id="rId2" Type="http://schemas.openxmlformats.org/officeDocument/2006/relationships/hyperlink" Target="https://www.qogita.com/brands/lamour/" TargetMode="External"/><Relationship Id="rId3" Type="http://schemas.openxmlformats.org/officeDocument/2006/relationships/hyperlink" Target="https://www.novaengel.com/en/" TargetMode="External"/><Relationship Id="rId4" Type="http://schemas.openxmlformats.org/officeDocument/2006/relationships/hyperlink" Target="https://www.novaengel.com/en/company_wholesaler_perfumery" TargetMode="External"/><Relationship Id="rId5" Type="http://schemas.openxmlformats.org/officeDocument/2006/relationships/hyperlink" Target="https://www.bigbuy.eu/" TargetMode="External"/><Relationship Id="rId6" Type="http://schemas.openxmlformats.org/officeDocument/2006/relationships/hyperlink" Target="https://help.wizishop.com/hc/en-us/articles/360015881879-Presentation-of-BigBuy" TargetMode="External"/><Relationship Id="rId7" Type="http://schemas.openxmlformats.org/officeDocument/2006/relationships/hyperlink" Target="https://beautinow.com/wholesale-perfume-supplier-europe/" TargetMode="External"/><Relationship Id="rId8" Type="http://schemas.openxmlformats.org/officeDocument/2006/relationships/hyperlink" Target="https://beautinow.com/wholesale-perfume-supplier-europe/" TargetMode="External"/><Relationship Id="rId9" Type="http://schemas.openxmlformats.org/officeDocument/2006/relationships/hyperlink" Target="https://elegancewholesale.co.nl/partner-with-us" TargetMode="External"/><Relationship Id="rId10" Type="http://schemas.openxmlformats.org/officeDocument/2006/relationships/hyperlink" Target="https://elegancewholesale.co.nl/our-services" TargetMode="External"/><Relationship Id="rId11" Type="http://schemas.openxmlformats.org/officeDocument/2006/relationships/hyperlink" Target="https://www.beautetrade.com/suppliers/ah-beauty-bv-107939/" TargetMode="External"/><Relationship Id="rId12" Type="http://schemas.openxmlformats.org/officeDocument/2006/relationships/hyperlink" Target="https://www.beautetrade.com/suppliers/ah-beauty-bv-107939/" TargetMode="External"/><Relationship Id="rId13" Type="http://schemas.openxmlformats.org/officeDocument/2006/relationships/hyperlink" Target="https://tradefor7.com/" TargetMode="External"/><Relationship Id="rId14" Type="http://schemas.openxmlformats.org/officeDocument/2006/relationships/hyperlink" Target="https://www.marktplaats.nl/v/sieraden-tassen-en-uiterlijk/uiterlijk-parfum/m2420639384-volare-french-avenue-swiss-arabian-lattafa-groothandel" TargetMode="External"/><Relationship Id="rId15" Type="http://schemas.openxmlformats.org/officeDocument/2006/relationships/hyperlink" Target="https://ensun.io/search/perfume-cologne" TargetMode="External"/><Relationship Id="rId16" Type="http://schemas.openxmlformats.org/officeDocument/2006/relationships/hyperlink" Target="https://stockperfume.com/" TargetMode="External"/><Relationship Id="rId17" Type="http://schemas.openxmlformats.org/officeDocument/2006/relationships/hyperlink" Target="https://oncosmetics.com/company/stock-perfume/" TargetMode="External"/><Relationship Id="rId18" Type="http://schemas.openxmlformats.org/officeDocument/2006/relationships/hyperlink" Target="https://www.beautetrade.com/products/global-wholesale-distributor-of-cosmetics-skincare-fragrances/75837" TargetMode="External"/><Relationship Id="rId19" Type="http://schemas.openxmlformats.org/officeDocument/2006/relationships/hyperlink" Target="https://www.beautetrade.com/products/global-wholesale-distributor-of-cosmetics-skincare-fragrances/75837" TargetMode="External"/><Relationship Id="rId20" Type="http://schemas.openxmlformats.org/officeDocument/2006/relationships/hyperlink" Target="https://oncosmetics.com/company/la-parfumista/" TargetMode="External"/><Relationship Id="rId21" Type="http://schemas.openxmlformats.org/officeDocument/2006/relationships/hyperlink" Target="https://www.beautylux.be/" TargetMode="External"/><Relationship Id="rId22" Type="http://schemas.openxmlformats.org/officeDocument/2006/relationships/hyperlink" Target="https://oncosmetics.com/company/beautylux/" TargetMode="External"/><Relationship Id="rId23" Type="http://schemas.openxmlformats.org/officeDocument/2006/relationships/hyperlink" Target="https://www.fragrance-privee.com/" TargetMode="External"/><Relationship Id="rId24" Type="http://schemas.openxmlformats.org/officeDocument/2006/relationships/hyperlink" Target="https://www.destockplus.com/acheter/recherche-fournisseur-2-parfumerie.html" TargetMode="External"/><Relationship Id="rId25" Type="http://schemas.openxmlformats.org/officeDocument/2006/relationships/hyperlink" Target="https://us.kompass.com/c/azurtis/be0018421/" TargetMode="External"/><Relationship Id="rId26" Type="http://schemas.openxmlformats.org/officeDocument/2006/relationships/hyperlink" Target="https://us.kompass.com/c/azurtis/be0018421/" TargetMode="External"/><Relationship Id="rId27" Type="http://schemas.openxmlformats.org/officeDocument/2006/relationships/hyperlink" Target="https://es.kompass.com/c/diotima/be0038464/" TargetMode="External"/><Relationship Id="rId28" Type="http://schemas.openxmlformats.org/officeDocument/2006/relationships/hyperlink" Target="https://es.kompass.com/c/diotima/be0038464/" TargetMode="External"/><Relationship Id="rId29" Type="http://schemas.openxmlformats.org/officeDocument/2006/relationships/hyperlink" Target="https://fr.kompass.com/en/c/intercosmo/be0180009/" TargetMode="External"/><Relationship Id="rId30" Type="http://schemas.openxmlformats.org/officeDocument/2006/relationships/hyperlink" Target="https://fr.kompass.com/en/c/intercosmo/be0180009/" TargetMode="External"/><Relationship Id="rId31" Type="http://schemas.openxmlformats.org/officeDocument/2006/relationships/hyperlink" Target="https://implisense.com/de/companies/parfimo-gmbh-muenchen-DE5DGBY5YA30" TargetMode="External"/><Relationship Id="rId32" Type="http://schemas.openxmlformats.org/officeDocument/2006/relationships/hyperlink" Target="https://ensun.io/search/perfume-cologne-fragrance/germany" TargetMode="External"/><Relationship Id="rId33" Type="http://schemas.openxmlformats.org/officeDocument/2006/relationships/hyperlink" Target="https://perfume-trading.com/" TargetMode="External"/><Relationship Id="rId34" Type="http://schemas.openxmlformats.org/officeDocument/2006/relationships/hyperlink" Target="https://ensun.io/search/perfume-cologne-fragrance/germany" TargetMode="External"/><Relationship Id="rId35" Type="http://schemas.openxmlformats.org/officeDocument/2006/relationships/hyperlink" Target="https://ensun.io/search/perfume-cologne/germany" TargetMode="External"/><Relationship Id="rId36" Type="http://schemas.openxmlformats.org/officeDocument/2006/relationships/hyperlink" Target="https://oncosmetics.com/company/brocard/" TargetMode="External"/><Relationship Id="rId37" Type="http://schemas.openxmlformats.org/officeDocument/2006/relationships/hyperlink" Target="https://oncosmetics.com/company/brocard/" TargetMode="External"/><Relationship Id="rId38" Type="http://schemas.openxmlformats.org/officeDocument/2006/relationships/hyperlink" Target="https://oncosmetics.com/company/icos-international-cosmetics-gmbh/" TargetMode="External"/><Relationship Id="rId39" Type="http://schemas.openxmlformats.org/officeDocument/2006/relationships/hyperlink" Target="https://oncosmetics.com/company/aroma-company" TargetMode="External"/><Relationship Id="rId40" Type="http://schemas.openxmlformats.org/officeDocument/2006/relationships/hyperlink" Target="https://perfumeeurope.com/en/" TargetMode="External"/><Relationship Id="rId41" Type="http://schemas.openxmlformats.org/officeDocument/2006/relationships/hyperlink" Target="https://perfumeeurope.com/en/" TargetMode="External"/><Relationship Id="rId42" Type="http://schemas.openxmlformats.org/officeDocument/2006/relationships/hyperlink" Target="https://www.firozadistribution.com/" TargetMode="External"/><Relationship Id="rId43" Type="http://schemas.openxmlformats.org/officeDocument/2006/relationships/hyperlink" Target="https://www.destockplus.com/acheter/c-813880-firoza-distribution-destockage.html" TargetMode="External"/><Relationship Id="rId44" Type="http://schemas.openxmlformats.org/officeDocument/2006/relationships/hyperlink" Target="https://parfums-en-gros.com/" TargetMode="External"/><Relationship Id="rId45" Type="http://schemas.openxmlformats.org/officeDocument/2006/relationships/hyperlink" Target="https://oncosmetics.com/company/parfums-en-gros/" TargetMode="External"/><Relationship Id="rId46" Type="http://schemas.openxmlformats.org/officeDocument/2006/relationships/hyperlink" Target="https://www.beautetrade.com/suppliers/europ-cosmetics-209557" TargetMode="External"/><Relationship Id="rId47" Type="http://schemas.openxmlformats.org/officeDocument/2006/relationships/hyperlink" Target="https://www.beautetrade.com/suppliers/europ-cosmetics-209557" TargetMode="External"/><Relationship Id="rId48" Type="http://schemas.openxmlformats.org/officeDocument/2006/relationships/hyperlink" Target="https://oncosmetics.com/company/royaume-du-parfum-international-rpi/" TargetMode="External"/><Relationship Id="rId49" Type="http://schemas.openxmlformats.org/officeDocument/2006/relationships/hyperlink" Target="https://www.destockplus.com/acheter/recherche-fournisseur-2-parfumerie.html" TargetMode="External"/><Relationship Id="rId50" Type="http://schemas.openxmlformats.org/officeDocument/2006/relationships/hyperlink" Target="https://lb.kompass.com/c/sofrapar/fr0078081/" TargetMode="External"/><Relationship Id="rId51" Type="http://schemas.openxmlformats.org/officeDocument/2006/relationships/hyperlink" Target="https://lb.kompass.com/c/sofrapar/fr0078081/" TargetMode="External"/><Relationship Id="rId52" Type="http://schemas.openxmlformats.org/officeDocument/2006/relationships/hyperlink" Target="https://oceanfragrances.com/es/" TargetMode="External"/><Relationship Id="rId53" Type="http://schemas.openxmlformats.org/officeDocument/2006/relationships/hyperlink" Target="https://www.proveedores.com/proveedores/ocean-fragrances/" TargetMode="External"/><Relationship Id="rId54" Type="http://schemas.openxmlformats.org/officeDocument/2006/relationships/hyperlink" Target="https://www.distribuidorperfumes.com/" TargetMode="External"/><Relationship Id="rId55" Type="http://schemas.openxmlformats.org/officeDocument/2006/relationships/hyperlink" Target="https://www.proveedores.com/proveedores/distribuidor-perfumes/" TargetMode="External"/><Relationship Id="rId56" Type="http://schemas.openxmlformats.org/officeDocument/2006/relationships/hyperlink" Target="https://www.igmaco.com/" TargetMode="External"/><Relationship Id="rId57" Type="http://schemas.openxmlformats.org/officeDocument/2006/relationships/hyperlink" Target="https://oncosmetics.com/company/igmaco/" TargetMode="External"/><Relationship Id="rId58" Type="http://schemas.openxmlformats.org/officeDocument/2006/relationships/hyperlink" Target="https://www.orientfragance.com/en/pages/contact" TargetMode="External"/><Relationship Id="rId59" Type="http://schemas.openxmlformats.org/officeDocument/2006/relationships/hyperlink" Target="https://www.orientfragance.com/en/pages/contacto" TargetMode="External"/><Relationship Id="rId60" Type="http://schemas.openxmlformats.org/officeDocument/2006/relationships/hyperlink" Target="https://oncosmetics.com/company/mayoristaperfumeria/" TargetMode="External"/><Relationship Id="rId61" Type="http://schemas.openxmlformats.org/officeDocument/2006/relationships/hyperlink" Target="https://oncosmetics.com/company/gpd-central-de-perfumeria-y-cosmetica/" TargetMode="External"/><Relationship Id="rId62" Type="http://schemas.openxmlformats.org/officeDocument/2006/relationships/hyperlink" Target="https://oncosmetics.com/company/quisben-iberica-s-l/" TargetMode="External"/><Relationship Id="rId63" Type="http://schemas.openxmlformats.org/officeDocument/2006/relationships/hyperlink" Target="https://proveedores.com/proveedores/madallmes/" TargetMode="External"/><Relationship Id="rId64" Type="http://schemas.openxmlformats.org/officeDocument/2006/relationships/hyperlink" Target="https://oncosmetics.com/company/beauty-way-sl/" TargetMode="External"/><Relationship Id="rId65" Type="http://schemas.openxmlformats.org/officeDocument/2006/relationships/hyperlink" Target="https://www.modaes.com/cosmetica/perfumes-y-diseno-sella-un-acuerdo-de-distribucion-con-euroitalia-en-espana-y-andorra" TargetMode="External"/><Relationship Id="rId66" Type="http://schemas.openxmlformats.org/officeDocument/2006/relationships/hyperlink" Target="https://www.parfulandiastore.it/" TargetMode="External"/><Relationship Id="rId67" Type="http://schemas.openxmlformats.org/officeDocument/2006/relationships/hyperlink" Target="https://oncosmetics.com/company/parfulandia-srl/" TargetMode="External"/><Relationship Id="rId68" Type="http://schemas.openxmlformats.org/officeDocument/2006/relationships/hyperlink" Target="https://globalperfumes.it/" TargetMode="External"/><Relationship Id="rId69" Type="http://schemas.openxmlformats.org/officeDocument/2006/relationships/hyperlink" Target="https://oncosmetics.com/company/global-perfumes" TargetMode="External"/><Relationship Id="rId70" Type="http://schemas.openxmlformats.org/officeDocument/2006/relationships/hyperlink" Target="https://atoka.io/public/it/azienda/consorzio-profumerie-estasi/3cca13127885" TargetMode="External"/><Relationship Id="rId71" Type="http://schemas.openxmlformats.org/officeDocument/2006/relationships/hyperlink" Target="https://atoka.io/public/it/azienda/amoretti-profumi-srl/e6a0a9e0c2b7" TargetMode="External"/><Relationship Id="rId72" Type="http://schemas.openxmlformats.org/officeDocument/2006/relationships/hyperlink" Target="https://atoka.io/public/it/azienda/profumerie-p-p-srl/b936935a4339" TargetMode="External"/><Relationship Id="rId73" Type="http://schemas.openxmlformats.org/officeDocument/2006/relationships/hyperlink" Target="https://atoka.io/public/it/azienda/mr-parfums-srl-a-socio-unico/f8ca86bdc544" TargetMode="External"/><Relationship Id="rId74" Type="http://schemas.openxmlformats.org/officeDocument/2006/relationships/hyperlink" Target="https://oncosmetics.com/company/t-d-distribuzione-srl/" TargetMode="External"/><Relationship Id="rId75" Type="http://schemas.openxmlformats.org/officeDocument/2006/relationships/hyperlink" Target="https://www.aplikuj.pl/pracodawca/380091/parfum-company-sp-z-o-o-s-k-a" TargetMode="External"/><Relationship Id="rId76" Type="http://schemas.openxmlformats.org/officeDocument/2006/relationships/hyperlink" Target="https://perfume-supplier.eu/" TargetMode="External"/><Relationship Id="rId77" Type="http://schemas.openxmlformats.org/officeDocument/2006/relationships/hyperlink" Target="https://oncosmetics.com/company/charms-perfumes-and-cosmetics/" TargetMode="External"/><Relationship Id="rId78" Type="http://schemas.openxmlformats.org/officeDocument/2006/relationships/hyperlink" Target="https://www.aplikuj.pl/pracodawca/80046/misterm-plus-sp-z-o-o-spolka-komandytowa" TargetMode="External"/><Relationship Id="rId79" Type="http://schemas.openxmlformats.org/officeDocument/2006/relationships/hyperlink" Target="https://oncosmetics.com/company/hurtownia-perfum/" TargetMode="External"/><Relationship Id="rId80" Type="http://schemas.openxmlformats.org/officeDocument/2006/relationships/hyperlink" Target="https://ensun.io/search/luxury-perfume/poland" TargetMode="External"/><Relationship Id="rId81" Type="http://schemas.openxmlformats.org/officeDocument/2006/relationships/hyperlink" Target="https://oncosmetics.com/company/solg-oskar-szumacher/" TargetMode="External"/><Relationship Id="rId82" Type="http://schemas.openxmlformats.org/officeDocument/2006/relationships/hyperlink" Target="https://www.bjutip.com/register" TargetMode="External"/><Relationship Id="rId83" Type="http://schemas.openxmlformats.org/officeDocument/2006/relationships/hyperlink" Target="https://bjutip.com/contact_us" TargetMode="External"/><Relationship Id="rId84" Type="http://schemas.openxmlformats.org/officeDocument/2006/relationships/hyperlink" Target="https://wholesale.brasty.com/" TargetMode="External"/><Relationship Id="rId85" Type="http://schemas.openxmlformats.org/officeDocument/2006/relationships/hyperlink" Target="https://wholesale.brasty.com/" TargetMode="External"/><Relationship Id="rId86" Type="http://schemas.openxmlformats.org/officeDocument/2006/relationships/hyperlink" Target="https://www.fragrances-wholesale.eu/" TargetMode="External"/><Relationship Id="rId87" Type="http://schemas.openxmlformats.org/officeDocument/2006/relationships/hyperlink" Target="https://www.fragrances-wholesale.eu/info/terms-and-conditions-nr" TargetMode="External"/><Relationship Id="rId88" Type="http://schemas.openxmlformats.org/officeDocument/2006/relationships/hyperlink" Target="https://parfen.hu/" TargetMode="External"/><Relationship Id="rId89" Type="http://schemas.openxmlformats.org/officeDocument/2006/relationships/hyperlink" Target="https://oncosmetics.com/company/parfen/" TargetMode="External"/><Relationship Id="rId90" Type="http://schemas.openxmlformats.org/officeDocument/2006/relationships/hyperlink" Target="https://parfumuri-engros.ro/" TargetMode="External"/><Relationship Id="rId91" Type="http://schemas.openxmlformats.org/officeDocument/2006/relationships/hyperlink" Target="https://oncosmetics.com/company/parfumuri-engros/" TargetMode="External"/><Relationship Id="rId92" Type="http://schemas.openxmlformats.org/officeDocument/2006/relationships/hyperlink" Target="https://qudobeauty.com/perfumes-and-fragrances-wholesale/" TargetMode="External"/><Relationship Id="rId93" Type="http://schemas.openxmlformats.org/officeDocument/2006/relationships/hyperlink" Target="https://qudobeauty.com/perfumes-and-fragrances-wholesale/" TargetMode="External"/><Relationship Id="rId94" Type="http://schemas.openxmlformats.org/officeDocument/2006/relationships/hyperlink" Target="https://oncosmetics.com/company/romscent" TargetMode="External"/><Relationship Id="rId95" Type="http://schemas.openxmlformats.org/officeDocument/2006/relationships/hyperlink" Target="https://odora.bg/" TargetMode="External"/><Relationship Id="rId96" Type="http://schemas.openxmlformats.org/officeDocument/2006/relationships/hyperlink" Target="https://oncosmetics.com/company/odora-beauty-corp-ad/" TargetMode="External"/><Relationship Id="rId97" Type="http://schemas.openxmlformats.org/officeDocument/2006/relationships/hyperlink" Target="https://aromaray.bg/" TargetMode="External"/><Relationship Id="rId98" Type="http://schemas.openxmlformats.org/officeDocument/2006/relationships/hyperlink" Target="https://oncosmetics.com/company/aromaray-ltd-ood/" TargetMode="External"/><Relationship Id="rId99" Type="http://schemas.openxmlformats.org/officeDocument/2006/relationships/hyperlink" Target="https://oncosmetics.com/company/venera-cosmetics/" TargetMode="External"/><Relationship Id="rId100" Type="http://schemas.openxmlformats.org/officeDocument/2006/relationships/hyperlink" Target="https://www.perfumes-supplier.com/" TargetMode="External"/><Relationship Id="rId101" Type="http://schemas.openxmlformats.org/officeDocument/2006/relationships/hyperlink" Target="https://oncosmetics.com/company/ventus-s-a/" TargetMode="External"/><Relationship Id="rId102" Type="http://schemas.openxmlformats.org/officeDocument/2006/relationships/hyperlink" Target="https://per-fumes.com/" TargetMode="External"/><Relationship Id="rId103" Type="http://schemas.openxmlformats.org/officeDocument/2006/relationships/hyperlink" Target="https://oncosmetics.com/company/amco-group-uab/" TargetMode="External"/><Relationship Id="rId104" Type="http://schemas.openxmlformats.org/officeDocument/2006/relationships/hyperlink" Target="https://oncosmetics.com/company/selective-parfums/" TargetMode="External"/><Relationship Id="rId105" Type="http://schemas.openxmlformats.org/officeDocument/2006/relationships/hyperlink" Target="https://funnelfeedr.com/en/company/se/sar-beauty-ab-5595032482" TargetMode="External"/><Relationship Id="rId106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jobs.workable.com/companies/iKxrmDgx2D2P41Cmp6pAvV.md" TargetMode="External"/><Relationship Id="rId2" Type="http://schemas.openxmlformats.org/officeDocument/2006/relationships/hyperlink" Target="https://localpage.uk/question/health-and-wellbeing/can-you-recommend-a-reliable-wholesale-distributor-of-luxury-fragrances-in-the-uk" TargetMode="External"/><Relationship Id="rId3" Type="http://schemas.openxmlformats.org/officeDocument/2006/relationships/hyperlink" Target="https://find-and-update.company-information.service.gov.uk/company/14662527" TargetMode="External"/><Relationship Id="rId4" Type="http://schemas.openxmlformats.org/officeDocument/2006/relationships/hyperlink" Target="https://find-and-update.company-information.service.gov.uk/company/14662527" TargetMode="External"/><Relationship Id="rId5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COUNTA('EU Suppliers'!B2:B68)</f>
        <v>67</v>
      </c>
    </row>
    <row r="6" customFormat="false" ht="15" hidden="false" customHeight="false" outlineLevel="0" collapsed="false">
      <c r="A6" s="4" t="s">
        <v>5</v>
      </c>
      <c r="B6" s="4" t="n">
        <f aca="false">COUNTIF('EU Suppliers'!L2:L68,"High")</f>
        <v>20</v>
      </c>
    </row>
    <row r="7" customFormat="false" ht="15" hidden="false" customHeight="false" outlineLevel="0" collapsed="false">
      <c r="A7" s="4" t="s">
        <v>6</v>
      </c>
      <c r="B7" s="4" t="n">
        <f aca="false">COUNTIF('EU Suppliers'!L2:L68,"Medium")</f>
        <v>28</v>
      </c>
    </row>
    <row r="8" customFormat="false" ht="15" hidden="false" customHeight="false" outlineLevel="0" collapsed="false">
      <c r="A8" s="4" t="s">
        <v>7</v>
      </c>
      <c r="B8" s="4" t="n">
        <f aca="false">COUNTIF('EU Suppliers'!L2:L68,"Low")</f>
        <v>19</v>
      </c>
    </row>
    <row r="9" customFormat="false" ht="15" hidden="false" customHeight="false" outlineLevel="0" collapsed="false">
      <c r="A9" s="4" t="s">
        <v>8</v>
      </c>
      <c r="B9" s="4" t="n">
        <f aca="false">COUNTIF('EU Suppliers'!F2:F68,"*@*")</f>
        <v>7</v>
      </c>
    </row>
    <row r="10" customFormat="false" ht="15" hidden="false" customHeight="false" outlineLevel="0" collapsed="false">
      <c r="A10" s="4" t="s">
        <v>9</v>
      </c>
      <c r="B10" s="4" t="n">
        <f aca="false">COUNTA('EU Suppliers'!O2:O68)-COUNTIF('EU Suppliers'!O2:O68,"Not contacted")</f>
        <v>0</v>
      </c>
    </row>
    <row r="11" customFormat="false" ht="15" hidden="false" customHeight="false" outlineLevel="0" collapsed="false">
      <c r="A11" s="4" t="s">
        <v>10</v>
      </c>
      <c r="B11" s="4" t="n">
        <f aca="false">COUNTIF('EU Suppliers'!O2:O68,"Account opened")</f>
        <v>0</v>
      </c>
    </row>
    <row r="12" customFormat="false" ht="15" hidden="false" customHeight="false" outlineLevel="0" collapsed="false">
      <c r="A12" s="4"/>
      <c r="B12" s="4"/>
    </row>
    <row r="13" customFormat="false" ht="15" hidden="false" customHeight="false" outlineLevel="0" collapsed="false">
      <c r="A13" s="5" t="s">
        <v>11</v>
      </c>
      <c r="B13" s="4"/>
    </row>
    <row r="14" customFormat="false" ht="15" hidden="false" customHeight="false" outlineLevel="0" collapsed="false">
      <c r="A14" s="3" t="s">
        <v>12</v>
      </c>
      <c r="B14" s="3" t="s">
        <v>13</v>
      </c>
    </row>
    <row r="15" customFormat="false" ht="15" hidden="false" customHeight="false" outlineLevel="0" collapsed="false">
      <c r="A15" s="4" t="s">
        <v>14</v>
      </c>
      <c r="B15" s="4" t="n">
        <f aca="false">COUNTIF('EU Suppliers'!C2:C68,A15)</f>
        <v>1</v>
      </c>
    </row>
    <row r="16" customFormat="false" ht="15" hidden="false" customHeight="false" outlineLevel="0" collapsed="false">
      <c r="A16" s="4" t="s">
        <v>15</v>
      </c>
      <c r="B16" s="4" t="n">
        <f aca="false">COUNTIF('EU Suppliers'!C2:C68,A16)</f>
        <v>5</v>
      </c>
    </row>
    <row r="17" customFormat="false" ht="15" hidden="false" customHeight="false" outlineLevel="0" collapsed="false">
      <c r="A17" s="4" t="s">
        <v>16</v>
      </c>
      <c r="B17" s="4" t="n">
        <f aca="false">COUNTIF('EU Suppliers'!C2:C68,A17)</f>
        <v>3</v>
      </c>
    </row>
    <row r="18" customFormat="false" ht="15" hidden="false" customHeight="false" outlineLevel="0" collapsed="false">
      <c r="A18" s="4" t="s">
        <v>17</v>
      </c>
      <c r="B18" s="4" t="n">
        <f aca="false">COUNTIF('EU Suppliers'!C2:C68,A18)</f>
        <v>3</v>
      </c>
    </row>
    <row r="19" customFormat="false" ht="15" hidden="false" customHeight="false" outlineLevel="0" collapsed="false">
      <c r="A19" s="4" t="s">
        <v>18</v>
      </c>
      <c r="B19" s="4" t="n">
        <f aca="false">COUNTIF('EU Suppliers'!C2:C68,A19)</f>
        <v>7</v>
      </c>
    </row>
    <row r="20" customFormat="false" ht="15" hidden="false" customHeight="false" outlineLevel="0" collapsed="false">
      <c r="A20" s="4" t="s">
        <v>19</v>
      </c>
      <c r="B20" s="4" t="n">
        <f aca="false">COUNTIF('EU Suppliers'!C2:C68,A20)</f>
        <v>7</v>
      </c>
    </row>
    <row r="21" customFormat="false" ht="15" hidden="false" customHeight="false" outlineLevel="0" collapsed="false">
      <c r="A21" s="4" t="s">
        <v>20</v>
      </c>
      <c r="B21" s="4" t="n">
        <f aca="false">COUNTIF('EU Suppliers'!C2:C68,A21)</f>
        <v>1</v>
      </c>
    </row>
    <row r="22" customFormat="false" ht="15" hidden="false" customHeight="false" outlineLevel="0" collapsed="false">
      <c r="A22" s="4" t="s">
        <v>21</v>
      </c>
      <c r="B22" s="4" t="n">
        <f aca="false">COUNTIF('EU Suppliers'!C2:C68,A22)</f>
        <v>1</v>
      </c>
    </row>
    <row r="23" customFormat="false" ht="15" hidden="false" customHeight="false" outlineLevel="0" collapsed="false">
      <c r="A23" s="4" t="s">
        <v>22</v>
      </c>
      <c r="B23" s="4" t="n">
        <f aca="false">COUNTIF('EU Suppliers'!C2:C68,A23)</f>
        <v>7</v>
      </c>
    </row>
    <row r="24" customFormat="false" ht="15" hidden="false" customHeight="false" outlineLevel="0" collapsed="false">
      <c r="A24" s="4" t="s">
        <v>23</v>
      </c>
      <c r="B24" s="4" t="n">
        <f aca="false">COUNTIF('EU Suppliers'!C2:C68,A24)</f>
        <v>1</v>
      </c>
    </row>
    <row r="25" customFormat="false" ht="15" hidden="false" customHeight="false" outlineLevel="0" collapsed="false">
      <c r="A25" s="4" t="s">
        <v>24</v>
      </c>
      <c r="B25" s="4" t="n">
        <f aca="false">COUNTIF('EU Suppliers'!C2:C68,A25)</f>
        <v>9</v>
      </c>
    </row>
    <row r="26" customFormat="false" ht="15" hidden="false" customHeight="false" outlineLevel="0" collapsed="false">
      <c r="A26" s="4" t="s">
        <v>25</v>
      </c>
      <c r="B26" s="4" t="n">
        <f aca="false">COUNTIF('EU Suppliers'!C2:C68,A26)</f>
        <v>6</v>
      </c>
    </row>
    <row r="27" customFormat="false" ht="15" hidden="false" customHeight="false" outlineLevel="0" collapsed="false">
      <c r="A27" s="4" t="s">
        <v>26</v>
      </c>
      <c r="B27" s="4" t="n">
        <f aca="false">COUNTIF('EU Suppliers'!C2:C68,A27)</f>
        <v>3</v>
      </c>
    </row>
    <row r="28" customFormat="false" ht="15" hidden="false" customHeight="false" outlineLevel="0" collapsed="false">
      <c r="A28" s="4" t="s">
        <v>27</v>
      </c>
      <c r="B28" s="4" t="n">
        <f aca="false">COUNTIF('EU Suppliers'!C2:C68,A28)</f>
        <v>12</v>
      </c>
    </row>
    <row r="29" customFormat="false" ht="15" hidden="false" customHeight="false" outlineLevel="0" collapsed="false">
      <c r="A29" s="4" t="s">
        <v>28</v>
      </c>
      <c r="B29" s="4" t="n">
        <f aca="false">COUNTIF('EU Suppliers'!C2:C68,A29)</f>
        <v>1</v>
      </c>
    </row>
    <row r="31" customFormat="false" ht="15" hidden="false" customHeight="false" outlineLevel="0" collapsed="false">
      <c r="A31" s="6" t="s">
        <v>29</v>
      </c>
    </row>
    <row r="32" customFormat="false" ht="15" hidden="false" customHeight="false" outlineLevel="0" collapsed="false">
      <c r="A32" s="7" t="s">
        <v>30</v>
      </c>
    </row>
    <row r="33" customFormat="false" ht="15" hidden="false" customHeight="false" outlineLevel="0" collapsed="false">
      <c r="A33" s="7" t="s">
        <v>31</v>
      </c>
    </row>
    <row r="34" customFormat="false" ht="15" hidden="false" customHeight="false" outlineLevel="0" collapsed="false">
      <c r="A34" s="7" t="s">
        <v>32</v>
      </c>
    </row>
    <row r="35" customFormat="false" ht="15" hidden="false" customHeight="false" outlineLevel="0" collapsed="false">
      <c r="A35" s="6" t="s">
        <v>33</v>
      </c>
    </row>
    <row r="36" customFormat="false" ht="15" hidden="false" customHeight="false" outlineLevel="0" collapsed="false">
      <c r="A36" s="7" t="s">
        <v>34</v>
      </c>
    </row>
    <row r="37" customFormat="false" ht="15" hidden="false" customHeight="false" outlineLevel="0" collapsed="false">
      <c r="A37" s="7" t="s">
        <v>35</v>
      </c>
    </row>
    <row r="38" customFormat="false" ht="15" hidden="false" customHeight="false" outlineLevel="0" collapsed="false">
      <c r="A38" s="7" t="s">
        <v>36</v>
      </c>
    </row>
    <row r="39" customFormat="false" ht="15" hidden="false" customHeight="false" outlineLevel="0" collapsed="false">
      <c r="A39" s="7" t="s">
        <v>37</v>
      </c>
    </row>
    <row r="40" customFormat="false" ht="15" hidden="false" customHeight="false" outlineLevel="0" collapsed="false">
      <c r="A40" s="7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42"/>
    <col collapsed="false" customWidth="true" hidden="false" outlineLevel="0" max="6" min="6" style="0" width="32"/>
    <col collapsed="false" customWidth="true" hidden="false" outlineLevel="0" max="7" min="7" style="0" width="26"/>
    <col collapsed="false" customWidth="true" hidden="false" outlineLevel="0" max="8" min="8" style="0" width="36"/>
    <col collapsed="false" customWidth="true" hidden="false" outlineLevel="0" max="9" min="9" style="0" width="30"/>
    <col collapsed="false" customWidth="true" hidden="false" outlineLevel="0" max="10" min="10" style="0" width="44"/>
    <col collapsed="false" customWidth="true" hidden="false" outlineLevel="0" max="11" min="11" style="0" width="38"/>
    <col collapsed="false" customWidth="true" hidden="false" outlineLevel="0" max="12" min="12" style="0" width="10"/>
    <col collapsed="false" customWidth="true" hidden="false" outlineLevel="0" max="13" min="13" style="0" width="48"/>
    <col collapsed="false" customWidth="true" hidden="false" outlineLevel="0" max="14" min="14" style="0" width="40"/>
    <col collapsed="false" customWidth="true" hidden="false" outlineLevel="0" max="15" min="15" style="0" width="16"/>
    <col collapsed="false" customWidth="true" hidden="false" outlineLevel="0" max="17" min="16" style="0" width="14"/>
    <col collapsed="false" customWidth="true" hidden="false" outlineLevel="0" max="18" min="18" style="0" width="34"/>
  </cols>
  <sheetData>
    <row r="1" customFormat="false" ht="30" hidden="false" customHeight="true" outlineLevel="0" collapsed="false">
      <c r="A1" s="8" t="s">
        <v>39</v>
      </c>
      <c r="B1" s="8" t="s">
        <v>40</v>
      </c>
      <c r="C1" s="8" t="s">
        <v>12</v>
      </c>
      <c r="D1" s="8" t="s">
        <v>41</v>
      </c>
      <c r="E1" s="8" t="s">
        <v>42</v>
      </c>
      <c r="F1" s="8" t="s">
        <v>43</v>
      </c>
      <c r="G1" s="8" t="s">
        <v>44</v>
      </c>
      <c r="H1" s="8" t="s">
        <v>45</v>
      </c>
      <c r="I1" s="8" t="s">
        <v>46</v>
      </c>
      <c r="J1" s="8" t="s">
        <v>47</v>
      </c>
      <c r="K1" s="8" t="s">
        <v>48</v>
      </c>
      <c r="L1" s="8" t="s">
        <v>49</v>
      </c>
      <c r="M1" s="8" t="s">
        <v>50</v>
      </c>
      <c r="N1" s="8" t="s">
        <v>51</v>
      </c>
      <c r="O1" s="8" t="s">
        <v>52</v>
      </c>
      <c r="P1" s="8" t="s">
        <v>53</v>
      </c>
      <c r="Q1" s="8" t="s">
        <v>54</v>
      </c>
      <c r="R1" s="8" t="s">
        <v>55</v>
      </c>
    </row>
    <row r="2" customFormat="false" ht="23.85" hidden="false" customHeight="false" outlineLevel="0" collapsed="false">
      <c r="A2" s="9" t="n">
        <v>1</v>
      </c>
      <c r="B2" s="9" t="s">
        <v>56</v>
      </c>
      <c r="C2" s="9" t="s">
        <v>24</v>
      </c>
      <c r="D2" s="9" t="s">
        <v>57</v>
      </c>
      <c r="E2" s="10" t="s">
        <v>58</v>
      </c>
      <c r="F2" s="9" t="s">
        <v>59</v>
      </c>
      <c r="G2" s="9"/>
      <c r="H2" s="9" t="s">
        <v>60</v>
      </c>
      <c r="I2" s="9" t="s">
        <v>61</v>
      </c>
      <c r="J2" s="9" t="s">
        <v>62</v>
      </c>
      <c r="K2" s="9" t="s">
        <v>63</v>
      </c>
      <c r="L2" s="11" t="s">
        <v>64</v>
      </c>
      <c r="M2" s="9" t="s">
        <v>65</v>
      </c>
      <c r="N2" s="10" t="s">
        <v>66</v>
      </c>
      <c r="O2" s="12" t="s">
        <v>67</v>
      </c>
      <c r="P2" s="13"/>
      <c r="Q2" s="13"/>
      <c r="R2" s="12"/>
    </row>
    <row r="3" customFormat="false" ht="23.85" hidden="false" customHeight="false" outlineLevel="0" collapsed="false">
      <c r="A3" s="9" t="n">
        <v>2</v>
      </c>
      <c r="B3" s="9" t="s">
        <v>68</v>
      </c>
      <c r="C3" s="9" t="s">
        <v>27</v>
      </c>
      <c r="D3" s="9" t="s">
        <v>69</v>
      </c>
      <c r="E3" s="10" t="s">
        <v>70</v>
      </c>
      <c r="F3" s="9" t="s">
        <v>71</v>
      </c>
      <c r="G3" s="9" t="s">
        <v>72</v>
      </c>
      <c r="H3" s="9" t="s">
        <v>73</v>
      </c>
      <c r="I3" s="9" t="s">
        <v>74</v>
      </c>
      <c r="J3" s="9" t="s">
        <v>75</v>
      </c>
      <c r="K3" s="9" t="s">
        <v>76</v>
      </c>
      <c r="L3" s="11" t="s">
        <v>64</v>
      </c>
      <c r="M3" s="9" t="s">
        <v>77</v>
      </c>
      <c r="N3" s="10" t="s">
        <v>78</v>
      </c>
      <c r="O3" s="12" t="s">
        <v>67</v>
      </c>
      <c r="P3" s="13"/>
      <c r="Q3" s="13"/>
      <c r="R3" s="12"/>
    </row>
    <row r="4" customFormat="false" ht="23.85" hidden="false" customHeight="false" outlineLevel="0" collapsed="false">
      <c r="A4" s="9" t="n">
        <v>3</v>
      </c>
      <c r="B4" s="9" t="s">
        <v>79</v>
      </c>
      <c r="C4" s="9" t="s">
        <v>27</v>
      </c>
      <c r="D4" s="9" t="s">
        <v>80</v>
      </c>
      <c r="E4" s="10" t="s">
        <v>81</v>
      </c>
      <c r="F4" s="9" t="s">
        <v>82</v>
      </c>
      <c r="G4" s="9"/>
      <c r="H4" s="9" t="s">
        <v>83</v>
      </c>
      <c r="I4" s="9" t="s">
        <v>84</v>
      </c>
      <c r="J4" s="9" t="s">
        <v>85</v>
      </c>
      <c r="K4" s="9" t="s">
        <v>86</v>
      </c>
      <c r="L4" s="14" t="s">
        <v>87</v>
      </c>
      <c r="M4" s="9" t="s">
        <v>88</v>
      </c>
      <c r="N4" s="10" t="s">
        <v>89</v>
      </c>
      <c r="O4" s="12" t="s">
        <v>67</v>
      </c>
      <c r="P4" s="13"/>
      <c r="Q4" s="13"/>
      <c r="R4" s="12"/>
    </row>
    <row r="5" customFormat="false" ht="23.85" hidden="false" customHeight="false" outlineLevel="0" collapsed="false">
      <c r="A5" s="9" t="n">
        <v>4</v>
      </c>
      <c r="B5" s="9" t="s">
        <v>90</v>
      </c>
      <c r="C5" s="9" t="s">
        <v>24</v>
      </c>
      <c r="D5" s="9" t="s">
        <v>91</v>
      </c>
      <c r="E5" s="10" t="s">
        <v>92</v>
      </c>
      <c r="F5" s="9" t="s">
        <v>93</v>
      </c>
      <c r="G5" s="9"/>
      <c r="H5" s="9" t="s">
        <v>24</v>
      </c>
      <c r="I5" s="9" t="s">
        <v>94</v>
      </c>
      <c r="J5" s="9" t="s">
        <v>95</v>
      </c>
      <c r="K5" s="9" t="s">
        <v>96</v>
      </c>
      <c r="L5" s="11" t="s">
        <v>64</v>
      </c>
      <c r="M5" s="9" t="s">
        <v>97</v>
      </c>
      <c r="N5" s="10" t="s">
        <v>92</v>
      </c>
      <c r="O5" s="12" t="s">
        <v>67</v>
      </c>
      <c r="P5" s="13"/>
      <c r="Q5" s="13"/>
      <c r="R5" s="12"/>
    </row>
    <row r="6" customFormat="false" ht="23.85" hidden="false" customHeight="false" outlineLevel="0" collapsed="false">
      <c r="A6" s="9" t="n">
        <v>5</v>
      </c>
      <c r="B6" s="9" t="s">
        <v>98</v>
      </c>
      <c r="C6" s="9" t="s">
        <v>24</v>
      </c>
      <c r="D6" s="9"/>
      <c r="E6" s="10" t="s">
        <v>99</v>
      </c>
      <c r="F6" s="9" t="s">
        <v>93</v>
      </c>
      <c r="G6" s="9"/>
      <c r="H6" s="9" t="s">
        <v>24</v>
      </c>
      <c r="I6" s="9" t="s">
        <v>100</v>
      </c>
      <c r="J6" s="9" t="s">
        <v>101</v>
      </c>
      <c r="K6" s="9" t="s">
        <v>102</v>
      </c>
      <c r="L6" s="14" t="s">
        <v>87</v>
      </c>
      <c r="M6" s="9" t="s">
        <v>103</v>
      </c>
      <c r="N6" s="10" t="s">
        <v>104</v>
      </c>
      <c r="O6" s="12" t="s">
        <v>67</v>
      </c>
      <c r="P6" s="13"/>
      <c r="Q6" s="13"/>
      <c r="R6" s="12"/>
    </row>
    <row r="7" customFormat="false" ht="23.85" hidden="false" customHeight="false" outlineLevel="0" collapsed="false">
      <c r="A7" s="9" t="n">
        <v>6</v>
      </c>
      <c r="B7" s="9" t="s">
        <v>105</v>
      </c>
      <c r="C7" s="9" t="s">
        <v>24</v>
      </c>
      <c r="D7" s="9" t="s">
        <v>106</v>
      </c>
      <c r="E7" s="10" t="s">
        <v>107</v>
      </c>
      <c r="F7" s="9" t="s">
        <v>108</v>
      </c>
      <c r="G7" s="9"/>
      <c r="H7" s="9" t="s">
        <v>109</v>
      </c>
      <c r="I7" s="9" t="s">
        <v>110</v>
      </c>
      <c r="J7" s="9" t="s">
        <v>111</v>
      </c>
      <c r="K7" s="9" t="s">
        <v>112</v>
      </c>
      <c r="L7" s="11" t="s">
        <v>64</v>
      </c>
      <c r="M7" s="9" t="s">
        <v>113</v>
      </c>
      <c r="N7" s="10" t="s">
        <v>107</v>
      </c>
      <c r="O7" s="12" t="s">
        <v>67</v>
      </c>
      <c r="P7" s="13"/>
      <c r="Q7" s="13"/>
      <c r="R7" s="12"/>
    </row>
    <row r="8" customFormat="false" ht="23.85" hidden="false" customHeight="false" outlineLevel="0" collapsed="false">
      <c r="A8" s="9" t="n">
        <v>7</v>
      </c>
      <c r="B8" s="9" t="s">
        <v>114</v>
      </c>
      <c r="C8" s="9" t="s">
        <v>24</v>
      </c>
      <c r="D8" s="9" t="s">
        <v>115</v>
      </c>
      <c r="E8" s="10" t="s">
        <v>116</v>
      </c>
      <c r="F8" s="9" t="s">
        <v>93</v>
      </c>
      <c r="G8" s="9"/>
      <c r="H8" s="9" t="s">
        <v>115</v>
      </c>
      <c r="I8" s="9" t="s">
        <v>117</v>
      </c>
      <c r="J8" s="9" t="s">
        <v>118</v>
      </c>
      <c r="K8" s="9" t="s">
        <v>119</v>
      </c>
      <c r="L8" s="14" t="s">
        <v>87</v>
      </c>
      <c r="M8" s="9" t="s">
        <v>120</v>
      </c>
      <c r="N8" s="10" t="s">
        <v>121</v>
      </c>
      <c r="O8" s="12" t="s">
        <v>67</v>
      </c>
      <c r="P8" s="13"/>
      <c r="Q8" s="13"/>
      <c r="R8" s="12"/>
    </row>
    <row r="9" customFormat="false" ht="23.85" hidden="false" customHeight="false" outlineLevel="0" collapsed="false">
      <c r="A9" s="9" t="n">
        <v>8</v>
      </c>
      <c r="B9" s="9" t="s">
        <v>122</v>
      </c>
      <c r="C9" s="9" t="s">
        <v>24</v>
      </c>
      <c r="D9" s="9" t="s">
        <v>123</v>
      </c>
      <c r="E9" s="9"/>
      <c r="F9" s="9" t="s">
        <v>93</v>
      </c>
      <c r="G9" s="9"/>
      <c r="H9" s="9" t="s">
        <v>123</v>
      </c>
      <c r="I9" s="9" t="s">
        <v>124</v>
      </c>
      <c r="J9" s="9" t="s">
        <v>125</v>
      </c>
      <c r="K9" s="9"/>
      <c r="L9" s="14" t="s">
        <v>87</v>
      </c>
      <c r="M9" s="9" t="s">
        <v>126</v>
      </c>
      <c r="N9" s="10" t="s">
        <v>127</v>
      </c>
      <c r="O9" s="12" t="s">
        <v>67</v>
      </c>
      <c r="P9" s="13"/>
      <c r="Q9" s="13"/>
      <c r="R9" s="12"/>
    </row>
    <row r="10" customFormat="false" ht="23.85" hidden="false" customHeight="false" outlineLevel="0" collapsed="false">
      <c r="A10" s="9" t="n">
        <v>9</v>
      </c>
      <c r="B10" s="9" t="s">
        <v>128</v>
      </c>
      <c r="C10" s="9" t="s">
        <v>24</v>
      </c>
      <c r="D10" s="9" t="s">
        <v>109</v>
      </c>
      <c r="E10" s="10" t="s">
        <v>129</v>
      </c>
      <c r="F10" s="9" t="s">
        <v>93</v>
      </c>
      <c r="G10" s="9"/>
      <c r="H10" s="9" t="s">
        <v>109</v>
      </c>
      <c r="I10" s="9" t="s">
        <v>130</v>
      </c>
      <c r="J10" s="9" t="s">
        <v>131</v>
      </c>
      <c r="K10" s="9" t="s">
        <v>132</v>
      </c>
      <c r="L10" s="14" t="s">
        <v>87</v>
      </c>
      <c r="M10" s="9" t="s">
        <v>133</v>
      </c>
      <c r="N10" s="10" t="s">
        <v>134</v>
      </c>
      <c r="O10" s="12" t="s">
        <v>67</v>
      </c>
      <c r="P10" s="13"/>
      <c r="Q10" s="13"/>
      <c r="R10" s="12"/>
    </row>
    <row r="11" customFormat="false" ht="15" hidden="false" customHeight="false" outlineLevel="0" collapsed="false">
      <c r="A11" s="9" t="n">
        <v>10</v>
      </c>
      <c r="B11" s="9" t="s">
        <v>135</v>
      </c>
      <c r="C11" s="9" t="s">
        <v>24</v>
      </c>
      <c r="D11" s="9" t="s">
        <v>136</v>
      </c>
      <c r="E11" s="10" t="s">
        <v>137</v>
      </c>
      <c r="F11" s="9" t="s">
        <v>108</v>
      </c>
      <c r="G11" s="9"/>
      <c r="H11" s="9" t="s">
        <v>136</v>
      </c>
      <c r="I11" s="9" t="s">
        <v>138</v>
      </c>
      <c r="J11" s="9" t="s">
        <v>139</v>
      </c>
      <c r="K11" s="9"/>
      <c r="L11" s="14" t="s">
        <v>87</v>
      </c>
      <c r="M11" s="9" t="s">
        <v>140</v>
      </c>
      <c r="N11" s="10" t="s">
        <v>137</v>
      </c>
      <c r="O11" s="12" t="s">
        <v>67</v>
      </c>
      <c r="P11" s="13"/>
      <c r="Q11" s="13"/>
      <c r="R11" s="12"/>
    </row>
    <row r="12" customFormat="false" ht="23.85" hidden="false" customHeight="false" outlineLevel="0" collapsed="false">
      <c r="A12" s="9" t="n">
        <v>11</v>
      </c>
      <c r="B12" s="9" t="s">
        <v>141</v>
      </c>
      <c r="C12" s="9" t="s">
        <v>24</v>
      </c>
      <c r="D12" s="9" t="s">
        <v>109</v>
      </c>
      <c r="E12" s="9"/>
      <c r="F12" s="9" t="s">
        <v>93</v>
      </c>
      <c r="G12" s="9"/>
      <c r="H12" s="9" t="s">
        <v>109</v>
      </c>
      <c r="I12" s="9" t="s">
        <v>142</v>
      </c>
      <c r="J12" s="9" t="s">
        <v>143</v>
      </c>
      <c r="K12" s="9"/>
      <c r="L12" s="15" t="s">
        <v>144</v>
      </c>
      <c r="M12" s="9" t="s">
        <v>145</v>
      </c>
      <c r="N12" s="10" t="s">
        <v>146</v>
      </c>
      <c r="O12" s="12" t="s">
        <v>67</v>
      </c>
      <c r="P12" s="13"/>
      <c r="Q12" s="13"/>
      <c r="R12" s="12"/>
    </row>
    <row r="13" customFormat="false" ht="23.85" hidden="false" customHeight="false" outlineLevel="0" collapsed="false">
      <c r="A13" s="9" t="n">
        <v>12</v>
      </c>
      <c r="B13" s="9" t="s">
        <v>147</v>
      </c>
      <c r="C13" s="9" t="s">
        <v>15</v>
      </c>
      <c r="D13" s="9" t="s">
        <v>148</v>
      </c>
      <c r="E13" s="10" t="s">
        <v>149</v>
      </c>
      <c r="F13" s="9" t="s">
        <v>150</v>
      </c>
      <c r="G13" s="9" t="s">
        <v>151</v>
      </c>
      <c r="H13" s="9" t="s">
        <v>152</v>
      </c>
      <c r="I13" s="9" t="s">
        <v>153</v>
      </c>
      <c r="J13" s="9" t="s">
        <v>154</v>
      </c>
      <c r="K13" s="9"/>
      <c r="L13" s="11" t="s">
        <v>64</v>
      </c>
      <c r="M13" s="9" t="s">
        <v>155</v>
      </c>
      <c r="N13" s="10" t="s">
        <v>156</v>
      </c>
      <c r="O13" s="12" t="s">
        <v>67</v>
      </c>
      <c r="P13" s="13"/>
      <c r="Q13" s="13"/>
      <c r="R13" s="12"/>
    </row>
    <row r="14" customFormat="false" ht="23.85" hidden="false" customHeight="false" outlineLevel="0" collapsed="false">
      <c r="A14" s="9" t="n">
        <v>13</v>
      </c>
      <c r="B14" s="9" t="s">
        <v>157</v>
      </c>
      <c r="C14" s="9" t="s">
        <v>15</v>
      </c>
      <c r="D14" s="9" t="s">
        <v>158</v>
      </c>
      <c r="E14" s="10" t="s">
        <v>159</v>
      </c>
      <c r="F14" s="9" t="s">
        <v>160</v>
      </c>
      <c r="G14" s="9" t="s">
        <v>161</v>
      </c>
      <c r="H14" s="9" t="s">
        <v>162</v>
      </c>
      <c r="I14" s="9" t="s">
        <v>163</v>
      </c>
      <c r="J14" s="9" t="s">
        <v>164</v>
      </c>
      <c r="K14" s="9" t="s">
        <v>165</v>
      </c>
      <c r="L14" s="11" t="s">
        <v>64</v>
      </c>
      <c r="M14" s="9" t="s">
        <v>166</v>
      </c>
      <c r="N14" s="10" t="s">
        <v>167</v>
      </c>
      <c r="O14" s="12" t="s">
        <v>67</v>
      </c>
      <c r="P14" s="13"/>
      <c r="Q14" s="13"/>
      <c r="R14" s="12"/>
    </row>
    <row r="15" customFormat="false" ht="15" hidden="false" customHeight="false" outlineLevel="0" collapsed="false">
      <c r="A15" s="9" t="n">
        <v>14</v>
      </c>
      <c r="B15" s="9" t="s">
        <v>168</v>
      </c>
      <c r="C15" s="9" t="s">
        <v>15</v>
      </c>
      <c r="D15" s="9" t="s">
        <v>169</v>
      </c>
      <c r="E15" s="10" t="s">
        <v>170</v>
      </c>
      <c r="F15" s="9" t="s">
        <v>171</v>
      </c>
      <c r="G15" s="9"/>
      <c r="H15" s="9" t="s">
        <v>172</v>
      </c>
      <c r="I15" s="9" t="s">
        <v>173</v>
      </c>
      <c r="J15" s="9"/>
      <c r="K15" s="9"/>
      <c r="L15" s="15" t="s">
        <v>144</v>
      </c>
      <c r="M15" s="9" t="s">
        <v>174</v>
      </c>
      <c r="N15" s="10" t="s">
        <v>170</v>
      </c>
      <c r="O15" s="12" t="s">
        <v>67</v>
      </c>
      <c r="P15" s="13"/>
      <c r="Q15" s="13"/>
      <c r="R15" s="12"/>
    </row>
    <row r="16" customFormat="false" ht="15" hidden="false" customHeight="false" outlineLevel="0" collapsed="false">
      <c r="A16" s="9" t="n">
        <v>15</v>
      </c>
      <c r="B16" s="9" t="s">
        <v>175</v>
      </c>
      <c r="C16" s="9" t="s">
        <v>15</v>
      </c>
      <c r="D16" s="9" t="s">
        <v>176</v>
      </c>
      <c r="E16" s="10" t="s">
        <v>177</v>
      </c>
      <c r="F16" s="9" t="s">
        <v>171</v>
      </c>
      <c r="G16" s="9"/>
      <c r="H16" s="9" t="s">
        <v>176</v>
      </c>
      <c r="I16" s="9" t="s">
        <v>178</v>
      </c>
      <c r="J16" s="9" t="s">
        <v>179</v>
      </c>
      <c r="K16" s="9"/>
      <c r="L16" s="15" t="s">
        <v>144</v>
      </c>
      <c r="M16" s="9" t="s">
        <v>174</v>
      </c>
      <c r="N16" s="10" t="s">
        <v>177</v>
      </c>
      <c r="O16" s="12" t="s">
        <v>67</v>
      </c>
      <c r="P16" s="13"/>
      <c r="Q16" s="13"/>
      <c r="R16" s="12"/>
    </row>
    <row r="17" customFormat="false" ht="15" hidden="false" customHeight="false" outlineLevel="0" collapsed="false">
      <c r="A17" s="9" t="n">
        <v>16</v>
      </c>
      <c r="B17" s="9" t="s">
        <v>180</v>
      </c>
      <c r="C17" s="9" t="s">
        <v>15</v>
      </c>
      <c r="D17" s="9" t="s">
        <v>181</v>
      </c>
      <c r="E17" s="10" t="s">
        <v>182</v>
      </c>
      <c r="F17" s="9" t="s">
        <v>171</v>
      </c>
      <c r="G17" s="9"/>
      <c r="H17" s="9" t="s">
        <v>181</v>
      </c>
      <c r="I17" s="9" t="s">
        <v>183</v>
      </c>
      <c r="J17" s="9"/>
      <c r="K17" s="9"/>
      <c r="L17" s="15" t="s">
        <v>144</v>
      </c>
      <c r="M17" s="9" t="s">
        <v>174</v>
      </c>
      <c r="N17" s="10" t="s">
        <v>182</v>
      </c>
      <c r="O17" s="12" t="s">
        <v>67</v>
      </c>
      <c r="P17" s="13"/>
      <c r="Q17" s="13"/>
      <c r="R17" s="12"/>
    </row>
    <row r="18" customFormat="false" ht="23.85" hidden="false" customHeight="false" outlineLevel="0" collapsed="false">
      <c r="A18" s="9" t="n">
        <v>17</v>
      </c>
      <c r="B18" s="9" t="s">
        <v>184</v>
      </c>
      <c r="C18" s="9" t="s">
        <v>19</v>
      </c>
      <c r="D18" s="9" t="s">
        <v>185</v>
      </c>
      <c r="E18" s="9"/>
      <c r="F18" s="9" t="s">
        <v>93</v>
      </c>
      <c r="G18" s="9"/>
      <c r="H18" s="9" t="s">
        <v>186</v>
      </c>
      <c r="I18" s="9" t="s">
        <v>187</v>
      </c>
      <c r="J18" s="9" t="s">
        <v>188</v>
      </c>
      <c r="K18" s="9"/>
      <c r="L18" s="14" t="s">
        <v>87</v>
      </c>
      <c r="M18" s="9" t="s">
        <v>189</v>
      </c>
      <c r="N18" s="10" t="s">
        <v>190</v>
      </c>
      <c r="O18" s="12" t="s">
        <v>67</v>
      </c>
      <c r="P18" s="13"/>
      <c r="Q18" s="13"/>
      <c r="R18" s="12"/>
    </row>
    <row r="19" customFormat="false" ht="23.85" hidden="false" customHeight="false" outlineLevel="0" collapsed="false">
      <c r="A19" s="9" t="n">
        <v>18</v>
      </c>
      <c r="B19" s="9" t="s">
        <v>191</v>
      </c>
      <c r="C19" s="9" t="s">
        <v>19</v>
      </c>
      <c r="D19" s="9" t="s">
        <v>192</v>
      </c>
      <c r="E19" s="9"/>
      <c r="F19" s="9" t="s">
        <v>93</v>
      </c>
      <c r="G19" s="9"/>
      <c r="H19" s="9" t="s">
        <v>192</v>
      </c>
      <c r="I19" s="9" t="s">
        <v>193</v>
      </c>
      <c r="J19" s="9" t="s">
        <v>194</v>
      </c>
      <c r="K19" s="9"/>
      <c r="L19" s="14" t="s">
        <v>87</v>
      </c>
      <c r="M19" s="9" t="s">
        <v>195</v>
      </c>
      <c r="N19" s="10" t="s">
        <v>196</v>
      </c>
      <c r="O19" s="12" t="s">
        <v>67</v>
      </c>
      <c r="P19" s="13"/>
      <c r="Q19" s="13"/>
      <c r="R19" s="12"/>
    </row>
    <row r="20" customFormat="false" ht="23.85" hidden="false" customHeight="false" outlineLevel="0" collapsed="false">
      <c r="A20" s="9" t="n">
        <v>19</v>
      </c>
      <c r="B20" s="9" t="s">
        <v>197</v>
      </c>
      <c r="C20" s="9" t="s">
        <v>19</v>
      </c>
      <c r="D20" s="9" t="s">
        <v>198</v>
      </c>
      <c r="E20" s="10" t="s">
        <v>199</v>
      </c>
      <c r="F20" s="9" t="s">
        <v>93</v>
      </c>
      <c r="G20" s="9"/>
      <c r="H20" s="9" t="s">
        <v>198</v>
      </c>
      <c r="I20" s="9" t="s">
        <v>200</v>
      </c>
      <c r="J20" s="9" t="s">
        <v>201</v>
      </c>
      <c r="K20" s="9"/>
      <c r="L20" s="14" t="s">
        <v>87</v>
      </c>
      <c r="M20" s="9" t="s">
        <v>202</v>
      </c>
      <c r="N20" s="10" t="s">
        <v>196</v>
      </c>
      <c r="O20" s="12" t="s">
        <v>67</v>
      </c>
      <c r="P20" s="13"/>
      <c r="Q20" s="13"/>
      <c r="R20" s="12"/>
    </row>
    <row r="21" customFormat="false" ht="23.85" hidden="false" customHeight="false" outlineLevel="0" collapsed="false">
      <c r="A21" s="9" t="n">
        <v>20</v>
      </c>
      <c r="B21" s="9" t="s">
        <v>203</v>
      </c>
      <c r="C21" s="9" t="s">
        <v>19</v>
      </c>
      <c r="D21" s="9" t="s">
        <v>204</v>
      </c>
      <c r="E21" s="9"/>
      <c r="F21" s="9" t="s">
        <v>93</v>
      </c>
      <c r="G21" s="9"/>
      <c r="H21" s="9" t="s">
        <v>204</v>
      </c>
      <c r="I21" s="9" t="s">
        <v>205</v>
      </c>
      <c r="J21" s="9" t="s">
        <v>206</v>
      </c>
      <c r="K21" s="9"/>
      <c r="L21" s="14" t="s">
        <v>87</v>
      </c>
      <c r="M21" s="9" t="s">
        <v>207</v>
      </c>
      <c r="N21" s="10" t="s">
        <v>208</v>
      </c>
      <c r="O21" s="12" t="s">
        <v>67</v>
      </c>
      <c r="P21" s="13"/>
      <c r="Q21" s="13"/>
      <c r="R21" s="12"/>
    </row>
    <row r="22" customFormat="false" ht="23.85" hidden="false" customHeight="false" outlineLevel="0" collapsed="false">
      <c r="A22" s="9" t="n">
        <v>21</v>
      </c>
      <c r="B22" s="9" t="s">
        <v>209</v>
      </c>
      <c r="C22" s="9" t="s">
        <v>19</v>
      </c>
      <c r="D22" s="9" t="s">
        <v>210</v>
      </c>
      <c r="E22" s="10" t="s">
        <v>211</v>
      </c>
      <c r="F22" s="9" t="s">
        <v>93</v>
      </c>
      <c r="G22" s="9"/>
      <c r="H22" s="9" t="s">
        <v>210</v>
      </c>
      <c r="I22" s="9" t="s">
        <v>212</v>
      </c>
      <c r="J22" s="9" t="s">
        <v>213</v>
      </c>
      <c r="K22" s="9"/>
      <c r="L22" s="15" t="s">
        <v>144</v>
      </c>
      <c r="M22" s="9" t="s">
        <v>214</v>
      </c>
      <c r="N22" s="10" t="s">
        <v>211</v>
      </c>
      <c r="O22" s="12" t="s">
        <v>67</v>
      </c>
      <c r="P22" s="13"/>
      <c r="Q22" s="13"/>
      <c r="R22" s="12"/>
    </row>
    <row r="23" customFormat="false" ht="23.85" hidden="false" customHeight="false" outlineLevel="0" collapsed="false">
      <c r="A23" s="9" t="n">
        <v>22</v>
      </c>
      <c r="B23" s="9" t="s">
        <v>215</v>
      </c>
      <c r="C23" s="9" t="s">
        <v>19</v>
      </c>
      <c r="D23" s="9" t="s">
        <v>216</v>
      </c>
      <c r="E23" s="9"/>
      <c r="F23" s="9" t="s">
        <v>93</v>
      </c>
      <c r="G23" s="9"/>
      <c r="H23" s="9" t="s">
        <v>216</v>
      </c>
      <c r="I23" s="9" t="s">
        <v>217</v>
      </c>
      <c r="J23" s="9" t="s">
        <v>218</v>
      </c>
      <c r="K23" s="9"/>
      <c r="L23" s="15" t="s">
        <v>144</v>
      </c>
      <c r="M23" s="9"/>
      <c r="N23" s="10" t="s">
        <v>219</v>
      </c>
      <c r="O23" s="12" t="s">
        <v>67</v>
      </c>
      <c r="P23" s="13"/>
      <c r="Q23" s="13"/>
      <c r="R23" s="12"/>
    </row>
    <row r="24" customFormat="false" ht="23.85" hidden="false" customHeight="false" outlineLevel="0" collapsed="false">
      <c r="A24" s="9" t="n">
        <v>23</v>
      </c>
      <c r="B24" s="9" t="s">
        <v>220</v>
      </c>
      <c r="C24" s="9" t="s">
        <v>19</v>
      </c>
      <c r="D24" s="9" t="s">
        <v>221</v>
      </c>
      <c r="E24" s="9"/>
      <c r="F24" s="9" t="s">
        <v>93</v>
      </c>
      <c r="G24" s="9"/>
      <c r="H24" s="9"/>
      <c r="I24" s="9" t="s">
        <v>222</v>
      </c>
      <c r="J24" s="9" t="s">
        <v>143</v>
      </c>
      <c r="K24" s="9"/>
      <c r="L24" s="15" t="s">
        <v>144</v>
      </c>
      <c r="M24" s="9"/>
      <c r="N24" s="10" t="s">
        <v>223</v>
      </c>
      <c r="O24" s="12" t="s">
        <v>67</v>
      </c>
      <c r="P24" s="13"/>
      <c r="Q24" s="13"/>
      <c r="R24" s="12"/>
    </row>
    <row r="25" customFormat="false" ht="35.05" hidden="false" customHeight="false" outlineLevel="0" collapsed="false">
      <c r="A25" s="9" t="n">
        <v>24</v>
      </c>
      <c r="B25" s="9" t="s">
        <v>224</v>
      </c>
      <c r="C25" s="9" t="s">
        <v>18</v>
      </c>
      <c r="D25" s="9" t="s">
        <v>225</v>
      </c>
      <c r="E25" s="10" t="s">
        <v>226</v>
      </c>
      <c r="F25" s="9" t="s">
        <v>93</v>
      </c>
      <c r="G25" s="9"/>
      <c r="H25" s="9" t="s">
        <v>227</v>
      </c>
      <c r="I25" s="9" t="s">
        <v>228</v>
      </c>
      <c r="J25" s="9" t="s">
        <v>229</v>
      </c>
      <c r="K25" s="9" t="s">
        <v>230</v>
      </c>
      <c r="L25" s="11" t="s">
        <v>64</v>
      </c>
      <c r="M25" s="9" t="s">
        <v>231</v>
      </c>
      <c r="N25" s="10" t="s">
        <v>226</v>
      </c>
      <c r="O25" s="12" t="s">
        <v>67</v>
      </c>
      <c r="P25" s="13"/>
      <c r="Q25" s="13"/>
      <c r="R25" s="12"/>
    </row>
    <row r="26" customFormat="false" ht="35.05" hidden="false" customHeight="false" outlineLevel="0" collapsed="false">
      <c r="A26" s="9" t="n">
        <v>25</v>
      </c>
      <c r="B26" s="9" t="s">
        <v>232</v>
      </c>
      <c r="C26" s="9" t="s">
        <v>18</v>
      </c>
      <c r="D26" s="9" t="s">
        <v>233</v>
      </c>
      <c r="E26" s="10" t="s">
        <v>234</v>
      </c>
      <c r="F26" s="9" t="s">
        <v>235</v>
      </c>
      <c r="G26" s="9" t="s">
        <v>236</v>
      </c>
      <c r="H26" s="9" t="s">
        <v>237</v>
      </c>
      <c r="I26" s="9" t="s">
        <v>238</v>
      </c>
      <c r="J26" s="9" t="s">
        <v>239</v>
      </c>
      <c r="K26" s="9" t="s">
        <v>240</v>
      </c>
      <c r="L26" s="15" t="s">
        <v>144</v>
      </c>
      <c r="M26" s="9" t="s">
        <v>241</v>
      </c>
      <c r="N26" s="10" t="s">
        <v>242</v>
      </c>
      <c r="O26" s="12" t="s">
        <v>67</v>
      </c>
      <c r="P26" s="13"/>
      <c r="Q26" s="13"/>
      <c r="R26" s="12"/>
    </row>
    <row r="27" customFormat="false" ht="23.85" hidden="false" customHeight="false" outlineLevel="0" collapsed="false">
      <c r="A27" s="9" t="n">
        <v>26</v>
      </c>
      <c r="B27" s="9" t="s">
        <v>243</v>
      </c>
      <c r="C27" s="9" t="s">
        <v>18</v>
      </c>
      <c r="D27" s="9" t="s">
        <v>244</v>
      </c>
      <c r="E27" s="10" t="s">
        <v>245</v>
      </c>
      <c r="F27" s="9" t="s">
        <v>93</v>
      </c>
      <c r="G27" s="9" t="s">
        <v>246</v>
      </c>
      <c r="H27" s="9" t="s">
        <v>247</v>
      </c>
      <c r="I27" s="9" t="s">
        <v>248</v>
      </c>
      <c r="J27" s="9" t="s">
        <v>249</v>
      </c>
      <c r="K27" s="9"/>
      <c r="L27" s="14" t="s">
        <v>87</v>
      </c>
      <c r="M27" s="9"/>
      <c r="N27" s="10" t="s">
        <v>250</v>
      </c>
      <c r="O27" s="12" t="s">
        <v>67</v>
      </c>
      <c r="P27" s="13"/>
      <c r="Q27" s="13"/>
      <c r="R27" s="12"/>
    </row>
    <row r="28" customFormat="false" ht="23.85" hidden="false" customHeight="false" outlineLevel="0" collapsed="false">
      <c r="A28" s="9" t="n">
        <v>27</v>
      </c>
      <c r="B28" s="9" t="s">
        <v>251</v>
      </c>
      <c r="C28" s="9" t="s">
        <v>18</v>
      </c>
      <c r="D28" s="9" t="s">
        <v>252</v>
      </c>
      <c r="E28" s="10" t="s">
        <v>253</v>
      </c>
      <c r="F28" s="9" t="s">
        <v>108</v>
      </c>
      <c r="G28" s="9"/>
      <c r="H28" s="9" t="s">
        <v>254</v>
      </c>
      <c r="I28" s="9" t="s">
        <v>255</v>
      </c>
      <c r="J28" s="9" t="s">
        <v>256</v>
      </c>
      <c r="K28" s="9"/>
      <c r="L28" s="14" t="s">
        <v>87</v>
      </c>
      <c r="M28" s="9"/>
      <c r="N28" s="10" t="s">
        <v>253</v>
      </c>
      <c r="O28" s="12" t="s">
        <v>67</v>
      </c>
      <c r="P28" s="13"/>
      <c r="Q28" s="13"/>
      <c r="R28" s="12"/>
    </row>
    <row r="29" customFormat="false" ht="23.85" hidden="false" customHeight="false" outlineLevel="0" collapsed="false">
      <c r="A29" s="9" t="n">
        <v>28</v>
      </c>
      <c r="B29" s="9" t="s">
        <v>257</v>
      </c>
      <c r="C29" s="9" t="s">
        <v>18</v>
      </c>
      <c r="D29" s="9" t="s">
        <v>258</v>
      </c>
      <c r="E29" s="9"/>
      <c r="F29" s="9" t="s">
        <v>93</v>
      </c>
      <c r="G29" s="9"/>
      <c r="H29" s="9" t="s">
        <v>258</v>
      </c>
      <c r="I29" s="9" t="s">
        <v>259</v>
      </c>
      <c r="J29" s="9" t="s">
        <v>260</v>
      </c>
      <c r="K29" s="9"/>
      <c r="L29" s="15" t="s">
        <v>144</v>
      </c>
      <c r="M29" s="9" t="s">
        <v>261</v>
      </c>
      <c r="N29" s="10" t="s">
        <v>262</v>
      </c>
      <c r="O29" s="12" t="s">
        <v>67</v>
      </c>
      <c r="P29" s="13"/>
      <c r="Q29" s="13"/>
      <c r="R29" s="12"/>
    </row>
    <row r="30" customFormat="false" ht="23.85" hidden="false" customHeight="false" outlineLevel="0" collapsed="false">
      <c r="A30" s="9" t="n">
        <v>29</v>
      </c>
      <c r="B30" s="9" t="s">
        <v>263</v>
      </c>
      <c r="C30" s="9" t="s">
        <v>18</v>
      </c>
      <c r="D30" s="9" t="s">
        <v>264</v>
      </c>
      <c r="E30" s="9"/>
      <c r="F30" s="9" t="s">
        <v>93</v>
      </c>
      <c r="G30" s="9"/>
      <c r="H30" s="9" t="s">
        <v>265</v>
      </c>
      <c r="I30" s="9" t="s">
        <v>266</v>
      </c>
      <c r="J30" s="9" t="s">
        <v>267</v>
      </c>
      <c r="K30" s="9" t="s">
        <v>268</v>
      </c>
      <c r="L30" s="15" t="s">
        <v>144</v>
      </c>
      <c r="M30" s="9" t="s">
        <v>269</v>
      </c>
      <c r="N30" s="10" t="s">
        <v>167</v>
      </c>
      <c r="O30" s="12" t="s">
        <v>67</v>
      </c>
      <c r="P30" s="13"/>
      <c r="Q30" s="13"/>
      <c r="R30" s="12"/>
    </row>
    <row r="31" customFormat="false" ht="15" hidden="false" customHeight="false" outlineLevel="0" collapsed="false">
      <c r="A31" s="9" t="n">
        <v>30</v>
      </c>
      <c r="B31" s="9" t="s">
        <v>270</v>
      </c>
      <c r="C31" s="9" t="s">
        <v>18</v>
      </c>
      <c r="D31" s="9" t="s">
        <v>227</v>
      </c>
      <c r="E31" s="10" t="s">
        <v>271</v>
      </c>
      <c r="F31" s="9" t="s">
        <v>171</v>
      </c>
      <c r="G31" s="9"/>
      <c r="H31" s="9" t="s">
        <v>227</v>
      </c>
      <c r="I31" s="9" t="s">
        <v>272</v>
      </c>
      <c r="J31" s="9"/>
      <c r="K31" s="9"/>
      <c r="L31" s="15" t="s">
        <v>144</v>
      </c>
      <c r="M31" s="9" t="s">
        <v>174</v>
      </c>
      <c r="N31" s="10" t="s">
        <v>271</v>
      </c>
      <c r="O31" s="12" t="s">
        <v>67</v>
      </c>
      <c r="P31" s="13"/>
      <c r="Q31" s="13"/>
      <c r="R31" s="12"/>
    </row>
    <row r="32" customFormat="false" ht="23.85" hidden="false" customHeight="false" outlineLevel="0" collapsed="false">
      <c r="A32" s="9" t="n">
        <v>31</v>
      </c>
      <c r="B32" s="9" t="s">
        <v>273</v>
      </c>
      <c r="C32" s="9" t="s">
        <v>27</v>
      </c>
      <c r="D32" s="9" t="s">
        <v>274</v>
      </c>
      <c r="E32" s="10" t="s">
        <v>275</v>
      </c>
      <c r="F32" s="9" t="s">
        <v>276</v>
      </c>
      <c r="G32" s="9" t="s">
        <v>277</v>
      </c>
      <c r="H32" s="9" t="s">
        <v>278</v>
      </c>
      <c r="I32" s="9" t="s">
        <v>279</v>
      </c>
      <c r="J32" s="9" t="s">
        <v>280</v>
      </c>
      <c r="K32" s="9"/>
      <c r="L32" s="11" t="s">
        <v>64</v>
      </c>
      <c r="M32" s="9" t="s">
        <v>281</v>
      </c>
      <c r="N32" s="10" t="s">
        <v>282</v>
      </c>
      <c r="O32" s="12" t="s">
        <v>67</v>
      </c>
      <c r="P32" s="13"/>
      <c r="Q32" s="13"/>
      <c r="R32" s="12"/>
    </row>
    <row r="33" customFormat="false" ht="23.85" hidden="false" customHeight="false" outlineLevel="0" collapsed="false">
      <c r="A33" s="9" t="n">
        <v>32</v>
      </c>
      <c r="B33" s="9" t="s">
        <v>283</v>
      </c>
      <c r="C33" s="9" t="s">
        <v>27</v>
      </c>
      <c r="D33" s="9" t="s">
        <v>274</v>
      </c>
      <c r="E33" s="10" t="s">
        <v>284</v>
      </c>
      <c r="F33" s="9" t="s">
        <v>82</v>
      </c>
      <c r="G33" s="9" t="s">
        <v>285</v>
      </c>
      <c r="H33" s="9" t="s">
        <v>286</v>
      </c>
      <c r="I33" s="9" t="s">
        <v>287</v>
      </c>
      <c r="J33" s="9" t="s">
        <v>288</v>
      </c>
      <c r="K33" s="9"/>
      <c r="L33" s="11" t="s">
        <v>64</v>
      </c>
      <c r="M33" s="9"/>
      <c r="N33" s="10" t="s">
        <v>289</v>
      </c>
      <c r="O33" s="12" t="s">
        <v>67</v>
      </c>
      <c r="P33" s="13"/>
      <c r="Q33" s="13"/>
      <c r="R33" s="12"/>
    </row>
    <row r="34" customFormat="false" ht="23.85" hidden="false" customHeight="false" outlineLevel="0" collapsed="false">
      <c r="A34" s="9" t="n">
        <v>33</v>
      </c>
      <c r="B34" s="9" t="s">
        <v>290</v>
      </c>
      <c r="C34" s="9" t="s">
        <v>27</v>
      </c>
      <c r="D34" s="9" t="s">
        <v>291</v>
      </c>
      <c r="E34" s="10" t="s">
        <v>292</v>
      </c>
      <c r="F34" s="9" t="s">
        <v>93</v>
      </c>
      <c r="G34" s="9" t="s">
        <v>293</v>
      </c>
      <c r="H34" s="9" t="s">
        <v>294</v>
      </c>
      <c r="I34" s="9" t="s">
        <v>295</v>
      </c>
      <c r="J34" s="9" t="s">
        <v>296</v>
      </c>
      <c r="K34" s="9"/>
      <c r="L34" s="11" t="s">
        <v>64</v>
      </c>
      <c r="M34" s="9" t="s">
        <v>297</v>
      </c>
      <c r="N34" s="10" t="s">
        <v>298</v>
      </c>
      <c r="O34" s="12" t="s">
        <v>67</v>
      </c>
      <c r="P34" s="13"/>
      <c r="Q34" s="13"/>
      <c r="R34" s="12"/>
    </row>
    <row r="35" customFormat="false" ht="35.05" hidden="false" customHeight="false" outlineLevel="0" collapsed="false">
      <c r="A35" s="9" t="n">
        <v>34</v>
      </c>
      <c r="B35" s="9" t="s">
        <v>299</v>
      </c>
      <c r="C35" s="9" t="s">
        <v>27</v>
      </c>
      <c r="D35" s="9" t="s">
        <v>300</v>
      </c>
      <c r="E35" s="10" t="s">
        <v>301</v>
      </c>
      <c r="F35" s="9" t="s">
        <v>302</v>
      </c>
      <c r="G35" s="9" t="s">
        <v>303</v>
      </c>
      <c r="H35" s="9" t="s">
        <v>304</v>
      </c>
      <c r="I35" s="9" t="s">
        <v>305</v>
      </c>
      <c r="J35" s="9" t="s">
        <v>306</v>
      </c>
      <c r="K35" s="9" t="s">
        <v>307</v>
      </c>
      <c r="L35" s="14" t="s">
        <v>87</v>
      </c>
      <c r="M35" s="9" t="s">
        <v>308</v>
      </c>
      <c r="N35" s="10" t="s">
        <v>309</v>
      </c>
      <c r="O35" s="12" t="s">
        <v>67</v>
      </c>
      <c r="P35" s="13"/>
      <c r="Q35" s="13"/>
      <c r="R35" s="12"/>
    </row>
    <row r="36" customFormat="false" ht="23.85" hidden="false" customHeight="false" outlineLevel="0" collapsed="false">
      <c r="A36" s="9" t="n">
        <v>35</v>
      </c>
      <c r="B36" s="9" t="s">
        <v>310</v>
      </c>
      <c r="C36" s="9" t="s">
        <v>27</v>
      </c>
      <c r="D36" s="9" t="s">
        <v>311</v>
      </c>
      <c r="E36" s="9"/>
      <c r="F36" s="9" t="s">
        <v>93</v>
      </c>
      <c r="G36" s="9"/>
      <c r="H36" s="9" t="s">
        <v>312</v>
      </c>
      <c r="I36" s="9" t="s">
        <v>313</v>
      </c>
      <c r="J36" s="9" t="s">
        <v>314</v>
      </c>
      <c r="K36" s="9"/>
      <c r="L36" s="14" t="s">
        <v>87</v>
      </c>
      <c r="M36" s="9"/>
      <c r="N36" s="10" t="s">
        <v>315</v>
      </c>
      <c r="O36" s="12" t="s">
        <v>67</v>
      </c>
      <c r="P36" s="13"/>
      <c r="Q36" s="13"/>
      <c r="R36" s="12"/>
    </row>
    <row r="37" customFormat="false" ht="23.85" hidden="false" customHeight="false" outlineLevel="0" collapsed="false">
      <c r="A37" s="9" t="n">
        <v>36</v>
      </c>
      <c r="B37" s="9" t="s">
        <v>316</v>
      </c>
      <c r="C37" s="9" t="s">
        <v>27</v>
      </c>
      <c r="D37" s="9" t="s">
        <v>291</v>
      </c>
      <c r="E37" s="9"/>
      <c r="F37" s="9" t="s">
        <v>93</v>
      </c>
      <c r="G37" s="9"/>
      <c r="H37" s="9" t="s">
        <v>291</v>
      </c>
      <c r="I37" s="9" t="s">
        <v>317</v>
      </c>
      <c r="J37" s="9" t="s">
        <v>318</v>
      </c>
      <c r="K37" s="9"/>
      <c r="L37" s="14" t="s">
        <v>87</v>
      </c>
      <c r="M37" s="9"/>
      <c r="N37" s="10" t="s">
        <v>319</v>
      </c>
      <c r="O37" s="12" t="s">
        <v>67</v>
      </c>
      <c r="P37" s="13"/>
      <c r="Q37" s="13"/>
      <c r="R37" s="12"/>
    </row>
    <row r="38" customFormat="false" ht="23.85" hidden="false" customHeight="false" outlineLevel="0" collapsed="false">
      <c r="A38" s="9" t="n">
        <v>37</v>
      </c>
      <c r="B38" s="9" t="s">
        <v>320</v>
      </c>
      <c r="C38" s="9" t="s">
        <v>27</v>
      </c>
      <c r="D38" s="9" t="s">
        <v>321</v>
      </c>
      <c r="E38" s="9"/>
      <c r="F38" s="9" t="s">
        <v>93</v>
      </c>
      <c r="G38" s="9"/>
      <c r="H38" s="9" t="s">
        <v>291</v>
      </c>
      <c r="I38" s="9" t="s">
        <v>322</v>
      </c>
      <c r="J38" s="9" t="s">
        <v>323</v>
      </c>
      <c r="K38" s="9"/>
      <c r="L38" s="14" t="s">
        <v>87</v>
      </c>
      <c r="M38" s="9" t="s">
        <v>324</v>
      </c>
      <c r="N38" s="10" t="s">
        <v>325</v>
      </c>
      <c r="O38" s="12" t="s">
        <v>67</v>
      </c>
      <c r="P38" s="13"/>
      <c r="Q38" s="13"/>
      <c r="R38" s="12"/>
    </row>
    <row r="39" customFormat="false" ht="23.85" hidden="false" customHeight="false" outlineLevel="0" collapsed="false">
      <c r="A39" s="9" t="n">
        <v>38</v>
      </c>
      <c r="B39" s="9" t="s">
        <v>326</v>
      </c>
      <c r="C39" s="9" t="s">
        <v>27</v>
      </c>
      <c r="D39" s="9" t="s">
        <v>327</v>
      </c>
      <c r="E39" s="9"/>
      <c r="F39" s="9" t="s">
        <v>93</v>
      </c>
      <c r="G39" s="9" t="s">
        <v>328</v>
      </c>
      <c r="H39" s="9" t="s">
        <v>329</v>
      </c>
      <c r="I39" s="9" t="s">
        <v>330</v>
      </c>
      <c r="J39" s="9" t="s">
        <v>331</v>
      </c>
      <c r="K39" s="9"/>
      <c r="L39" s="14" t="s">
        <v>87</v>
      </c>
      <c r="M39" s="9"/>
      <c r="N39" s="10" t="s">
        <v>332</v>
      </c>
      <c r="O39" s="12" t="s">
        <v>67</v>
      </c>
      <c r="P39" s="13"/>
      <c r="Q39" s="13"/>
      <c r="R39" s="12"/>
    </row>
    <row r="40" customFormat="false" ht="23.85" hidden="false" customHeight="false" outlineLevel="0" collapsed="false">
      <c r="A40" s="9" t="n">
        <v>39</v>
      </c>
      <c r="B40" s="9" t="s">
        <v>333</v>
      </c>
      <c r="C40" s="9" t="s">
        <v>27</v>
      </c>
      <c r="D40" s="9" t="s">
        <v>334</v>
      </c>
      <c r="E40" s="9"/>
      <c r="F40" s="9" t="s">
        <v>93</v>
      </c>
      <c r="G40" s="9"/>
      <c r="H40" s="9" t="s">
        <v>335</v>
      </c>
      <c r="I40" s="9" t="s">
        <v>336</v>
      </c>
      <c r="J40" s="9" t="s">
        <v>337</v>
      </c>
      <c r="K40" s="9" t="s">
        <v>338</v>
      </c>
      <c r="L40" s="15" t="s">
        <v>144</v>
      </c>
      <c r="M40" s="9" t="s">
        <v>339</v>
      </c>
      <c r="N40" s="10" t="s">
        <v>340</v>
      </c>
      <c r="O40" s="12" t="s">
        <v>67</v>
      </c>
      <c r="P40" s="13"/>
      <c r="Q40" s="13"/>
      <c r="R40" s="12"/>
    </row>
    <row r="41" customFormat="false" ht="23.85" hidden="false" customHeight="false" outlineLevel="0" collapsed="false">
      <c r="A41" s="9" t="n">
        <v>40</v>
      </c>
      <c r="B41" s="9" t="s">
        <v>341</v>
      </c>
      <c r="C41" s="9" t="s">
        <v>27</v>
      </c>
      <c r="D41" s="9" t="s">
        <v>291</v>
      </c>
      <c r="E41" s="9"/>
      <c r="F41" s="9" t="s">
        <v>93</v>
      </c>
      <c r="G41" s="9"/>
      <c r="H41" s="9" t="s">
        <v>291</v>
      </c>
      <c r="I41" s="9" t="s">
        <v>342</v>
      </c>
      <c r="J41" s="9" t="s">
        <v>343</v>
      </c>
      <c r="K41" s="9" t="s">
        <v>344</v>
      </c>
      <c r="L41" s="14" t="s">
        <v>87</v>
      </c>
      <c r="M41" s="9" t="s">
        <v>345</v>
      </c>
      <c r="N41" s="10" t="s">
        <v>346</v>
      </c>
      <c r="O41" s="12" t="s">
        <v>67</v>
      </c>
      <c r="P41" s="13"/>
      <c r="Q41" s="13"/>
      <c r="R41" s="12"/>
    </row>
    <row r="42" customFormat="false" ht="23.85" hidden="false" customHeight="false" outlineLevel="0" collapsed="false">
      <c r="A42" s="9" t="n">
        <v>41</v>
      </c>
      <c r="B42" s="9" t="s">
        <v>347</v>
      </c>
      <c r="C42" s="9" t="s">
        <v>22</v>
      </c>
      <c r="D42" s="9" t="s">
        <v>348</v>
      </c>
      <c r="E42" s="10" t="s">
        <v>349</v>
      </c>
      <c r="F42" s="9" t="s">
        <v>93</v>
      </c>
      <c r="G42" s="9" t="s">
        <v>350</v>
      </c>
      <c r="H42" s="9" t="s">
        <v>351</v>
      </c>
      <c r="I42" s="9" t="s">
        <v>352</v>
      </c>
      <c r="J42" s="9" t="s">
        <v>353</v>
      </c>
      <c r="K42" s="9"/>
      <c r="L42" s="11" t="s">
        <v>64</v>
      </c>
      <c r="M42" s="9"/>
      <c r="N42" s="10" t="s">
        <v>354</v>
      </c>
      <c r="O42" s="12" t="s">
        <v>67</v>
      </c>
      <c r="P42" s="13"/>
      <c r="Q42" s="13"/>
      <c r="R42" s="12"/>
    </row>
    <row r="43" customFormat="false" ht="23.85" hidden="false" customHeight="false" outlineLevel="0" collapsed="false">
      <c r="A43" s="9" t="n">
        <v>42</v>
      </c>
      <c r="B43" s="9" t="s">
        <v>355</v>
      </c>
      <c r="C43" s="9" t="s">
        <v>22</v>
      </c>
      <c r="D43" s="9" t="s">
        <v>356</v>
      </c>
      <c r="E43" s="10" t="s">
        <v>357</v>
      </c>
      <c r="F43" s="9" t="s">
        <v>93</v>
      </c>
      <c r="G43" s="9" t="s">
        <v>358</v>
      </c>
      <c r="H43" s="9" t="s">
        <v>359</v>
      </c>
      <c r="I43" s="9" t="s">
        <v>360</v>
      </c>
      <c r="J43" s="9" t="s">
        <v>361</v>
      </c>
      <c r="K43" s="9"/>
      <c r="L43" s="11" t="s">
        <v>64</v>
      </c>
      <c r="M43" s="9"/>
      <c r="N43" s="10" t="s">
        <v>362</v>
      </c>
      <c r="O43" s="12" t="s">
        <v>67</v>
      </c>
      <c r="P43" s="13"/>
      <c r="Q43" s="13"/>
      <c r="R43" s="12"/>
    </row>
    <row r="44" customFormat="false" ht="23.85" hidden="false" customHeight="false" outlineLevel="0" collapsed="false">
      <c r="A44" s="9" t="n">
        <v>43</v>
      </c>
      <c r="B44" s="9" t="s">
        <v>363</v>
      </c>
      <c r="C44" s="9" t="s">
        <v>22</v>
      </c>
      <c r="D44" s="9" t="s">
        <v>364</v>
      </c>
      <c r="E44" s="9"/>
      <c r="F44" s="9" t="s">
        <v>93</v>
      </c>
      <c r="G44" s="9" t="s">
        <v>365</v>
      </c>
      <c r="H44" s="9" t="s">
        <v>366</v>
      </c>
      <c r="I44" s="9" t="s">
        <v>367</v>
      </c>
      <c r="J44" s="9" t="s">
        <v>368</v>
      </c>
      <c r="K44" s="9"/>
      <c r="L44" s="14" t="s">
        <v>87</v>
      </c>
      <c r="M44" s="9"/>
      <c r="N44" s="10" t="s">
        <v>369</v>
      </c>
      <c r="O44" s="12" t="s">
        <v>67</v>
      </c>
      <c r="P44" s="13"/>
      <c r="Q44" s="13"/>
      <c r="R44" s="12"/>
    </row>
    <row r="45" customFormat="false" ht="23.85" hidden="false" customHeight="false" outlineLevel="0" collapsed="false">
      <c r="A45" s="9" t="n">
        <v>44</v>
      </c>
      <c r="B45" s="9" t="s">
        <v>370</v>
      </c>
      <c r="C45" s="9" t="s">
        <v>22</v>
      </c>
      <c r="D45" s="9" t="s">
        <v>371</v>
      </c>
      <c r="E45" s="9"/>
      <c r="F45" s="9" t="s">
        <v>93</v>
      </c>
      <c r="G45" s="9"/>
      <c r="H45" s="9" t="s">
        <v>371</v>
      </c>
      <c r="I45" s="9" t="s">
        <v>367</v>
      </c>
      <c r="J45" s="9" t="s">
        <v>372</v>
      </c>
      <c r="K45" s="9"/>
      <c r="L45" s="14" t="s">
        <v>87</v>
      </c>
      <c r="M45" s="9" t="s">
        <v>373</v>
      </c>
      <c r="N45" s="10" t="s">
        <v>374</v>
      </c>
      <c r="O45" s="12" t="s">
        <v>67</v>
      </c>
      <c r="P45" s="13"/>
      <c r="Q45" s="13"/>
      <c r="R45" s="12"/>
    </row>
    <row r="46" customFormat="false" ht="23.85" hidden="false" customHeight="false" outlineLevel="0" collapsed="false">
      <c r="A46" s="9" t="n">
        <v>45</v>
      </c>
      <c r="B46" s="9" t="s">
        <v>375</v>
      </c>
      <c r="C46" s="9" t="s">
        <v>22</v>
      </c>
      <c r="D46" s="9"/>
      <c r="E46" s="9"/>
      <c r="F46" s="9" t="s">
        <v>93</v>
      </c>
      <c r="G46" s="9"/>
      <c r="H46" s="9"/>
      <c r="I46" s="9" t="s">
        <v>376</v>
      </c>
      <c r="J46" s="9" t="s">
        <v>143</v>
      </c>
      <c r="K46" s="9"/>
      <c r="L46" s="14" t="s">
        <v>87</v>
      </c>
      <c r="M46" s="9"/>
      <c r="N46" s="10" t="s">
        <v>377</v>
      </c>
      <c r="O46" s="12" t="s">
        <v>67</v>
      </c>
      <c r="P46" s="13"/>
      <c r="Q46" s="13"/>
      <c r="R46" s="12"/>
    </row>
    <row r="47" customFormat="false" ht="23.85" hidden="false" customHeight="false" outlineLevel="0" collapsed="false">
      <c r="A47" s="9" t="n">
        <v>46</v>
      </c>
      <c r="B47" s="9" t="s">
        <v>378</v>
      </c>
      <c r="C47" s="9" t="s">
        <v>22</v>
      </c>
      <c r="D47" s="9" t="s">
        <v>379</v>
      </c>
      <c r="E47" s="9"/>
      <c r="F47" s="9" t="s">
        <v>93</v>
      </c>
      <c r="G47" s="9"/>
      <c r="H47" s="9" t="s">
        <v>379</v>
      </c>
      <c r="I47" s="9" t="s">
        <v>380</v>
      </c>
      <c r="J47" s="9" t="s">
        <v>143</v>
      </c>
      <c r="K47" s="9"/>
      <c r="L47" s="15" t="s">
        <v>144</v>
      </c>
      <c r="M47" s="9" t="s">
        <v>381</v>
      </c>
      <c r="N47" s="10" t="s">
        <v>382</v>
      </c>
      <c r="O47" s="12" t="s">
        <v>67</v>
      </c>
      <c r="P47" s="13"/>
      <c r="Q47" s="13"/>
      <c r="R47" s="12"/>
    </row>
    <row r="48" customFormat="false" ht="23.85" hidden="false" customHeight="false" outlineLevel="0" collapsed="false">
      <c r="A48" s="9" t="n">
        <v>47</v>
      </c>
      <c r="B48" s="9" t="s">
        <v>383</v>
      </c>
      <c r="C48" s="9" t="s">
        <v>22</v>
      </c>
      <c r="D48" s="9" t="s">
        <v>384</v>
      </c>
      <c r="E48" s="9"/>
      <c r="F48" s="9" t="s">
        <v>93</v>
      </c>
      <c r="G48" s="9"/>
      <c r="H48" s="9" t="s">
        <v>385</v>
      </c>
      <c r="I48" s="9" t="s">
        <v>386</v>
      </c>
      <c r="J48" s="9" t="s">
        <v>387</v>
      </c>
      <c r="K48" s="9"/>
      <c r="L48" s="15" t="s">
        <v>144</v>
      </c>
      <c r="M48" s="9" t="s">
        <v>388</v>
      </c>
      <c r="N48" s="10" t="s">
        <v>389</v>
      </c>
      <c r="O48" s="12" t="s">
        <v>67</v>
      </c>
      <c r="P48" s="13"/>
      <c r="Q48" s="13"/>
      <c r="R48" s="12"/>
    </row>
    <row r="49" customFormat="false" ht="23.85" hidden="false" customHeight="false" outlineLevel="0" collapsed="false">
      <c r="A49" s="9" t="n">
        <v>48</v>
      </c>
      <c r="B49" s="9" t="s">
        <v>390</v>
      </c>
      <c r="C49" s="9" t="s">
        <v>25</v>
      </c>
      <c r="D49" s="9" t="s">
        <v>391</v>
      </c>
      <c r="E49" s="9"/>
      <c r="F49" s="9" t="s">
        <v>93</v>
      </c>
      <c r="G49" s="9"/>
      <c r="H49" s="9" t="s">
        <v>392</v>
      </c>
      <c r="I49" s="9" t="s">
        <v>393</v>
      </c>
      <c r="J49" s="9" t="s">
        <v>394</v>
      </c>
      <c r="K49" s="9" t="s">
        <v>395</v>
      </c>
      <c r="L49" s="11" t="s">
        <v>64</v>
      </c>
      <c r="M49" s="9" t="s">
        <v>396</v>
      </c>
      <c r="N49" s="10" t="s">
        <v>397</v>
      </c>
      <c r="O49" s="12" t="s">
        <v>67</v>
      </c>
      <c r="P49" s="13"/>
      <c r="Q49" s="13"/>
      <c r="R49" s="12"/>
    </row>
    <row r="50" customFormat="false" ht="23.85" hidden="false" customHeight="false" outlineLevel="0" collapsed="false">
      <c r="A50" s="9" t="n">
        <v>49</v>
      </c>
      <c r="B50" s="9" t="s">
        <v>398</v>
      </c>
      <c r="C50" s="9" t="s">
        <v>25</v>
      </c>
      <c r="D50" s="9" t="s">
        <v>399</v>
      </c>
      <c r="E50" s="10" t="s">
        <v>400</v>
      </c>
      <c r="F50" s="9" t="s">
        <v>93</v>
      </c>
      <c r="G50" s="9" t="s">
        <v>401</v>
      </c>
      <c r="H50" s="9" t="s">
        <v>402</v>
      </c>
      <c r="I50" s="9" t="s">
        <v>163</v>
      </c>
      <c r="J50" s="9" t="s">
        <v>403</v>
      </c>
      <c r="K50" s="9"/>
      <c r="L50" s="11" t="s">
        <v>64</v>
      </c>
      <c r="M50" s="9"/>
      <c r="N50" s="10" t="s">
        <v>404</v>
      </c>
      <c r="O50" s="12" t="s">
        <v>67</v>
      </c>
      <c r="P50" s="13"/>
      <c r="Q50" s="13"/>
      <c r="R50" s="12"/>
    </row>
    <row r="51" customFormat="false" ht="23.85" hidden="false" customHeight="false" outlineLevel="0" collapsed="false">
      <c r="A51" s="9" t="n">
        <v>50</v>
      </c>
      <c r="B51" s="9" t="s">
        <v>405</v>
      </c>
      <c r="C51" s="9" t="s">
        <v>25</v>
      </c>
      <c r="D51" s="9" t="s">
        <v>406</v>
      </c>
      <c r="E51" s="9"/>
      <c r="F51" s="9" t="s">
        <v>93</v>
      </c>
      <c r="G51" s="9"/>
      <c r="H51" s="9" t="s">
        <v>406</v>
      </c>
      <c r="I51" s="9" t="s">
        <v>407</v>
      </c>
      <c r="J51" s="9" t="s">
        <v>408</v>
      </c>
      <c r="K51" s="9"/>
      <c r="L51" s="11" t="s">
        <v>64</v>
      </c>
      <c r="M51" s="9" t="s">
        <v>409</v>
      </c>
      <c r="N51" s="10" t="s">
        <v>410</v>
      </c>
      <c r="O51" s="12" t="s">
        <v>67</v>
      </c>
      <c r="P51" s="13"/>
      <c r="Q51" s="13"/>
      <c r="R51" s="12"/>
    </row>
    <row r="52" customFormat="false" ht="23.85" hidden="false" customHeight="false" outlineLevel="0" collapsed="false">
      <c r="A52" s="9" t="n">
        <v>51</v>
      </c>
      <c r="B52" s="9" t="s">
        <v>411</v>
      </c>
      <c r="C52" s="9" t="s">
        <v>25</v>
      </c>
      <c r="D52" s="9" t="s">
        <v>412</v>
      </c>
      <c r="E52" s="9"/>
      <c r="F52" s="9" t="s">
        <v>93</v>
      </c>
      <c r="G52" s="9"/>
      <c r="H52" s="9" t="s">
        <v>412</v>
      </c>
      <c r="I52" s="9" t="s">
        <v>413</v>
      </c>
      <c r="J52" s="9" t="s">
        <v>414</v>
      </c>
      <c r="K52" s="9"/>
      <c r="L52" s="14" t="s">
        <v>87</v>
      </c>
      <c r="M52" s="9"/>
      <c r="N52" s="10" t="s">
        <v>415</v>
      </c>
      <c r="O52" s="12" t="s">
        <v>67</v>
      </c>
      <c r="P52" s="13"/>
      <c r="Q52" s="13"/>
      <c r="R52" s="12"/>
    </row>
    <row r="53" customFormat="false" ht="23.85" hidden="false" customHeight="false" outlineLevel="0" collapsed="false">
      <c r="A53" s="9" t="n">
        <v>52</v>
      </c>
      <c r="B53" s="9" t="s">
        <v>416</v>
      </c>
      <c r="C53" s="9" t="s">
        <v>25</v>
      </c>
      <c r="D53" s="9" t="s">
        <v>399</v>
      </c>
      <c r="E53" s="9"/>
      <c r="F53" s="9" t="s">
        <v>93</v>
      </c>
      <c r="G53" s="9"/>
      <c r="H53" s="9" t="s">
        <v>399</v>
      </c>
      <c r="I53" s="9" t="s">
        <v>417</v>
      </c>
      <c r="J53" s="9" t="s">
        <v>418</v>
      </c>
      <c r="K53" s="9"/>
      <c r="L53" s="14" t="s">
        <v>87</v>
      </c>
      <c r="M53" s="9" t="s">
        <v>419</v>
      </c>
      <c r="N53" s="10" t="s">
        <v>420</v>
      </c>
      <c r="O53" s="12" t="s">
        <v>67</v>
      </c>
      <c r="P53" s="13"/>
      <c r="Q53" s="13"/>
      <c r="R53" s="12"/>
    </row>
    <row r="54" customFormat="false" ht="23.85" hidden="false" customHeight="false" outlineLevel="0" collapsed="false">
      <c r="A54" s="9" t="n">
        <v>53</v>
      </c>
      <c r="B54" s="9" t="s">
        <v>421</v>
      </c>
      <c r="C54" s="9" t="s">
        <v>25</v>
      </c>
      <c r="D54" s="9"/>
      <c r="E54" s="9"/>
      <c r="F54" s="9" t="s">
        <v>93</v>
      </c>
      <c r="G54" s="9"/>
      <c r="H54" s="9"/>
      <c r="I54" s="9" t="s">
        <v>422</v>
      </c>
      <c r="J54" s="9" t="s">
        <v>423</v>
      </c>
      <c r="K54" s="9"/>
      <c r="L54" s="15" t="s">
        <v>144</v>
      </c>
      <c r="M54" s="9" t="s">
        <v>424</v>
      </c>
      <c r="N54" s="10" t="s">
        <v>425</v>
      </c>
      <c r="O54" s="12" t="s">
        <v>67</v>
      </c>
      <c r="P54" s="13"/>
      <c r="Q54" s="13"/>
      <c r="R54" s="12"/>
    </row>
    <row r="55" customFormat="false" ht="23.85" hidden="false" customHeight="false" outlineLevel="0" collapsed="false">
      <c r="A55" s="9" t="n">
        <v>54</v>
      </c>
      <c r="B55" s="9" t="s">
        <v>426</v>
      </c>
      <c r="C55" s="9" t="s">
        <v>17</v>
      </c>
      <c r="D55" s="9" t="s">
        <v>427</v>
      </c>
      <c r="E55" s="10" t="s">
        <v>428</v>
      </c>
      <c r="F55" s="9" t="s">
        <v>429</v>
      </c>
      <c r="G55" s="9" t="s">
        <v>430</v>
      </c>
      <c r="H55" s="9" t="s">
        <v>431</v>
      </c>
      <c r="I55" s="9" t="s">
        <v>432</v>
      </c>
      <c r="J55" s="9" t="s">
        <v>433</v>
      </c>
      <c r="K55" s="9" t="s">
        <v>434</v>
      </c>
      <c r="L55" s="11" t="s">
        <v>64</v>
      </c>
      <c r="M55" s="9" t="s">
        <v>435</v>
      </c>
      <c r="N55" s="10" t="s">
        <v>436</v>
      </c>
      <c r="O55" s="12" t="s">
        <v>67</v>
      </c>
      <c r="P55" s="13"/>
      <c r="Q55" s="13"/>
      <c r="R55" s="12"/>
    </row>
    <row r="56" customFormat="false" ht="23.85" hidden="false" customHeight="false" outlineLevel="0" collapsed="false">
      <c r="A56" s="9" t="n">
        <v>55</v>
      </c>
      <c r="B56" s="9" t="s">
        <v>437</v>
      </c>
      <c r="C56" s="9" t="s">
        <v>17</v>
      </c>
      <c r="D56" s="9" t="s">
        <v>438</v>
      </c>
      <c r="E56" s="10" t="s">
        <v>439</v>
      </c>
      <c r="F56" s="9" t="s">
        <v>440</v>
      </c>
      <c r="G56" s="9" t="s">
        <v>441</v>
      </c>
      <c r="H56" s="9" t="s">
        <v>442</v>
      </c>
      <c r="I56" s="9" t="s">
        <v>443</v>
      </c>
      <c r="J56" s="9" t="s">
        <v>444</v>
      </c>
      <c r="K56" s="9" t="s">
        <v>445</v>
      </c>
      <c r="L56" s="11" t="s">
        <v>64</v>
      </c>
      <c r="M56" s="9" t="s">
        <v>446</v>
      </c>
      <c r="N56" s="10" t="s">
        <v>439</v>
      </c>
      <c r="O56" s="12" t="s">
        <v>67</v>
      </c>
      <c r="P56" s="13"/>
      <c r="Q56" s="13"/>
      <c r="R56" s="12"/>
    </row>
    <row r="57" customFormat="false" ht="23.85" hidden="false" customHeight="false" outlineLevel="0" collapsed="false">
      <c r="A57" s="9" t="n">
        <v>56</v>
      </c>
      <c r="B57" s="9" t="s">
        <v>447</v>
      </c>
      <c r="C57" s="9" t="s">
        <v>17</v>
      </c>
      <c r="D57" s="9"/>
      <c r="E57" s="10" t="s">
        <v>448</v>
      </c>
      <c r="F57" s="9" t="s">
        <v>93</v>
      </c>
      <c r="G57" s="9"/>
      <c r="H57" s="9"/>
      <c r="I57" s="9" t="s">
        <v>449</v>
      </c>
      <c r="J57" s="9" t="s">
        <v>450</v>
      </c>
      <c r="K57" s="9" t="s">
        <v>451</v>
      </c>
      <c r="L57" s="11" t="s">
        <v>64</v>
      </c>
      <c r="M57" s="9"/>
      <c r="N57" s="10" t="s">
        <v>452</v>
      </c>
      <c r="O57" s="12" t="s">
        <v>67</v>
      </c>
      <c r="P57" s="13"/>
      <c r="Q57" s="13"/>
      <c r="R57" s="12"/>
    </row>
    <row r="58" customFormat="false" ht="23.85" hidden="false" customHeight="false" outlineLevel="0" collapsed="false">
      <c r="A58" s="9" t="n">
        <v>57</v>
      </c>
      <c r="B58" s="9" t="s">
        <v>453</v>
      </c>
      <c r="C58" s="9" t="s">
        <v>21</v>
      </c>
      <c r="D58" s="9"/>
      <c r="E58" s="10" t="s">
        <v>454</v>
      </c>
      <c r="F58" s="9" t="s">
        <v>93</v>
      </c>
      <c r="G58" s="9" t="s">
        <v>455</v>
      </c>
      <c r="H58" s="9"/>
      <c r="I58" s="9" t="s">
        <v>456</v>
      </c>
      <c r="J58" s="9" t="s">
        <v>457</v>
      </c>
      <c r="K58" s="9"/>
      <c r="L58" s="14" t="s">
        <v>87</v>
      </c>
      <c r="M58" s="9"/>
      <c r="N58" s="10" t="s">
        <v>458</v>
      </c>
      <c r="O58" s="12" t="s">
        <v>67</v>
      </c>
      <c r="P58" s="13"/>
      <c r="Q58" s="13"/>
      <c r="R58" s="12"/>
    </row>
    <row r="59" customFormat="false" ht="23.85" hidden="false" customHeight="false" outlineLevel="0" collapsed="false">
      <c r="A59" s="9" t="n">
        <v>58</v>
      </c>
      <c r="B59" s="9" t="s">
        <v>459</v>
      </c>
      <c r="C59" s="9" t="s">
        <v>26</v>
      </c>
      <c r="D59" s="9" t="s">
        <v>460</v>
      </c>
      <c r="E59" s="10" t="s">
        <v>461</v>
      </c>
      <c r="F59" s="9" t="s">
        <v>93</v>
      </c>
      <c r="G59" s="9" t="s">
        <v>462</v>
      </c>
      <c r="H59" s="9" t="s">
        <v>463</v>
      </c>
      <c r="I59" s="9" t="s">
        <v>464</v>
      </c>
      <c r="J59" s="9" t="s">
        <v>465</v>
      </c>
      <c r="K59" s="9" t="s">
        <v>466</v>
      </c>
      <c r="L59" s="11" t="s">
        <v>64</v>
      </c>
      <c r="M59" s="9"/>
      <c r="N59" s="10" t="s">
        <v>467</v>
      </c>
      <c r="O59" s="12" t="s">
        <v>67</v>
      </c>
      <c r="P59" s="13"/>
      <c r="Q59" s="13"/>
      <c r="R59" s="12"/>
    </row>
    <row r="60" customFormat="false" ht="23.85" hidden="false" customHeight="false" outlineLevel="0" collapsed="false">
      <c r="A60" s="9" t="n">
        <v>59</v>
      </c>
      <c r="B60" s="9" t="s">
        <v>468</v>
      </c>
      <c r="C60" s="9" t="s">
        <v>26</v>
      </c>
      <c r="D60" s="9" t="s">
        <v>469</v>
      </c>
      <c r="E60" s="10" t="s">
        <v>470</v>
      </c>
      <c r="F60" s="9" t="s">
        <v>93</v>
      </c>
      <c r="G60" s="9"/>
      <c r="H60" s="9" t="s">
        <v>26</v>
      </c>
      <c r="I60" s="9" t="s">
        <v>471</v>
      </c>
      <c r="J60" s="9" t="s">
        <v>472</v>
      </c>
      <c r="K60" s="9" t="s">
        <v>473</v>
      </c>
      <c r="L60" s="14" t="s">
        <v>87</v>
      </c>
      <c r="M60" s="9"/>
      <c r="N60" s="10" t="s">
        <v>470</v>
      </c>
      <c r="O60" s="12" t="s">
        <v>67</v>
      </c>
      <c r="P60" s="13"/>
      <c r="Q60" s="13"/>
      <c r="R60" s="12"/>
    </row>
    <row r="61" customFormat="false" ht="23.85" hidden="false" customHeight="false" outlineLevel="0" collapsed="false">
      <c r="A61" s="9" t="n">
        <v>60</v>
      </c>
      <c r="B61" s="9" t="s">
        <v>474</v>
      </c>
      <c r="C61" s="9" t="s">
        <v>26</v>
      </c>
      <c r="D61" s="9" t="s">
        <v>475</v>
      </c>
      <c r="E61" s="9"/>
      <c r="F61" s="9" t="s">
        <v>93</v>
      </c>
      <c r="G61" s="9"/>
      <c r="H61" s="9" t="s">
        <v>475</v>
      </c>
      <c r="I61" s="9" t="s">
        <v>476</v>
      </c>
      <c r="J61" s="9" t="s">
        <v>143</v>
      </c>
      <c r="K61" s="9"/>
      <c r="L61" s="15" t="s">
        <v>144</v>
      </c>
      <c r="M61" s="9"/>
      <c r="N61" s="10" t="s">
        <v>477</v>
      </c>
      <c r="O61" s="12" t="s">
        <v>67</v>
      </c>
      <c r="P61" s="13"/>
      <c r="Q61" s="13"/>
      <c r="R61" s="12"/>
    </row>
    <row r="62" customFormat="false" ht="23.85" hidden="false" customHeight="false" outlineLevel="0" collapsed="false">
      <c r="A62" s="9" t="n">
        <v>61</v>
      </c>
      <c r="B62" s="9" t="s">
        <v>478</v>
      </c>
      <c r="C62" s="9" t="s">
        <v>16</v>
      </c>
      <c r="D62" s="9" t="s">
        <v>479</v>
      </c>
      <c r="E62" s="10" t="s">
        <v>480</v>
      </c>
      <c r="F62" s="9" t="s">
        <v>481</v>
      </c>
      <c r="G62" s="9" t="s">
        <v>482</v>
      </c>
      <c r="H62" s="9" t="s">
        <v>483</v>
      </c>
      <c r="I62" s="9" t="s">
        <v>484</v>
      </c>
      <c r="J62" s="9" t="s">
        <v>485</v>
      </c>
      <c r="K62" s="9"/>
      <c r="L62" s="14" t="s">
        <v>87</v>
      </c>
      <c r="M62" s="9"/>
      <c r="N62" s="10" t="s">
        <v>486</v>
      </c>
      <c r="O62" s="12" t="s">
        <v>67</v>
      </c>
      <c r="P62" s="13"/>
      <c r="Q62" s="13"/>
      <c r="R62" s="12"/>
    </row>
    <row r="63" customFormat="false" ht="23.85" hidden="false" customHeight="false" outlineLevel="0" collapsed="false">
      <c r="A63" s="9" t="n">
        <v>62</v>
      </c>
      <c r="B63" s="9" t="s">
        <v>487</v>
      </c>
      <c r="C63" s="9" t="s">
        <v>16</v>
      </c>
      <c r="D63" s="9" t="s">
        <v>479</v>
      </c>
      <c r="E63" s="10" t="s">
        <v>488</v>
      </c>
      <c r="F63" s="9" t="s">
        <v>93</v>
      </c>
      <c r="G63" s="9"/>
      <c r="H63" s="9" t="s">
        <v>489</v>
      </c>
      <c r="I63" s="9" t="s">
        <v>490</v>
      </c>
      <c r="J63" s="9" t="s">
        <v>491</v>
      </c>
      <c r="K63" s="9"/>
      <c r="L63" s="14" t="s">
        <v>87</v>
      </c>
      <c r="M63" s="9"/>
      <c r="N63" s="10" t="s">
        <v>492</v>
      </c>
      <c r="O63" s="12" t="s">
        <v>67</v>
      </c>
      <c r="P63" s="13"/>
      <c r="Q63" s="13"/>
      <c r="R63" s="12"/>
    </row>
    <row r="64" customFormat="false" ht="23.85" hidden="false" customHeight="false" outlineLevel="0" collapsed="false">
      <c r="A64" s="9" t="n">
        <v>63</v>
      </c>
      <c r="B64" s="9" t="s">
        <v>493</v>
      </c>
      <c r="C64" s="9" t="s">
        <v>16</v>
      </c>
      <c r="D64" s="9" t="s">
        <v>494</v>
      </c>
      <c r="E64" s="9"/>
      <c r="F64" s="9" t="s">
        <v>93</v>
      </c>
      <c r="G64" s="9"/>
      <c r="H64" s="9" t="s">
        <v>494</v>
      </c>
      <c r="I64" s="9" t="s">
        <v>495</v>
      </c>
      <c r="J64" s="9" t="s">
        <v>496</v>
      </c>
      <c r="K64" s="9"/>
      <c r="L64" s="15" t="s">
        <v>144</v>
      </c>
      <c r="M64" s="9"/>
      <c r="N64" s="10" t="s">
        <v>497</v>
      </c>
      <c r="O64" s="12" t="s">
        <v>67</v>
      </c>
      <c r="P64" s="13"/>
      <c r="Q64" s="13"/>
      <c r="R64" s="12"/>
    </row>
    <row r="65" customFormat="false" ht="23.85" hidden="false" customHeight="false" outlineLevel="0" collapsed="false">
      <c r="A65" s="9" t="n">
        <v>64</v>
      </c>
      <c r="B65" s="9" t="s">
        <v>498</v>
      </c>
      <c r="C65" s="9" t="s">
        <v>20</v>
      </c>
      <c r="D65" s="9" t="s">
        <v>499</v>
      </c>
      <c r="E65" s="10" t="s">
        <v>500</v>
      </c>
      <c r="F65" s="9" t="s">
        <v>93</v>
      </c>
      <c r="G65" s="9" t="s">
        <v>501</v>
      </c>
      <c r="H65" s="9" t="s">
        <v>502</v>
      </c>
      <c r="I65" s="9" t="s">
        <v>503</v>
      </c>
      <c r="J65" s="9" t="s">
        <v>504</v>
      </c>
      <c r="K65" s="9" t="s">
        <v>505</v>
      </c>
      <c r="L65" s="11" t="s">
        <v>64</v>
      </c>
      <c r="M65" s="9"/>
      <c r="N65" s="10" t="s">
        <v>506</v>
      </c>
      <c r="O65" s="12" t="s">
        <v>67</v>
      </c>
      <c r="P65" s="13"/>
      <c r="Q65" s="13"/>
      <c r="R65" s="12"/>
    </row>
    <row r="66" customFormat="false" ht="23.85" hidden="false" customHeight="false" outlineLevel="0" collapsed="false">
      <c r="A66" s="9" t="n">
        <v>65</v>
      </c>
      <c r="B66" s="9" t="s">
        <v>507</v>
      </c>
      <c r="C66" s="9" t="s">
        <v>23</v>
      </c>
      <c r="D66" s="9" t="s">
        <v>508</v>
      </c>
      <c r="E66" s="10" t="s">
        <v>509</v>
      </c>
      <c r="F66" s="9" t="s">
        <v>93</v>
      </c>
      <c r="G66" s="9"/>
      <c r="H66" s="9" t="s">
        <v>508</v>
      </c>
      <c r="I66" s="9" t="s">
        <v>510</v>
      </c>
      <c r="J66" s="9" t="s">
        <v>511</v>
      </c>
      <c r="K66" s="9"/>
      <c r="L66" s="15" t="s">
        <v>144</v>
      </c>
      <c r="M66" s="9" t="s">
        <v>512</v>
      </c>
      <c r="N66" s="10" t="s">
        <v>513</v>
      </c>
      <c r="O66" s="12" t="s">
        <v>67</v>
      </c>
      <c r="P66" s="13"/>
      <c r="Q66" s="13"/>
      <c r="R66" s="12"/>
    </row>
    <row r="67" customFormat="false" ht="23.85" hidden="false" customHeight="false" outlineLevel="0" collapsed="false">
      <c r="A67" s="9" t="n">
        <v>66</v>
      </c>
      <c r="B67" s="9" t="s">
        <v>514</v>
      </c>
      <c r="C67" s="9" t="s">
        <v>14</v>
      </c>
      <c r="D67" s="9" t="s">
        <v>515</v>
      </c>
      <c r="E67" s="9"/>
      <c r="F67" s="9" t="s">
        <v>93</v>
      </c>
      <c r="G67" s="9"/>
      <c r="H67" s="9" t="s">
        <v>515</v>
      </c>
      <c r="I67" s="9" t="s">
        <v>516</v>
      </c>
      <c r="J67" s="9" t="s">
        <v>517</v>
      </c>
      <c r="K67" s="9"/>
      <c r="L67" s="15" t="s">
        <v>144</v>
      </c>
      <c r="M67" s="9"/>
      <c r="N67" s="10" t="s">
        <v>518</v>
      </c>
      <c r="O67" s="12" t="s">
        <v>67</v>
      </c>
      <c r="P67" s="13"/>
      <c r="Q67" s="13"/>
      <c r="R67" s="12"/>
    </row>
    <row r="68" customFormat="false" ht="23.85" hidden="false" customHeight="false" outlineLevel="0" collapsed="false">
      <c r="A68" s="9" t="n">
        <v>67</v>
      </c>
      <c r="B68" s="9" t="s">
        <v>519</v>
      </c>
      <c r="C68" s="9" t="s">
        <v>28</v>
      </c>
      <c r="D68" s="9"/>
      <c r="E68" s="9"/>
      <c r="F68" s="9" t="s">
        <v>93</v>
      </c>
      <c r="G68" s="9"/>
      <c r="H68" s="9" t="s">
        <v>520</v>
      </c>
      <c r="I68" s="9" t="s">
        <v>521</v>
      </c>
      <c r="J68" s="9" t="s">
        <v>522</v>
      </c>
      <c r="K68" s="9"/>
      <c r="L68" s="14" t="s">
        <v>87</v>
      </c>
      <c r="M68" s="9" t="s">
        <v>523</v>
      </c>
      <c r="N68" s="10" t="s">
        <v>524</v>
      </c>
      <c r="O68" s="12" t="s">
        <v>67</v>
      </c>
      <c r="P68" s="13"/>
      <c r="Q68" s="13"/>
      <c r="R68" s="12"/>
    </row>
  </sheetData>
  <autoFilter ref="A1:R68"/>
  <dataValidations count="1">
    <dataValidation allowBlank="true" errorStyle="stop" operator="between" showDropDown="false" showErrorMessage="false" showInputMessage="false" sqref="O2:O68" type="list">
      <formula1>"Not contacted,Emailed,Called,Replied,Account opened,Price list received,Ordered,Rejected,Not a fit"</formula1>
      <formula2>0</formula2>
    </dataValidation>
  </dataValidations>
  <hyperlinks>
    <hyperlink ref="E2" r:id="rId1" display="https://www.qogita.com"/>
    <hyperlink ref="N2" r:id="rId2" display="https://www.qogita.com/brands/lamour/"/>
    <hyperlink ref="E3" r:id="rId3" display="https://www.novaengel.com/en/"/>
    <hyperlink ref="N3" r:id="rId4" display="https://www.novaengel.com/en/company_wholesaler_perfumery"/>
    <hyperlink ref="E4" r:id="rId5" display="https://www.bigbuy.eu"/>
    <hyperlink ref="N4" r:id="rId6" display="https://help.wizishop.com/hc/en-us/articles/360015881879-Presentation-of-BigBuy"/>
    <hyperlink ref="E5" r:id="rId7" display="https://beautinow.com/wholesale-perfume-supplier-europe/"/>
    <hyperlink ref="N5" r:id="rId8" display="https://beautinow.com/wholesale-perfume-supplier-europe/"/>
    <hyperlink ref="E6" r:id="rId9" display="https://elegancewholesale.co.nl/partner-with-us"/>
    <hyperlink ref="N6" r:id="rId10" display="https://elegancewholesale.co.nl/our-services"/>
    <hyperlink ref="E7" r:id="rId11" display="https://www.beautetrade.com/suppliers/ah-beauty-bv-107939/"/>
    <hyperlink ref="N7" r:id="rId12" display="https://www.beautetrade.com/suppliers/ah-beauty-bv-107939/"/>
    <hyperlink ref="E8" r:id="rId13" display="https://tradefor7.com"/>
    <hyperlink ref="N8" r:id="rId14" display="https://www.marktplaats.nl/v/sieraden-tassen-en-uiterlijk/uiterlijk-parfum/m2420639384-volare-french-avenue-swiss-arabian-lattafa-groothandel"/>
    <hyperlink ref="N9" r:id="rId15" display="https://ensun.io/search/perfume-cologne"/>
    <hyperlink ref="E10" r:id="rId16" display="https://stockperfume.com"/>
    <hyperlink ref="N10" r:id="rId17" display="https://oncosmetics.com/company/stock-perfume/"/>
    <hyperlink ref="E11" r:id="rId18" display="https://www.beautetrade.com/products/global-wholesale-distributor-of-cosmetics-skincare-fragrances/75837"/>
    <hyperlink ref="N11" r:id="rId19" display="https://www.beautetrade.com/products/global-wholesale-distributor-of-cosmetics-skincare-fragrances/75837"/>
    <hyperlink ref="N12" r:id="rId20" display="https://oncosmetics.com/company/la-parfumista/"/>
    <hyperlink ref="E13" r:id="rId21" display="https://www.beautylux.be"/>
    <hyperlink ref="N13" r:id="rId22" display="https://oncosmetics.com/company/beautylux/"/>
    <hyperlink ref="E14" r:id="rId23" display="https://www.fragrance-privee.com"/>
    <hyperlink ref="N14" r:id="rId24" display="https://www.destockplus.com/acheter/recherche-fournisseur-2-parfumerie.html"/>
    <hyperlink ref="E15" r:id="rId25" display="https://us.kompass.com/c/azurtis/be0018421/"/>
    <hyperlink ref="N15" r:id="rId26" display="https://us.kompass.com/c/azurtis/be0018421/"/>
    <hyperlink ref="E16" r:id="rId27" display="https://es.kompass.com/c/diotima/be0038464/"/>
    <hyperlink ref="N16" r:id="rId28" display="https://es.kompass.com/c/diotima/be0038464/"/>
    <hyperlink ref="E17" r:id="rId29" display="https://fr.kompass.com/en/c/intercosmo/be0180009/"/>
    <hyperlink ref="N17" r:id="rId30" display="https://fr.kompass.com/en/c/intercosmo/be0180009/"/>
    <hyperlink ref="N18" r:id="rId31" display="https://implisense.com/de/companies/parfimo-gmbh-muenchen-DE5DGBY5YA30"/>
    <hyperlink ref="N19" r:id="rId32" display="https://ensun.io/search/perfume-cologne-fragrance/germany"/>
    <hyperlink ref="E20" r:id="rId33" display="https://perfume-trading.com"/>
    <hyperlink ref="N20" r:id="rId34" display="https://ensun.io/search/perfume-cologne-fragrance/germany"/>
    <hyperlink ref="N21" r:id="rId35" display="https://ensun.io/search/perfume-cologne/germany"/>
    <hyperlink ref="E22" r:id="rId36" display="https://oncosmetics.com/company/brocard/"/>
    <hyperlink ref="N22" r:id="rId37" display="https://oncosmetics.com/company/brocard/"/>
    <hyperlink ref="N23" r:id="rId38" display="https://oncosmetics.com/company/icos-international-cosmetics-gmbh/"/>
    <hyperlink ref="N24" r:id="rId39" display="https://oncosmetics.com/company/aroma-company"/>
    <hyperlink ref="E25" r:id="rId40" display="https://perfumeeurope.com/en/"/>
    <hyperlink ref="N25" r:id="rId41" display="https://perfumeeurope.com/en/"/>
    <hyperlink ref="E26" r:id="rId42" display="https://www.firozadistribution.com"/>
    <hyperlink ref="N26" r:id="rId43" display="https://www.destockplus.com/acheter/c-813880-firoza-distribution-destockage.html"/>
    <hyperlink ref="E27" r:id="rId44" display="https://parfums-en-gros.com"/>
    <hyperlink ref="N27" r:id="rId45" display="https://oncosmetics.com/company/parfums-en-gros/"/>
    <hyperlink ref="E28" r:id="rId46" display="https://www.beautetrade.com/suppliers/europ-cosmetics-209557"/>
    <hyperlink ref="N28" r:id="rId47" display="https://www.beautetrade.com/suppliers/europ-cosmetics-209557"/>
    <hyperlink ref="N29" r:id="rId48" display="https://oncosmetics.com/company/royaume-du-parfum-international-rpi/"/>
    <hyperlink ref="N30" r:id="rId49" display="https://www.destockplus.com/acheter/recherche-fournisseur-2-parfumerie.html"/>
    <hyperlink ref="E31" r:id="rId50" display="https://lb.kompass.com/c/sofrapar/fr0078081/"/>
    <hyperlink ref="N31" r:id="rId51" display="https://lb.kompass.com/c/sofrapar/fr0078081/"/>
    <hyperlink ref="E32" r:id="rId52" display="https://oceanfragrances.com/es/"/>
    <hyperlink ref="N32" r:id="rId53" display="https://www.proveedores.com/proveedores/ocean-fragrances/"/>
    <hyperlink ref="E33" r:id="rId54" display="https://www.distribuidorperfumes.com/"/>
    <hyperlink ref="N33" r:id="rId55" display="https://www.proveedores.com/proveedores/distribuidor-perfumes/"/>
    <hyperlink ref="E34" r:id="rId56" display="https://www.igmaco.com"/>
    <hyperlink ref="N34" r:id="rId57" display="https://oncosmetics.com/company/igmaco/"/>
    <hyperlink ref="E35" r:id="rId58" display="https://www.orientfragance.com/en/pages/contact"/>
    <hyperlink ref="N35" r:id="rId59" display="https://www.orientfragance.com/en/pages/contacto"/>
    <hyperlink ref="N36" r:id="rId60" display="https://oncosmetics.com/company/mayoristaperfumeria/"/>
    <hyperlink ref="N37" r:id="rId61" display="https://oncosmetics.com/company/gpd-central-de-perfumeria-y-cosmetica/"/>
    <hyperlink ref="N38" r:id="rId62" display="https://oncosmetics.com/company/quisben-iberica-s-l/"/>
    <hyperlink ref="N39" r:id="rId63" display="https://proveedores.com/proveedores/madallmes/"/>
    <hyperlink ref="N40" r:id="rId64" display="https://oncosmetics.com/company/beauty-way-sl/"/>
    <hyperlink ref="N41" r:id="rId65" display="https://www.modaes.com/cosmetica/perfumes-y-diseno-sella-un-acuerdo-de-distribucion-con-euroitalia-en-espana-y-andorra"/>
    <hyperlink ref="E42" r:id="rId66" display="https://www.parfulandiastore.it"/>
    <hyperlink ref="N42" r:id="rId67" display="https://oncosmetics.com/company/parfulandia-srl/"/>
    <hyperlink ref="E43" r:id="rId68" display="https://globalperfumes.it"/>
    <hyperlink ref="N43" r:id="rId69" display="https://oncosmetics.com/company/global-perfumes"/>
    <hyperlink ref="N44" r:id="rId70" display="https://atoka.io/public/it/azienda/consorzio-profumerie-estasi/3cca13127885"/>
    <hyperlink ref="N45" r:id="rId71" display="https://atoka.io/public/it/azienda/amoretti-profumi-srl/e6a0a9e0c2b7"/>
    <hyperlink ref="N46" r:id="rId72" display="https://atoka.io/public/it/azienda/profumerie-p-p-srl/b936935a4339"/>
    <hyperlink ref="N47" r:id="rId73" display="https://atoka.io/public/it/azienda/mr-parfums-srl-a-socio-unico/f8ca86bdc544"/>
    <hyperlink ref="N48" r:id="rId74" display="https://oncosmetics.com/company/t-d-distribuzione-srl/"/>
    <hyperlink ref="N49" r:id="rId75" display="https://www.aplikuj.pl/pracodawca/380091/parfum-company-sp-z-o-o-s-k-a"/>
    <hyperlink ref="E50" r:id="rId76" display="https://perfume-supplier.eu"/>
    <hyperlink ref="N50" r:id="rId77" display="https://oncosmetics.com/company/charms-perfumes-and-cosmetics/"/>
    <hyperlink ref="N51" r:id="rId78" display="https://www.aplikuj.pl/pracodawca/80046/misterm-plus-sp-z-o-o-spolka-komandytowa"/>
    <hyperlink ref="N52" r:id="rId79" display="https://oncosmetics.com/company/hurtownia-perfum/"/>
    <hyperlink ref="N53" r:id="rId80" display="https://ensun.io/search/luxury-perfume/poland"/>
    <hyperlink ref="N54" r:id="rId81" display="https://oncosmetics.com/company/solg-oskar-szumacher/"/>
    <hyperlink ref="E55" r:id="rId82" display="https://www.bjutip.com/register"/>
    <hyperlink ref="N55" r:id="rId83" display="https://bjutip.com/contact_us"/>
    <hyperlink ref="E56" r:id="rId84" display="https://wholesale.brasty.com/"/>
    <hyperlink ref="N56" r:id="rId85" display="https://wholesale.brasty.com/"/>
    <hyperlink ref="E57" r:id="rId86" display="https://www.fragrances-wholesale.eu"/>
    <hyperlink ref="N57" r:id="rId87" display="https://www.fragrances-wholesale.eu/info/terms-and-conditions-nr"/>
    <hyperlink ref="E58" r:id="rId88" display="https://parfen.hu"/>
    <hyperlink ref="N58" r:id="rId89" display="https://oncosmetics.com/company/parfen/"/>
    <hyperlink ref="E59" r:id="rId90" display="https://parfumuri-engros.ro"/>
    <hyperlink ref="N59" r:id="rId91" display="https://oncosmetics.com/company/parfumuri-engros/"/>
    <hyperlink ref="E60" r:id="rId92" display="https://qudobeauty.com/perfumes-and-fragrances-wholesale/"/>
    <hyperlink ref="N60" r:id="rId93" display="https://qudobeauty.com/perfumes-and-fragrances-wholesale/"/>
    <hyperlink ref="N61" r:id="rId94" display="https://oncosmetics.com/company/romscent"/>
    <hyperlink ref="E62" r:id="rId95" display="https://odora.bg"/>
    <hyperlink ref="N62" r:id="rId96" display="https://oncosmetics.com/company/odora-beauty-corp-ad/"/>
    <hyperlink ref="E63" r:id="rId97" display="https://aromaray.bg"/>
    <hyperlink ref="N63" r:id="rId98" display="https://oncosmetics.com/company/aromaray-ltd-ood/"/>
    <hyperlink ref="N64" r:id="rId99" display="https://oncosmetics.com/company/venera-cosmetics/"/>
    <hyperlink ref="E65" r:id="rId100" display="https://www.perfumes-supplier.com"/>
    <hyperlink ref="N65" r:id="rId101" display="https://oncosmetics.com/company/ventus-s-a/"/>
    <hyperlink ref="E66" r:id="rId102" display="https://per-fumes.com"/>
    <hyperlink ref="N66" r:id="rId103" display="https://oncosmetics.com/company/amco-group-uab/"/>
    <hyperlink ref="N67" r:id="rId104" display="https://oncosmetics.com/company/selective-parfums/"/>
    <hyperlink ref="N68" r:id="rId105" display="https://funnelfeedr.com/en/company/se/sar-beauty-ab-559503248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42"/>
    <col collapsed="false" customWidth="true" hidden="false" outlineLevel="0" max="6" min="6" style="0" width="32"/>
    <col collapsed="false" customWidth="true" hidden="false" outlineLevel="0" max="7" min="7" style="0" width="26"/>
    <col collapsed="false" customWidth="true" hidden="false" outlineLevel="0" max="8" min="8" style="0" width="36"/>
    <col collapsed="false" customWidth="true" hidden="false" outlineLevel="0" max="9" min="9" style="0" width="30"/>
    <col collapsed="false" customWidth="true" hidden="false" outlineLevel="0" max="10" min="10" style="0" width="44"/>
    <col collapsed="false" customWidth="true" hidden="false" outlineLevel="0" max="11" min="11" style="0" width="38"/>
    <col collapsed="false" customWidth="true" hidden="false" outlineLevel="0" max="12" min="12" style="0" width="10"/>
    <col collapsed="false" customWidth="true" hidden="false" outlineLevel="0" max="13" min="13" style="0" width="48"/>
    <col collapsed="false" customWidth="true" hidden="false" outlineLevel="0" max="14" min="14" style="0" width="40"/>
    <col collapsed="false" customWidth="true" hidden="false" outlineLevel="0" max="15" min="15" style="0" width="16"/>
    <col collapsed="false" customWidth="true" hidden="false" outlineLevel="0" max="17" min="16" style="0" width="14"/>
    <col collapsed="false" customWidth="true" hidden="false" outlineLevel="0" max="18" min="18" style="0" width="34"/>
  </cols>
  <sheetData>
    <row r="1" customFormat="false" ht="30" hidden="false" customHeight="true" outlineLevel="0" collapsed="false">
      <c r="A1" s="8" t="s">
        <v>39</v>
      </c>
      <c r="B1" s="8" t="s">
        <v>40</v>
      </c>
      <c r="C1" s="8" t="s">
        <v>12</v>
      </c>
      <c r="D1" s="8" t="s">
        <v>41</v>
      </c>
      <c r="E1" s="8" t="s">
        <v>42</v>
      </c>
      <c r="F1" s="8" t="s">
        <v>43</v>
      </c>
      <c r="G1" s="8" t="s">
        <v>44</v>
      </c>
      <c r="H1" s="8" t="s">
        <v>45</v>
      </c>
      <c r="I1" s="8" t="s">
        <v>46</v>
      </c>
      <c r="J1" s="8" t="s">
        <v>47</v>
      </c>
      <c r="K1" s="8" t="s">
        <v>48</v>
      </c>
      <c r="L1" s="8" t="s">
        <v>49</v>
      </c>
      <c r="M1" s="8" t="s">
        <v>50</v>
      </c>
      <c r="N1" s="8" t="s">
        <v>51</v>
      </c>
      <c r="O1" s="8" t="s">
        <v>52</v>
      </c>
      <c r="P1" s="8" t="s">
        <v>53</v>
      </c>
      <c r="Q1" s="8" t="s">
        <v>54</v>
      </c>
      <c r="R1" s="8" t="s">
        <v>55</v>
      </c>
    </row>
    <row r="2" customFormat="false" ht="23.85" hidden="false" customHeight="false" outlineLevel="0" collapsed="false">
      <c r="A2" s="9" t="n">
        <v>1</v>
      </c>
      <c r="B2" s="9" t="s">
        <v>525</v>
      </c>
      <c r="C2" s="9" t="s">
        <v>526</v>
      </c>
      <c r="D2" s="9" t="s">
        <v>527</v>
      </c>
      <c r="E2" s="9"/>
      <c r="F2" s="9" t="s">
        <v>93</v>
      </c>
      <c r="G2" s="9"/>
      <c r="H2" s="9" t="s">
        <v>527</v>
      </c>
      <c r="I2" s="9" t="s">
        <v>528</v>
      </c>
      <c r="J2" s="9" t="s">
        <v>529</v>
      </c>
      <c r="K2" s="9"/>
      <c r="L2" s="11" t="s">
        <v>64</v>
      </c>
      <c r="M2" s="9" t="s">
        <v>530</v>
      </c>
      <c r="N2" s="10" t="s">
        <v>531</v>
      </c>
      <c r="O2" s="12" t="s">
        <v>67</v>
      </c>
      <c r="P2" s="13"/>
      <c r="Q2" s="13"/>
      <c r="R2" s="12"/>
    </row>
    <row r="3" customFormat="false" ht="23.85" hidden="false" customHeight="false" outlineLevel="0" collapsed="false">
      <c r="A3" s="9" t="n">
        <v>2</v>
      </c>
      <c r="B3" s="9" t="s">
        <v>532</v>
      </c>
      <c r="C3" s="9" t="s">
        <v>526</v>
      </c>
      <c r="D3" s="9"/>
      <c r="E3" s="9"/>
      <c r="F3" s="9" t="s">
        <v>93</v>
      </c>
      <c r="G3" s="9"/>
      <c r="H3" s="9"/>
      <c r="I3" s="9" t="s">
        <v>533</v>
      </c>
      <c r="J3" s="9" t="s">
        <v>534</v>
      </c>
      <c r="K3" s="9"/>
      <c r="L3" s="14" t="s">
        <v>87</v>
      </c>
      <c r="M3" s="9"/>
      <c r="N3" s="10" t="s">
        <v>535</v>
      </c>
      <c r="O3" s="12" t="s">
        <v>67</v>
      </c>
      <c r="P3" s="13"/>
      <c r="Q3" s="13"/>
      <c r="R3" s="12"/>
    </row>
    <row r="4" customFormat="false" ht="23.85" hidden="false" customHeight="false" outlineLevel="0" collapsed="false">
      <c r="A4" s="9" t="n">
        <v>3</v>
      </c>
      <c r="B4" s="9" t="s">
        <v>536</v>
      </c>
      <c r="C4" s="9" t="s">
        <v>526</v>
      </c>
      <c r="D4" s="9"/>
      <c r="E4" s="10" t="s">
        <v>537</v>
      </c>
      <c r="F4" s="9" t="s">
        <v>93</v>
      </c>
      <c r="G4" s="9"/>
      <c r="H4" s="9" t="s">
        <v>538</v>
      </c>
      <c r="I4" s="9" t="s">
        <v>539</v>
      </c>
      <c r="J4" s="9"/>
      <c r="K4" s="9"/>
      <c r="L4" s="15" t="s">
        <v>144</v>
      </c>
      <c r="M4" s="9" t="s">
        <v>540</v>
      </c>
      <c r="N4" s="10" t="s">
        <v>537</v>
      </c>
      <c r="O4" s="12" t="s">
        <v>67</v>
      </c>
      <c r="P4" s="13"/>
      <c r="Q4" s="13"/>
      <c r="R4" s="12"/>
    </row>
  </sheetData>
  <autoFilter ref="A1:R4"/>
  <dataValidations count="1">
    <dataValidation allowBlank="true" errorStyle="stop" operator="between" showDropDown="false" showErrorMessage="false" showInputMessage="false" sqref="O2:O4" type="list">
      <formula1>"Not contacted,Emailed,Called,Replied,Account opened,Price list received,Ordered,Rejected,Not a fit"</formula1>
      <formula2>0</formula2>
    </dataValidation>
  </dataValidations>
  <hyperlinks>
    <hyperlink ref="N2" r:id="rId1" display="https://jobs.workable.com/companies/iKxrmDgx2D2P41Cmp6pAvV.md"/>
    <hyperlink ref="N3" r:id="rId2" display="https://localpage.uk/question/health-and-wellbeing/can-you-recommend-a-reliable-wholesale-distributor-of-luxury-fragrances-in-the-uk"/>
    <hyperlink ref="E4" r:id="rId3" display="https://find-and-update.company-information.service.gov.uk/company/14662527"/>
    <hyperlink ref="N4" r:id="rId4" display="https://find-and-update.company-information.service.gov.uk/company/1466252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6" t="s">
        <v>541</v>
      </c>
      <c r="B1" s="17" t="s">
        <v>542</v>
      </c>
    </row>
    <row r="2" customFormat="false" ht="15" hidden="false" customHeight="false" outlineLevel="0" collapsed="false">
      <c r="A2" s="16"/>
      <c r="B2" s="17"/>
    </row>
    <row r="3" customFormat="false" ht="15" hidden="false" customHeight="false" outlineLevel="0" collapsed="false">
      <c r="A3" s="16" t="s">
        <v>543</v>
      </c>
      <c r="B3" s="17" t="s">
        <v>544</v>
      </c>
    </row>
    <row r="4" customFormat="false" ht="23.85" hidden="false" customHeight="false" outlineLevel="0" collapsed="false">
      <c r="A4" s="16"/>
      <c r="B4" s="17" t="s">
        <v>545</v>
      </c>
    </row>
    <row r="5" customFormat="false" ht="15" hidden="false" customHeight="false" outlineLevel="0" collapsed="false">
      <c r="A5" s="16"/>
      <c r="B5" s="17" t="s">
        <v>546</v>
      </c>
    </row>
    <row r="6" customFormat="false" ht="15" hidden="false" customHeight="false" outlineLevel="0" collapsed="false">
      <c r="A6" s="16"/>
      <c r="B6" s="17" t="s">
        <v>547</v>
      </c>
    </row>
    <row r="7" customFormat="false" ht="15" hidden="false" customHeight="false" outlineLevel="0" collapsed="false">
      <c r="A7" s="16"/>
      <c r="B7" s="17" t="s">
        <v>548</v>
      </c>
    </row>
    <row r="8" customFormat="false" ht="15" hidden="false" customHeight="false" outlineLevel="0" collapsed="false">
      <c r="A8" s="16"/>
      <c r="B8" s="17" t="s">
        <v>549</v>
      </c>
    </row>
    <row r="9" customFormat="false" ht="23.85" hidden="false" customHeight="false" outlineLevel="0" collapsed="false">
      <c r="A9" s="16"/>
      <c r="B9" s="17" t="s">
        <v>550</v>
      </c>
    </row>
    <row r="10" customFormat="false" ht="15" hidden="false" customHeight="false" outlineLevel="0" collapsed="false">
      <c r="A10" s="16"/>
      <c r="B10" s="17" t="s">
        <v>551</v>
      </c>
    </row>
    <row r="11" customFormat="false" ht="15" hidden="false" customHeight="false" outlineLevel="0" collapsed="false">
      <c r="A11" s="16"/>
      <c r="B11" s="17" t="s">
        <v>552</v>
      </c>
    </row>
    <row r="12" customFormat="false" ht="15" hidden="false" customHeight="false" outlineLevel="0" collapsed="false">
      <c r="A12" s="16"/>
      <c r="B12" s="17" t="s">
        <v>553</v>
      </c>
    </row>
    <row r="13" customFormat="false" ht="15" hidden="false" customHeight="false" outlineLevel="0" collapsed="false">
      <c r="A13" s="16"/>
      <c r="B13" s="17" t="s">
        <v>554</v>
      </c>
    </row>
    <row r="14" customFormat="false" ht="15" hidden="false" customHeight="false" outlineLevel="0" collapsed="false">
      <c r="A14" s="16"/>
      <c r="B14" s="17" t="s">
        <v>555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2026-10-12T21:49:52Z</dcterms:created>
  <dc:creator>openpyxl</dc:creator>
  <dc:description/>
  <dc:language>en-US</dc:language>
  <cp:lastModifiedBy/>
  <dcterms:modified xsi:type="dcterms:W3CDTF">2026-10-12T21:49:52Z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