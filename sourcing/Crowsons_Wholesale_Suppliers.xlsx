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Niche Guide" sheetId="5" state="visible" r:id="rId7"/>
    <sheet name="Profit Calculator" sheetId="6" state="visible" r:id="rId8"/>
    <sheet name="Templates" sheetId="7" state="visible" r:id="rId9"/>
    <sheet name="Dashboard" sheetId="8" state="visible" r:id="rId10"/>
    <sheet name="Find More Suppliers" sheetId="9" state="visible" r:id="rId11"/>
    <sheet name="Due Diligence" sheetId="10" state="visible" r:id="rId12"/>
  </sheets>
  <definedNames>
    <definedName function="false" hidden="true" localSheetId="2" name="_xlnm._FilterDatabase" vbProcedure="false">'LinkedIn Outreach'!$A$1:$N$190</definedName>
    <definedName function="false" hidden="true" localSheetId="1" name="_xlnm._FilterDatabase" vbProcedure="false">Suppliers!$A$1:$AJ$190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<sst xmlns="http://schemas.openxmlformats.org/spreadsheetml/2006/main" count="5129" uniqueCount="2424">
  <si>
    <t xml:space="preserve">Crowsons Distribution - Wholesale Supplier Sourcing List</t>
  </si>
  <si>
    <t xml:space="preserve">189 UK &amp; EU suppliers for Amazon UK wholesale across 12 niches. Researched Oct 2026.</t>
  </si>
  <si>
    <t xml:space="preserve">What's new in this version</t>
  </si>
  <si>
    <t xml:space="preserve">Grouped by country</t>
  </si>
  <si>
    <t xml:space="preserve">The Suppliers tab is now sorted by Country A-Z, then by Priority (best first). Country is the first column and each country is shaded in alternating bands, so you can work through one country at a time. Pan-European / online platforms are at the bottom.</t>
  </si>
  <si>
    <t xml:space="preserve">Country Index tab</t>
  </si>
  <si>
    <t xml:space="preserve">Lists every country with supplier counts - click 'Go to' to jump straight to that country's first row.</t>
  </si>
  <si>
    <t xml:space="preserve">+40 more EU suppliers (Round 3)</t>
  </si>
  <si>
    <t xml:space="preserve">Mostly brand owners and established distributors in Germany, Netherlands, Poland, Belgium, France, Italy, Spain and Czech Republic (e.g. Trixie-style pet brands, goki, small foot, Depesche, Canpol, cosnova, Eveline, GTX/NEO Tools, kwb, Westmark, Beurer). Round 3 rows are shaded green in the Company column.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</si>
  <si>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</si>
  <si>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</si>
  <si>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</si>
  <si>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</si>
  <si>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</si>
  <si>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</si>
  <si>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 and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</si>
  <si>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</si>
  <si>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</si>
  <si>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</si>
  <si>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</si>
  <si>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</si>
  <si>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</si>
  <si>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</si>
  <si>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</si>
  <si>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</si>
  <si>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</si>
  <si>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</si>
  <si>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</si>
  <si>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</si>
  <si>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</si>
  <si>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</si>
  <si>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</si>
  <si>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</si>
  <si>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</si>
  <si>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</si>
  <si>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</si>
  <si>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</si>
  <si>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</si>
  <si>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</si>
  <si>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</si>
  <si>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</si>
  <si>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</si>
  <si>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</si>
  <si>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</si>
  <si>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</si>
  <si>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</si>
  <si>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</si>
  <si>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</si>
  <si>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</si>
  <si>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</si>
  <si>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</si>
  <si>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</si>
  <si>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</si>
  <si>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</si>
  <si>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</si>
  <si>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</si>
  <si>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</si>
  <si>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</si>
  <si>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</si>
  <si>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</si>
  <si>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</si>
  <si>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</si>
  <si>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</si>
  <si>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</si>
  <si>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</si>
  <si>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</si>
  <si>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</si>
  <si>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</si>
  <si>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</si>
  <si>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</si>
  <si>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</si>
  <si>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</si>
  <si>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</si>
  <si>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</si>
  <si>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</si>
  <si>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</si>
  <si>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</si>
  <si>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</si>
  <si>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</si>
  <si>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</si>
  <si>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</si>
  <si>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</si>
  <si>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</si>
  <si>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</si>
  <si>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</si>
  <si>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</si>
  <si>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</si>
  <si>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</si>
  <si>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</si>
  <si>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</si>
  <si>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</si>
  <si>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</si>
  <si>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</si>
  <si>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</si>
  <si>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</si>
  <si>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</si>
  <si>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</si>
  <si>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</si>
  <si>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</si>
  <si>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</si>
  <si>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Belgium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</si>
  <si>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</si>
  <si>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</si>
  <si>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</si>
  <si>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</si>
  <si>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EU / Europe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</si>
  <si>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</si>
  <si>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</si>
  <si>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</si>
  <si>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</si>
  <si>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</si>
  <si>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</si>
  <si>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On request</t>
  </si>
  <si>
    <t xml:space="preserve">Companies - B2B section on website</t>
  </si>
  <si>
    <t xml:space="preserve">Ask</t>
  </si>
  <si>
    <t xml:space="preserve">Unknown</t>
  </si>
  <si>
    <t xml:space="preserve">Interzoo &amp; Zoomark exhibitor; long-established</t>
  </si>
  <si>
    <t xml:space="preserve">Trade show listings</t>
  </si>
  <si>
    <t xml:space="preserve">Source link</t>
  </si>
  <si>
    <t xml:space="preserve">Search LinkedIn</t>
  </si>
  <si>
    <t xml:space="preserve">Round 2</t>
  </si>
  <si>
    <t xml:space="preserve">Not contacted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</si>
  <si>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</si>
  <si>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</si>
  <si>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</si>
  <si>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</si>
  <si>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</si>
  <si>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</si>
  <si>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</si>
  <si>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</si>
  <si>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</si>
  <si>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</si>
  <si>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</si>
  <si>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</si>
  <si>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</si>
  <si>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</si>
  <si>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</si>
  <si>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</si>
  <si>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</si>
  <si>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</si>
  <si>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</si>
  <si>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</si>
  <si>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</si>
  <si>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</si>
  <si>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</si>
  <si>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</si>
  <si>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</si>
  <si>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</si>
  <si>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</si>
  <si>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</si>
  <si>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</si>
  <si>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</si>
  <si>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</si>
  <si>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</si>
  <si>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</si>
  <si>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</si>
  <si>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</si>
  <si>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Brand owner / distributor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</si>
  <si>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</si>
  <si>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</si>
  <si>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</si>
  <si>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</si>
  <si>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</si>
  <si>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</si>
  <si>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</si>
  <si>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Company website (via search)</t>
  </si>
  <si>
    <t xml:space="preserve">Laroy Group (Duvo+)</t>
  </si>
  <si>
    <t xml:space="preserve">Not confirmed - search company name</t>
  </si>
  <si>
    <t xml:space="preserve">Wondelgem (Ghent)</t>
  </si>
  <si>
    <t xml:space="preserve">Industrieweg 98-100, 9032 Wondelgem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</si>
  <si>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</si>
  <si>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</si>
  <si>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</si>
  <si>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</si>
  <si>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</si>
  <si>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</si>
  <si>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</si>
  <si>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</si>
  <si>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</si>
  <si>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</si>
  <si>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</si>
  <si>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</si>
  <si>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</si>
  <si>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</si>
  <si>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</si>
  <si>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</si>
  <si>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</si>
  <si>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</si>
  <si>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</si>
  <si>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</si>
  <si>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</si>
  <si>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</si>
  <si>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</si>
  <si>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</si>
  <si>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</si>
  <si>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</si>
  <si>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</si>
  <si>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</si>
  <si>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Czech Republic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</si>
  <si>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</si>
  <si>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</si>
  <si>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</si>
  <si>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</si>
  <si>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</si>
  <si>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</si>
  <si>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</si>
  <si>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</si>
  <si>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</si>
  <si>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</si>
  <si>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</si>
  <si>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</si>
  <si>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</si>
  <si>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</si>
  <si>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</si>
  <si>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</si>
  <si>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</si>
  <si>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</si>
  <si>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</si>
  <si>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</si>
  <si>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</si>
  <si>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</si>
  <si>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</si>
  <si>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</si>
  <si>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</si>
  <si>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</si>
  <si>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</si>
  <si>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</si>
  <si>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</si>
  <si>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</si>
  <si>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</si>
  <si>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</si>
  <si>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</si>
  <si>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</si>
  <si>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</si>
  <si>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</si>
  <si>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</si>
  <si>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Toys &amp; Games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</si>
  <si>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</si>
  <si>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</si>
  <si>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</si>
  <si>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</si>
  <si>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</si>
  <si>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</si>
  <si>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</si>
  <si>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</si>
  <si>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</si>
  <si>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</si>
  <si>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</si>
  <si>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Stationery &amp; Office</t>
  </si>
  <si>
    <t xml:space="preserve">Creativ Company A/S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</si>
  <si>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</si>
  <si>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</si>
  <si>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</si>
  <si>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</si>
  <si>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</si>
  <si>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</si>
  <si>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</si>
  <si>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France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</si>
  <si>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</si>
  <si>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</si>
  <si>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</si>
  <si>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</si>
  <si>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</si>
  <si>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</si>
  <si>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</si>
  <si>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</si>
  <si>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</si>
  <si>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</si>
  <si>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</si>
  <si>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</si>
  <si>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</si>
  <si>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</si>
  <si>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</si>
  <si>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</si>
  <si>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</si>
  <si>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</si>
  <si>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Account based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</si>
  <si>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</si>
  <si>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</si>
  <si>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</si>
  <si>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</si>
  <si>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</si>
  <si>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</si>
  <si>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</si>
  <si>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</si>
  <si>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</si>
  <si>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</si>
  <si>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</si>
  <si>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</si>
  <si>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</si>
  <si>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</si>
  <si>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</si>
  <si>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</si>
  <si>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</si>
  <si>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</si>
  <si>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</si>
  <si>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</si>
  <si>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</si>
  <si>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</si>
  <si>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</si>
  <si>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</si>
  <si>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</si>
  <si>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</si>
  <si>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</si>
  <si>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</si>
  <si>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</si>
  <si>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</si>
  <si>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</si>
  <si>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</si>
  <si>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</si>
  <si>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</si>
  <si>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</si>
  <si>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</si>
  <si>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</si>
  <si>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</si>
  <si>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</si>
  <si>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</si>
  <si>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</si>
  <si>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</si>
  <si>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</si>
  <si>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</si>
  <si>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</si>
  <si>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</si>
  <si>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</si>
  <si>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</si>
  <si>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</si>
  <si>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</si>
  <si>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</si>
  <si>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</si>
  <si>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</si>
  <si>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</si>
  <si>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</si>
  <si>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</si>
  <si>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</si>
  <si>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Germany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</si>
  <si>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</si>
  <si>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</si>
  <si>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</si>
  <si>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UK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</si>
  <si>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</si>
  <si>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</si>
  <si>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</si>
  <si>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</si>
  <si>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</si>
  <si>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</si>
  <si>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</si>
  <si>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</si>
  <si>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</si>
  <si>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</si>
  <si>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</si>
  <si>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</si>
  <si>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</si>
  <si>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</si>
  <si>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</si>
  <si>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</si>
  <si>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</si>
  <si>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</si>
  <si>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</si>
  <si>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</si>
  <si>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</si>
  <si>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</si>
  <si>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</si>
  <si>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</si>
  <si>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</si>
  <si>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DIY &amp; Tools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</si>
  <si>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</si>
  <si>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</si>
  <si>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</si>
  <si>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</si>
  <si>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</si>
  <si>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</si>
  <si>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</si>
  <si>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</si>
  <si>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</si>
  <si>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</si>
  <si>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</si>
  <si>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</si>
  <si>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</si>
  <si>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</si>
  <si>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Health &amp; Personal Care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</si>
  <si>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</si>
  <si>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</si>
  <si>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</si>
  <si>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</si>
  <si>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</si>
  <si>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</si>
  <si>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</si>
  <si>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</si>
  <si>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</si>
  <si>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</si>
  <si>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</si>
  <si>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</si>
  <si>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</si>
  <si>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</si>
  <si>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</si>
  <si>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</si>
  <si>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</si>
  <si>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</si>
  <si>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Brand owner / manufacturer</t>
  </si>
  <si>
    <t xml:space="preserve">Westmark, Monopol, Saleen - 2,500+ kitchen utensils</t>
  </si>
  <si>
    <t xml:space="preserve">Kitchen utensils</t>
  </si>
  <si>
    <t xml:space="preserve">Retailers &amp; distributors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</si>
  <si>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</si>
  <si>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</si>
  <si>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</si>
  <si>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</si>
  <si>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</si>
  <si>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</si>
  <si>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</si>
  <si>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</si>
  <si>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</si>
  <si>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</si>
  <si>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</si>
  <si>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</si>
  <si>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</si>
  <si>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</si>
  <si>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</si>
  <si>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</si>
  <si>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</si>
  <si>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</si>
  <si>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</si>
  <si>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</si>
  <si>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</si>
  <si>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</si>
  <si>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</si>
  <si>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</si>
  <si>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</si>
  <si>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</si>
  <si>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</si>
  <si>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</si>
  <si>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</si>
  <si>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</si>
  <si>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</si>
  <si>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</si>
  <si>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</si>
  <si>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</si>
  <si>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</si>
  <si>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</si>
  <si>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</si>
  <si>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</si>
  <si>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</si>
  <si>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</si>
  <si>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Sports &amp; Outdoors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</si>
  <si>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</si>
  <si>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</si>
  <si>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</si>
  <si>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</si>
  <si>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</si>
  <si>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</si>
  <si>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</si>
  <si>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</si>
  <si>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</si>
  <si>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</si>
  <si>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</si>
  <si>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</si>
  <si>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</si>
  <si>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</si>
  <si>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</si>
  <si>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</si>
  <si>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</si>
  <si>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</si>
  <si>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</si>
  <si>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</si>
  <si>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</si>
  <si>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</si>
  <si>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</si>
  <si>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</si>
  <si>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</si>
  <si>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</si>
  <si>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</si>
  <si>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</si>
  <si>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Brand owner / wholesaler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</si>
  <si>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</si>
  <si>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</si>
  <si>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</si>
  <si>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</si>
  <si>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</si>
  <si>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</si>
  <si>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</si>
  <si>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</si>
  <si>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Nuremberg</t>
  </si>
  <si>
    <t xml:space="preserve">Toy wholesaler (arm of VEDES retail cooperative)</t>
  </si>
  <si>
    <t xml:space="preserve">Full branded toy range incl. exclusive Playmobil assortment (2026)</t>
  </si>
  <si>
    <t xml:space="preserve">Branded toys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</si>
  <si>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</si>
  <si>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</si>
  <si>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</si>
  <si>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</si>
  <si>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</si>
  <si>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</si>
  <si>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</si>
  <si>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</si>
  <si>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</si>
  <si>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</si>
  <si>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</si>
  <si>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</si>
  <si>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</si>
  <si>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Also on Qogita (low MOV)</t>
  </si>
  <si>
    <t xml:space="preserve">Company B2B site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</si>
  <si>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</si>
  <si>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</si>
  <si>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</si>
  <si>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</si>
  <si>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</si>
  <si>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</si>
  <si>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</si>
  <si>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</si>
  <si>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</si>
  <si>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</si>
  <si>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</si>
  <si>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</si>
  <si>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</si>
  <si>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</si>
  <si>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</si>
  <si>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</si>
  <si>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</si>
  <si>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</si>
  <si>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</si>
  <si>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</si>
  <si>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</si>
  <si>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</si>
  <si>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</si>
  <si>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</si>
  <si>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</si>
  <si>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</si>
  <si>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</si>
  <si>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</si>
  <si>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</si>
  <si>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</si>
  <si>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</si>
  <si>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</si>
  <si>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Baby feeding &amp; soothers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</si>
  <si>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</si>
  <si>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</si>
  <si>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</si>
  <si>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</si>
  <si>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</si>
  <si>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</si>
  <si>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</si>
  <si>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</si>
  <si>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</si>
  <si>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</si>
  <si>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</si>
  <si>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</si>
  <si>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Brand owner</t>
  </si>
  <si>
    <t xml:space="preserve">reer child-safety (locks, gates, corner guards), bottle warmers, baby monitors</t>
  </si>
  <si>
    <t xml:space="preserve">Baby safety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</si>
  <si>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</si>
  <si>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</si>
  <si>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</si>
  <si>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</si>
  <si>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</si>
  <si>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</si>
  <si>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</si>
  <si>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</si>
  <si>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</si>
  <si>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</si>
  <si>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</si>
  <si>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</si>
  <si>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</si>
  <si>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</si>
  <si>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</si>
  <si>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</si>
  <si>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</si>
  <si>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</si>
  <si>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</si>
  <si>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</si>
  <si>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</si>
  <si>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</si>
  <si>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</si>
  <si>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</si>
  <si>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</si>
  <si>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</si>
  <si>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</si>
  <si>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</si>
  <si>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</si>
  <si>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</si>
  <si>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</si>
  <si>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</si>
  <si>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</si>
  <si>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Business press + directory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</si>
  <si>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</si>
  <si>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</si>
  <si>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</si>
  <si>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</si>
  <si>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</si>
  <si>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</si>
  <si>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</si>
  <si>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</si>
  <si>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</si>
  <si>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</si>
  <si>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</si>
  <si>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</si>
  <si>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</si>
  <si>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</si>
  <si>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</si>
  <si>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</si>
  <si>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</si>
  <si>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</si>
  <si>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</si>
  <si>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</si>
  <si>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</si>
  <si>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</si>
  <si>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</si>
  <si>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</si>
  <si>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</si>
  <si>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</si>
  <si>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</si>
  <si>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</si>
  <si>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</si>
  <si>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</si>
  <si>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</si>
  <si>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</si>
  <si>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</si>
  <si>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</si>
  <si>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</si>
  <si>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</si>
  <si>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</si>
  <si>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</si>
  <si>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</si>
  <si>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</si>
  <si>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</si>
  <si>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</si>
  <si>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</si>
  <si>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</si>
  <si>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</si>
  <si>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</si>
  <si>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</si>
  <si>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</si>
  <si>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</si>
  <si>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</si>
  <si>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</si>
  <si>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</si>
  <si>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</si>
  <si>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</si>
  <si>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</si>
  <si>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</si>
  <si>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</si>
  <si>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</si>
  <si>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</si>
  <si>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</si>
  <si>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</si>
  <si>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</si>
  <si>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</si>
  <si>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</si>
  <si>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</si>
  <si>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</si>
  <si>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</si>
  <si>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</si>
  <si>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</si>
  <si>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Global Beauty Brands</t>
  </si>
  <si>
    <t xml:space="preserve">Hannover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</si>
  <si>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</si>
  <si>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</si>
  <si>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</si>
  <si>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</si>
  <si>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</si>
  <si>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</si>
  <si>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</si>
  <si>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</si>
  <si>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</si>
  <si>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</si>
  <si>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</si>
  <si>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</si>
  <si>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</si>
  <si>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</si>
  <si>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</si>
  <si>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</si>
  <si>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</si>
  <si>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</si>
  <si>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</si>
  <si>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</si>
  <si>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</si>
  <si>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</si>
  <si>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</si>
  <si>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</si>
  <si>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</si>
  <si>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</si>
  <si>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</si>
  <si>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</si>
  <si>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</si>
  <si>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</si>
  <si>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</si>
  <si>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</si>
  <si>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</si>
  <si>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</si>
  <si>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</si>
  <si>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</si>
  <si>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</si>
  <si>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</si>
  <si>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</si>
  <si>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</si>
  <si>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</si>
  <si>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</si>
  <si>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</si>
  <si>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</si>
  <si>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Italy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</si>
  <si>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</si>
  <si>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</si>
  <si>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</si>
  <si>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</si>
  <si>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</si>
  <si>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</si>
  <si>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</si>
  <si>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Distributors &amp; retailers</t>
  </si>
  <si>
    <t xml:space="preserve">Exports to 43 countries - ask</t>
  </si>
  <si>
    <t xml:space="preserve">Zoomark &amp; Interzoo exhibitor</t>
  </si>
  <si>
    <t xml:space="preserve">Brandsdistribution</t>
  </si>
  <si>
    <t xml:space="preserve">https://www.brandsdistribution.com</t>
  </si>
  <si>
    <t xml:space="preserve">Turin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</si>
  <si>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</si>
  <si>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</si>
  <si>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</si>
  <si>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</si>
  <si>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</si>
  <si>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</si>
  <si>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</si>
  <si>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</si>
  <si>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</si>
  <si>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</si>
  <si>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</si>
  <si>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</si>
  <si>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</si>
  <si>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</si>
  <si>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</si>
  <si>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</si>
  <si>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</si>
  <si>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</si>
  <si>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</si>
  <si>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</si>
  <si>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</si>
  <si>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</si>
  <si>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</si>
  <si>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</si>
  <si>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</si>
  <si>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</si>
  <si>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</si>
  <si>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</si>
  <si>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</si>
  <si>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</si>
  <si>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</si>
  <si>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</si>
  <si>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</si>
  <si>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</si>
  <si>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Contact direct - not via Faire (Faire bans Amazon sellers)</t>
  </si>
  <si>
    <t xml:space="preserve">Marketplace profile</t>
  </si>
  <si>
    <t xml:space="preserve">Lithuania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</si>
  <si>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</si>
  <si>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</si>
  <si>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</si>
  <si>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</si>
  <si>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</si>
  <si>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</si>
  <si>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</si>
  <si>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</si>
  <si>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</si>
  <si>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</si>
  <si>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</si>
  <si>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</si>
  <si>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</si>
  <si>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</si>
  <si>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</si>
  <si>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</si>
  <si>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</si>
  <si>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</si>
  <si>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</si>
  <si>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Actively recruiting distributors.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</si>
  <si>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</si>
  <si>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</si>
  <si>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</si>
  <si>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</si>
  <si>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</si>
  <si>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</si>
  <si>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</si>
  <si>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</si>
  <si>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</si>
  <si>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</si>
  <si>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</si>
  <si>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</si>
  <si>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</si>
  <si>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</si>
  <si>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</si>
  <si>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</si>
  <si>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</si>
  <si>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</si>
  <si>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</si>
  <si>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</si>
  <si>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</si>
  <si>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</si>
  <si>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</si>
  <si>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</si>
  <si>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</si>
  <si>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</si>
  <si>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</si>
  <si>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</si>
  <si>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</si>
  <si>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</si>
  <si>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</si>
  <si>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</si>
  <si>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</si>
  <si>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</si>
  <si>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</si>
  <si>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</si>
  <si>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</si>
  <si>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</si>
  <si>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</si>
  <si>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</si>
  <si>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</si>
  <si>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</si>
  <si>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</si>
  <si>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</si>
  <si>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</si>
  <si>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</si>
  <si>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</si>
  <si>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</si>
  <si>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</si>
  <si>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</si>
  <si>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</si>
  <si>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</si>
  <si>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</si>
  <si>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</si>
  <si>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</si>
  <si>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</si>
  <si>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</si>
  <si>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</si>
  <si>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</si>
  <si>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</si>
  <si>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Board games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</si>
  <si>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</si>
  <si>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</si>
  <si>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</si>
  <si>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</si>
  <si>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</si>
  <si>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</si>
  <si>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</si>
  <si>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</si>
  <si>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</si>
  <si>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</si>
  <si>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</si>
  <si>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</si>
  <si>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</si>
  <si>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</si>
  <si>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</si>
  <si>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</si>
  <si>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</si>
  <si>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</si>
  <si>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</si>
  <si>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</si>
  <si>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</si>
  <si>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</si>
  <si>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</si>
  <si>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</si>
  <si>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</si>
  <si>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</si>
  <si>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</si>
  <si>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</si>
  <si>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</si>
  <si>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</si>
  <si>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</si>
  <si>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</si>
  <si>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</si>
  <si>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</si>
  <si>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</si>
  <si>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</si>
  <si>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</si>
  <si>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</si>
  <si>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</si>
  <si>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</si>
  <si>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</si>
  <si>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</si>
  <si>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</si>
  <si>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</si>
  <si>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</si>
  <si>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</si>
  <si>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</si>
  <si>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</si>
  <si>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</si>
  <si>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</si>
  <si>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</si>
  <si>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</si>
  <si>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</si>
  <si>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</si>
  <si>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</si>
  <si>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</si>
  <si>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</si>
  <si>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</si>
  <si>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</si>
  <si>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</si>
  <si>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</si>
  <si>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</si>
  <si>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</si>
  <si>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</si>
  <si>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</si>
  <si>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</si>
  <si>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</si>
  <si>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</si>
  <si>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</si>
  <si>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</si>
  <si>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</si>
  <si>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</si>
  <si>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</si>
  <si>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</si>
  <si>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</si>
  <si>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</si>
  <si>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Home fitness equipment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</si>
  <si>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</si>
  <si>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</si>
  <si>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</si>
  <si>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</si>
  <si>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</si>
  <si>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</si>
  <si>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</si>
  <si>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</si>
  <si>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</si>
  <si>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</si>
  <si>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</si>
  <si>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</si>
  <si>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</si>
  <si>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</si>
  <si>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</si>
  <si>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</si>
  <si>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</si>
  <si>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</si>
  <si>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</si>
  <si>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</si>
  <si>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</si>
  <si>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</si>
  <si>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</si>
  <si>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</si>
  <si>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</si>
  <si>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</si>
  <si>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</si>
  <si>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</si>
  <si>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</si>
  <si>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</si>
  <si>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</si>
  <si>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</si>
  <si>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</si>
  <si>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</si>
  <si>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</si>
  <si>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Directory + trade press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</si>
  <si>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</si>
  <si>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</si>
  <si>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</si>
  <si>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</si>
  <si>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</si>
  <si>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</si>
  <si>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</si>
  <si>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</si>
  <si>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</si>
  <si>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</si>
  <si>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</si>
  <si>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</si>
  <si>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</si>
  <si>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</si>
  <si>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</si>
  <si>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</si>
  <si>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</si>
  <si>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</si>
  <si>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</si>
  <si>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B&amp;S Group (B&amp;S Beauty)</t>
  </si>
  <si>
    <t xml:space="preserve">Dordrecht (NL)</t>
  </si>
  <si>
    <t xml:space="preserve">Luxembourg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</si>
  <si>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</si>
  <si>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</si>
  <si>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</si>
  <si>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</si>
  <si>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</si>
  <si>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</si>
  <si>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</si>
  <si>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</si>
  <si>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</si>
  <si>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</si>
  <si>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</si>
  <si>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</si>
  <si>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</si>
  <si>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</si>
  <si>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</si>
  <si>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</si>
  <si>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</si>
  <si>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</si>
  <si>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</si>
  <si>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</si>
  <si>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</si>
  <si>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</si>
  <si>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</si>
  <si>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</si>
  <si>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</si>
  <si>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</si>
  <si>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</si>
  <si>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</si>
  <si>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</si>
  <si>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</si>
  <si>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</si>
  <si>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</si>
  <si>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</si>
  <si>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</si>
  <si>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</si>
  <si>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</si>
  <si>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</si>
  <si>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</si>
  <si>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</si>
  <si>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</si>
  <si>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</si>
  <si>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</si>
  <si>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</si>
  <si>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</si>
  <si>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</si>
  <si>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</si>
  <si>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</si>
  <si>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</si>
  <si>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</si>
  <si>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</si>
  <si>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</si>
  <si>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</si>
  <si>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</si>
  <si>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</si>
  <si>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</si>
  <si>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</si>
  <si>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</si>
  <si>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</si>
  <si>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</si>
  <si>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</si>
  <si>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</si>
  <si>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</si>
  <si>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</si>
  <si>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</si>
  <si>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</si>
  <si>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</si>
  <si>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</si>
  <si>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</si>
  <si>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</si>
  <si>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</si>
  <si>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</si>
  <si>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</si>
  <si>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</si>
  <si>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</si>
  <si>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</si>
  <si>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</si>
  <si>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</si>
  <si>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</si>
  <si>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</si>
  <si>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</si>
  <si>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</si>
  <si>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</si>
  <si>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</si>
  <si>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</si>
  <si>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</si>
  <si>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</si>
  <si>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</si>
  <si>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</si>
  <si>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</si>
  <si>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</si>
  <si>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</si>
  <si>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</si>
  <si>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</si>
  <si>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</si>
  <si>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</si>
  <si>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</si>
  <si>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</si>
  <si>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</si>
  <si>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</si>
  <si>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</si>
  <si>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</si>
  <si>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</si>
  <si>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</si>
  <si>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</si>
  <si>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Poland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</si>
  <si>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</si>
  <si>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</si>
  <si>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</si>
  <si>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</si>
  <si>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</si>
  <si>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</si>
  <si>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</si>
  <si>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</si>
  <si>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</si>
  <si>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</si>
  <si>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</si>
  <si>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</si>
  <si>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</si>
  <si>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</si>
  <si>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</si>
  <si>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</si>
  <si>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</si>
  <si>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</si>
  <si>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</si>
  <si>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</si>
  <si>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</si>
  <si>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</si>
  <si>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</si>
  <si>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</si>
  <si>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</si>
  <si>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</si>
  <si>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</si>
  <si>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</si>
  <si>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</si>
  <si>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Hand &amp; power tools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</si>
  <si>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</si>
  <si>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</si>
  <si>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</si>
  <si>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</si>
  <si>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Olivit Sp. z o.o.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</si>
  <si>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</si>
  <si>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</si>
  <si>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</si>
  <si>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</si>
  <si>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</si>
  <si>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</si>
  <si>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</si>
  <si>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</si>
  <si>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BabyOno</t>
  </si>
  <si>
    <t xml:space="preserve">Poznań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</si>
  <si>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</si>
  <si>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</si>
  <si>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</si>
  <si>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</si>
  <si>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</si>
  <si>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</si>
  <si>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</si>
  <si>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</si>
  <si>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</si>
  <si>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</si>
  <si>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</si>
  <si>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</si>
  <si>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</si>
  <si>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</si>
  <si>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</si>
  <si>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</si>
  <si>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</si>
  <si>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</si>
  <si>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</si>
  <si>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</si>
  <si>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</si>
  <si>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</si>
  <si>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</si>
  <si>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</si>
  <si>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</si>
  <si>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</si>
  <si>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</si>
  <si>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</si>
  <si>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</si>
  <si>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</si>
  <si>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</si>
  <si>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</si>
  <si>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</si>
  <si>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</si>
  <si>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</si>
  <si>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</si>
  <si>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</si>
  <si>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</si>
  <si>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</si>
  <si>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</si>
  <si>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Professional hand tools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</si>
  <si>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</si>
  <si>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</si>
  <si>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</si>
  <si>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</si>
  <si>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MisterM Plus Sp. z o.o. Sp.k.</t>
  </si>
  <si>
    <t xml:space="preserve">Kraków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</si>
  <si>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</si>
  <si>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</si>
  <si>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</si>
  <si>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</si>
  <si>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</si>
  <si>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</si>
  <si>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</si>
  <si>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</si>
  <si>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</si>
  <si>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</si>
  <si>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</si>
  <si>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</si>
  <si>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</si>
  <si>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</si>
  <si>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</si>
  <si>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</si>
  <si>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</si>
  <si>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</si>
  <si>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</si>
  <si>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</si>
  <si>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</si>
  <si>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</si>
  <si>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</si>
  <si>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</si>
  <si>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</si>
  <si>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</si>
  <si>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</si>
  <si>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</si>
  <si>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</si>
  <si>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</si>
  <si>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</si>
  <si>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</si>
  <si>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</si>
  <si>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</si>
  <si>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</si>
  <si>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</si>
  <si>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</si>
  <si>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</si>
  <si>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</si>
  <si>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</si>
  <si>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</si>
  <si>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</si>
  <si>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</si>
  <si>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</si>
  <si>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</si>
  <si>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</si>
  <si>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</si>
  <si>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</si>
  <si>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</si>
  <si>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</si>
  <si>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</si>
  <si>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</si>
  <si>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</si>
  <si>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School &amp; office supplies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</si>
  <si>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</si>
  <si>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</si>
  <si>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</si>
  <si>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</si>
  <si>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</si>
  <si>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</si>
  <si>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</si>
  <si>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</si>
  <si>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</si>
  <si>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</si>
  <si>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</si>
  <si>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</si>
  <si>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</si>
  <si>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</si>
  <si>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</si>
  <si>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</si>
  <si>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</si>
  <si>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</si>
  <si>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</si>
  <si>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</si>
  <si>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</si>
  <si>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</si>
  <si>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</si>
  <si>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</si>
  <si>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</si>
  <si>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</si>
  <si>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</si>
  <si>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</si>
  <si>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</si>
  <si>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</si>
  <si>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</si>
  <si>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</si>
  <si>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</si>
  <si>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</si>
  <si>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</si>
  <si>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</si>
  <si>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</si>
  <si>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</si>
  <si>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</si>
  <si>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</si>
  <si>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</si>
  <si>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</si>
  <si>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</si>
  <si>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</si>
  <si>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</si>
  <si>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Pet food</t>
  </si>
  <si>
    <t xml:space="preserve">Shops, breeders, dropship</t>
  </si>
  <si>
    <t xml:space="preserve">4.9/5 from 126 Google reviews</t>
  </si>
  <si>
    <t xml:space="preserve">Google Business profile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</si>
  <si>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</si>
  <si>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</si>
  <si>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</si>
  <si>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</si>
  <si>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</si>
  <si>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</si>
  <si>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</si>
  <si>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</si>
  <si>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</si>
  <si>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</si>
  <si>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Extrabiuro.pl</t>
  </si>
  <si>
    <t xml:space="preserve">https://extrabiuro.pl</t>
  </si>
  <si>
    <t xml:space="preserve">Łódź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</si>
  <si>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</si>
  <si>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</si>
  <si>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</si>
  <si>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</si>
  <si>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Office &amp; school supplies</t>
  </si>
  <si>
    <t xml:space="preserve">30+ years trading; listed on Polish trade portal</t>
  </si>
  <si>
    <t xml:space="preserve">Directory + trade.gov.pl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</si>
  <si>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</si>
  <si>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</si>
  <si>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</si>
  <si>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</si>
  <si>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</si>
  <si>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</si>
  <si>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</si>
  <si>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</si>
  <si>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</si>
  <si>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</si>
  <si>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</si>
  <si>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</si>
  <si>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</si>
  <si>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</si>
  <si>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</si>
  <si>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</si>
  <si>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</si>
  <si>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</si>
  <si>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</si>
  <si>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</si>
  <si>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</si>
  <si>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</si>
  <si>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</si>
  <si>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</si>
  <si>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</si>
  <si>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</si>
  <si>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</si>
  <si>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</si>
  <si>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</si>
  <si>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</si>
  <si>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</si>
  <si>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</si>
  <si>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</si>
  <si>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</si>
  <si>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</si>
  <si>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</si>
  <si>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</si>
  <si>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</si>
  <si>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</si>
  <si>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</si>
  <si>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</si>
  <si>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</si>
  <si>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</si>
  <si>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</si>
  <si>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</si>
  <si>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</si>
  <si>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</si>
  <si>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</si>
  <si>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</si>
  <si>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</si>
  <si>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</si>
  <si>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</si>
  <si>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</si>
  <si>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</si>
  <si>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</si>
  <si>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</si>
  <si>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</si>
  <si>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</si>
  <si>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</si>
  <si>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</si>
  <si>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</si>
  <si>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</si>
  <si>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</si>
  <si>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</si>
  <si>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</si>
  <si>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</si>
  <si>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</si>
  <si>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</si>
  <si>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</si>
  <si>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</si>
  <si>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</si>
  <si>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</si>
  <si>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</si>
  <si>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</si>
  <si>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</si>
  <si>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</si>
  <si>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</si>
  <si>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</si>
  <si>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</si>
  <si>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</si>
  <si>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</si>
  <si>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</si>
  <si>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</si>
  <si>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</si>
  <si>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</si>
  <si>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</si>
  <si>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</si>
  <si>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</si>
  <si>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</si>
  <si>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</si>
  <si>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</si>
  <si>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</si>
  <si>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Interzoo &amp; Zoomark exhibitor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</si>
  <si>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</si>
  <si>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</si>
  <si>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</si>
  <si>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</si>
  <si>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</si>
  <si>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</si>
  <si>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</si>
  <si>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</si>
  <si>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</si>
  <si>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</si>
  <si>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</si>
  <si>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</si>
  <si>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</si>
  <si>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</si>
  <si>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</si>
  <si>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</si>
  <si>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</si>
  <si>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</si>
  <si>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</si>
  <si>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</si>
  <si>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</si>
  <si>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</si>
  <si>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</si>
  <si>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</si>
  <si>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</si>
  <si>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</si>
  <si>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</si>
  <si>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</si>
  <si>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</si>
  <si>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</si>
  <si>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</si>
  <si>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</si>
  <si>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</si>
  <si>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</si>
  <si>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</si>
  <si>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</si>
  <si>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</si>
  <si>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</si>
  <si>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</si>
  <si>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</si>
  <si>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</si>
  <si>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</si>
  <si>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</si>
  <si>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Switzerland</t>
  </si>
  <si>
    <t xml:space="preserve">Carletto AG (Carletto Deutschland)</t>
  </si>
  <si>
    <t xml:space="preserve">Brunnen (CH); Nuremberg office for Germany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</si>
  <si>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</si>
  <si>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</si>
  <si>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</si>
  <si>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</si>
  <si>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</si>
  <si>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</si>
  <si>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</si>
  <si>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</si>
  <si>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</si>
  <si>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</si>
  <si>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</si>
  <si>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</si>
  <si>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</si>
  <si>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</si>
  <si>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</si>
  <si>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</si>
  <si>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</si>
  <si>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</si>
  <si>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</si>
  <si>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</si>
  <si>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</si>
  <si>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</si>
  <si>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</si>
  <si>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</si>
  <si>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</si>
  <si>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</si>
  <si>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</si>
  <si>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</si>
  <si>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</si>
  <si>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</si>
  <si>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</si>
  <si>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</si>
  <si>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</si>
  <si>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</si>
  <si>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</si>
  <si>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</si>
  <si>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</si>
  <si>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</si>
  <si>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</si>
  <si>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</si>
  <si>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</si>
  <si>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</si>
  <si>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</si>
  <si>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</si>
  <si>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</si>
  <si>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</si>
  <si>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</si>
  <si>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</si>
  <si>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</si>
  <si>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</si>
  <si>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</si>
  <si>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</si>
  <si>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</si>
  <si>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</si>
  <si>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</si>
  <si>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</si>
  <si>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</si>
  <si>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</si>
  <si>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</si>
  <si>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</si>
  <si>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</si>
  <si>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</si>
  <si>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</si>
  <si>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</si>
  <si>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</si>
  <si>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</si>
  <si>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</si>
  <si>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</si>
  <si>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</si>
  <si>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</si>
  <si>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</si>
  <si>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</si>
  <si>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</si>
  <si>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</si>
  <si>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</si>
  <si>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</si>
  <si>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</si>
  <si>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</si>
  <si>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</si>
  <si>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</si>
  <si>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</si>
  <si>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</si>
  <si>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</si>
  <si>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</si>
  <si>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</si>
  <si>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</si>
  <si>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</si>
  <si>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</si>
  <si>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</si>
  <si>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</si>
  <si>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</si>
  <si>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</si>
  <si>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</si>
  <si>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</si>
  <si>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</si>
  <si>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</si>
  <si>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</si>
  <si>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</si>
  <si>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</si>
  <si>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</si>
  <si>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</si>
  <si>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</si>
  <si>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</si>
  <si>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</si>
  <si>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</si>
  <si>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</si>
  <si>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</si>
  <si>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</si>
  <si>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Trade account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</si>
  <si>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</si>
  <si>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</si>
  <si>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</si>
  <si>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</si>
  <si>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</si>
  <si>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</si>
  <si>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</si>
  <si>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</si>
  <si>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</si>
  <si>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</si>
  <si>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</si>
  <si>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</si>
  <si>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</si>
  <si>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</si>
  <si>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</si>
  <si>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</si>
  <si>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</si>
  <si>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</si>
  <si>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</si>
  <si>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</si>
  <si>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</si>
  <si>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</si>
  <si>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</si>
  <si>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</si>
  <si>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</si>
  <si>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</si>
  <si>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</si>
  <si>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</si>
  <si>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</si>
  <si>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</si>
  <si>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</si>
  <si>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</si>
  <si>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</si>
  <si>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</si>
  <si>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</si>
  <si>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</si>
  <si>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</si>
  <si>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</si>
  <si>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</si>
  <si>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</si>
  <si>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</si>
  <si>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</si>
  <si>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</si>
  <si>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</si>
  <si>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</si>
  <si>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</si>
  <si>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</si>
  <si>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</si>
  <si>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</si>
  <si>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</si>
  <si>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</si>
  <si>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</si>
  <si>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</si>
  <si>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</si>
  <si>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</si>
  <si>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</si>
  <si>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</si>
  <si>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</si>
  <si>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</si>
  <si>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</si>
  <si>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</si>
  <si>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</si>
  <si>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</si>
  <si>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</si>
  <si>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</si>
  <si>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</si>
  <si>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</si>
  <si>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</si>
  <si>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</si>
  <si>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</si>
  <si>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</si>
  <si>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</si>
  <si>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</si>
  <si>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</si>
  <si>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</si>
  <si>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</si>
  <si>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</si>
  <si>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</si>
  <si>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</si>
  <si>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</si>
  <si>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</si>
  <si>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</si>
  <si>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</si>
  <si>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</si>
  <si>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</si>
  <si>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</si>
  <si>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</si>
  <si>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</si>
  <si>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</si>
  <si>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</si>
  <si>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</si>
  <si>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</si>
  <si>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</si>
  <si>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</si>
  <si>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</si>
  <si>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</si>
  <si>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</si>
  <si>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</si>
  <si>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</si>
  <si>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</si>
  <si>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</si>
  <si>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</si>
  <si>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</si>
  <si>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</si>
  <si>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</si>
  <si>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</si>
  <si>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</si>
  <si>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</si>
  <si>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</si>
  <si>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</si>
  <si>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</si>
  <si>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</si>
  <si>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</si>
  <si>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</si>
  <si>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</si>
  <si>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</si>
  <si>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</si>
  <si>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</si>
  <si>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</si>
  <si>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</si>
  <si>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</si>
  <si>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</si>
  <si>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</si>
  <si>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</si>
  <si>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Galaxy Wholesalers Ltd</t>
  </si>
  <si>
    <t xml:space="preserve">https://supplier-directory.betterretailing.com/suppliers/galaxy-wholesalers/</t>
  </si>
  <si>
    <t xml:space="preserve">London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</si>
  <si>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</si>
  <si>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</si>
  <si>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</si>
  <si>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</si>
  <si>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</si>
  <si>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</si>
  <si>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</si>
  <si>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</si>
  <si>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</si>
  <si>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</si>
  <si>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</si>
  <si>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</si>
  <si>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</si>
  <si>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</si>
  <si>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</si>
  <si>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</si>
  <si>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</si>
  <si>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</si>
  <si>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</si>
  <si>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</si>
  <si>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</si>
  <si>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</si>
  <si>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</si>
  <si>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</si>
  <si>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</si>
  <si>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</si>
  <si>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</si>
  <si>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</si>
  <si>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</si>
  <si>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</si>
  <si>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</si>
  <si>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</si>
  <si>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</si>
  <si>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</si>
  <si>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</si>
  <si>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</si>
  <si>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</si>
  <si>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</si>
  <si>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</si>
  <si>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</si>
  <si>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</si>
  <si>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</si>
  <si>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</si>
  <si>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</si>
  <si>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</si>
  <si>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</si>
  <si>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</si>
  <si>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</si>
  <si>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</si>
  <si>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</si>
  <si>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</si>
  <si>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</si>
  <si>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</si>
  <si>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</si>
  <si>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</si>
  <si>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</si>
  <si>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</si>
  <si>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</si>
  <si>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</si>
  <si>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</si>
  <si>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</si>
  <si>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</si>
  <si>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</si>
  <si>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</si>
  <si>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</si>
  <si>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</si>
  <si>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</si>
  <si>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</si>
  <si>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</si>
  <si>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</si>
  <si>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</si>
  <si>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</si>
  <si>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</si>
  <si>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</si>
  <si>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</si>
  <si>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</si>
  <si>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</si>
  <si>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</si>
  <si>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</si>
  <si>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</si>
  <si>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</si>
  <si>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</si>
  <si>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</si>
  <si>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</si>
  <si>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</si>
  <si>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</si>
  <si>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</si>
  <si>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</si>
  <si>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</si>
  <si>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</si>
  <si>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</si>
  <si>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</si>
  <si>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</si>
  <si>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</si>
  <si>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</si>
  <si>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</si>
  <si>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</si>
  <si>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</si>
  <si>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</si>
  <si>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</si>
  <si>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</si>
  <si>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</si>
  <si>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</si>
  <si>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</si>
  <si>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</si>
  <si>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</si>
  <si>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</si>
  <si>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</si>
  <si>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</si>
  <si>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</si>
  <si>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</si>
  <si>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</si>
  <si>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</si>
  <si>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</si>
  <si>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</si>
  <si>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</si>
  <si>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</si>
  <si>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</si>
  <si>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</si>
  <si>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</si>
  <si>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</si>
  <si>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</si>
  <si>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</si>
  <si>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</si>
  <si>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</si>
  <si>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</si>
  <si>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</si>
  <si>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</si>
  <si>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</si>
  <si>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</si>
  <si>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</si>
  <si>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</si>
  <si>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</si>
  <si>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</si>
  <si>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</si>
  <si>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</si>
  <si>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</si>
  <si>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</si>
  <si>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</si>
  <si>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</si>
  <si>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</si>
  <si>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</si>
  <si>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</si>
  <si>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</si>
  <si>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</si>
  <si>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</si>
  <si>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</si>
  <si>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</si>
  <si>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</si>
  <si>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</si>
  <si>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</si>
  <si>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</si>
  <si>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</si>
  <si>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</si>
  <si>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</si>
  <si>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</si>
  <si>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</si>
  <si>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</si>
  <si>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</si>
  <si>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</si>
  <si>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</si>
  <si>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</si>
  <si>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</si>
  <si>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</si>
  <si>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</si>
  <si>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</si>
  <si>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</si>
  <si>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</si>
  <si>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</si>
  <si>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</si>
  <si>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</si>
  <si>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</si>
  <si>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</si>
  <si>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</si>
  <si>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</si>
  <si>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</si>
  <si>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</si>
  <si>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</si>
  <si>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</si>
  <si>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</si>
  <si>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</si>
  <si>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</si>
  <si>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</si>
  <si>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Sports nutrition</t>
  </si>
  <si>
    <t xml:space="preserve">Self-described leading European sports supplement wholesaler</t>
  </si>
  <si>
    <t xml:space="preserve">Third-party profile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</si>
  <si>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</si>
  <si>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</si>
  <si>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</si>
  <si>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</si>
  <si>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</si>
  <si>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</si>
  <si>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Small domestic appliances</t>
  </si>
  <si>
    <t xml:space="preserve">Exclusive De'Longhi Group partnership (BHETA news)</t>
  </si>
  <si>
    <t xml:space="preserve">Trade association news</t>
  </si>
  <si>
    <t xml:space="preserve">Burton McCall</t>
  </si>
  <si>
    <t xml:space="preserve">Leicester</t>
  </si>
  <si>
    <t xml:space="preserve">Housewares distributor</t>
  </si>
  <si>
    <t xml:space="preserve">Microplane (UK) + premium kitchenware brands</t>
  </si>
  <si>
    <t xml:space="preserve">Kitchen tools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</si>
  <si>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</si>
  <si>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</si>
  <si>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</si>
  <si>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</si>
  <si>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</si>
  <si>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</si>
  <si>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</si>
  <si>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</si>
  <si>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</si>
  <si>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</si>
  <si>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</si>
  <si>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</si>
  <si>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</si>
  <si>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</si>
  <si>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</si>
  <si>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</si>
  <si>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</si>
  <si>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</si>
  <si>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</si>
  <si>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</si>
  <si>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</si>
  <si>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</si>
  <si>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</si>
  <si>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</si>
  <si>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</si>
  <si>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</si>
  <si>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</si>
  <si>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</si>
  <si>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Kitchenware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</si>
  <si>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</si>
  <si>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</si>
  <si>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</si>
  <si>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</si>
  <si>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PMS International</t>
  </si>
  <si>
    <t xml:space="preserve">K9, Playful Pets, Crufts-branded pet products</t>
  </si>
  <si>
    <t xml:space="preserve">Pet Business World trade directory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</si>
  <si>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</si>
  <si>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</si>
  <si>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</si>
  <si>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</si>
  <si>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</si>
  <si>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</si>
  <si>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</si>
  <si>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</si>
  <si>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</si>
  <si>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</si>
  <si>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</si>
  <si>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</si>
  <si>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</si>
  <si>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</si>
  <si>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</si>
  <si>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</si>
  <si>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</si>
  <si>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</si>
  <si>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</si>
  <si>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</si>
  <si>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</si>
  <si>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</si>
  <si>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</si>
  <si>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</si>
  <si>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</si>
  <si>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</si>
  <si>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</si>
  <si>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</si>
  <si>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</si>
  <si>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</si>
  <si>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</si>
  <si>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</si>
  <si>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</si>
  <si>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</si>
  <si>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</si>
  <si>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</si>
  <si>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</si>
  <si>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</si>
  <si>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</si>
  <si>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</si>
  <si>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</si>
  <si>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</si>
  <si>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</si>
  <si>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</si>
  <si>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</si>
  <si>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</si>
  <si>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</si>
  <si>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</si>
  <si>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</si>
  <si>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</si>
  <si>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</si>
  <si>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</si>
  <si>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</si>
  <si>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</si>
  <si>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</si>
  <si>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</si>
  <si>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</si>
  <si>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</si>
  <si>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</si>
  <si>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</si>
  <si>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</si>
  <si>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</si>
  <si>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</si>
  <si>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</si>
  <si>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</si>
  <si>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</si>
  <si>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</si>
  <si>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</si>
  <si>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</si>
  <si>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</si>
  <si>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</si>
  <si>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</si>
  <si>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</si>
  <si>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</si>
  <si>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</si>
  <si>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</si>
  <si>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</si>
  <si>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</si>
  <si>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</si>
  <si>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</si>
  <si>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</si>
  <si>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</si>
  <si>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</si>
  <si>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</si>
  <si>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</si>
  <si>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</si>
  <si>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</si>
  <si>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</si>
  <si>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</si>
  <si>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</si>
  <si>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</si>
  <si>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</si>
  <si>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</si>
  <si>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</si>
  <si>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</si>
  <si>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</si>
  <si>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</si>
  <si>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</si>
  <si>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</si>
  <si>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</si>
  <si>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</si>
  <si>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</si>
  <si>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</si>
  <si>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</si>
  <si>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</si>
  <si>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</si>
  <si>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</si>
  <si>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</si>
  <si>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</si>
  <si>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</si>
  <si>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</si>
  <si>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</si>
  <si>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</si>
  <si>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</si>
  <si>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</si>
  <si>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</si>
  <si>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</si>
  <si>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</si>
  <si>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</si>
  <si>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</si>
  <si>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</si>
  <si>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</si>
  <si>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</si>
  <si>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</si>
  <si>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</si>
  <si>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</si>
  <si>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</si>
  <si>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</si>
  <si>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</si>
  <si>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</si>
  <si>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</si>
  <si>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</si>
  <si>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</si>
  <si>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</si>
  <si>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GP Supplies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</si>
  <si>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</si>
  <si>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</si>
  <si>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</si>
  <si>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</si>
  <si>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</si>
  <si>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</si>
  <si>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</si>
  <si>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</si>
  <si>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</si>
  <si>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</si>
  <si>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</si>
  <si>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</si>
  <si>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</si>
  <si>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</si>
  <si>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</si>
  <si>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</si>
  <si>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</si>
  <si>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</si>
  <si>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</si>
  <si>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</si>
  <si>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</si>
  <si>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</si>
  <si>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</si>
  <si>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</si>
  <si>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</si>
  <si>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</si>
  <si>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</si>
  <si>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</si>
  <si>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</si>
  <si>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</si>
  <si>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</si>
  <si>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</si>
  <si>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</si>
  <si>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</si>
  <si>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</si>
  <si>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</si>
  <si>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</si>
  <si>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</si>
  <si>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</si>
  <si>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</si>
  <si>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</si>
  <si>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</si>
  <si>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</si>
  <si>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</si>
  <si>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</si>
  <si>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</si>
  <si>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</si>
  <si>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Pan-European / Online</t>
  </si>
  <si>
    <t xml:space="preserve">Symphonya.eu</t>
  </si>
  <si>
    <t xml:space="preserve">https://symphonya.eu</t>
  </si>
  <si>
    <t xml:space="preserve">Pan-EU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</si>
  <si>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</si>
  <si>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</si>
  <si>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</si>
  <si>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</si>
  <si>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</si>
  <si>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</si>
  <si>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</si>
  <si>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</si>
  <si>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</si>
  <si>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B-Stock - Amazon EU Liquidation Auctions</t>
  </si>
  <si>
    <t xml:space="preserve">https://bstock.com/amazoneu/about/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</si>
  <si>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</si>
  <si>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</si>
  <si>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</si>
  <si>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</si>
  <si>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</si>
  <si>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</si>
  <si>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</si>
  <si>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</si>
  <si>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</si>
  <si>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</si>
  <si>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</si>
  <si>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</si>
  <si>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</si>
  <si>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</si>
  <si>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</si>
  <si>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</si>
  <si>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</si>
  <si>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</si>
  <si>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</si>
  <si>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</si>
  <si>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</si>
  <si>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</si>
  <si>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</si>
  <si>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</si>
  <si>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</si>
  <si>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</si>
  <si>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</si>
  <si>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</si>
  <si>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</si>
  <si>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</si>
  <si>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</si>
  <si>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</si>
  <si>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Beauty, Fragrance, Home &amp; Kitchen, Pet Supplies</t>
  </si>
  <si>
    <t xml:space="preserve">Go to &gt;</t>
  </si>
  <si>
    <t xml:space="preserve">Fragrance, Pet Supplies, Toys &amp; Games</t>
  </si>
  <si>
    <t xml:space="preserve">B2B Marketplace, Beauty, Pet Supplies, Stationery &amp; Office, Toys &amp; Games</t>
  </si>
  <si>
    <t xml:space="preserve">B2B Marketplace, Baby Products, Beauty, DIY &amp; Tools, Fragrance, Health &amp; Personal Care, Home &amp; Kitchen, Pet Supplies, Sports &amp; Outdoors, Toys &amp; Games</t>
  </si>
  <si>
    <t xml:space="preserve">B2B Marketplace, Fragrance, Pet Supplies, Toys &amp; Games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</si>
  <si>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</si>
  <si>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B2B Marketplace, Baby Products, Beauty, DIY &amp; Tools, Fragrance, Health &amp; Personal Care, Pet Supplies, Sports &amp; Outdoors, Stationery &amp; Office, Toys &amp; Games</t>
  </si>
  <si>
    <t xml:space="preserve">B2B Marketplace, Baby Products, DIY &amp; Tools, Fragrance, Pet Supplies, Stationery &amp; Office,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</si>
  <si>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</si>
  <si>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</si>
  <si>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</si>
  <si>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Niche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</si>
  <si>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</si>
  <si>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</si>
  <si>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</si>
  <si>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</si>
  <si>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</si>
  <si>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</si>
  <si>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</si>
  <si>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</si>
  <si>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</si>
  <si>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</si>
  <si>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</si>
  <si>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</si>
  <si>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</si>
  <si>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</si>
  <si>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</si>
  <si>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</si>
  <si>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</si>
  <si>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</si>
  <si>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</si>
  <si>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</si>
  <si>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</si>
  <si>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</si>
  <si>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</si>
  <si>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</si>
  <si>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</si>
  <si>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</si>
  <si>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</si>
  <si>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</si>
  <si>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</si>
  <si>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</si>
  <si>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</si>
  <si>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</si>
  <si>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</si>
  <si>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</si>
  <si>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</si>
  <si>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</si>
  <si>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</si>
  <si>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</si>
  <si>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</si>
  <si>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</si>
  <si>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</si>
  <si>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</si>
  <si>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</si>
  <si>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</si>
  <si>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</si>
  <si>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</si>
  <si>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</si>
  <si>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</si>
  <si>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</si>
  <si>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</si>
  <si>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</si>
  <si>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</si>
  <si>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</si>
  <si>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</si>
  <si>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</si>
  <si>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</si>
  <si>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</si>
  <si>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</si>
  <si>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</si>
  <si>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</si>
  <si>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</si>
  <si>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</si>
  <si>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</si>
  <si>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</si>
  <si>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</si>
  <si>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</si>
  <si>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</si>
  <si>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</si>
  <si>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</si>
  <si>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</si>
  <si>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</si>
  <si>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</si>
  <si>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</si>
  <si>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</si>
  <si>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</si>
  <si>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</si>
  <si>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</si>
  <si>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</si>
  <si>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</si>
  <si>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</si>
  <si>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</si>
  <si>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</si>
  <si>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</si>
  <si>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</si>
  <si>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</si>
  <si>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</si>
  <si>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</si>
  <si>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</si>
  <si>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</si>
  <si>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</si>
  <si>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</si>
  <si>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</si>
  <si>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</si>
  <si>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</si>
  <si>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</si>
  <si>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</si>
  <si>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</si>
  <si>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</si>
  <si>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</si>
  <si>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</si>
  <si>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</si>
  <si>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</si>
  <si>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</si>
  <si>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</si>
  <si>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</si>
  <si>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</si>
  <si>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</si>
  <si>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</si>
  <si>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</si>
  <si>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</si>
  <si>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</si>
  <si>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</si>
  <si>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</si>
  <si>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</si>
  <si>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</si>
  <si>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</si>
  <si>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</si>
  <si>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</si>
  <si>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</si>
  <si>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</si>
  <si>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</si>
  <si>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</si>
  <si>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</si>
  <si>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</si>
  <si>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</si>
  <si>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</si>
  <si>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</si>
  <si>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</si>
  <si>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</si>
  <si>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</si>
  <si>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</si>
  <si>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</si>
  <si>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</si>
  <si>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</si>
  <si>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</si>
  <si>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</si>
  <si>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</si>
  <si>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</si>
  <si>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</si>
  <si>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</si>
  <si>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</si>
  <si>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</si>
  <si>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</si>
  <si>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</si>
  <si>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</si>
  <si>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</si>
  <si>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</si>
  <si>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</si>
  <si>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</si>
  <si>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</si>
  <si>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</si>
  <si>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</si>
  <si>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</si>
  <si>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</si>
  <si>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</si>
  <si>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</si>
  <si>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</si>
  <si>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</si>
  <si>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</si>
  <si>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</si>
  <si>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</si>
  <si>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</si>
  <si>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</si>
  <si>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</si>
  <si>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</si>
  <si>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</si>
  <si>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</si>
  <si>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</si>
  <si>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</si>
  <si>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</si>
  <si>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</si>
  <si>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</si>
  <si>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</si>
  <si>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</si>
  <si>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</si>
  <si>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</si>
  <si>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</si>
  <si>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</si>
  <si>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</si>
  <si>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</si>
  <si>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</si>
  <si>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</si>
  <si>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</si>
  <si>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</si>
  <si>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</si>
  <si>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</si>
  <si>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</si>
  <si>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</si>
  <si>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</si>
  <si>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</si>
  <si>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</si>
  <si>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</si>
  <si>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</si>
  <si>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</si>
  <si>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</si>
  <si>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</si>
  <si>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</si>
  <si>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</si>
  <si>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</si>
  <si>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</si>
  <si>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</si>
  <si>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</si>
  <si>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</si>
  <si>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</si>
  <si>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</si>
  <si>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</si>
  <si>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</si>
  <si>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Trade show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</si>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</sst>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1D580"/>
      <rgbColor rgb="FFFF99CC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flamingo.be/en/for-companies" TargetMode="External"/><Relationship Id="rId2" Type="http://schemas.openxmlformats.org/officeDocument/2006/relationships/hyperlink" Target="https://www.interzoo.com/en/exhibitors/flamingo-pet-products-2498822" TargetMode="External"/><Relationship Id="rId3" Type="http://schemas.openxmlformats.org/officeDocument/2006/relationships/hyperlink" Target="https://www.linkedin.com/search/results/companies/?keywords=Flamingo+Pet+Products+NV" TargetMode="External"/><Relationship Id="rId4" Type="http://schemas.openxmlformats.org/officeDocument/2006/relationships/hyperlink" Target="https://www.baekhobeauty.com/" TargetMode="External"/><Relationship Id="rId5" Type="http://schemas.openxmlformats.org/officeDocument/2006/relationships/hyperlink" Target="https://oncosmetics.com/company/baekho-trading/" TargetMode="External"/><Relationship Id="rId6" Type="http://schemas.openxmlformats.org/officeDocument/2006/relationships/hyperlink" Target="https://www.linkedin.com/search/results/companies/?keywords=Baekho+Beauty" TargetMode="External"/><Relationship Id="rId7" Type="http://schemas.openxmlformats.org/officeDocument/2006/relationships/hyperlink" Target="https://www.beautylux.be/" TargetMode="External"/><Relationship Id="rId8" Type="http://schemas.openxmlformats.org/officeDocument/2006/relationships/hyperlink" Target="https://oncosmetics.com/company/desa-beautylux/" TargetMode="External"/><Relationship Id="rId9" Type="http://schemas.openxmlformats.org/officeDocument/2006/relationships/hyperlink" Target="https://www.linkedin.com/search/results/companies/?keywords=Beautylux" TargetMode="External"/><Relationship Id="rId10" Type="http://schemas.openxmlformats.org/officeDocument/2006/relationships/hyperlink" Target="https://galico.be/" TargetMode="External"/><Relationship Id="rId11" Type="http://schemas.openxmlformats.org/officeDocument/2006/relationships/hyperlink" Target="https://portal.galico.be/en/contact" TargetMode="External"/><Relationship Id="rId12" Type="http://schemas.openxmlformats.org/officeDocument/2006/relationships/hyperlink" Target="https://www.linkedin.com/search/results/companies/?keywords=Galico+NV" TargetMode="External"/><Relationship Id="rId13" Type="http://schemas.openxmlformats.org/officeDocument/2006/relationships/hyperlink" Target="https://www.petfoodindustry.com/top-pet-food-companies/company/laroy-group" TargetMode="External"/><Relationship Id="rId14" Type="http://schemas.openxmlformats.org/officeDocument/2006/relationships/hyperlink" Target="https://www.linkedin.com/search/results/companies/?keywords=Laroy+Group" TargetMode="External"/><Relationship Id="rId15" Type="http://schemas.openxmlformats.org/officeDocument/2006/relationships/hyperlink" Target="https://www.eurocosmetic.be/" TargetMode="External"/><Relationship Id="rId16" Type="http://schemas.openxmlformats.org/officeDocument/2006/relationships/hyperlink" Target="https://oncosmetics.com/company/eurocosmetic-international/" TargetMode="External"/><Relationship Id="rId17" Type="http://schemas.openxmlformats.org/officeDocument/2006/relationships/hyperlink" Target="https://www.linkedin.com/search/results/companies/?keywords=Euro+Cosmetic" TargetMode="External"/><Relationship Id="rId18" Type="http://schemas.openxmlformats.org/officeDocument/2006/relationships/hyperlink" Target="https://bulmedica.bg/en/main/iventas-2/" TargetMode="External"/><Relationship Id="rId19" Type="http://schemas.openxmlformats.org/officeDocument/2006/relationships/hyperlink" Target="https://bulmedica.bg/en/main/iventas-2/" TargetMode="External"/><Relationship Id="rId20" Type="http://schemas.openxmlformats.org/officeDocument/2006/relationships/hyperlink" Target="https://www.linkedin.com/search/results/companies/?keywords=Iventas" TargetMode="External"/><Relationship Id="rId21" Type="http://schemas.openxmlformats.org/officeDocument/2006/relationships/hyperlink" Target="https://www.bjutip.com/" TargetMode="External"/><Relationship Id="rId22" Type="http://schemas.openxmlformats.org/officeDocument/2006/relationships/hyperlink" Target="https://bjutip.com/contact_us" TargetMode="External"/><Relationship Id="rId23" Type="http://schemas.openxmlformats.org/officeDocument/2006/relationships/hyperlink" Target="https://www.linkedin.com/search/results/companies/?keywords=BJUTIP+a.s." TargetMode="External"/><Relationship Id="rId24" Type="http://schemas.openxmlformats.org/officeDocument/2006/relationships/hyperlink" Target="http://www.tommicz.eu/" TargetMode="External"/><Relationship Id="rId25" Type="http://schemas.openxmlformats.org/officeDocument/2006/relationships/hyperlink" Target="https://exporters.czechtrade.cz/en/tommi-cz-s-r-o" TargetMode="External"/><Relationship Id="rId26" Type="http://schemas.openxmlformats.org/officeDocument/2006/relationships/hyperlink" Target="https://www.linkedin.com/search/results/companies/?keywords=Tommi+CZ+s.r.o." TargetMode="External"/><Relationship Id="rId27" Type="http://schemas.openxmlformats.org/officeDocument/2006/relationships/hyperlink" Target="https://samohyl.cz/?lang=en" TargetMode="External"/><Relationship Id="rId28" Type="http://schemas.openxmlformats.org/officeDocument/2006/relationships/hyperlink" Target="https://samohyl.cz/?lang=en" TargetMode="External"/><Relationship Id="rId29" Type="http://schemas.openxmlformats.org/officeDocument/2006/relationships/hyperlink" Target="https://www.linkedin.com/search/results/companies/?keywords=Samoh&#253;l+Group" TargetMode="External"/><Relationship Id="rId30" Type="http://schemas.openxmlformats.org/officeDocument/2006/relationships/hyperlink" Target="https://www.emis.cn/php/company-profile/CZ/Teddies_SRO_en_6714203.html" TargetMode="External"/><Relationship Id="rId31" Type="http://schemas.openxmlformats.org/officeDocument/2006/relationships/hyperlink" Target="https://www.linkedin.com/search/results/companies/?keywords=Teddies+s.r.o." TargetMode="External"/><Relationship Id="rId32" Type="http://schemas.openxmlformats.org/officeDocument/2006/relationships/hyperlink" Target="https://nordic9.com/companies/creativ-company-company9497481794/" TargetMode="External"/><Relationship Id="rId33" Type="http://schemas.openxmlformats.org/officeDocument/2006/relationships/hyperlink" Target="https://www.linkedin.com/search/results/companies/?keywords=Creativ+Company+A%2FS" TargetMode="External"/><Relationship Id="rId34" Type="http://schemas.openxmlformats.org/officeDocument/2006/relationships/hyperlink" Target="https://en.zolux.com/" TargetMode="External"/><Relationship Id="rId35" Type="http://schemas.openxmlformats.org/officeDocument/2006/relationships/hyperlink" Target="https://globalpetindustry.com/company/zolux-sas/" TargetMode="External"/><Relationship Id="rId36" Type="http://schemas.openxmlformats.org/officeDocument/2006/relationships/hyperlink" Target="https://www.linkedin.com/search/results/companies/?keywords=Zolux+SAS" TargetMode="External"/><Relationship Id="rId37" Type="http://schemas.openxmlformats.org/officeDocument/2006/relationships/hyperlink" Target="https://exaclair.com/about_exaclair.php" TargetMode="External"/><Relationship Id="rId38" Type="http://schemas.openxmlformats.org/officeDocument/2006/relationships/hyperlink" Target="https://en.wikipedia.org/wiki/Clairefontaine_paper_mills" TargetMode="External"/><Relationship Id="rId39" Type="http://schemas.openxmlformats.org/officeDocument/2006/relationships/hyperlink" Target="https://www.linkedin.com/search/results/companies/?keywords=Exacompta+Clairefontaine" TargetMode="External"/><Relationship Id="rId40" Type="http://schemas.openxmlformats.org/officeDocument/2006/relationships/hyperlink" Target="https://www.lejournaldesentreprises.com/breve/le-groupe-wdk-groupe-partner-elargit-son-implantation-en-normandie-2059970" TargetMode="External"/><Relationship Id="rId41" Type="http://schemas.openxmlformats.org/officeDocument/2006/relationships/hyperlink" Target="https://www.linkedin.com/search/results/companies/?keywords=WDK+Groupe+Partner" TargetMode="External"/><Relationship Id="rId42" Type="http://schemas.openxmlformats.org/officeDocument/2006/relationships/hyperlink" Target="https://www.ankorstore.com/" TargetMode="External"/><Relationship Id="rId43" Type="http://schemas.openxmlformats.org/officeDocument/2006/relationships/hyperlink" Target="https://alven.co/news/ankorstore-reaches-unicorn-status-in-only-two-years-with-its-last-e250-million-series-c-funding-round" TargetMode="External"/><Relationship Id="rId44" Type="http://schemas.openxmlformats.org/officeDocument/2006/relationships/hyperlink" Target="https://www.linkedin.com/search/results/companies/?keywords=Ankorstore" TargetMode="External"/><Relationship Id="rId45" Type="http://schemas.openxmlformats.org/officeDocument/2006/relationships/hyperlink" Target="https://www.stocklear.com/" TargetMode="External"/><Relationship Id="rId46" Type="http://schemas.openxmlformats.org/officeDocument/2006/relationships/hyperlink" Target="https://app.dealroom.co/companies/stocklear_1" TargetMode="External"/><Relationship Id="rId47" Type="http://schemas.openxmlformats.org/officeDocument/2006/relationships/hyperlink" Target="https://www.linkedin.com/search/results/companies/?keywords=Stocklear" TargetMode="External"/><Relationship Id="rId48" Type="http://schemas.openxmlformats.org/officeDocument/2006/relationships/hyperlink" Target="https://www.cspcosmetics.com/" TargetMode="External"/><Relationship Id="rId49" Type="http://schemas.openxmlformats.org/officeDocument/2006/relationships/hyperlink" Target="https://oncosmetics.com/company/csp-cosmetics/" TargetMode="External"/><Relationship Id="rId50" Type="http://schemas.openxmlformats.org/officeDocument/2006/relationships/hyperlink" Target="https://www.linkedin.com/search/results/companies/?keywords=CSP+Cosmetics" TargetMode="External"/><Relationship Id="rId51" Type="http://schemas.openxmlformats.org/officeDocument/2006/relationships/hyperlink" Target="https://www.trixie.de/" TargetMode="External"/><Relationship Id="rId52" Type="http://schemas.openxmlformats.org/officeDocument/2006/relationships/hyperlink" Target="https://www.petbusinessworld.co.uk/trade-news/manufacturers/trixie-opens-new-uk-warehouse.html" TargetMode="External"/><Relationship Id="rId53" Type="http://schemas.openxmlformats.org/officeDocument/2006/relationships/hyperlink" Target="https://www.linkedin.com/search/results/companies/?keywords=TRIXIE+Heimtierbedarf" TargetMode="External"/><Relationship Id="rId54" Type="http://schemas.openxmlformats.org/officeDocument/2006/relationships/hyperlink" Target="https://www.cosnova.com/" TargetMode="External"/><Relationship Id="rId55" Type="http://schemas.openxmlformats.org/officeDocument/2006/relationships/hyperlink" Target="https://www.cosnova.com/download/news/files/cosnova_Pressemitteilung_Gesch&#228;ftsjahr%202023_DE.pdf" TargetMode="External"/><Relationship Id="rId56" Type="http://schemas.openxmlformats.org/officeDocument/2006/relationships/hyperlink" Target="https://www.linkedin.com/search/results/companies/?keywords=cosnova+GmbH" TargetMode="External"/><Relationship Id="rId57" Type="http://schemas.openxmlformats.org/officeDocument/2006/relationships/hyperlink" Target="https://www.kwb.eu/" TargetMode="External"/><Relationship Id="rId58" Type="http://schemas.openxmlformats.org/officeDocument/2006/relationships/hyperlink" Target="https://www.kwb.eu/en/disclaimer/" TargetMode="External"/><Relationship Id="rId59" Type="http://schemas.openxmlformats.org/officeDocument/2006/relationships/hyperlink" Target="https://www.linkedin.com/search/results/companies/?keywords=kwb+Germany+GmbH" TargetMode="External"/><Relationship Id="rId60" Type="http://schemas.openxmlformats.org/officeDocument/2006/relationships/hyperlink" Target="https://www.beurer.com/uk/facts/" TargetMode="External"/><Relationship Id="rId61" Type="http://schemas.openxmlformats.org/officeDocument/2006/relationships/hyperlink" Target="https://www.bheta.co.uk/suppliers/beurer-uk-limited" TargetMode="External"/><Relationship Id="rId62" Type="http://schemas.openxmlformats.org/officeDocument/2006/relationships/hyperlink" Target="https://www.linkedin.com/search/results/companies/?keywords=Beurer+GmbH" TargetMode="External"/><Relationship Id="rId63" Type="http://schemas.openxmlformats.org/officeDocument/2006/relationships/hyperlink" Target="https://www.westmark.de/" TargetMode="External"/><Relationship Id="rId64" Type="http://schemas.openxmlformats.org/officeDocument/2006/relationships/hyperlink" Target="https://conzoom-solutions.messefrankfurt.com/frankfurt/en/market-directory.detail.html/AMBIENTE/westmark-gmbh.html" TargetMode="External"/><Relationship Id="rId65" Type="http://schemas.openxmlformats.org/officeDocument/2006/relationships/hyperlink" Target="https://www.linkedin.com/search/results/companies/?keywords=Westmark+GmbH" TargetMode="External"/><Relationship Id="rId66" Type="http://schemas.openxmlformats.org/officeDocument/2006/relationships/hyperlink" Target="https://www.kerbl.com/" TargetMode="External"/><Relationship Id="rId67" Type="http://schemas.openxmlformats.org/officeDocument/2006/relationships/hyperlink" Target="https://www.interzoo.com/en/exhibitors/albert-kerbl-gmbh-2497632" TargetMode="External"/><Relationship Id="rId68" Type="http://schemas.openxmlformats.org/officeDocument/2006/relationships/hyperlink" Target="https://www.linkedin.com/search/results/companies/?keywords=Albert+Kerbl+GmbH" TargetMode="External"/><Relationship Id="rId69" Type="http://schemas.openxmlformats.org/officeDocument/2006/relationships/hyperlink" Target="https://www.hunter.de/" TargetMode="External"/><Relationship Id="rId70" Type="http://schemas.openxmlformats.org/officeDocument/2006/relationships/hyperlink" Target="https://www.interzoo.com/en/exhibitors/hunter-international-gmbh-2500702" TargetMode="External"/><Relationship Id="rId71" Type="http://schemas.openxmlformats.org/officeDocument/2006/relationships/hyperlink" Target="https://www.linkedin.com/search/results/companies/?keywords=HUNTER+International+GmbH" TargetMode="External"/><Relationship Id="rId72" Type="http://schemas.openxmlformats.org/officeDocument/2006/relationships/hyperlink" Target="https://www.nobby.de/" TargetMode="External"/><Relationship Id="rId73" Type="http://schemas.openxmlformats.org/officeDocument/2006/relationships/hyperlink" Target="https://www.interzoo.com/en/exhibitors/nobby-pet-shop-gmbh-2498529" TargetMode="External"/><Relationship Id="rId74" Type="http://schemas.openxmlformats.org/officeDocument/2006/relationships/hyperlink" Target="https://www.linkedin.com/search/results/companies/?keywords=Nobby+Pet+Shop+GmbH" TargetMode="External"/><Relationship Id="rId75" Type="http://schemas.openxmlformats.org/officeDocument/2006/relationships/hyperlink" Target="https://sportimport.de/" TargetMode="External"/><Relationship Id="rId76" Type="http://schemas.openxmlformats.org/officeDocument/2006/relationships/hyperlink" Target="https://www.bike-eu.com/45360/sport-imports-transformation-into-a-european-partner-for-the-cycling-industry" TargetMode="External"/><Relationship Id="rId77" Type="http://schemas.openxmlformats.org/officeDocument/2006/relationships/hyperlink" Target="https://www.linkedin.com/search/results/companies/?keywords=Sport+Import+GmbH" TargetMode="External"/><Relationship Id="rId78" Type="http://schemas.openxmlformats.org/officeDocument/2006/relationships/hyperlink" Target="https://depesche.com/" TargetMode="External"/><Relationship Id="rId79" Type="http://schemas.openxmlformats.org/officeDocument/2006/relationships/hyperlink" Target="https://depesche.com/en/about-us/history" TargetMode="External"/><Relationship Id="rId80" Type="http://schemas.openxmlformats.org/officeDocument/2006/relationships/hyperlink" Target="https://www.linkedin.com/search/results/companies/?keywords=Depesche+Vertrieb+GmbH+%26+Co.+KG" TargetMode="External"/><Relationship Id="rId81" Type="http://schemas.openxmlformats.org/officeDocument/2006/relationships/hyperlink" Target="https://www.goki.eu/" TargetMode="External"/><Relationship Id="rId82" Type="http://schemas.openxmlformats.org/officeDocument/2006/relationships/hyperlink" Target="https://www.gelbeseiten.de/gsbiz/aaa25a93-3a4f-45fc-893c-c0e732d97277" TargetMode="External"/><Relationship Id="rId83" Type="http://schemas.openxmlformats.org/officeDocument/2006/relationships/hyperlink" Target="https://www.linkedin.com/search/results/companies/?keywords=Gollnest+%26+Kiesel+GmbH+%26+Co.+KG" TargetMode="External"/><Relationship Id="rId84" Type="http://schemas.openxmlformats.org/officeDocument/2006/relationships/hyperlink" Target="https://www.vedes-gruppe.de/" TargetMode="External"/><Relationship Id="rId85" Type="http://schemas.openxmlformats.org/officeDocument/2006/relationships/hyperlink" Target="https://en.wikipedia.org/wiki/Vedes" TargetMode="External"/><Relationship Id="rId86" Type="http://schemas.openxmlformats.org/officeDocument/2006/relationships/hyperlink" Target="https://www.linkedin.com/search/results/companies/?keywords=VEDES+Gro&#223;handel+GmbH" TargetMode="External"/><Relationship Id="rId87" Type="http://schemas.openxmlformats.org/officeDocument/2006/relationships/hyperlink" Target="https://b2b.small-foot.de/en/" TargetMode="External"/><Relationship Id="rId88" Type="http://schemas.openxmlformats.org/officeDocument/2006/relationships/hyperlink" Target="https://b2b.small-foot.de/en/" TargetMode="External"/><Relationship Id="rId89" Type="http://schemas.openxmlformats.org/officeDocument/2006/relationships/hyperlink" Target="https://www.linkedin.com/search/results/companies/?keywords=small+foot+GmbH+%26+Co.+KG" TargetMode="External"/><Relationship Id="rId90" Type="http://schemas.openxmlformats.org/officeDocument/2006/relationships/hyperlink" Target="https://www.zentrada.eu/" TargetMode="External"/><Relationship Id="rId91" Type="http://schemas.openxmlformats.org/officeDocument/2006/relationships/hyperlink" Target="https://www.euroshop-tradefair.com/en/Media_News/EuroShop_mag/Meet_zentrada_-_the_leading_european_trading_network_for_consumer_goods" TargetMode="External"/><Relationship Id="rId92" Type="http://schemas.openxmlformats.org/officeDocument/2006/relationships/hyperlink" Target="https://www.linkedin.com/search/results/companies/?keywords=zentrada" TargetMode="External"/><Relationship Id="rId93" Type="http://schemas.openxmlformats.org/officeDocument/2006/relationships/hyperlink" Target="https://www.2e-vertrieb.de/" TargetMode="External"/><Relationship Id="rId94" Type="http://schemas.openxmlformats.org/officeDocument/2006/relationships/hyperlink" Target="https://app.implisense.com/en/companies/2e-vertriebs-gmbh-koeln--DEIMRWXA2I47" TargetMode="External"/><Relationship Id="rId95" Type="http://schemas.openxmlformats.org/officeDocument/2006/relationships/hyperlink" Target="https://www.linkedin.com/search/results/companies/?keywords=2E+Vertriebs-GmbH" TargetMode="External"/><Relationship Id="rId96" Type="http://schemas.openxmlformats.org/officeDocument/2006/relationships/hyperlink" Target="https://www.mambaby.com/" TargetMode="External"/><Relationship Id="rId97" Type="http://schemas.openxmlformats.org/officeDocument/2006/relationships/hyperlink" Target="https://www.stepstone.de/cmp/de/MAM-Babyartikel-GmbH-156886/uber-das-unternehmen.html" TargetMode="External"/><Relationship Id="rId98" Type="http://schemas.openxmlformats.org/officeDocument/2006/relationships/hyperlink" Target="https://www.linkedin.com/search/results/companies/?keywords=MAM+Babyartikel+GmbH" TargetMode="External"/><Relationship Id="rId99" Type="http://schemas.openxmlformats.org/officeDocument/2006/relationships/hyperlink" Target="https://www.reer.de/" TargetMode="External"/><Relationship Id="rId100" Type="http://schemas.openxmlformats.org/officeDocument/2006/relationships/hyperlink" Target="https://ambiente.messefrankfurt.com/frankfurt/en/exhibitor-search.detail.html/safe--care-gmbh.html" TargetMode="External"/><Relationship Id="rId101" Type="http://schemas.openxmlformats.org/officeDocument/2006/relationships/hyperlink" Target="https://www.linkedin.com/search/results/companies/?keywords=reer+GmbH" TargetMode="External"/><Relationship Id="rId102" Type="http://schemas.openxmlformats.org/officeDocument/2006/relationships/hyperlink" Target="https://www.wolfcraft.com/" TargetMode="External"/><Relationship Id="rId103" Type="http://schemas.openxmlformats.org/officeDocument/2006/relationships/hyperlink" Target="https://craft.co/wolfcraft" TargetMode="External"/><Relationship Id="rId104" Type="http://schemas.openxmlformats.org/officeDocument/2006/relationships/hyperlink" Target="https://www.linkedin.com/search/results/companies/?keywords=wolfcraft+GmbH" TargetMode="External"/><Relationship Id="rId105" Type="http://schemas.openxmlformats.org/officeDocument/2006/relationships/hyperlink" Target="https://www.remotely.de/job/emporium-handels-vertriebs-gmbh-sales-representative-mwd-im-internationalen-grosshandel-vollzeit" TargetMode="External"/><Relationship Id="rId106" Type="http://schemas.openxmlformats.org/officeDocument/2006/relationships/hyperlink" Target="https://www.linkedin.com/search/results/companies/?keywords=Emporium+Handels+%26+Vertriebs+GmbH" TargetMode="External"/><Relationship Id="rId107" Type="http://schemas.openxmlformats.org/officeDocument/2006/relationships/hyperlink" Target="https://www.medisana.de/" TargetMode="External"/><Relationship Id="rId108" Type="http://schemas.openxmlformats.org/officeDocument/2006/relationships/hyperlink" Target="https://www.wirtschaftsforum.de/medisana-ag" TargetMode="External"/><Relationship Id="rId109" Type="http://schemas.openxmlformats.org/officeDocument/2006/relationships/hyperlink" Target="https://www.linkedin.com/search/results/companies/?keywords=MEDISANA+AG" TargetMode="External"/><Relationship Id="rId110" Type="http://schemas.openxmlformats.org/officeDocument/2006/relationships/hyperlink" Target="https://www.leifheit.com/" TargetMode="External"/><Relationship Id="rId111" Type="http://schemas.openxmlformats.org/officeDocument/2006/relationships/hyperlink" Target="https://pitchbook.com/profiles/company/64260-55" TargetMode="External"/><Relationship Id="rId112" Type="http://schemas.openxmlformats.org/officeDocument/2006/relationships/hyperlink" Target="https://www.linkedin.com/search/results/companies/?keywords=Leifheit+AG" TargetMode="External"/><Relationship Id="rId113" Type="http://schemas.openxmlformats.org/officeDocument/2006/relationships/hyperlink" Target="https://www.ifa-berlin.com/exhibitors/wolfsohn" TargetMode="External"/><Relationship Id="rId114" Type="http://schemas.openxmlformats.org/officeDocument/2006/relationships/hyperlink" Target="https://www.ifa-berlin.com/exhibitors/wolfsohn" TargetMode="External"/><Relationship Id="rId115" Type="http://schemas.openxmlformats.org/officeDocument/2006/relationships/hyperlink" Target="https://www.linkedin.com/search/results/companies/?keywords=Wolfsohn" TargetMode="External"/><Relationship Id="rId116" Type="http://schemas.openxmlformats.org/officeDocument/2006/relationships/hyperlink" Target="https://www.portapet.de/" TargetMode="External"/><Relationship Id="rId117" Type="http://schemas.openxmlformats.org/officeDocument/2006/relationships/hyperlink" Target="https://www.zoomark.it/en/2025-exhibitors-catalogue/exhibitor-detail/?id=9032" TargetMode="External"/><Relationship Id="rId118" Type="http://schemas.openxmlformats.org/officeDocument/2006/relationships/hyperlink" Target="https://www.linkedin.com/search/results/companies/?keywords=Schulze+Heimtierbedarf+GmbH" TargetMode="External"/><Relationship Id="rId119" Type="http://schemas.openxmlformats.org/officeDocument/2006/relationships/hyperlink" Target="https://imap.com/en/news/2021/absolute-bikes~n" TargetMode="External"/><Relationship Id="rId120" Type="http://schemas.openxmlformats.org/officeDocument/2006/relationships/hyperlink" Target="https://www.linkedin.com/search/results/companies/?keywords=Absolut+Bikes+GmbH" TargetMode="External"/><Relationship Id="rId121" Type="http://schemas.openxmlformats.org/officeDocument/2006/relationships/hyperlink" Target="https://www.provenexpert.com/acecamp-gmbh/" TargetMode="External"/><Relationship Id="rId122" Type="http://schemas.openxmlformats.org/officeDocument/2006/relationships/hyperlink" Target="https://www.provenexpert.com/acecamp-gmbh/" TargetMode="External"/><Relationship Id="rId123" Type="http://schemas.openxmlformats.org/officeDocument/2006/relationships/hyperlink" Target="https://www.linkedin.com/search/results/companies/?keywords=AceCamp+GmbH" TargetMode="External"/><Relationship Id="rId124" Type="http://schemas.openxmlformats.org/officeDocument/2006/relationships/hyperlink" Target="https://www.hudora.de/" TargetMode="External"/><Relationship Id="rId125" Type="http://schemas.openxmlformats.org/officeDocument/2006/relationships/hyperlink" Target="https://www.unternehmeredition.de/serie-hidden-champions-hudora-gmbh/" TargetMode="External"/><Relationship Id="rId126" Type="http://schemas.openxmlformats.org/officeDocument/2006/relationships/hyperlink" Target="https://www.linkedin.com/search/results/companies/?keywords=HUDORA+GmbH" TargetMode="External"/><Relationship Id="rId127" Type="http://schemas.openxmlformats.org/officeDocument/2006/relationships/hyperlink" Target="https://ensun.io/search/baby-products/germany" TargetMode="External"/><Relationship Id="rId128" Type="http://schemas.openxmlformats.org/officeDocument/2006/relationships/hyperlink" Target="https://www.linkedin.com/search/results/companies/?keywords=German+Formula+Express" TargetMode="External"/><Relationship Id="rId129" Type="http://schemas.openxmlformats.org/officeDocument/2006/relationships/hyperlink" Target="https://oncosmetics.com/company/global-beauty-brands/" TargetMode="External"/><Relationship Id="rId130" Type="http://schemas.openxmlformats.org/officeDocument/2006/relationships/hyperlink" Target="https://www.linkedin.com/search/results/companies/?keywords=Global+Beauty+Brands" TargetMode="External"/><Relationship Id="rId131" Type="http://schemas.openxmlformats.org/officeDocument/2006/relationships/hyperlink" Target="https://fashionunited.de/nachrichten/business/lacoste-gibt-parfum-vertrieb-fuer-dach-region-an-die-nobilis-group-ab/2024010554623" TargetMode="External"/><Relationship Id="rId132" Type="http://schemas.openxmlformats.org/officeDocument/2006/relationships/hyperlink" Target="https://www.linkedin.com/search/results/companies/?keywords=NOBILIS+Group+GmbH" TargetMode="External"/><Relationship Id="rId133" Type="http://schemas.openxmlformats.org/officeDocument/2006/relationships/hyperlink" Target="https://www.odoo.com/ar/customers/ihtct-gmbh-6263453" TargetMode="External"/><Relationship Id="rId134" Type="http://schemas.openxmlformats.org/officeDocument/2006/relationships/hyperlink" Target="https://www.odoo.com/ar/customers/ihtct-gmbh-6263453" TargetMode="External"/><Relationship Id="rId135" Type="http://schemas.openxmlformats.org/officeDocument/2006/relationships/hyperlink" Target="https://www.linkedin.com/search/results/companies/?keywords=IHTCT+GmbH" TargetMode="External"/><Relationship Id="rId136" Type="http://schemas.openxmlformats.org/officeDocument/2006/relationships/hyperlink" Target="https://www.ausbildung.de/unternehmen/landahl-baumann-spielwaren-gmbh/stellen/" TargetMode="External"/><Relationship Id="rId137" Type="http://schemas.openxmlformats.org/officeDocument/2006/relationships/hyperlink" Target="https://www.linkedin.com/search/results/companies/?keywords=Landahl+%26+Baumann+Spielwaren+GmbH" TargetMode="External"/><Relationship Id="rId138" Type="http://schemas.openxmlformats.org/officeDocument/2006/relationships/hyperlink" Target="https://www.irishbeauty.ie/Xpert-Professional-expand-Olaplex-distribution.html" TargetMode="External"/><Relationship Id="rId139" Type="http://schemas.openxmlformats.org/officeDocument/2006/relationships/hyperlink" Target="https://www.irishbeauty.ie/Xpert-Professional-expand-Olaplex-distribution.html" TargetMode="External"/><Relationship Id="rId140" Type="http://schemas.openxmlformats.org/officeDocument/2006/relationships/hyperlink" Target="https://www.linkedin.com/search/results/companies/?keywords=Xpert+Professional" TargetMode="External"/><Relationship Id="rId141" Type="http://schemas.openxmlformats.org/officeDocument/2006/relationships/hyperlink" Target="https://croci-group.com/" TargetMode="External"/><Relationship Id="rId142" Type="http://schemas.openxmlformats.org/officeDocument/2006/relationships/hyperlink" Target="https://www.interzoo.com/en/exhibitors/croci-spa-2497649" TargetMode="External"/><Relationship Id="rId143" Type="http://schemas.openxmlformats.org/officeDocument/2006/relationships/hyperlink" Target="https://www.linkedin.com/search/results/companies/?keywords=Camon+%26+Croci+Pet+Group+S.p.A." TargetMode="External"/><Relationship Id="rId144" Type="http://schemas.openxmlformats.org/officeDocument/2006/relationships/hyperlink" Target="https://www.brandsdistribution.com/" TargetMode="External"/><Relationship Id="rId145" Type="http://schemas.openxmlformats.org/officeDocument/2006/relationships/hyperlink" Target="https://www.cbinsights.com/company/brandsdistributioncom/" TargetMode="External"/><Relationship Id="rId146" Type="http://schemas.openxmlformats.org/officeDocument/2006/relationships/hyperlink" Target="https://www.linkedin.com/search/results/companies/?keywords=Brandsdistribution" TargetMode="External"/><Relationship Id="rId147" Type="http://schemas.openxmlformats.org/officeDocument/2006/relationships/hyperlink" Target="https://www.profumeriepep.it/" TargetMode="External"/><Relationship Id="rId148" Type="http://schemas.openxmlformats.org/officeDocument/2006/relationships/hyperlink" Target="https://atoka.io/public/it/azienda/profumerie-p-p-srl/b936935a4339" TargetMode="External"/><Relationship Id="rId149" Type="http://schemas.openxmlformats.org/officeDocument/2006/relationships/hyperlink" Target="https://www.linkedin.com/search/results/companies/?keywords=Profumerie+P+%26+P+Srl" TargetMode="External"/><Relationship Id="rId150" Type="http://schemas.openxmlformats.org/officeDocument/2006/relationships/hyperlink" Target="https://www.italianmoda.com/italy-FASHION%2DACCESSORIES%5FPerfumes%5FCosmetics" TargetMode="External"/><Relationship Id="rId151" Type="http://schemas.openxmlformats.org/officeDocument/2006/relationships/hyperlink" Target="https://www.italianmoda.com/italy-FASHION%2DACCESSORIES%5FPerfumes%5FCosmetics" TargetMode="External"/><Relationship Id="rId152" Type="http://schemas.openxmlformats.org/officeDocument/2006/relationships/hyperlink" Target="https://www.linkedin.com/search/results/companies/?keywords=The+Italian+Factory" TargetMode="External"/><Relationship Id="rId153" Type="http://schemas.openxmlformats.org/officeDocument/2006/relationships/hyperlink" Target="https://faire.com/brand/b_th6zdpbbr9" TargetMode="External"/><Relationship Id="rId154" Type="http://schemas.openxmlformats.org/officeDocument/2006/relationships/hyperlink" Target="https://www.linkedin.com/search/results/companies/?keywords=Joy+Toy+SpA" TargetMode="External"/><Relationship Id="rId155" Type="http://schemas.openxmlformats.org/officeDocument/2006/relationships/hyperlink" Target="https://linkedin.com/company/do-ho" TargetMode="External"/><Relationship Id="rId156" Type="http://schemas.openxmlformats.org/officeDocument/2006/relationships/hyperlink" Target="https://linkedin.com/company/do-ho" TargetMode="External"/><Relationship Id="rId157" Type="http://schemas.openxmlformats.org/officeDocument/2006/relationships/hyperlink" Target="https://www.linkedin.com/search/results/companies/?keywords=Doho" TargetMode="External"/><Relationship Id="rId158" Type="http://schemas.openxmlformats.org/officeDocument/2006/relationships/hyperlink" Target="https://difrax.com/en/pages/about-us" TargetMode="External"/><Relationship Id="rId159" Type="http://schemas.openxmlformats.org/officeDocument/2006/relationships/hyperlink" Target="https://difrax.com/en-be/pages/partners" TargetMode="External"/><Relationship Id="rId160" Type="http://schemas.openxmlformats.org/officeDocument/2006/relationships/hyperlink" Target="https://www.linkedin.com/search/results/companies/?keywords=Difrax+B.V." TargetMode="External"/><Relationship Id="rId161" Type="http://schemas.openxmlformats.org/officeDocument/2006/relationships/hyperlink" Target="https://www.westcoastsupplygroup.com/" TargetMode="External"/><Relationship Id="rId162" Type="http://schemas.openxmlformats.org/officeDocument/2006/relationships/hyperlink" Target="https://linkedin.com/company/wcsg" TargetMode="External"/><Relationship Id="rId163" Type="http://schemas.openxmlformats.org/officeDocument/2006/relationships/hyperlink" Target="https://www.linkedin.com/search/results/companies/?keywords=West+Coast+Supply+Group" TargetMode="External"/><Relationship Id="rId164" Type="http://schemas.openxmlformats.org/officeDocument/2006/relationships/hyperlink" Target="https://www.naskorsports.com/" TargetMode="External"/><Relationship Id="rId165" Type="http://schemas.openxmlformats.org/officeDocument/2006/relationships/hyperlink" Target="https://bestfoodimporters.com/company/naskorsports-b-v/" TargetMode="External"/><Relationship Id="rId166" Type="http://schemas.openxmlformats.org/officeDocument/2006/relationships/hyperlink" Target="https://www.linkedin.com/search/results/companies/?keywords=NaskorSports+B.V." TargetMode="External"/><Relationship Id="rId167" Type="http://schemas.openxmlformats.org/officeDocument/2006/relationships/hyperlink" Target="https://parallelbroker.com/" TargetMode="External"/><Relationship Id="rId168" Type="http://schemas.openxmlformats.org/officeDocument/2006/relationships/hyperlink" Target="https://parallelbroker.com/product/8700216753043" TargetMode="External"/><Relationship Id="rId169" Type="http://schemas.openxmlformats.org/officeDocument/2006/relationships/hyperlink" Target="https://www.linkedin.com/search/results/companies/?keywords=Parallel+B.V." TargetMode="External"/><Relationship Id="rId170" Type="http://schemas.openxmlformats.org/officeDocument/2006/relationships/hyperlink" Target="https://www.koopmanint.com/en/" TargetMode="External"/><Relationship Id="rId171" Type="http://schemas.openxmlformats.org/officeDocument/2006/relationships/hyperlink" Target="https://www.koopmanint.com/en/discover-koopman/" TargetMode="External"/><Relationship Id="rId172" Type="http://schemas.openxmlformats.org/officeDocument/2006/relationships/hyperlink" Target="https://www.linkedin.com/search/results/companies/?keywords=Koopman+International+B.V." TargetMode="External"/><Relationship Id="rId173" Type="http://schemas.openxmlformats.org/officeDocument/2006/relationships/hyperlink" Target="https://epngames.com/" TargetMode="External"/><Relationship Id="rId174" Type="http://schemas.openxmlformats.org/officeDocument/2006/relationships/hyperlink" Target="https://epngames.com/about-us" TargetMode="External"/><Relationship Id="rId175" Type="http://schemas.openxmlformats.org/officeDocument/2006/relationships/hyperlink" Target="https://www.linkedin.com/search/results/companies/?keywords=European+Player+Network" TargetMode="External"/><Relationship Id="rId176" Type="http://schemas.openxmlformats.org/officeDocument/2006/relationships/hyperlink" Target="https://www.beautetrade.com/suppliers/ah-beauty-bv-107939/" TargetMode="External"/><Relationship Id="rId177" Type="http://schemas.openxmlformats.org/officeDocument/2006/relationships/hyperlink" Target="https://www.beautetrade.com/suppliers/ah-beauty-bv-107939/" TargetMode="External"/><Relationship Id="rId178" Type="http://schemas.openxmlformats.org/officeDocument/2006/relationships/hyperlink" Target="https://www.linkedin.com/search/results/companies/?keywords=AH+Beaut&#233;+BV" TargetMode="External"/><Relationship Id="rId179" Type="http://schemas.openxmlformats.org/officeDocument/2006/relationships/hyperlink" Target="https://beautinow.com/wholesale-perfume-supplier-europe/" TargetMode="External"/><Relationship Id="rId180" Type="http://schemas.openxmlformats.org/officeDocument/2006/relationships/hyperlink" Target="https://beautinow.com/wholesale-perfume-supplier-europe/" TargetMode="External"/><Relationship Id="rId181" Type="http://schemas.openxmlformats.org/officeDocument/2006/relationships/hyperlink" Target="https://www.linkedin.com/search/results/companies/?keywords=Beautinow+B.V." TargetMode="External"/><Relationship Id="rId182" Type="http://schemas.openxmlformats.org/officeDocument/2006/relationships/hyperlink" Target="https://www.brabantia.com/uk/offices" TargetMode="External"/><Relationship Id="rId183" Type="http://schemas.openxmlformats.org/officeDocument/2006/relationships/hyperlink" Target="https://www.brabantia.com/int_en/offices" TargetMode="External"/><Relationship Id="rId184" Type="http://schemas.openxmlformats.org/officeDocument/2006/relationships/hyperlink" Target="https://www.linkedin.com/search/results/companies/?keywords=Brabantia+Export+BV" TargetMode="External"/><Relationship Id="rId185" Type="http://schemas.openxmlformats.org/officeDocument/2006/relationships/hyperlink" Target="https://www.vidaxl.com/" TargetMode="External"/><Relationship Id="rId186" Type="http://schemas.openxmlformats.org/officeDocument/2006/relationships/hyperlink" Target="https://ecommerce-platforms.com/?p=86722" TargetMode="External"/><Relationship Id="rId187" Type="http://schemas.openxmlformats.org/officeDocument/2006/relationships/hyperlink" Target="https://www.linkedin.com/search/results/companies/?keywords=vidaXL+%2F+dropshippingXL" TargetMode="External"/><Relationship Id="rId188" Type="http://schemas.openxmlformats.org/officeDocument/2006/relationships/hyperlink" Target="https://www.beeztees.nl/" TargetMode="External"/><Relationship Id="rId189" Type="http://schemas.openxmlformats.org/officeDocument/2006/relationships/hyperlink" Target="https://globalpetindustry.com/article/beeztees-netherlands/" TargetMode="External"/><Relationship Id="rId190" Type="http://schemas.openxmlformats.org/officeDocument/2006/relationships/hyperlink" Target="https://www.linkedin.com/search/results/companies/?keywords=Beeztees" TargetMode="External"/><Relationship Id="rId191" Type="http://schemas.openxmlformats.org/officeDocument/2006/relationships/hyperlink" Target="https://www.vandermeerrotterdam.nl/" TargetMode="External"/><Relationship Id="rId192" Type="http://schemas.openxmlformats.org/officeDocument/2006/relationships/hyperlink" Target="https://wisepim.com/suppliers/vandermeer" TargetMode="External"/><Relationship Id="rId193" Type="http://schemas.openxmlformats.org/officeDocument/2006/relationships/hyperlink" Target="https://www.linkedin.com/search/results/companies/?keywords=Van+der+Meer+Groothandel+in+Dierbenodigdheden+B.V." TargetMode="External"/><Relationship Id="rId194" Type="http://schemas.openxmlformats.org/officeDocument/2006/relationships/hyperlink" Target="https://www.decathlon.nl/mp/seller/nrg-fitness-bv/14f44405-4091-46fe-a1eb-7c464a2aad45" TargetMode="External"/><Relationship Id="rId195" Type="http://schemas.openxmlformats.org/officeDocument/2006/relationships/hyperlink" Target="https://a-leads.co/company/4831514_ef0af7b8" TargetMode="External"/><Relationship Id="rId196" Type="http://schemas.openxmlformats.org/officeDocument/2006/relationships/hyperlink" Target="https://www.linkedin.com/search/results/companies/?keywords=NRG+Fitness+B.V." TargetMode="External"/><Relationship Id="rId197" Type="http://schemas.openxmlformats.org/officeDocument/2006/relationships/hyperlink" Target="https://www.also.com/ec/cms5/en_2420/2420/index.jsp" TargetMode="External"/><Relationship Id="rId198" Type="http://schemas.openxmlformats.org/officeDocument/2006/relationships/hyperlink" Target="https://www.also.com/ec/cms5/2420/ContentStart.do" TargetMode="External"/><Relationship Id="rId199" Type="http://schemas.openxmlformats.org/officeDocument/2006/relationships/hyperlink" Target="https://www.linkedin.com/search/results/companies/?keywords=ALSO+Nederland" TargetMode="External"/><Relationship Id="rId200" Type="http://schemas.openxmlformats.org/officeDocument/2006/relationships/hyperlink" Target="https://wisepim.com/suppliers/complies" TargetMode="External"/><Relationship Id="rId201" Type="http://schemas.openxmlformats.org/officeDocument/2006/relationships/hyperlink" Target="https://wisepim.com/suppliers/complies" TargetMode="External"/><Relationship Id="rId202" Type="http://schemas.openxmlformats.org/officeDocument/2006/relationships/hyperlink" Target="https://www.linkedin.com/search/results/companies/?keywords=Complies+BV" TargetMode="External"/><Relationship Id="rId203" Type="http://schemas.openxmlformats.org/officeDocument/2006/relationships/hyperlink" Target="https://www.spectrontoys.com/" TargetMode="External"/><Relationship Id="rId204" Type="http://schemas.openxmlformats.org/officeDocument/2006/relationships/hyperlink" Target="https://iceclog.com/dutch-toy-company-spectron-publishes-brands-in-icecats-toy-data-model" TargetMode="External"/><Relationship Id="rId205" Type="http://schemas.openxmlformats.org/officeDocument/2006/relationships/hyperlink" Target="https://www.linkedin.com/search/results/companies/?keywords=Spectron+The+Toy+Company" TargetMode="External"/><Relationship Id="rId206" Type="http://schemas.openxmlformats.org/officeDocument/2006/relationships/hyperlink" Target="https://www.liza.nl/en/17072521/toi-toys" TargetMode="External"/><Relationship Id="rId207" Type="http://schemas.openxmlformats.org/officeDocument/2006/relationships/hyperlink" Target="https://www.linkedin.com/search/results/companies/?keywords=Toi-Toys" TargetMode="External"/><Relationship Id="rId208" Type="http://schemas.openxmlformats.org/officeDocument/2006/relationships/hyperlink" Target="https://www.groothandelbeauty.nl/" TargetMode="External"/><Relationship Id="rId209" Type="http://schemas.openxmlformats.org/officeDocument/2006/relationships/hyperlink" Target="https://oncosmetics.com/company/groothandel-beauty/" TargetMode="External"/><Relationship Id="rId210" Type="http://schemas.openxmlformats.org/officeDocument/2006/relationships/hyperlink" Target="https://www.linkedin.com/search/results/companies/?keywords=Groothandel+Beauty" TargetMode="External"/><Relationship Id="rId211" Type="http://schemas.openxmlformats.org/officeDocument/2006/relationships/hyperlink" Target="https://www.morningstar.com.au/investments/security/fra/70B" TargetMode="External"/><Relationship Id="rId212" Type="http://schemas.openxmlformats.org/officeDocument/2006/relationships/hyperlink" Target="https://www.linkedin.com/search/results/companies/?keywords=B%26S+Group" TargetMode="External"/><Relationship Id="rId213" Type="http://schemas.openxmlformats.org/officeDocument/2006/relationships/hyperlink" Target="https://elegancewholesale.co.nl/" TargetMode="External"/><Relationship Id="rId214" Type="http://schemas.openxmlformats.org/officeDocument/2006/relationships/hyperlink" Target="https://elegancewholesale.co.nl/partner-with-us" TargetMode="External"/><Relationship Id="rId215" Type="http://schemas.openxmlformats.org/officeDocument/2006/relationships/hyperlink" Target="https://www.linkedin.com/search/results/companies/?keywords=EleganceWholesale" TargetMode="External"/><Relationship Id="rId216" Type="http://schemas.openxmlformats.org/officeDocument/2006/relationships/hyperlink" Target="https://www.makro.nl/" TargetMode="External"/><Relationship Id="rId217" Type="http://schemas.openxmlformats.org/officeDocument/2006/relationships/hyperlink" Target="https://help.makro.nl/en/support/solutions/articles/77000586989-can-i-use-a-foreign-makro-or-metro-card-" TargetMode="External"/><Relationship Id="rId218" Type="http://schemas.openxmlformats.org/officeDocument/2006/relationships/hyperlink" Target="https://www.linkedin.com/search/results/companies/?keywords=METRO+%2F+Makro" TargetMode="External"/><Relationship Id="rId219" Type="http://schemas.openxmlformats.org/officeDocument/2006/relationships/hyperlink" Target="https://www.topbrands.nl/" TargetMode="External"/><Relationship Id="rId220" Type="http://schemas.openxmlformats.org/officeDocument/2006/relationships/hyperlink" Target="https://www.topbrands.nl/faq/" TargetMode="External"/><Relationship Id="rId221" Type="http://schemas.openxmlformats.org/officeDocument/2006/relationships/hyperlink" Target="https://www.linkedin.com/search/results/companies/?keywords=Topbrands" TargetMode="External"/><Relationship Id="rId222" Type="http://schemas.openxmlformats.org/officeDocument/2006/relationships/hyperlink" Target="https://www.cosmeticapartijen.nl/" TargetMode="External"/><Relationship Id="rId223" Type="http://schemas.openxmlformats.org/officeDocument/2006/relationships/hyperlink" Target="https://oncosmetics.com/company/van-der-tang-trading/" TargetMode="External"/><Relationship Id="rId224" Type="http://schemas.openxmlformats.org/officeDocument/2006/relationships/hyperlink" Target="https://www.linkedin.com/search/results/companies/?keywords=Van+der+Tang+Trading" TargetMode="External"/><Relationship Id="rId225" Type="http://schemas.openxmlformats.org/officeDocument/2006/relationships/hyperlink" Target="https://w-pharma-europe3.odoo.com/" TargetMode="External"/><Relationship Id="rId226" Type="http://schemas.openxmlformats.org/officeDocument/2006/relationships/hyperlink" Target="https://w-pharma-europe3.odoo.com/about-us" TargetMode="External"/><Relationship Id="rId227" Type="http://schemas.openxmlformats.org/officeDocument/2006/relationships/hyperlink" Target="https://www.linkedin.com/search/results/companies/?keywords=W+Pharma+Europe" TargetMode="External"/><Relationship Id="rId228" Type="http://schemas.openxmlformats.org/officeDocument/2006/relationships/hyperlink" Target="https://www.papillonpetproducts.com/" TargetMode="External"/><Relationship Id="rId229" Type="http://schemas.openxmlformats.org/officeDocument/2006/relationships/hyperlink" Target="https://www.interzoo.com/en/exhibitors/papillon-pet-products-bv-2227601" TargetMode="External"/><Relationship Id="rId230" Type="http://schemas.openxmlformats.org/officeDocument/2006/relationships/hyperlink" Target="https://www.linkedin.com/search/results/companies/?keywords=Papillon+Pet+Products+B.V." TargetMode="External"/><Relationship Id="rId231" Type="http://schemas.openxmlformats.org/officeDocument/2006/relationships/hyperlink" Target="https://iaapa.org/partners/marketplace/bellus-toys-bv" TargetMode="External"/><Relationship Id="rId232" Type="http://schemas.openxmlformats.org/officeDocument/2006/relationships/hyperlink" Target="https://iaapa.org/partners/marketplace/bellus-toys-bv" TargetMode="External"/><Relationship Id="rId233" Type="http://schemas.openxmlformats.org/officeDocument/2006/relationships/hyperlink" Target="https://www.linkedin.com/search/results/companies/?keywords=Bellus+Toys+B.V." TargetMode="External"/><Relationship Id="rId234" Type="http://schemas.openxmlformats.org/officeDocument/2006/relationships/hyperlink" Target="https://www.channeldistribution.nl/" TargetMode="External"/><Relationship Id="rId235" Type="http://schemas.openxmlformats.org/officeDocument/2006/relationships/hyperlink" Target="https://www.ampliz.com/company/channel-distribution-bv/90357002" TargetMode="External"/><Relationship Id="rId236" Type="http://schemas.openxmlformats.org/officeDocument/2006/relationships/hyperlink" Target="https://www.linkedin.com/search/results/companies/?keywords=Channel+Distribution+B.V." TargetMode="External"/><Relationship Id="rId237" Type="http://schemas.openxmlformats.org/officeDocument/2006/relationships/hyperlink" Target="https://www.beautetrade.com/products/global-wholesale-distributor-of-cosmetics-skincare-fragrances/75837" TargetMode="External"/><Relationship Id="rId238" Type="http://schemas.openxmlformats.org/officeDocument/2006/relationships/hyperlink" Target="https://freshdi.com/supplier/Join-Stadskanaal-B-V-" TargetMode="External"/><Relationship Id="rId239" Type="http://schemas.openxmlformats.org/officeDocument/2006/relationships/hyperlink" Target="https://www.linkedin.com/search/results/companies/?keywords=Join+Stadskanaal+B.V." TargetMode="External"/><Relationship Id="rId240" Type="http://schemas.openxmlformats.org/officeDocument/2006/relationships/hyperlink" Target="https://www.beautetrade.com/suppliers/europe-pharma-group-bv-83659/" TargetMode="External"/><Relationship Id="rId241" Type="http://schemas.openxmlformats.org/officeDocument/2006/relationships/hyperlink" Target="https://www.beautetrade.com/suppliers/europe-pharma-group-bv-83659/" TargetMode="External"/><Relationship Id="rId242" Type="http://schemas.openxmlformats.org/officeDocument/2006/relationships/hyperlink" Target="https://www.linkedin.com/search/results/companies/?keywords=Europe+Pharma+Group+B.V." TargetMode="External"/><Relationship Id="rId243" Type="http://schemas.openxmlformats.org/officeDocument/2006/relationships/hyperlink" Target="https://canpolbabies.com/gb_EN/about-us" TargetMode="External"/><Relationship Id="rId244" Type="http://schemas.openxmlformats.org/officeDocument/2006/relationships/hyperlink" Target="https://compabase.com/companies/krs/0000732574" TargetMode="External"/><Relationship Id="rId245" Type="http://schemas.openxmlformats.org/officeDocument/2006/relationships/hyperlink" Target="https://www.linkedin.com/search/results/companies/?keywords=Canpol+Sp.+z+o.o." TargetMode="External"/><Relationship Id="rId246" Type="http://schemas.openxmlformats.org/officeDocument/2006/relationships/hyperlink" Target="https://www.eveline.com.pl/" TargetMode="External"/><Relationship Id="rId247" Type="http://schemas.openxmlformats.org/officeDocument/2006/relationships/hyperlink" Target="https://targikielce.pl/en/about-us/news/eveline-cosmetics-is-the-largest-polish-manufacturer-and-exporter-of-cosmetics-,29522" TargetMode="External"/><Relationship Id="rId248" Type="http://schemas.openxmlformats.org/officeDocument/2006/relationships/hyperlink" Target="https://www.linkedin.com/search/results/companies/?keywords=Eveline+Cosmetics" TargetMode="External"/><Relationship Id="rId249" Type="http://schemas.openxmlformats.org/officeDocument/2006/relationships/hyperlink" Target="https://www.gtx-group.com/en/about-the-company/" TargetMode="External"/><Relationship Id="rId250" Type="http://schemas.openxmlformats.org/officeDocument/2006/relationships/hyperlink" Target="https://www.gtx-group.com/en/about-the-company/" TargetMode="External"/><Relationship Id="rId251" Type="http://schemas.openxmlformats.org/officeDocument/2006/relationships/hyperlink" Target="https://www.linkedin.com/search/results/companies/?keywords=GTX+Poland+Sp.+z+o.o.+Sp.+k." TargetMode="External"/><Relationship Id="rId252" Type="http://schemas.openxmlformats.org/officeDocument/2006/relationships/hyperlink" Target="https://www.pharmacompass.com/about/olivit" TargetMode="External"/><Relationship Id="rId253" Type="http://schemas.openxmlformats.org/officeDocument/2006/relationships/hyperlink" Target="https://www.linkedin.com/search/results/companies/?keywords=Olivit+Sp.+z+o.o." TargetMode="External"/><Relationship Id="rId254" Type="http://schemas.openxmlformats.org/officeDocument/2006/relationships/hyperlink" Target="https://www.qogita.com/brands/babyono/" TargetMode="External"/><Relationship Id="rId255" Type="http://schemas.openxmlformats.org/officeDocument/2006/relationships/hyperlink" Target="https://www.linkedin.com/search/results/companies/?keywords=BabyOno" TargetMode="External"/><Relationship Id="rId256" Type="http://schemas.openxmlformats.org/officeDocument/2006/relationships/hyperlink" Target="https://www.wiadomoscikosmetyczne.pl/dystrybucja-kosmetykow/e-commerce/hurtownia-davi-uruchomila-platforme-sprzedazy-b2b-2359907" TargetMode="External"/><Relationship Id="rId257" Type="http://schemas.openxmlformats.org/officeDocument/2006/relationships/hyperlink" Target="https://www.linkedin.com/search/results/companies/?keywords=Davi" TargetMode="External"/><Relationship Id="rId258" Type="http://schemas.openxmlformats.org/officeDocument/2006/relationships/hyperlink" Target="https://www.ziaja.com/" TargetMode="External"/><Relationship Id="rId259" Type="http://schemas.openxmlformats.org/officeDocument/2006/relationships/hyperlink" Target="https://en.wikipedia.org/wiki/Ziaja_(company)" TargetMode="External"/><Relationship Id="rId260" Type="http://schemas.openxmlformats.org/officeDocument/2006/relationships/hyperlink" Target="https://www.linkedin.com/search/results/companies/?keywords=Ziaja+Ltd" TargetMode="External"/><Relationship Id="rId261" Type="http://schemas.openxmlformats.org/officeDocument/2006/relationships/hyperlink" Target="https://www.dedra.pl/" TargetMode="External"/><Relationship Id="rId262" Type="http://schemas.openxmlformats.org/officeDocument/2006/relationships/hyperlink" Target="https://www.trade.gov.pl/en/?p=149761" TargetMode="External"/><Relationship Id="rId263" Type="http://schemas.openxmlformats.org/officeDocument/2006/relationships/hyperlink" Target="https://www.linkedin.com/search/results/companies/?keywords=Dedra+Exim+Sp.+z+o.o." TargetMode="External"/><Relationship Id="rId264" Type="http://schemas.openxmlformats.org/officeDocument/2006/relationships/hyperlink" Target="https://logo-tools.pl/" TargetMode="External"/><Relationship Id="rId265" Type="http://schemas.openxmlformats.org/officeDocument/2006/relationships/hyperlink" Target="https://compabase.com/companies/krs/0000646758" TargetMode="External"/><Relationship Id="rId266" Type="http://schemas.openxmlformats.org/officeDocument/2006/relationships/hyperlink" Target="https://www.linkedin.com/search/results/companies/?keywords=Logo-Tools+Sp.+z+o.o." TargetMode="External"/><Relationship Id="rId267" Type="http://schemas.openxmlformats.org/officeDocument/2006/relationships/hyperlink" Target="https://www.aplikuj.pl/pracodawca/80046/misterm-plus-sp-z-o-o-spolka-komandytowa" TargetMode="External"/><Relationship Id="rId268" Type="http://schemas.openxmlformats.org/officeDocument/2006/relationships/hyperlink" Target="https://www.linkedin.com/search/results/companies/?keywords=MisterM+Plus+Sp.+z+o.o.+Sp.k." TargetMode="External"/><Relationship Id="rId269" Type="http://schemas.openxmlformats.org/officeDocument/2006/relationships/hyperlink" Target="https://pracodawcy.pracuj.pl/company/1074126923" TargetMode="External"/><Relationship Id="rId270" Type="http://schemas.openxmlformats.org/officeDocument/2006/relationships/hyperlink" Target="https://www.linkedin.com/search/results/companies/?keywords=Parfum+Company+Sp.+z+o.o.+S.K.A." TargetMode="External"/><Relationship Id="rId271" Type="http://schemas.openxmlformats.org/officeDocument/2006/relationships/hyperlink" Target="https://www.trade.gov.pl/en/?p=51061" TargetMode="External"/><Relationship Id="rId272" Type="http://schemas.openxmlformats.org/officeDocument/2006/relationships/hyperlink" Target="https://trade.gov.pl/en/?p=51061" TargetMode="External"/><Relationship Id="rId273" Type="http://schemas.openxmlformats.org/officeDocument/2006/relationships/hyperlink" Target="https://www.linkedin.com/search/results/companies/?keywords=ZIP+Wieczorek+Sp.+z+o.o." TargetMode="External"/><Relationship Id="rId274" Type="http://schemas.openxmlformats.org/officeDocument/2006/relationships/hyperlink" Target="https://www.decathlon.pl/mp/seller/bacha-sport/4aef1923-5ee8-4c39-8d70-d4fa38144749" TargetMode="External"/><Relationship Id="rId275" Type="http://schemas.openxmlformats.org/officeDocument/2006/relationships/hyperlink" Target="https://www.aplikuj.pl/pracodawca/11313/bacha-sport-sp-z-o-o" TargetMode="External"/><Relationship Id="rId276" Type="http://schemas.openxmlformats.org/officeDocument/2006/relationships/hyperlink" Target="https://www.linkedin.com/search/results/companies/?keywords=Bacha+Sport+Sp.+z+o.o." TargetMode="External"/><Relationship Id="rId277" Type="http://schemas.openxmlformats.org/officeDocument/2006/relationships/hyperlink" Target="https://www.spokey.pl/" TargetMode="External"/><Relationship Id="rId278" Type="http://schemas.openxmlformats.org/officeDocument/2006/relationships/hyperlink" Target="https://www.emis.com/php/company-profile/PL/Spokey_Sp_z_oo_en_2626647.html" TargetMode="External"/><Relationship Id="rId279" Type="http://schemas.openxmlformats.org/officeDocument/2006/relationships/hyperlink" Target="https://www.linkedin.com/search/results/companies/?keywords=Spokey+Sp.+z+o.o." TargetMode="External"/><Relationship Id="rId280" Type="http://schemas.openxmlformats.org/officeDocument/2006/relationships/hyperlink" Target="http://www.interdruk.com.pl/" TargetMode="External"/><Relationship Id="rId281" Type="http://schemas.openxmlformats.org/officeDocument/2006/relationships/hyperlink" Target="https://emis.cn/php/company-profile/PL/Interdruk_SA_en_2384948.html" TargetMode="External"/><Relationship Id="rId282" Type="http://schemas.openxmlformats.org/officeDocument/2006/relationships/hyperlink" Target="https://www.linkedin.com/search/results/companies/?keywords=Interdruk+S.A." TargetMode="External"/><Relationship Id="rId283" Type="http://schemas.openxmlformats.org/officeDocument/2006/relationships/hyperlink" Target="https://tmtoys.pl/" TargetMode="External"/><Relationship Id="rId284" Type="http://schemas.openxmlformats.org/officeDocument/2006/relationships/hyperlink" Target="https://rejestr.io/krs/35010/tm-toys" TargetMode="External"/><Relationship Id="rId285" Type="http://schemas.openxmlformats.org/officeDocument/2006/relationships/hyperlink" Target="https://www.linkedin.com/search/results/companies/?keywords=TM+Toys+Sp.+z+o.o." TargetMode="External"/><Relationship Id="rId286" Type="http://schemas.openxmlformats.org/officeDocument/2006/relationships/hyperlink" Target="https://www.aplikuj.pl/pracodawca/371172/yamann-sp-z-o-o" TargetMode="External"/><Relationship Id="rId287" Type="http://schemas.openxmlformats.org/officeDocument/2006/relationships/hyperlink" Target="https://www.linkedin.com/search/results/companies/?keywords=YAMANN+Sp.+z+o.o." TargetMode="External"/><Relationship Id="rId288" Type="http://schemas.openxmlformats.org/officeDocument/2006/relationships/hyperlink" Target="https://www.aplikuj.pl/pracodawca/159889/alpex-tools/opinie" TargetMode="External"/><Relationship Id="rId289" Type="http://schemas.openxmlformats.org/officeDocument/2006/relationships/hyperlink" Target="https://www.linkedin.com/search/results/companies/?keywords=Alpex-Tools" TargetMode="External"/><Relationship Id="rId290" Type="http://schemas.openxmlformats.org/officeDocument/2006/relationships/hyperlink" Target="https://www.cede.pl/2019/en/exhibition/exhibitors-catalogue/?exh=5799" TargetMode="External"/><Relationship Id="rId291" Type="http://schemas.openxmlformats.org/officeDocument/2006/relationships/hyperlink" Target="https://www.linkedin.com/search/results/companies/?keywords=Profimed" TargetMode="External"/><Relationship Id="rId292" Type="http://schemas.openxmlformats.org/officeDocument/2006/relationships/hyperlink" Target="https://hurtowniakarm.pl/" TargetMode="External"/><Relationship Id="rId293" Type="http://schemas.openxmlformats.org/officeDocument/2006/relationships/hyperlink" Target="https://business.google.com/v/_/08939480399253784979/a394/_" TargetMode="External"/><Relationship Id="rId294" Type="http://schemas.openxmlformats.org/officeDocument/2006/relationships/hyperlink" Target="https://www.linkedin.com/search/results/companies/?keywords=Hurtowniakarm.pl" TargetMode="External"/><Relationship Id="rId295" Type="http://schemas.openxmlformats.org/officeDocument/2006/relationships/hyperlink" Target="https://e-hurtowniasportowa.pl/" TargetMode="External"/><Relationship Id="rId296" Type="http://schemas.openxmlformats.org/officeDocument/2006/relationships/hyperlink" Target="https://www.pracuj.pl/praca/specjalista-specjalistka-ds-obslugi-klienta-b2b-miszewko-pow-kartuski-gdynska-69a,oferta,1003183320" TargetMode="External"/><Relationship Id="rId297" Type="http://schemas.openxmlformats.org/officeDocument/2006/relationships/hyperlink" Target="https://www.linkedin.com/search/results/companies/?keywords=Marba-Sport" TargetMode="External"/><Relationship Id="rId298" Type="http://schemas.openxmlformats.org/officeDocument/2006/relationships/hyperlink" Target="https://extrabiuro.pl/" TargetMode="External"/><Relationship Id="rId299" Type="http://schemas.openxmlformats.org/officeDocument/2006/relationships/hyperlink" Target="https://trade.gov.pl/en/?p=136221" TargetMode="External"/><Relationship Id="rId300" Type="http://schemas.openxmlformats.org/officeDocument/2006/relationships/hyperlink" Target="https://www.linkedin.com/search/results/companies/?keywords=Extrabiuro.pl" TargetMode="External"/><Relationship Id="rId301" Type="http://schemas.openxmlformats.org/officeDocument/2006/relationships/hyperlink" Target="https://ikonka.pl/" TargetMode="External"/><Relationship Id="rId302" Type="http://schemas.openxmlformats.org/officeDocument/2006/relationships/hyperlink" Target="https://www.aplikuj.pl/pracodawca/412938/hurtownia-ikonka" TargetMode="External"/><Relationship Id="rId303" Type="http://schemas.openxmlformats.org/officeDocument/2006/relationships/hyperlink" Target="https://www.linkedin.com/search/results/companies/?keywords=Hurtownia+Ikonka" TargetMode="External"/><Relationship Id="rId304" Type="http://schemas.openxmlformats.org/officeDocument/2006/relationships/hyperlink" Target="https://merkandi.com/" TargetMode="External"/><Relationship Id="rId305" Type="http://schemas.openxmlformats.org/officeDocument/2006/relationships/hyperlink" Target="https://tr-web.dev.trustradius.com/products/merkandi-com" TargetMode="External"/><Relationship Id="rId306" Type="http://schemas.openxmlformats.org/officeDocument/2006/relationships/hyperlink" Target="https://www.linkedin.com/search/results/companies/?keywords=Merkandi" TargetMode="External"/><Relationship Id="rId307" Type="http://schemas.openxmlformats.org/officeDocument/2006/relationships/hyperlink" Target="http://www.dromader.com.pl/" TargetMode="External"/><Relationship Id="rId308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309" Type="http://schemas.openxmlformats.org/officeDocument/2006/relationships/hyperlink" Target="https://www.linkedin.com/search/results/companies/?keywords=Filip+i+S-ka+Dromader+Sp.+j." TargetMode="External"/><Relationship Id="rId310" Type="http://schemas.openxmlformats.org/officeDocument/2006/relationships/hyperlink" Target="https://qudobeauty.com/" TargetMode="External"/><Relationship Id="rId311" Type="http://schemas.openxmlformats.org/officeDocument/2006/relationships/hyperlink" Target="https://www.einpresswire.com/article/837314333/qudobeauty-launches-korean-skincare-wholesale-platform-for-european-retailers" TargetMode="External"/><Relationship Id="rId312" Type="http://schemas.openxmlformats.org/officeDocument/2006/relationships/hyperlink" Target="https://www.linkedin.com/search/results/companies/?keywords=QudoBeauty" TargetMode="External"/><Relationship Id="rId313" Type="http://schemas.openxmlformats.org/officeDocument/2006/relationships/hyperlink" Target="https://www.bigbuy.eu/" TargetMode="External"/><Relationship Id="rId314" Type="http://schemas.openxmlformats.org/officeDocument/2006/relationships/hyperlink" Target="https://bigbuy.eu/en/what-is-bigbuy.html" TargetMode="External"/><Relationship Id="rId315" Type="http://schemas.openxmlformats.org/officeDocument/2006/relationships/hyperlink" Target="https://www.linkedin.com/search/results/companies/?keywords=BigBuy" TargetMode="External"/><Relationship Id="rId316" Type="http://schemas.openxmlformats.org/officeDocument/2006/relationships/hyperlink" Target="https://www.manomano.es/vendedor-2206963" TargetMode="External"/><Relationship Id="rId317" Type="http://schemas.openxmlformats.org/officeDocument/2006/relationships/hyperlink" Target="https://www.manomano.es/vendedor-2206963" TargetMode="External"/><Relationship Id="rId318" Type="http://schemas.openxmlformats.org/officeDocument/2006/relationships/hyperlink" Target="https://www.linkedin.com/search/results/companies/?keywords=Patner+Iberia+SL" TargetMode="External"/><Relationship Id="rId319" Type="http://schemas.openxmlformats.org/officeDocument/2006/relationships/hyperlink" Target="https://www.orientfragance.com/" TargetMode="External"/><Relationship Id="rId320" Type="http://schemas.openxmlformats.org/officeDocument/2006/relationships/hyperlink" Target="https://www.orientfragance.com/pages/contacto" TargetMode="External"/><Relationship Id="rId321" Type="http://schemas.openxmlformats.org/officeDocument/2006/relationships/hyperlink" Target="https://www.linkedin.com/search/results/companies/?keywords=OrientFragance" TargetMode="External"/><Relationship Id="rId322" Type="http://schemas.openxmlformats.org/officeDocument/2006/relationships/hyperlink" Target="https://www.arquivet.com/" TargetMode="External"/><Relationship Id="rId323" Type="http://schemas.openxmlformats.org/officeDocument/2006/relationships/hyperlink" Target="https://www.interzoo.com/en/exhibitors/arquivet-slu-2227511" TargetMode="External"/><Relationship Id="rId324" Type="http://schemas.openxmlformats.org/officeDocument/2006/relationships/hyperlink" Target="https://www.linkedin.com/search/results/companies/?keywords=Arquivet+SLU" TargetMode="External"/><Relationship Id="rId325" Type="http://schemas.openxmlformats.org/officeDocument/2006/relationships/hyperlink" Target="https://www.cspapeleria.com/" TargetMode="External"/><Relationship Id="rId326" Type="http://schemas.openxmlformats.org/officeDocument/2006/relationships/hyperlink" Target="https://www.cspapeleria.com/en/who-we-are" TargetMode="External"/><Relationship Id="rId327" Type="http://schemas.openxmlformats.org/officeDocument/2006/relationships/hyperlink" Target="https://www.linkedin.com/search/results/companies/?keywords=CSP+-+Comercial+del+Sur+de+Papeler&#237;a" TargetMode="External"/><Relationship Id="rId328" Type="http://schemas.openxmlformats.org/officeDocument/2006/relationships/hyperlink" Target="https://www.interempresas.net/Puericultura/609658-Smart-Baby-Brands-se-refuerza-en-Espana-y-Portugal.html" TargetMode="External"/><Relationship Id="rId329" Type="http://schemas.openxmlformats.org/officeDocument/2006/relationships/hyperlink" Target="https://www.linkedin.com/search/results/companies/?keywords=Smart+Baby+Brands" TargetMode="External"/><Relationship Id="rId330" Type="http://schemas.openxmlformats.org/officeDocument/2006/relationships/hyperlink" Target="https://www.arounddeal.com/c/tata-batata/e1vibvmjrt" TargetMode="External"/><Relationship Id="rId331" Type="http://schemas.openxmlformats.org/officeDocument/2006/relationships/hyperlink" Target="https://www.linkedin.com/search/results/companies/?keywords=Tata+Batata" TargetMode="External"/><Relationship Id="rId332" Type="http://schemas.openxmlformats.org/officeDocument/2006/relationships/hyperlink" Target="https://www.bizak.es/" TargetMode="External"/><Relationship Id="rId333" Type="http://schemas.openxmlformats.org/officeDocument/2006/relationships/hyperlink" Target="https://www.iberinform.es/empresa/17738/bizak" TargetMode="External"/><Relationship Id="rId334" Type="http://schemas.openxmlformats.org/officeDocument/2006/relationships/hyperlink" Target="https://www.linkedin.com/search/results/companies/?keywords=Bizak+S.A." TargetMode="External"/><Relationship Id="rId335" Type="http://schemas.openxmlformats.org/officeDocument/2006/relationships/hyperlink" Target="https://proveedores.com/proveedores/nomaco/" TargetMode="External"/><Relationship Id="rId336" Type="http://schemas.openxmlformats.org/officeDocument/2006/relationships/hyperlink" Target="https://www.linkedin.com/search/results/companies/?keywords=Nomaco+Spain" TargetMode="External"/><Relationship Id="rId337" Type="http://schemas.openxmlformats.org/officeDocument/2006/relationships/hyperlink" Target="https://www.jobs.ch/en/companies/8602-carletto-ag/" TargetMode="External"/><Relationship Id="rId338" Type="http://schemas.openxmlformats.org/officeDocument/2006/relationships/hyperlink" Target="https://www.linkedin.com/search/results/companies/?keywords=Carletto+AG" TargetMode="External"/><Relationship Id="rId339" Type="http://schemas.openxmlformats.org/officeDocument/2006/relationships/hyperlink" Target="https://www.qogita.com/" TargetMode="External"/><Relationship Id="rId340" Type="http://schemas.openxmlformats.org/officeDocument/2006/relationships/hyperlink" Target="https://www.qogita.com/blog/amazon-fba-wholesale-tips-for-retailers/" TargetMode="External"/><Relationship Id="rId341" Type="http://schemas.openxmlformats.org/officeDocument/2006/relationships/hyperlink" Target="https://www.linkedin.com/search/results/companies/?keywords=Qogita" TargetMode="External"/><Relationship Id="rId342" Type="http://schemas.openxmlformats.org/officeDocument/2006/relationships/hyperlink" Target="https://www.babybase.co.uk/" TargetMode="External"/><Relationship Id="rId343" Type="http://schemas.openxmlformats.org/officeDocument/2006/relationships/hyperlink" Target="https://nurserytoday.co.uk/2022/11/29/matchstick-monkey-partners-with-babybase/" TargetMode="External"/><Relationship Id="rId344" Type="http://schemas.openxmlformats.org/officeDocument/2006/relationships/hyperlink" Target="https://www.linkedin.com/search/results/companies/?keywords=Babybase+Ltd" TargetMode="External"/><Relationship Id="rId345" Type="http://schemas.openxmlformats.org/officeDocument/2006/relationships/hyperlink" Target="https://www.toolbank.com/" TargetMode="External"/><Relationship Id="rId346" Type="http://schemas.openxmlformats.org/officeDocument/2006/relationships/hyperlink" Target="https://find-and-update.company-information.service.gov.uk/company/00529964" TargetMode="External"/><Relationship Id="rId347" Type="http://schemas.openxmlformats.org/officeDocument/2006/relationships/hyperlink" Target="https://www.linkedin.com/search/results/companies/?keywords=Toolbank+Ltd" TargetMode="External"/><Relationship Id="rId348" Type="http://schemas.openxmlformats.org/officeDocument/2006/relationships/hyperlink" Target="https://www.knights-fragrances.co.uk/" TargetMode="External"/><Relationship Id="rId349" Type="http://schemas.openxmlformats.org/officeDocument/2006/relationships/hyperlink" Target="https://oncosmetics.com/company/knights-fragrances/" TargetMode="External"/><Relationship Id="rId350" Type="http://schemas.openxmlformats.org/officeDocument/2006/relationships/hyperlink" Target="https://www.linkedin.com/search/results/companies/?keywords=Knights+Fragrances" TargetMode="External"/><Relationship Id="rId351" Type="http://schemas.openxmlformats.org/officeDocument/2006/relationships/hyperlink" Target="https://www.starperfumes.com/" TargetMode="External"/><Relationship Id="rId352" Type="http://schemas.openxmlformats.org/officeDocument/2006/relationships/hyperlink" Target="https://panjiva.com/Star-Global-Trading-Ltd/1274977" TargetMode="External"/><Relationship Id="rId353" Type="http://schemas.openxmlformats.org/officeDocument/2006/relationships/hyperlink" Target="https://www.linkedin.com/search/results/companies/?keywords=Star+Perfumes" TargetMode="External"/><Relationship Id="rId354" Type="http://schemas.openxmlformats.org/officeDocument/2006/relationships/hyperlink" Target="https://www.harrisonsdirect.co.uk/" TargetMode="External"/><Relationship Id="rId355" Type="http://schemas.openxmlformats.org/officeDocument/2006/relationships/hyperlink" Target="https://www.harrisonsdirect.co.uk/why-choose-harrisons/" TargetMode="External"/><Relationship Id="rId356" Type="http://schemas.openxmlformats.org/officeDocument/2006/relationships/hyperlink" Target="https://www.linkedin.com/search/results/companies/?keywords=Harrisons+Direct" TargetMode="External"/><Relationship Id="rId357" Type="http://schemas.openxmlformats.org/officeDocument/2006/relationships/hyperlink" Target="https://www.rkwltd.com/" TargetMode="External"/><Relationship Id="rId358" Type="http://schemas.openxmlformats.org/officeDocument/2006/relationships/hyperlink" Target="https://ambiente.messefrankfurt.com/frankfurt/de/ausstellersuche.detail.html/savon-limited.html" TargetMode="External"/><Relationship Id="rId359" Type="http://schemas.openxmlformats.org/officeDocument/2006/relationships/hyperlink" Target="https://www.linkedin.com/search/results/companies/?keywords=RKW+Ltd" TargetMode="External"/><Relationship Id="rId360" Type="http://schemas.openxmlformats.org/officeDocument/2006/relationships/hyperlink" Target="https://www.abgee.co.uk/" TargetMode="External"/><Relationship Id="rId361" Type="http://schemas.openxmlformats.org/officeDocument/2006/relationships/hyperlink" Target="https://www.great.gov.uk/international/buy-from-the-uk/find-a-supplier/supplier/01936299" TargetMode="External"/><Relationship Id="rId362" Type="http://schemas.openxmlformats.org/officeDocument/2006/relationships/hyperlink" Target="https://www.linkedin.com/search/results/companies/?keywords=A.B.+Gee+of+Ripley+Ltd" TargetMode="External"/><Relationship Id="rId363" Type="http://schemas.openxmlformats.org/officeDocument/2006/relationships/hyperlink" Target="https://www.nda-toys.com/" TargetMode="External"/><Relationship Id="rId364" Type="http://schemas.openxmlformats.org/officeDocument/2006/relationships/hyperlink" Target="https://www.toyfair.co.uk/?p=62314" TargetMode="External"/><Relationship Id="rId365" Type="http://schemas.openxmlformats.org/officeDocument/2006/relationships/hyperlink" Target="https://www.linkedin.com/search/results/companies/?keywords=NDA+Toys" TargetMode="External"/><Relationship Id="rId366" Type="http://schemas.openxmlformats.org/officeDocument/2006/relationships/hyperlink" Target="https://www.wind-designs.com/" TargetMode="External"/><Relationship Id="rId367" Type="http://schemas.openxmlformats.org/officeDocument/2006/relationships/hyperlink" Target="https://www.toyfair.co.uk/?p=44154" TargetMode="External"/><Relationship Id="rId368" Type="http://schemas.openxmlformats.org/officeDocument/2006/relationships/hyperlink" Target="https://www.linkedin.com/search/results/companies/?keywords=Wind+Designs+Ltd" TargetMode="External"/><Relationship Id="rId369" Type="http://schemas.openxmlformats.org/officeDocument/2006/relationships/hyperlink" Target="https://www.drapertools.com/" TargetMode="External"/><Relationship Id="rId370" Type="http://schemas.openxmlformats.org/officeDocument/2006/relationships/hyperlink" Target="https://www.drapertools.com/register-as-a-stockist" TargetMode="External"/><Relationship Id="rId371" Type="http://schemas.openxmlformats.org/officeDocument/2006/relationships/hyperlink" Target="https://www.linkedin.com/search/results/companies/?keywords=Draper+Tools" TargetMode="External"/><Relationship Id="rId372" Type="http://schemas.openxmlformats.org/officeDocument/2006/relationships/hyperlink" Target="https://www.affinityfragrances.com/" TargetMode="External"/><Relationship Id="rId373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374" Type="http://schemas.openxmlformats.org/officeDocument/2006/relationships/hyperlink" Target="https://www.linkedin.com/search/results/companies/?keywords=Affinity+Fragrances" TargetMode="External"/><Relationship Id="rId375" Type="http://schemas.openxmlformats.org/officeDocument/2006/relationships/hyperlink" Target="https://www.shaneel.com/shaneel-enterprises" TargetMode="External"/><Relationship Id="rId376" Type="http://schemas.openxmlformats.org/officeDocument/2006/relationships/hyperlink" Target="https://jobs.workable.com/companies/iKxrmDgx2D2P41Cmp6pAvV.md" TargetMode="External"/><Relationship Id="rId377" Type="http://schemas.openxmlformats.org/officeDocument/2006/relationships/hyperlink" Target="https://www.linkedin.com/search/results/companies/?keywords=Shaneel+Group" TargetMode="External"/><Relationship Id="rId378" Type="http://schemas.openxmlformats.org/officeDocument/2006/relationships/hyperlink" Target="https://www.booker.co.uk/" TargetMode="External"/><Relationship Id="rId379" Type="http://schemas.openxmlformats.org/officeDocument/2006/relationships/hyperlink" Target="https://www.parentkind.org.uk/for-ptas/supplier-directory/booker" TargetMode="External"/><Relationship Id="rId380" Type="http://schemas.openxmlformats.org/officeDocument/2006/relationships/hyperlink" Target="https://www.linkedin.com/search/results/companies/?keywords=Booker+Wholesale" TargetMode="External"/><Relationship Id="rId381" Type="http://schemas.openxmlformats.org/officeDocument/2006/relationships/hyperlink" Target="https://www.proteinbargainwholesale.co.uk/" TargetMode="External"/><Relationship Id="rId382" Type="http://schemas.openxmlformats.org/officeDocument/2006/relationships/hyperlink" Target="https://uk.trustpilot.com/review/proteinbargainwholesale.co.uk" TargetMode="External"/><Relationship Id="rId383" Type="http://schemas.openxmlformats.org/officeDocument/2006/relationships/hyperlink" Target="https://www.linkedin.com/search/results/companies/?keywords=PB+Wholesale" TargetMode="External"/><Relationship Id="rId384" Type="http://schemas.openxmlformats.org/officeDocument/2006/relationships/hyperlink" Target="https://www.reliancemedical.co.uk/" TargetMode="External"/><Relationship Id="rId385" Type="http://schemas.openxmlformats.org/officeDocument/2006/relationships/hyperlink" Target="https://healthmanagement.org/site/p/reliance-medical-ltd" TargetMode="External"/><Relationship Id="rId386" Type="http://schemas.openxmlformats.org/officeDocument/2006/relationships/hyperlink" Target="https://www.linkedin.com/search/results/companies/?keywords=Reliance+Medical+Ltd" TargetMode="External"/><Relationship Id="rId387" Type="http://schemas.openxmlformats.org/officeDocument/2006/relationships/hyperlink" Target="https://www.epeinternational.com/" TargetMode="External"/><Relationship Id="rId388" Type="http://schemas.openxmlformats.org/officeDocument/2006/relationships/hyperlink" Target="https://www.bheta.co.uk/suppliers/epe-international-ltd" TargetMode="External"/><Relationship Id="rId389" Type="http://schemas.openxmlformats.org/officeDocument/2006/relationships/hyperlink" Target="https://www.linkedin.com/search/results/companies/?keywords=EPE+International+Ltd" TargetMode="External"/><Relationship Id="rId390" Type="http://schemas.openxmlformats.org/officeDocument/2006/relationships/hyperlink" Target="https://www.petproducts.co.uk/" TargetMode="External"/><Relationship Id="rId391" Type="http://schemas.openxmlformats.org/officeDocument/2006/relationships/hyperlink" Target="https://petproducts.co.uk/pet-supplies-wholesale/" TargetMode="External"/><Relationship Id="rId392" Type="http://schemas.openxmlformats.org/officeDocument/2006/relationships/hyperlink" Target="https://www.linkedin.com/search/results/companies/?keywords=Pedigree+Wholesale" TargetMode="External"/><Relationship Id="rId393" Type="http://schemas.openxmlformats.org/officeDocument/2006/relationships/hyperlink" Target="https://www.gymkituk.com/" TargetMode="External"/><Relationship Id="rId394" Type="http://schemas.openxmlformats.org/officeDocument/2006/relationships/hyperlink" Target="https://healthclubmanagement.co.uk/health-club-management-company-profile/Gymkit-UK/1594" TargetMode="External"/><Relationship Id="rId395" Type="http://schemas.openxmlformats.org/officeDocument/2006/relationships/hyperlink" Target="https://www.linkedin.com/search/results/companies/?keywords=Gymkit+UK" TargetMode="External"/><Relationship Id="rId396" Type="http://schemas.openxmlformats.org/officeDocument/2006/relationships/hyperlink" Target="https://supplier-directory.betterretailing.com/suppliers/galaxy-wholesalers/" TargetMode="External"/><Relationship Id="rId397" Type="http://schemas.openxmlformats.org/officeDocument/2006/relationships/hyperlink" Target="https://find-and-update.company-information.service.gov.uk/company/02872447" TargetMode="External"/><Relationship Id="rId398" Type="http://schemas.openxmlformats.org/officeDocument/2006/relationships/hyperlink" Target="https://www.linkedin.com/search/results/companies/?keywords=Galaxy+Wholesalers+Ltd" TargetMode="External"/><Relationship Id="rId399" Type="http://schemas.openxmlformats.org/officeDocument/2006/relationships/hyperlink" Target="https://www.computerweekly.com/microscope/news/366637861/Exertis-Supplies-picked-up-by-evo" TargetMode="External"/><Relationship Id="rId400" Type="http://schemas.openxmlformats.org/officeDocument/2006/relationships/hyperlink" Target="https://www.linkedin.com/search/results/companies/?keywords=VOW+Wholesale" TargetMode="External"/><Relationship Id="rId401" Type="http://schemas.openxmlformats.org/officeDocument/2006/relationships/hyperlink" Target="https://www.johnadams.co.uk/" TargetMode="External"/><Relationship Id="rId402" Type="http://schemas.openxmlformats.org/officeDocument/2006/relationships/hyperlink" Target="https://www.great.gov.uk/international/buy-from-the-uk/find-a-supplier/supplier/01761275" TargetMode="External"/><Relationship Id="rId403" Type="http://schemas.openxmlformats.org/officeDocument/2006/relationships/hyperlink" Target="https://www.linkedin.com/search/results/companies/?keywords=John+Adams+Leisure+Ltd" TargetMode="External"/><Relationship Id="rId404" Type="http://schemas.openxmlformats.org/officeDocument/2006/relationships/hyperlink" Target="https://open.endole.co.uk/insight/brand/146629-one-for-fun" TargetMode="External"/><Relationship Id="rId405" Type="http://schemas.openxmlformats.org/officeDocument/2006/relationships/hyperlink" Target="https://www.linkedin.com/search/results/companies/?keywords=One+For+Fun" TargetMode="External"/><Relationship Id="rId406" Type="http://schemas.openxmlformats.org/officeDocument/2006/relationships/hyperlink" Target="https://www.peterkin.co.uk/" TargetMode="External"/><Relationship Id="rId407" Type="http://schemas.openxmlformats.org/officeDocument/2006/relationships/hyperlink" Target="https://pay.company-information.service.gov.uk/company/00566155" TargetMode="External"/><Relationship Id="rId408" Type="http://schemas.openxmlformats.org/officeDocument/2006/relationships/hyperlink" Target="https://www.linkedin.com/search/results/companies/?keywords=Peterkin+UK+Ltd" TargetMode="External"/><Relationship Id="rId409" Type="http://schemas.openxmlformats.org/officeDocument/2006/relationships/hyperlink" Target="https://www.babybrandsdirect.co.uk/" TargetMode="External"/><Relationship Id="rId410" Type="http://schemas.openxmlformats.org/officeDocument/2006/relationships/hyperlink" Target="https://www.lawfuel.com/blog/www-babybrandsdirect-co-uk-supports-independent-nursery-and-baby-retailers" TargetMode="External"/><Relationship Id="rId411" Type="http://schemas.openxmlformats.org/officeDocument/2006/relationships/hyperlink" Target="https://www.linkedin.com/search/results/companies/?keywords=Baby+Brands+Direct" TargetMode="External"/><Relationship Id="rId412" Type="http://schemas.openxmlformats.org/officeDocument/2006/relationships/hyperlink" Target="https://www.wholesalebabyproducts.co.uk/" TargetMode="External"/><Relationship Id="rId413" Type="http://schemas.openxmlformats.org/officeDocument/2006/relationships/hyperlink" Target="https://directory.coventrytelegraph.net/company/889881836294144" TargetMode="External"/><Relationship Id="rId414" Type="http://schemas.openxmlformats.org/officeDocument/2006/relationships/hyperlink" Target="https://www.linkedin.com/search/results/companies/?keywords=Wholesale+Baby+Products" TargetMode="External"/><Relationship Id="rId415" Type="http://schemas.openxmlformats.org/officeDocument/2006/relationships/hyperlink" Target="https://bosch-pt.com/uk_bssdealer/uk/en/start/bss_acct/dealers_list/campbell_miller.htm" TargetMode="External"/><Relationship Id="rId416" Type="http://schemas.openxmlformats.org/officeDocument/2006/relationships/hyperlink" Target="https://bosch-pt.com/uk_bssdealer/uk/en/start/bss_acct/dealers_list/campbell_miller.htm" TargetMode="External"/><Relationship Id="rId417" Type="http://schemas.openxmlformats.org/officeDocument/2006/relationships/hyperlink" Target="https://www.linkedin.com/search/results/companies/?keywords=Campbell+Miller+Tools" TargetMode="External"/><Relationship Id="rId418" Type="http://schemas.openxmlformats.org/officeDocument/2006/relationships/hyperlink" Target="https://www.ebay.com/str/toolstek" TargetMode="External"/><Relationship Id="rId419" Type="http://schemas.openxmlformats.org/officeDocument/2006/relationships/hyperlink" Target="https://www.ebay.com/str/toolstek" TargetMode="External"/><Relationship Id="rId420" Type="http://schemas.openxmlformats.org/officeDocument/2006/relationships/hyperlink" Target="https://www.linkedin.com/search/results/companies/?keywords=Toolstek" TargetMode="External"/><Relationship Id="rId421" Type="http://schemas.openxmlformats.org/officeDocument/2006/relationships/hyperlink" Target="https://www.agencedeparfumerie.co.uk/" TargetMode="External"/><Relationship Id="rId422" Type="http://schemas.openxmlformats.org/officeDocument/2006/relationships/hyperlink" Target="https://oncosmetics.com/company/agence-de-parfumerie" TargetMode="External"/><Relationship Id="rId423" Type="http://schemas.openxmlformats.org/officeDocument/2006/relationships/hyperlink" Target="https://www.linkedin.com/search/results/companies/?keywords=Agence+de+Parfumerie" TargetMode="External"/><Relationship Id="rId424" Type="http://schemas.openxmlformats.org/officeDocument/2006/relationships/hyperlink" Target="https://www.bestwaywholesale.co.uk/" TargetMode="External"/><Relationship Id="rId425" Type="http://schemas.openxmlformats.org/officeDocument/2006/relationships/hyperlink" Target="https://www.bestwaygroup.co.uk/contact-us" TargetMode="External"/><Relationship Id="rId426" Type="http://schemas.openxmlformats.org/officeDocument/2006/relationships/hyperlink" Target="https://www.linkedin.com/search/results/companies/?keywords=Bestway+Wholesale" TargetMode="External"/><Relationship Id="rId427" Type="http://schemas.openxmlformats.org/officeDocument/2006/relationships/hyperlink" Target="https://www.costco.co.uk/" TargetMode="External"/><Relationship Id="rId428" Type="http://schemas.openxmlformats.org/officeDocument/2006/relationships/hyperlink" Target="https://www.costco.co.uk/membership-business-questions" TargetMode="External"/><Relationship Id="rId429" Type="http://schemas.openxmlformats.org/officeDocument/2006/relationships/hyperlink" Target="https://www.linkedin.com/search/results/companies/?keywords=Costco+UK" TargetMode="External"/><Relationship Id="rId430" Type="http://schemas.openxmlformats.org/officeDocument/2006/relationships/hyperlink" Target="https://www.dkwholesale.com/" TargetMode="External"/><Relationship Id="rId431" Type="http://schemas.openxmlformats.org/officeDocument/2006/relationships/hyperlink" Target="https://es.trustpilot.com/review/dkwholesale.com" TargetMode="External"/><Relationship Id="rId432" Type="http://schemas.openxmlformats.org/officeDocument/2006/relationships/hyperlink" Target="https://www.linkedin.com/search/results/companies/?keywords=DK+Wholesale" TargetMode="External"/><Relationship Id="rId433" Type="http://schemas.openxmlformats.org/officeDocument/2006/relationships/hyperlink" Target="https://www.dhamecha.com/" TargetMode="External"/><Relationship Id="rId434" Type="http://schemas.openxmlformats.org/officeDocument/2006/relationships/hyperlink" Target="https://unitaswholesale.co.uk/retailer/wholesaler-search-2/page/8/" TargetMode="External"/><Relationship Id="rId435" Type="http://schemas.openxmlformats.org/officeDocument/2006/relationships/hyperlink" Target="https://www.linkedin.com/search/results/companies/?keywords=Dhamecha+Cash+%26+Carry" TargetMode="External"/><Relationship Id="rId436" Type="http://schemas.openxmlformats.org/officeDocument/2006/relationships/hyperlink" Target="https://www.hancocks.co.uk/" TargetMode="External"/><Relationship Id="rId437" Type="http://schemas.openxmlformats.org/officeDocument/2006/relationships/hyperlink" Target="https://hancocks.co.uk/about" TargetMode="External"/><Relationship Id="rId438" Type="http://schemas.openxmlformats.org/officeDocument/2006/relationships/hyperlink" Target="https://www.linkedin.com/search/results/companies/?keywords=Hancocks" TargetMode="External"/><Relationship Id="rId439" Type="http://schemas.openxmlformats.org/officeDocument/2006/relationships/hyperlink" Target="https://www.parfetts.co.uk/" TargetMode="External"/><Relationship Id="rId440" Type="http://schemas.openxmlformats.org/officeDocument/2006/relationships/hyperlink" Target="https://barandkitchenmagazine.com/?p=20919" TargetMode="External"/><Relationship Id="rId441" Type="http://schemas.openxmlformats.org/officeDocument/2006/relationships/hyperlink" Target="https://www.linkedin.com/search/results/companies/?keywords=Parfetts" TargetMode="External"/><Relationship Id="rId442" Type="http://schemas.openxmlformats.org/officeDocument/2006/relationships/hyperlink" Target="https://www.clfdistribution.com/" TargetMode="External"/><Relationship Id="rId443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444" Type="http://schemas.openxmlformats.org/officeDocument/2006/relationships/hyperlink" Target="https://www.linkedin.com/search/results/companies/?keywords=CLF+Distribution" TargetMode="External"/><Relationship Id="rId445" Type="http://schemas.openxmlformats.org/officeDocument/2006/relationships/hyperlink" Target="https://pay.company-information.service.gov.uk/company/03076698" TargetMode="External"/><Relationship Id="rId446" Type="http://schemas.openxmlformats.org/officeDocument/2006/relationships/hyperlink" Target="https://www.linkedin.com/search/results/companies/?keywords=Lexon" TargetMode="External"/><Relationship Id="rId447" Type="http://schemas.openxmlformats.org/officeDocument/2006/relationships/hyperlink" Target="https://www.predatornutrition.com/" TargetMode="External"/><Relationship Id="rId448" Type="http://schemas.openxmlformats.org/officeDocument/2006/relationships/hyperlink" Target="https://www.zinrelo.com/loyalty-program-showcase/predator-nutrition/" TargetMode="External"/><Relationship Id="rId449" Type="http://schemas.openxmlformats.org/officeDocument/2006/relationships/hyperlink" Target="https://www.linkedin.com/search/results/companies/?keywords=Predator+Nutrition" TargetMode="External"/><Relationship Id="rId450" Type="http://schemas.openxmlformats.org/officeDocument/2006/relationships/hyperlink" Target="https://www.bheta.co.uk/news/bluestem-group-starts-distribution-partnership-with-delonghi-kenwood-braun" TargetMode="External"/><Relationship Id="rId451" Type="http://schemas.openxmlformats.org/officeDocument/2006/relationships/hyperlink" Target="https://www.linkedin.com/search/results/companies/?keywords=Bluestem+Group" TargetMode="External"/><Relationship Id="rId452" Type="http://schemas.openxmlformats.org/officeDocument/2006/relationships/hyperlink" Target="https://housewareslive.net/microplane-partners-with-burton-mccall/" TargetMode="External"/><Relationship Id="rId453" Type="http://schemas.openxmlformats.org/officeDocument/2006/relationships/hyperlink" Target="https://www.linkedin.com/search/results/companies/?keywords=Burton+McCall" TargetMode="External"/><Relationship Id="rId454" Type="http://schemas.openxmlformats.org/officeDocument/2006/relationships/hyperlink" Target="https://www.connect-distribution.co.uk/" TargetMode="External"/><Relationship Id="rId455" Type="http://schemas.openxmlformats.org/officeDocument/2006/relationships/hyperlink" Target="https://bira.co.uk/suppliers/connect/" TargetMode="External"/><Relationship Id="rId456" Type="http://schemas.openxmlformats.org/officeDocument/2006/relationships/hyperlink" Target="https://www.linkedin.com/search/results/companies/?keywords=Connect+Distribution" TargetMode="External"/><Relationship Id="rId457" Type="http://schemas.openxmlformats.org/officeDocument/2006/relationships/hyperlink" Target="https://hauswares.co.uk/" TargetMode="External"/><Relationship Id="rId458" Type="http://schemas.openxmlformats.org/officeDocument/2006/relationships/hyperlink" Target="https://bira.co.uk/suppliers/haus-marketing-distrubution/" TargetMode="External"/><Relationship Id="rId459" Type="http://schemas.openxmlformats.org/officeDocument/2006/relationships/hyperlink" Target="https://www.linkedin.com/search/results/companies/?keywords=HAUS+Marketing+%26+Distribution" TargetMode="External"/><Relationship Id="rId460" Type="http://schemas.openxmlformats.org/officeDocument/2006/relationships/hyperlink" Target="https://www.great.gov.uk/international/buy-from-the-uk/find-a-supplier/supplier/07179010" TargetMode="External"/><Relationship Id="rId461" Type="http://schemas.openxmlformats.org/officeDocument/2006/relationships/hyperlink" Target="https://www.great.gov.uk/international/buy-from-the-uk/find-a-supplier/supplier/07179010" TargetMode="External"/><Relationship Id="rId462" Type="http://schemas.openxmlformats.org/officeDocument/2006/relationships/hyperlink" Target="https://www.linkedin.com/search/results/companies/?keywords=SQ+Professional+Ltd" TargetMode="External"/><Relationship Id="rId463" Type="http://schemas.openxmlformats.org/officeDocument/2006/relationships/hyperlink" Target="https://petbusinessworld.co.uk/trade-directory/list/wholesalers" TargetMode="External"/><Relationship Id="rId464" Type="http://schemas.openxmlformats.org/officeDocument/2006/relationships/hyperlink" Target="https://www.linkedin.com/search/results/companies/?keywords=PMS+International" TargetMode="External"/><Relationship Id="rId465" Type="http://schemas.openxmlformats.org/officeDocument/2006/relationships/hyperlink" Target="https://www.pawsproducts.com/" TargetMode="External"/><Relationship Id="rId466" Type="http://schemas.openxmlformats.org/officeDocument/2006/relationships/hyperlink" Target="https://www.petbusinessworld.co.uk/trade-directory/list/wholesalers/page/2?l=p" TargetMode="External"/><Relationship Id="rId467" Type="http://schemas.openxmlformats.org/officeDocument/2006/relationships/hyperlink" Target="https://www.linkedin.com/search/results/companies/?keywords=Paws+Products+Wholesale" TargetMode="External"/><Relationship Id="rId468" Type="http://schemas.openxmlformats.org/officeDocument/2006/relationships/hyperlink" Target="https://hykew-hykehamwholesale.dc02.gob2b.com/" TargetMode="External"/><Relationship Id="rId469" Type="http://schemas.openxmlformats.org/officeDocument/2006/relationships/hyperlink" Target="https://find-and-update.company-information.service.gov.uk/company/04582675" TargetMode="External"/><Relationship Id="rId470" Type="http://schemas.openxmlformats.org/officeDocument/2006/relationships/hyperlink" Target="https://www.linkedin.com/search/results/companies/?keywords=Hykeham+Wholesale+Ltd" TargetMode="External"/><Relationship Id="rId471" Type="http://schemas.openxmlformats.org/officeDocument/2006/relationships/hyperlink" Target="https://www.vango.co.uk/" TargetMode="External"/><Relationship Id="rId472" Type="http://schemas.openxmlformats.org/officeDocument/2006/relationships/hyperlink" Target="https://en.wikipedia.org/wiki/Vango_(company)" TargetMode="External"/><Relationship Id="rId473" Type="http://schemas.openxmlformats.org/officeDocument/2006/relationships/hyperlink" Target="https://www.linkedin.com/search/results/companies/?keywords=Vango" TargetMode="External"/><Relationship Id="rId474" Type="http://schemas.openxmlformats.org/officeDocument/2006/relationships/hyperlink" Target="https://supplier-directory.betterretailing.com/?p=1293" TargetMode="External"/><Relationship Id="rId475" Type="http://schemas.openxmlformats.org/officeDocument/2006/relationships/hyperlink" Target="https://supplier-directory.betterretailing.com/?p=1293" TargetMode="External"/><Relationship Id="rId476" Type="http://schemas.openxmlformats.org/officeDocument/2006/relationships/hyperlink" Target="https://www.linkedin.com/search/results/companies/?keywords=The+Impact+Distribution+Group" TargetMode="External"/><Relationship Id="rId477" Type="http://schemas.openxmlformats.org/officeDocument/2006/relationships/hyperlink" Target="https://ensun.io/search/art-craft-supply/united-kingdom" TargetMode="External"/><Relationship Id="rId478" Type="http://schemas.openxmlformats.org/officeDocument/2006/relationships/hyperlink" Target="https://www.linkedin.com/search/results/companies/?keywords=West+Design+Products" TargetMode="External"/><Relationship Id="rId479" Type="http://schemas.openxmlformats.org/officeDocument/2006/relationships/hyperlink" Target="https://www.character-online.com/" TargetMode="External"/><Relationship Id="rId480" Type="http://schemas.openxmlformats.org/officeDocument/2006/relationships/hyperlink" Target="https://toysnplaythings.media/new-appointments-at-character" TargetMode="External"/><Relationship Id="rId481" Type="http://schemas.openxmlformats.org/officeDocument/2006/relationships/hyperlink" Target="https://www.linkedin.com/search/results/companies/?keywords=Character+Options+Ltd" TargetMode="External"/><Relationship Id="rId482" Type="http://schemas.openxmlformats.org/officeDocument/2006/relationships/hyperlink" Target="https://gb.keycraftglobal.com/" TargetMode="External"/><Relationship Id="rId483" Type="http://schemas.openxmlformats.org/officeDocument/2006/relationships/hyperlink" Target="https://mom.maison-objet.com/en/brand/10830/keycraft" TargetMode="External"/><Relationship Id="rId484" Type="http://schemas.openxmlformats.org/officeDocument/2006/relationships/hyperlink" Target="https://www.linkedin.com/search/results/companies/?keywords=Keycraft" TargetMode="External"/><Relationship Id="rId485" Type="http://schemas.openxmlformats.org/officeDocument/2006/relationships/hyperlink" Target="https://www.puckator.co.uk/" TargetMode="External"/><Relationship Id="rId486" Type="http://schemas.openxmlformats.org/officeDocument/2006/relationships/hyperlink" Target="https://www.puckator.co.uk/faq" TargetMode="External"/><Relationship Id="rId487" Type="http://schemas.openxmlformats.org/officeDocument/2006/relationships/hyperlink" Target="https://www.linkedin.com/search/results/companies/?keywords=Puckator+Ltd" TargetMode="External"/><Relationship Id="rId488" Type="http://schemas.openxmlformats.org/officeDocument/2006/relationships/hyperlink" Target="https://www.astonandfincher.co.uk/" TargetMode="External"/><Relationship Id="rId489" Type="http://schemas.openxmlformats.org/officeDocument/2006/relationships/hyperlink" Target="https://www.astonandfincher.co.uk/pages/new-customers" TargetMode="External"/><Relationship Id="rId490" Type="http://schemas.openxmlformats.org/officeDocument/2006/relationships/hyperlink" Target="https://www.linkedin.com/search/results/companies/?keywords=Aston+%26+Fincher" TargetMode="External"/><Relationship Id="rId491" Type="http://schemas.openxmlformats.org/officeDocument/2006/relationships/hyperlink" Target="https://www.capitalhairandbeauty.co.uk/" TargetMode="External"/><Relationship Id="rId492" Type="http://schemas.openxmlformats.org/officeDocument/2006/relationships/hyperlink" Target="https://pay.company-information.service.gov.uk/company/00530201" TargetMode="External"/><Relationship Id="rId493" Type="http://schemas.openxmlformats.org/officeDocument/2006/relationships/hyperlink" Target="https://www.linkedin.com/search/results/companies/?keywords=Capital+Hair+%26+Beauty" TargetMode="External"/><Relationship Id="rId494" Type="http://schemas.openxmlformats.org/officeDocument/2006/relationships/hyperlink" Target="https://www.cherrycosmetics.co.uk/" TargetMode="External"/><Relationship Id="rId495" Type="http://schemas.openxmlformats.org/officeDocument/2006/relationships/hyperlink" Target="https://oncosmetics.com/company/cherry-cosmetics/" TargetMode="External"/><Relationship Id="rId496" Type="http://schemas.openxmlformats.org/officeDocument/2006/relationships/hyperlink" Target="https://www.linkedin.com/search/results/companies/?keywords=Cherry+Cosmetics" TargetMode="External"/><Relationship Id="rId497" Type="http://schemas.openxmlformats.org/officeDocument/2006/relationships/hyperlink" Target="https://www.exquisitecosmetics.co.uk/" TargetMode="External"/><Relationship Id="rId498" Type="http://schemas.openxmlformats.org/officeDocument/2006/relationships/hyperlink" Target="https://pay.company-information.service.gov.uk/company/01315797" TargetMode="External"/><Relationship Id="rId499" Type="http://schemas.openxmlformats.org/officeDocument/2006/relationships/hyperlink" Target="https://www.linkedin.com/search/results/companies/?keywords=Exquisite+Cosmetics+Ltd" TargetMode="External"/><Relationship Id="rId500" Type="http://schemas.openxmlformats.org/officeDocument/2006/relationships/hyperlink" Target="https://www.lookinstyle.co.uk/" TargetMode="External"/><Relationship Id="rId501" Type="http://schemas.openxmlformats.org/officeDocument/2006/relationships/hyperlink" Target="https://oncosmetics.com/company/lookinstyle/" TargetMode="External"/><Relationship Id="rId502" Type="http://schemas.openxmlformats.org/officeDocument/2006/relationships/hyperlink" Target="https://www.linkedin.com/search/results/companies/?keywords=LookinStyle" TargetMode="External"/><Relationship Id="rId503" Type="http://schemas.openxmlformats.org/officeDocument/2006/relationships/hyperlink" Target="https://www.beautetrade.com/suppliers/ludonex-ltd-108314/" TargetMode="External"/><Relationship Id="rId504" Type="http://schemas.openxmlformats.org/officeDocument/2006/relationships/hyperlink" Target="https://www.beautetrade.com/suppliers/ludonex-ltd-108314/" TargetMode="External"/><Relationship Id="rId505" Type="http://schemas.openxmlformats.org/officeDocument/2006/relationships/hyperlink" Target="https://www.linkedin.com/search/results/companies/?keywords=Ludonex+Ltd" TargetMode="External"/><Relationship Id="rId506" Type="http://schemas.openxmlformats.org/officeDocument/2006/relationships/hyperlink" Target="https://www.wholesaleclearance.co.uk/" TargetMode="External"/><Relationship Id="rId507" Type="http://schemas.openxmlformats.org/officeDocument/2006/relationships/hyperlink" Target="https://wholesalehelper.io/es/blog/Los-10-principales-proveedores-mayoristas-del-Reino-Unido/" TargetMode="External"/><Relationship Id="rId508" Type="http://schemas.openxmlformats.org/officeDocument/2006/relationships/hyperlink" Target="https://www.linkedin.com/search/results/companies/?keywords=Wholesale+Clearance+UK" TargetMode="External"/><Relationship Id="rId509" Type="http://schemas.openxmlformats.org/officeDocument/2006/relationships/hyperlink" Target="https://www.devex.com/organizations/gp-supplies-154743" TargetMode="External"/><Relationship Id="rId510" Type="http://schemas.openxmlformats.org/officeDocument/2006/relationships/hyperlink" Target="https://www.linkedin.com/search/results/companies/?keywords=GP+Supplies" TargetMode="External"/><Relationship Id="rId511" Type="http://schemas.openxmlformats.org/officeDocument/2006/relationships/hyperlink" Target="https://b2brazil.com/hotsite/karysrolltd" TargetMode="External"/><Relationship Id="rId512" Type="http://schemas.openxmlformats.org/officeDocument/2006/relationships/hyperlink" Target="https://b2brazil.com/hotsite/karysrolltd" TargetMode="External"/><Relationship Id="rId513" Type="http://schemas.openxmlformats.org/officeDocument/2006/relationships/hyperlink" Target="https://www.linkedin.com/search/results/companies/?keywords=Karysrol+Ltd" TargetMode="External"/><Relationship Id="rId514" Type="http://schemas.openxmlformats.org/officeDocument/2006/relationships/hyperlink" Target="https://www.kinetic4health.co.uk/" TargetMode="External"/><Relationship Id="rId515" Type="http://schemas.openxmlformats.org/officeDocument/2006/relationships/hyperlink" Target="https://cosmeticsbusiness.com/kinetic-natural-products-distributor-120192" TargetMode="External"/><Relationship Id="rId516" Type="http://schemas.openxmlformats.org/officeDocument/2006/relationships/hyperlink" Target="https://www.linkedin.com/search/results/companies/?keywords=Kinetic+Natural+Product+Distributor" TargetMode="External"/><Relationship Id="rId517" Type="http://schemas.openxmlformats.org/officeDocument/2006/relationships/hyperlink" Target="https://www.suma.coop/" TargetMode="External"/><Relationship Id="rId518" Type="http://schemas.openxmlformats.org/officeDocument/2006/relationships/hyperlink" Target="https://de.trustpilot.com/review/www.suma.coop?page=3" TargetMode="External"/><Relationship Id="rId519" Type="http://schemas.openxmlformats.org/officeDocument/2006/relationships/hyperlink" Target="https://www.linkedin.com/search/results/companies/?keywords=Suma+Wholefoods" TargetMode="External"/><Relationship Id="rId520" Type="http://schemas.openxmlformats.org/officeDocument/2006/relationships/hyperlink" Target="https://www.shure-cosmetics.co.uk/" TargetMode="External"/><Relationship Id="rId521" Type="http://schemas.openxmlformats.org/officeDocument/2006/relationships/hyperlink" Target="https://www.royalgreenwich.gov.uk/news/2025/woolwich-based-cosmetics-wholesaler-fined-selling-unapproved-perfume" TargetMode="External"/><Relationship Id="rId522" Type="http://schemas.openxmlformats.org/officeDocument/2006/relationships/hyperlink" Target="https://www.linkedin.com/search/results/companies/?keywords=Shure+Cosmetics" TargetMode="External"/><Relationship Id="rId523" Type="http://schemas.openxmlformats.org/officeDocument/2006/relationships/hyperlink" Target="https://toolguyd.com/triton-tools-insolventcy-acquisition/" TargetMode="External"/><Relationship Id="rId524" Type="http://schemas.openxmlformats.org/officeDocument/2006/relationships/hyperlink" Target="https://www.linkedin.com/search/results/companies/?keywords=Toolstream+%2F+Silverline+Tools" TargetMode="External"/><Relationship Id="rId525" Type="http://schemas.openxmlformats.org/officeDocument/2006/relationships/hyperlink" Target="https://symphonya.eu/" TargetMode="External"/><Relationship Id="rId526" Type="http://schemas.openxmlformats.org/officeDocument/2006/relationships/hyperlink" Target="https://hellotax.com/partners/symphonya" TargetMode="External"/><Relationship Id="rId527" Type="http://schemas.openxmlformats.org/officeDocument/2006/relationships/hyperlink" Target="https://www.linkedin.com/search/results/companies/?keywords=Symphonya.eu" TargetMode="External"/><Relationship Id="rId528" Type="http://schemas.openxmlformats.org/officeDocument/2006/relationships/hyperlink" Target="https://bstock.com/amazoneu/about/" TargetMode="External"/><Relationship Id="rId529" Type="http://schemas.openxmlformats.org/officeDocument/2006/relationships/hyperlink" Target="https://bstock.com/amazoneu/about/" TargetMode="External"/><Relationship Id="rId530" Type="http://schemas.openxmlformats.org/officeDocument/2006/relationships/hyperlink" Target="https://www.linkedin.com/search/results/companies/?keywords=B-Stock+-+Amazon+EU+Liquidation+Auctions" TargetMode="External"/><Relationship Id="rId531" Type="http://schemas.openxmlformats.org/officeDocument/2006/relationships/hyperlink" Target="https://www.faire.com/" TargetMode="External"/><Relationship Id="rId532" Type="http://schemas.openxmlformats.org/officeDocument/2006/relationships/hyperlink" Target="https://faire.com/support/articles/29881314074139" TargetMode="External"/><Relationship Id="rId533" Type="http://schemas.openxmlformats.org/officeDocument/2006/relationships/hyperlink" Target="https://www.linkedin.com/search/results/companies/?keywords=Faire" TargetMode="External"/><Relationship Id="rId53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Flamingo+Pet+Products+NV" TargetMode="External"/><Relationship Id="rId2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3" Type="http://schemas.openxmlformats.org/officeDocument/2006/relationships/hyperlink" Target="https://www.linkedin.com/search/results/companies/?keywords=Baekho+Beauty" TargetMode="External"/><Relationship Id="rId4" Type="http://schemas.openxmlformats.org/officeDocument/2006/relationships/hyperlink" Target="https://www.linkedin.com/search/results/people/?keywords=Baekho+Beauty+sales+OR+%22account+manager%22+OR+%22business+development%22" TargetMode="External"/><Relationship Id="rId5" Type="http://schemas.openxmlformats.org/officeDocument/2006/relationships/hyperlink" Target="https://www.linkedin.com/search/results/companies/?keywords=Beautylux" TargetMode="External"/><Relationship Id="rId6" Type="http://schemas.openxmlformats.org/officeDocument/2006/relationships/hyperlink" Target="https://www.linkedin.com/search/results/people/?keywords=Beautylux+sales+OR+%22account+manager%22+OR+%22business+development%22" TargetMode="External"/><Relationship Id="rId7" Type="http://schemas.openxmlformats.org/officeDocument/2006/relationships/hyperlink" Target="https://www.linkedin.com/search/results/companies/?keywords=Galico+NV" TargetMode="External"/><Relationship Id="rId8" Type="http://schemas.openxmlformats.org/officeDocument/2006/relationships/hyperlink" Target="https://www.linkedin.com/search/results/people/?keywords=Galico+NV+sales+OR+%22account+manager%22+OR+%22business+development%22" TargetMode="External"/><Relationship Id="rId9" Type="http://schemas.openxmlformats.org/officeDocument/2006/relationships/hyperlink" Target="https://www.linkedin.com/search/results/companies/?keywords=Laroy+Group" TargetMode="External"/><Relationship Id="rId10" Type="http://schemas.openxmlformats.org/officeDocument/2006/relationships/hyperlink" Target="https://www.linkedin.com/search/results/people/?keywords=Laroy+Group+sales+OR+%22account+manager%22+OR+%22business+development%22" TargetMode="External"/><Relationship Id="rId11" Type="http://schemas.openxmlformats.org/officeDocument/2006/relationships/hyperlink" Target="https://www.linkedin.com/search/results/companies/?keywords=Euro+Cosmetic" TargetMode="External"/><Relationship Id="rId12" Type="http://schemas.openxmlformats.org/officeDocument/2006/relationships/hyperlink" Target="https://www.linkedin.com/search/results/people/?keywords=Euro+Cosmetic+sales+OR+%22account+manager%22+OR+%22business+development%22" TargetMode="External"/><Relationship Id="rId13" Type="http://schemas.openxmlformats.org/officeDocument/2006/relationships/hyperlink" Target="https://www.linkedin.com/search/results/companies/?keywords=Iventas" TargetMode="External"/><Relationship Id="rId14" Type="http://schemas.openxmlformats.org/officeDocument/2006/relationships/hyperlink" Target="https://www.linkedin.com/search/results/people/?keywords=Iventas+sales+OR+%22account+manager%22+OR+%22business+development%22" TargetMode="External"/><Relationship Id="rId15" Type="http://schemas.openxmlformats.org/officeDocument/2006/relationships/hyperlink" Target="https://www.linkedin.com/search/results/companies/?keywords=BJUTIP+a.s." TargetMode="External"/><Relationship Id="rId16" Type="http://schemas.openxmlformats.org/officeDocument/2006/relationships/hyperlink" Target="https://www.linkedin.com/search/results/people/?keywords=BJUTIP+a.s.+sales+OR+%22account+manager%22+OR+%22business+development%22" TargetMode="External"/><Relationship Id="rId17" Type="http://schemas.openxmlformats.org/officeDocument/2006/relationships/hyperlink" Target="https://www.linkedin.com/search/results/companies/?keywords=Tommi+CZ+s.r.o." TargetMode="External"/><Relationship Id="rId18" Type="http://schemas.openxmlformats.org/officeDocument/2006/relationships/hyperlink" Target="https://www.linkedin.com/search/results/people/?keywords=Tommi+CZ+s.r.o.+sales+OR+%22account+manager%22+OR+%22business+development%22" TargetMode="External"/><Relationship Id="rId19" Type="http://schemas.openxmlformats.org/officeDocument/2006/relationships/hyperlink" Target="https://www.linkedin.com/search/results/companies/?keywords=Samoh&#253;l+Group" TargetMode="External"/><Relationship Id="rId20" Type="http://schemas.openxmlformats.org/officeDocument/2006/relationships/hyperlink" Target="https://www.linkedin.com/search/results/people/?keywords=Samoh&#253;l+Group+sales+OR+%22account+manager%22+OR+%22business+development%22" TargetMode="External"/><Relationship Id="rId21" Type="http://schemas.openxmlformats.org/officeDocument/2006/relationships/hyperlink" Target="https://www.linkedin.com/search/results/companies/?keywords=Teddies+s.r.o." TargetMode="External"/><Relationship Id="rId22" Type="http://schemas.openxmlformats.org/officeDocument/2006/relationships/hyperlink" Target="https://www.linkedin.com/search/results/people/?keywords=Teddies+s.r.o.+sales+OR+%22account+manager%22+OR+%22business+development%22" TargetMode="External"/><Relationship Id="rId23" Type="http://schemas.openxmlformats.org/officeDocument/2006/relationships/hyperlink" Target="https://www.linkedin.com/search/results/companies/?keywords=Creativ+Company+A%2FS" TargetMode="External"/><Relationship Id="rId24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25" Type="http://schemas.openxmlformats.org/officeDocument/2006/relationships/hyperlink" Target="https://www.linkedin.com/search/results/companies/?keywords=Zolux+SAS" TargetMode="External"/><Relationship Id="rId26" Type="http://schemas.openxmlformats.org/officeDocument/2006/relationships/hyperlink" Target="https://www.linkedin.com/search/results/people/?keywords=Zolux+SAS+sales+OR+%22account+manager%22+OR+%22business+development%22" TargetMode="External"/><Relationship Id="rId27" Type="http://schemas.openxmlformats.org/officeDocument/2006/relationships/hyperlink" Target="https://www.linkedin.com/search/results/companies/?keywords=Exacompta+Clairefontaine" TargetMode="External"/><Relationship Id="rId28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29" Type="http://schemas.openxmlformats.org/officeDocument/2006/relationships/hyperlink" Target="https://www.linkedin.com/search/results/companies/?keywords=WDK+Groupe+Partner" TargetMode="External"/><Relationship Id="rId30" Type="http://schemas.openxmlformats.org/officeDocument/2006/relationships/hyperlink" Target="https://www.linkedin.com/search/results/people/?keywords=WDK+Groupe+Partner+sales+OR+%22account+manager%22+OR+%22business+development%22" TargetMode="External"/><Relationship Id="rId31" Type="http://schemas.openxmlformats.org/officeDocument/2006/relationships/hyperlink" Target="https://www.linkedin.com/search/results/companies/?keywords=Ankorstore" TargetMode="External"/><Relationship Id="rId32" Type="http://schemas.openxmlformats.org/officeDocument/2006/relationships/hyperlink" Target="https://www.linkedin.com/search/results/people/?keywords=Ankorstore+sales+OR+%22account+manager%22+OR+%22business+development%22" TargetMode="External"/><Relationship Id="rId33" Type="http://schemas.openxmlformats.org/officeDocument/2006/relationships/hyperlink" Target="https://www.linkedin.com/search/results/companies/?keywords=Stocklear" TargetMode="External"/><Relationship Id="rId34" Type="http://schemas.openxmlformats.org/officeDocument/2006/relationships/hyperlink" Target="https://www.linkedin.com/search/results/people/?keywords=Stocklear+sales+OR+%22account+manager%22+OR+%22business+development%22" TargetMode="External"/><Relationship Id="rId35" Type="http://schemas.openxmlformats.org/officeDocument/2006/relationships/hyperlink" Target="https://www.linkedin.com/search/results/companies/?keywords=CSP+Cosmetics" TargetMode="External"/><Relationship Id="rId36" Type="http://schemas.openxmlformats.org/officeDocument/2006/relationships/hyperlink" Target="https://www.linkedin.com/search/results/people/?keywords=CSP+Cosmetics+sales+OR+%22account+manager%22+OR+%22business+development%22" TargetMode="External"/><Relationship Id="rId37" Type="http://schemas.openxmlformats.org/officeDocument/2006/relationships/hyperlink" Target="https://www.linkedin.com/search/results/companies/?keywords=TRIXIE+Heimtierbedarf" TargetMode="External"/><Relationship Id="rId38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39" Type="http://schemas.openxmlformats.org/officeDocument/2006/relationships/hyperlink" Target="https://www.linkedin.com/search/results/companies/?keywords=cosnova+GmbH" TargetMode="External"/><Relationship Id="rId40" Type="http://schemas.openxmlformats.org/officeDocument/2006/relationships/hyperlink" Target="https://www.linkedin.com/search/results/people/?keywords=cosnova+GmbH+sales+OR+%22account+manager%22+OR+%22business+development%22" TargetMode="External"/><Relationship Id="rId41" Type="http://schemas.openxmlformats.org/officeDocument/2006/relationships/hyperlink" Target="https://www.linkedin.com/search/results/companies/?keywords=kwb+Germany+GmbH" TargetMode="External"/><Relationship Id="rId42" Type="http://schemas.openxmlformats.org/officeDocument/2006/relationships/hyperlink" Target="https://www.linkedin.com/search/results/people/?keywords=kwb+Germany+GmbH+sales+OR+%22account+manager%22+OR+%22business+development%22" TargetMode="External"/><Relationship Id="rId43" Type="http://schemas.openxmlformats.org/officeDocument/2006/relationships/hyperlink" Target="https://www.linkedin.com/search/results/companies/?keywords=Beurer+GmbH" TargetMode="External"/><Relationship Id="rId44" Type="http://schemas.openxmlformats.org/officeDocument/2006/relationships/hyperlink" Target="https://www.linkedin.com/search/results/people/?keywords=Beurer+GmbH+sales+OR+%22account+manager%22+OR+%22business+development%22" TargetMode="External"/><Relationship Id="rId45" Type="http://schemas.openxmlformats.org/officeDocument/2006/relationships/hyperlink" Target="https://www.linkedin.com/search/results/companies/?keywords=Westmark+GmbH" TargetMode="External"/><Relationship Id="rId46" Type="http://schemas.openxmlformats.org/officeDocument/2006/relationships/hyperlink" Target="https://www.linkedin.com/search/results/people/?keywords=Westmark+GmbH+sales+OR+%22account+manager%22+OR+%22business+development%22" TargetMode="External"/><Relationship Id="rId47" Type="http://schemas.openxmlformats.org/officeDocument/2006/relationships/hyperlink" Target="https://www.linkedin.com/search/results/companies/?keywords=Albert+Kerbl+GmbH" TargetMode="External"/><Relationship Id="rId48" Type="http://schemas.openxmlformats.org/officeDocument/2006/relationships/hyperlink" Target="https://www.linkedin.com/search/results/people/?keywords=Albert+Kerbl+GmbH+sales+OR+%22account+manager%22+OR+%22business+development%22" TargetMode="External"/><Relationship Id="rId49" Type="http://schemas.openxmlformats.org/officeDocument/2006/relationships/hyperlink" Target="https://www.linkedin.com/search/results/companies/?keywords=HUNTER+International+GmbH" TargetMode="External"/><Relationship Id="rId50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51" Type="http://schemas.openxmlformats.org/officeDocument/2006/relationships/hyperlink" Target="https://www.linkedin.com/search/results/companies/?keywords=Nobby+Pet+Shop+GmbH" TargetMode="External"/><Relationship Id="rId52" Type="http://schemas.openxmlformats.org/officeDocument/2006/relationships/hyperlink" Target="https://www.linkedin.com/search/results/people/?keywords=Nobby+Pet+Shop+GmbH+sales+OR+%22account+manager%22+OR+%22business+development%22" TargetMode="External"/><Relationship Id="rId53" Type="http://schemas.openxmlformats.org/officeDocument/2006/relationships/hyperlink" Target="https://www.linkedin.com/search/results/companies/?keywords=Sport+Import+GmbH" TargetMode="External"/><Relationship Id="rId54" Type="http://schemas.openxmlformats.org/officeDocument/2006/relationships/hyperlink" Target="https://www.linkedin.com/search/results/people/?keywords=Sport+Import+GmbH+sales+OR+%22account+manager%22+OR+%22business+development%22" TargetMode="External"/><Relationship Id="rId55" Type="http://schemas.openxmlformats.org/officeDocument/2006/relationships/hyperlink" Target="https://www.linkedin.com/search/results/companies/?keywords=Depesche+Vertrieb+GmbH+%26+Co.+KG" TargetMode="External"/><Relationship Id="rId56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57" Type="http://schemas.openxmlformats.org/officeDocument/2006/relationships/hyperlink" Target="https://www.linkedin.com/search/results/companies/?keywords=Gollnest+%26+Kiesel+GmbH+%26+Co.+KG" TargetMode="External"/><Relationship Id="rId58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59" Type="http://schemas.openxmlformats.org/officeDocument/2006/relationships/hyperlink" Target="https://www.linkedin.com/search/results/companies/?keywords=VEDES+Gro&#223;handel+GmbH" TargetMode="External"/><Relationship Id="rId60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61" Type="http://schemas.openxmlformats.org/officeDocument/2006/relationships/hyperlink" Target="https://www.linkedin.com/search/results/companies/?keywords=small+foot+GmbH+%26+Co.+KG" TargetMode="External"/><Relationship Id="rId62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63" Type="http://schemas.openxmlformats.org/officeDocument/2006/relationships/hyperlink" Target="https://www.linkedin.com/search/results/companies/?keywords=zentrada" TargetMode="External"/><Relationship Id="rId64" Type="http://schemas.openxmlformats.org/officeDocument/2006/relationships/hyperlink" Target="https://www.linkedin.com/search/results/people/?keywords=zentrada+sales+OR+%22account+manager%22+OR+%22business+development%22" TargetMode="External"/><Relationship Id="rId65" Type="http://schemas.openxmlformats.org/officeDocument/2006/relationships/hyperlink" Target="https://www.linkedin.com/search/results/companies/?keywords=2E+Vertriebs-GmbH" TargetMode="External"/><Relationship Id="rId66" Type="http://schemas.openxmlformats.org/officeDocument/2006/relationships/hyperlink" Target="https://www.linkedin.com/search/results/people/?keywords=2E+Vertriebs-GmbH+sales+OR+%22account+manager%22+OR+%22business+development%22" TargetMode="External"/><Relationship Id="rId67" Type="http://schemas.openxmlformats.org/officeDocument/2006/relationships/hyperlink" Target="https://www.linkedin.com/search/results/companies/?keywords=MAM+Babyartikel+GmbH" TargetMode="External"/><Relationship Id="rId68" Type="http://schemas.openxmlformats.org/officeDocument/2006/relationships/hyperlink" Target="https://www.linkedin.com/search/results/people/?keywords=MAM+Babyartikel+GmbH+sales+OR+%22account+manager%22+OR+%22business+development%22" TargetMode="External"/><Relationship Id="rId69" Type="http://schemas.openxmlformats.org/officeDocument/2006/relationships/hyperlink" Target="https://www.linkedin.com/search/results/companies/?keywords=reer+GmbH" TargetMode="External"/><Relationship Id="rId70" Type="http://schemas.openxmlformats.org/officeDocument/2006/relationships/hyperlink" Target="https://www.linkedin.com/search/results/people/?keywords=reer+GmbH+sales+OR+%22account+manager%22+OR+%22business+development%22" TargetMode="External"/><Relationship Id="rId71" Type="http://schemas.openxmlformats.org/officeDocument/2006/relationships/hyperlink" Target="https://www.linkedin.com/search/results/companies/?keywords=wolfcraft+GmbH" TargetMode="External"/><Relationship Id="rId72" Type="http://schemas.openxmlformats.org/officeDocument/2006/relationships/hyperlink" Target="https://www.linkedin.com/search/results/people/?keywords=wolfcraft+GmbH+sales+OR+%22account+manager%22+OR+%22business+development%22" TargetMode="External"/><Relationship Id="rId73" Type="http://schemas.openxmlformats.org/officeDocument/2006/relationships/hyperlink" Target="https://www.linkedin.com/search/results/companies/?keywords=Emporium+Handels+%26+Vertriebs+GmbH" TargetMode="External"/><Relationship Id="rId74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75" Type="http://schemas.openxmlformats.org/officeDocument/2006/relationships/hyperlink" Target="https://www.linkedin.com/search/results/companies/?keywords=MEDISANA+AG" TargetMode="External"/><Relationship Id="rId76" Type="http://schemas.openxmlformats.org/officeDocument/2006/relationships/hyperlink" Target="https://www.linkedin.com/search/results/people/?keywords=MEDISANA+AG+sales+OR+%22account+manager%22+OR+%22business+development%22" TargetMode="External"/><Relationship Id="rId77" Type="http://schemas.openxmlformats.org/officeDocument/2006/relationships/hyperlink" Target="https://www.linkedin.com/search/results/companies/?keywords=Leifheit+AG" TargetMode="External"/><Relationship Id="rId78" Type="http://schemas.openxmlformats.org/officeDocument/2006/relationships/hyperlink" Target="https://www.linkedin.com/search/results/people/?keywords=Leifheit+AG+sales+OR+%22account+manager%22+OR+%22business+development%22" TargetMode="External"/><Relationship Id="rId79" Type="http://schemas.openxmlformats.org/officeDocument/2006/relationships/hyperlink" Target="https://www.linkedin.com/search/results/companies/?keywords=Wolfsohn" TargetMode="External"/><Relationship Id="rId80" Type="http://schemas.openxmlformats.org/officeDocument/2006/relationships/hyperlink" Target="https://www.linkedin.com/search/results/people/?keywords=Wolfsohn+sales+OR+%22account+manager%22+OR+%22business+development%22" TargetMode="External"/><Relationship Id="rId81" Type="http://schemas.openxmlformats.org/officeDocument/2006/relationships/hyperlink" Target="https://www.linkedin.com/search/results/companies/?keywords=Schulze+Heimtierbedarf+GmbH" TargetMode="External"/><Relationship Id="rId82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83" Type="http://schemas.openxmlformats.org/officeDocument/2006/relationships/hyperlink" Target="https://www.linkedin.com/search/results/companies/?keywords=Absolut+Bikes+GmbH" TargetMode="External"/><Relationship Id="rId84" Type="http://schemas.openxmlformats.org/officeDocument/2006/relationships/hyperlink" Target="https://www.linkedin.com/search/results/people/?keywords=Absolut+Bikes+GmbH+sales+OR+%22account+manager%22+OR+%22business+development%22" TargetMode="External"/><Relationship Id="rId85" Type="http://schemas.openxmlformats.org/officeDocument/2006/relationships/hyperlink" Target="https://www.linkedin.com/search/results/companies/?keywords=AceCamp+GmbH" TargetMode="External"/><Relationship Id="rId86" Type="http://schemas.openxmlformats.org/officeDocument/2006/relationships/hyperlink" Target="https://www.linkedin.com/search/results/people/?keywords=AceCamp+GmbH+sales+OR+%22account+manager%22+OR+%22business+development%22" TargetMode="External"/><Relationship Id="rId87" Type="http://schemas.openxmlformats.org/officeDocument/2006/relationships/hyperlink" Target="https://www.linkedin.com/search/results/companies/?keywords=HUDORA+GmbH" TargetMode="External"/><Relationship Id="rId88" Type="http://schemas.openxmlformats.org/officeDocument/2006/relationships/hyperlink" Target="https://www.linkedin.com/search/results/people/?keywords=HUDORA+GmbH+sales+OR+%22account+manager%22+OR+%22business+development%22" TargetMode="External"/><Relationship Id="rId89" Type="http://schemas.openxmlformats.org/officeDocument/2006/relationships/hyperlink" Target="https://www.linkedin.com/search/results/companies/?keywords=German+Formula+Express" TargetMode="External"/><Relationship Id="rId90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91" Type="http://schemas.openxmlformats.org/officeDocument/2006/relationships/hyperlink" Target="https://www.linkedin.com/search/results/companies/?keywords=Global+Beauty+Brands" TargetMode="External"/><Relationship Id="rId92" Type="http://schemas.openxmlformats.org/officeDocument/2006/relationships/hyperlink" Target="https://www.linkedin.com/search/results/people/?keywords=Global+Beauty+Brands+sales+OR+%22account+manager%22+OR+%22business+development%22" TargetMode="External"/><Relationship Id="rId93" Type="http://schemas.openxmlformats.org/officeDocument/2006/relationships/hyperlink" Target="https://www.linkedin.com/search/results/companies/?keywords=NOBILIS+Group+GmbH" TargetMode="External"/><Relationship Id="rId94" Type="http://schemas.openxmlformats.org/officeDocument/2006/relationships/hyperlink" Target="https://www.linkedin.com/search/results/people/?keywords=NOBILIS+Group+GmbH+sales+OR+%22account+manager%22+OR+%22business+development%22" TargetMode="External"/><Relationship Id="rId95" Type="http://schemas.openxmlformats.org/officeDocument/2006/relationships/hyperlink" Target="https://www.linkedin.com/search/results/companies/?keywords=IHTCT+GmbH" TargetMode="External"/><Relationship Id="rId96" Type="http://schemas.openxmlformats.org/officeDocument/2006/relationships/hyperlink" Target="https://www.linkedin.com/search/results/people/?keywords=IHTCT+GmbH+sales+OR+%22account+manager%22+OR+%22business+development%22" TargetMode="External"/><Relationship Id="rId97" Type="http://schemas.openxmlformats.org/officeDocument/2006/relationships/hyperlink" Target="https://www.linkedin.com/search/results/companies/?keywords=Landahl+%26+Baumann+Spielwaren+GmbH" TargetMode="External"/><Relationship Id="rId98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99" Type="http://schemas.openxmlformats.org/officeDocument/2006/relationships/hyperlink" Target="https://www.linkedin.com/search/results/companies/?keywords=Xpert+Professional" TargetMode="External"/><Relationship Id="rId100" Type="http://schemas.openxmlformats.org/officeDocument/2006/relationships/hyperlink" Target="https://www.linkedin.com/search/results/people/?keywords=Xpert+Professional+sales+OR+%22account+manager%22+OR+%22business+development%22" TargetMode="External"/><Relationship Id="rId101" Type="http://schemas.openxmlformats.org/officeDocument/2006/relationships/hyperlink" Target="https://www.linkedin.com/search/results/companies/?keywords=Camon+%26+Croci+Pet+Group+S.p.A." TargetMode="External"/><Relationship Id="rId102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103" Type="http://schemas.openxmlformats.org/officeDocument/2006/relationships/hyperlink" Target="https://www.linkedin.com/search/results/companies/?keywords=Brandsdistribution" TargetMode="External"/><Relationship Id="rId104" Type="http://schemas.openxmlformats.org/officeDocument/2006/relationships/hyperlink" Target="https://www.linkedin.com/search/results/people/?keywords=Brandsdistribution+sales+OR+%22account+manager%22+OR+%22business+development%22" TargetMode="External"/><Relationship Id="rId105" Type="http://schemas.openxmlformats.org/officeDocument/2006/relationships/hyperlink" Target="https://www.linkedin.com/search/results/companies/?keywords=Profumerie+P+%26+P+Srl" TargetMode="External"/><Relationship Id="rId106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107" Type="http://schemas.openxmlformats.org/officeDocument/2006/relationships/hyperlink" Target="https://www.linkedin.com/search/results/companies/?keywords=The+Italian+Factory" TargetMode="External"/><Relationship Id="rId108" Type="http://schemas.openxmlformats.org/officeDocument/2006/relationships/hyperlink" Target="https://www.linkedin.com/search/results/people/?keywords=The+Italian+Factory+sales+OR+%22account+manager%22+OR+%22business+development%22" TargetMode="External"/><Relationship Id="rId109" Type="http://schemas.openxmlformats.org/officeDocument/2006/relationships/hyperlink" Target="https://www.linkedin.com/search/results/companies/?keywords=Joy+Toy+SpA" TargetMode="External"/><Relationship Id="rId110" Type="http://schemas.openxmlformats.org/officeDocument/2006/relationships/hyperlink" Target="https://www.linkedin.com/search/results/people/?keywords=Joy+Toy+SpA+sales+OR+%22account+manager%22+OR+%22business+development%22" TargetMode="External"/><Relationship Id="rId111" Type="http://schemas.openxmlformats.org/officeDocument/2006/relationships/hyperlink" Target="https://www.linkedin.com/search/results/companies/?keywords=Doho" TargetMode="External"/><Relationship Id="rId112" Type="http://schemas.openxmlformats.org/officeDocument/2006/relationships/hyperlink" Target="https://www.linkedin.com/search/results/people/?keywords=Doho+sales+OR+%22account+manager%22+OR+%22business+development%22" TargetMode="External"/><Relationship Id="rId113" Type="http://schemas.openxmlformats.org/officeDocument/2006/relationships/hyperlink" Target="https://www.linkedin.com/search/results/companies/?keywords=Difrax+B.V." TargetMode="External"/><Relationship Id="rId114" Type="http://schemas.openxmlformats.org/officeDocument/2006/relationships/hyperlink" Target="https://www.linkedin.com/search/results/people/?keywords=Difrax+B.V.+sales+OR+%22account+manager%22+OR+%22business+development%22" TargetMode="External"/><Relationship Id="rId115" Type="http://schemas.openxmlformats.org/officeDocument/2006/relationships/hyperlink" Target="https://www.linkedin.com/search/results/companies/?keywords=West+Coast+Supply+Group" TargetMode="External"/><Relationship Id="rId116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117" Type="http://schemas.openxmlformats.org/officeDocument/2006/relationships/hyperlink" Target="https://www.linkedin.com/search/results/companies/?keywords=NaskorSports+B.V." TargetMode="External"/><Relationship Id="rId118" Type="http://schemas.openxmlformats.org/officeDocument/2006/relationships/hyperlink" Target="https://www.linkedin.com/search/results/people/?keywords=NaskorSports+B.V.+sales+OR+%22account+manager%22+OR+%22business+development%22" TargetMode="External"/><Relationship Id="rId119" Type="http://schemas.openxmlformats.org/officeDocument/2006/relationships/hyperlink" Target="https://www.linkedin.com/search/results/companies/?keywords=Parallel+B.V." TargetMode="External"/><Relationship Id="rId120" Type="http://schemas.openxmlformats.org/officeDocument/2006/relationships/hyperlink" Target="https://www.linkedin.com/search/results/people/?keywords=Parallel+B.V.+sales+OR+%22account+manager%22+OR+%22business+development%22" TargetMode="External"/><Relationship Id="rId121" Type="http://schemas.openxmlformats.org/officeDocument/2006/relationships/hyperlink" Target="https://www.linkedin.com/search/results/companies/?keywords=Koopman+International+B.V." TargetMode="External"/><Relationship Id="rId122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123" Type="http://schemas.openxmlformats.org/officeDocument/2006/relationships/hyperlink" Target="https://www.linkedin.com/search/results/companies/?keywords=European+Player+Network" TargetMode="External"/><Relationship Id="rId124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125" Type="http://schemas.openxmlformats.org/officeDocument/2006/relationships/hyperlink" Target="https://www.linkedin.com/search/results/companies/?keywords=AH+Beaut&#233;+BV" TargetMode="External"/><Relationship Id="rId126" Type="http://schemas.openxmlformats.org/officeDocument/2006/relationships/hyperlink" Target="https://www.linkedin.com/search/results/people/?keywords=AH+Beaut&#233;+BV+sales+OR+%22account+manager%22+OR+%22business+development%22" TargetMode="External"/><Relationship Id="rId127" Type="http://schemas.openxmlformats.org/officeDocument/2006/relationships/hyperlink" Target="https://www.linkedin.com/search/results/companies/?keywords=Beautinow+B.V." TargetMode="External"/><Relationship Id="rId128" Type="http://schemas.openxmlformats.org/officeDocument/2006/relationships/hyperlink" Target="https://www.linkedin.com/search/results/people/?keywords=Beautinow+B.V.+sales+OR+%22account+manager%22+OR+%22business+development%22" TargetMode="External"/><Relationship Id="rId129" Type="http://schemas.openxmlformats.org/officeDocument/2006/relationships/hyperlink" Target="https://www.linkedin.com/search/results/companies/?keywords=Brabantia+Export+BV" TargetMode="External"/><Relationship Id="rId130" Type="http://schemas.openxmlformats.org/officeDocument/2006/relationships/hyperlink" Target="https://www.linkedin.com/search/results/people/?keywords=Brabantia+Export+BV+sales+OR+%22account+manager%22+OR+%22business+development%22" TargetMode="External"/><Relationship Id="rId131" Type="http://schemas.openxmlformats.org/officeDocument/2006/relationships/hyperlink" Target="https://www.linkedin.com/search/results/companies/?keywords=vidaXL+%2F+dropshippingXL" TargetMode="External"/><Relationship Id="rId132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133" Type="http://schemas.openxmlformats.org/officeDocument/2006/relationships/hyperlink" Target="https://www.linkedin.com/search/results/companies/?keywords=Beeztees" TargetMode="External"/><Relationship Id="rId134" Type="http://schemas.openxmlformats.org/officeDocument/2006/relationships/hyperlink" Target="https://www.linkedin.com/search/results/people/?keywords=Beeztees+sales+OR+%22account+manager%22+OR+%22business+development%22" TargetMode="External"/><Relationship Id="rId135" Type="http://schemas.openxmlformats.org/officeDocument/2006/relationships/hyperlink" Target="https://www.linkedin.com/search/results/companies/?keywords=Van+der+Meer+Groothandel+in+Dierbenodigdheden+B.V." TargetMode="External"/><Relationship Id="rId136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137" Type="http://schemas.openxmlformats.org/officeDocument/2006/relationships/hyperlink" Target="https://www.linkedin.com/search/results/companies/?keywords=NRG+Fitness+B.V." TargetMode="External"/><Relationship Id="rId138" Type="http://schemas.openxmlformats.org/officeDocument/2006/relationships/hyperlink" Target="https://www.linkedin.com/search/results/people/?keywords=NRG+Fitness+B.V.+sales+OR+%22account+manager%22+OR+%22business+development%22" TargetMode="External"/><Relationship Id="rId139" Type="http://schemas.openxmlformats.org/officeDocument/2006/relationships/hyperlink" Target="https://www.linkedin.com/search/results/companies/?keywords=ALSO+Nederland" TargetMode="External"/><Relationship Id="rId140" Type="http://schemas.openxmlformats.org/officeDocument/2006/relationships/hyperlink" Target="https://www.linkedin.com/search/results/people/?keywords=ALSO+Nederland+sales+OR+%22account+manager%22+OR+%22business+development%22" TargetMode="External"/><Relationship Id="rId141" Type="http://schemas.openxmlformats.org/officeDocument/2006/relationships/hyperlink" Target="https://www.linkedin.com/search/results/companies/?keywords=Complies+BV" TargetMode="External"/><Relationship Id="rId142" Type="http://schemas.openxmlformats.org/officeDocument/2006/relationships/hyperlink" Target="https://www.linkedin.com/search/results/people/?keywords=Complies+BV+sales+OR+%22account+manager%22+OR+%22business+development%22" TargetMode="External"/><Relationship Id="rId143" Type="http://schemas.openxmlformats.org/officeDocument/2006/relationships/hyperlink" Target="https://www.linkedin.com/search/results/companies/?keywords=Spectron+The+Toy+Company" TargetMode="External"/><Relationship Id="rId144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145" Type="http://schemas.openxmlformats.org/officeDocument/2006/relationships/hyperlink" Target="https://www.linkedin.com/search/results/companies/?keywords=Toi-Toys" TargetMode="External"/><Relationship Id="rId146" Type="http://schemas.openxmlformats.org/officeDocument/2006/relationships/hyperlink" Target="https://www.linkedin.com/search/results/people/?keywords=Toi-Toys+sales+OR+%22account+manager%22+OR+%22business+development%22" TargetMode="External"/><Relationship Id="rId147" Type="http://schemas.openxmlformats.org/officeDocument/2006/relationships/hyperlink" Target="https://www.linkedin.com/search/results/companies/?keywords=Groothandel+Beauty" TargetMode="External"/><Relationship Id="rId148" Type="http://schemas.openxmlformats.org/officeDocument/2006/relationships/hyperlink" Target="https://www.linkedin.com/search/results/people/?keywords=Groothandel+Beauty+sales+OR+%22account+manager%22+OR+%22business+development%22" TargetMode="External"/><Relationship Id="rId149" Type="http://schemas.openxmlformats.org/officeDocument/2006/relationships/hyperlink" Target="https://www.linkedin.com/search/results/companies/?keywords=B%26S+Group" TargetMode="External"/><Relationship Id="rId150" Type="http://schemas.openxmlformats.org/officeDocument/2006/relationships/hyperlink" Target="https://www.linkedin.com/search/results/people/?keywords=B%26S+Group+sales+OR+%22account+manager%22+OR+%22business+development%22" TargetMode="External"/><Relationship Id="rId151" Type="http://schemas.openxmlformats.org/officeDocument/2006/relationships/hyperlink" Target="https://www.linkedin.com/search/results/companies/?keywords=EleganceWholesale" TargetMode="External"/><Relationship Id="rId152" Type="http://schemas.openxmlformats.org/officeDocument/2006/relationships/hyperlink" Target="https://www.linkedin.com/search/results/people/?keywords=EleganceWholesale+sales+OR+%22account+manager%22+OR+%22business+development%22" TargetMode="External"/><Relationship Id="rId153" Type="http://schemas.openxmlformats.org/officeDocument/2006/relationships/hyperlink" Target="https://www.linkedin.com/search/results/companies/?keywords=METRO+%2F+Makro" TargetMode="External"/><Relationship Id="rId154" Type="http://schemas.openxmlformats.org/officeDocument/2006/relationships/hyperlink" Target="https://www.linkedin.com/search/results/people/?keywords=METRO+%2F+Makro+sales+OR+%22account+manager%22+OR+%22business+development%22" TargetMode="External"/><Relationship Id="rId155" Type="http://schemas.openxmlformats.org/officeDocument/2006/relationships/hyperlink" Target="https://www.linkedin.com/search/results/companies/?keywords=Topbrands" TargetMode="External"/><Relationship Id="rId156" Type="http://schemas.openxmlformats.org/officeDocument/2006/relationships/hyperlink" Target="https://www.linkedin.com/search/results/people/?keywords=Topbrands+sales+OR+%22account+manager%22+OR+%22business+development%22" TargetMode="External"/><Relationship Id="rId157" Type="http://schemas.openxmlformats.org/officeDocument/2006/relationships/hyperlink" Target="https://www.linkedin.com/search/results/companies/?keywords=Van+der+Tang+Trading" TargetMode="External"/><Relationship Id="rId158" Type="http://schemas.openxmlformats.org/officeDocument/2006/relationships/hyperlink" Target="https://www.linkedin.com/search/results/people/?keywords=Van+der+Tang+Trading+sales+OR+%22account+manager%22+OR+%22business+development%22" TargetMode="External"/><Relationship Id="rId159" Type="http://schemas.openxmlformats.org/officeDocument/2006/relationships/hyperlink" Target="https://www.linkedin.com/search/results/companies/?keywords=W+Pharma+Europe" TargetMode="External"/><Relationship Id="rId160" Type="http://schemas.openxmlformats.org/officeDocument/2006/relationships/hyperlink" Target="https://www.linkedin.com/search/results/people/?keywords=W+Pharma+Europe+sales+OR+%22account+manager%22+OR+%22business+development%22" TargetMode="External"/><Relationship Id="rId161" Type="http://schemas.openxmlformats.org/officeDocument/2006/relationships/hyperlink" Target="https://www.linkedin.com/search/results/companies/?keywords=Papillon+Pet+Products+B.V." TargetMode="External"/><Relationship Id="rId162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163" Type="http://schemas.openxmlformats.org/officeDocument/2006/relationships/hyperlink" Target="https://www.linkedin.com/search/results/companies/?keywords=Bellus+Toys+B.V." TargetMode="External"/><Relationship Id="rId164" Type="http://schemas.openxmlformats.org/officeDocument/2006/relationships/hyperlink" Target="https://www.linkedin.com/search/results/people/?keywords=Bellus+Toys+B.V.+sales+OR+%22account+manager%22+OR+%22business+development%22" TargetMode="External"/><Relationship Id="rId165" Type="http://schemas.openxmlformats.org/officeDocument/2006/relationships/hyperlink" Target="https://www.linkedin.com/search/results/companies/?keywords=Channel+Distribution+B.V." TargetMode="External"/><Relationship Id="rId166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167" Type="http://schemas.openxmlformats.org/officeDocument/2006/relationships/hyperlink" Target="https://www.linkedin.com/search/results/companies/?keywords=Join+Stadskanaal+B.V." TargetMode="External"/><Relationship Id="rId168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169" Type="http://schemas.openxmlformats.org/officeDocument/2006/relationships/hyperlink" Target="https://www.linkedin.com/search/results/companies/?keywords=Europe+Pharma+Group+B.V." TargetMode="External"/><Relationship Id="rId170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171" Type="http://schemas.openxmlformats.org/officeDocument/2006/relationships/hyperlink" Target="https://www.linkedin.com/search/results/companies/?keywords=Canpol+Sp.+z+o.o." TargetMode="External"/><Relationship Id="rId172" Type="http://schemas.openxmlformats.org/officeDocument/2006/relationships/hyperlink" Target="https://www.linkedin.com/search/results/people/?keywords=Canpol+Sp.+z+o.o.+sales+OR+%22account+manager%22+OR+%22business+development%22" TargetMode="External"/><Relationship Id="rId173" Type="http://schemas.openxmlformats.org/officeDocument/2006/relationships/hyperlink" Target="https://www.linkedin.com/search/results/companies/?keywords=Eveline+Cosmetics" TargetMode="External"/><Relationship Id="rId174" Type="http://schemas.openxmlformats.org/officeDocument/2006/relationships/hyperlink" Target="https://www.linkedin.com/search/results/people/?keywords=Eveline+Cosmetics+sales+OR+%22account+manager%22+OR+%22business+development%22" TargetMode="External"/><Relationship Id="rId175" Type="http://schemas.openxmlformats.org/officeDocument/2006/relationships/hyperlink" Target="https://www.linkedin.com/search/results/companies/?keywords=GTX+Poland+Sp.+z+o.o.+Sp.+k." TargetMode="External"/><Relationship Id="rId176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177" Type="http://schemas.openxmlformats.org/officeDocument/2006/relationships/hyperlink" Target="https://www.linkedin.com/search/results/companies/?keywords=Olivit+Sp.+z+o.o." TargetMode="External"/><Relationship Id="rId178" Type="http://schemas.openxmlformats.org/officeDocument/2006/relationships/hyperlink" Target="https://www.linkedin.com/search/results/people/?keywords=Olivit+Sp.+z+o.o.+sales+OR+%22account+manager%22+OR+%22business+development%22" TargetMode="External"/><Relationship Id="rId179" Type="http://schemas.openxmlformats.org/officeDocument/2006/relationships/hyperlink" Target="https://www.linkedin.com/search/results/companies/?keywords=BabyOno" TargetMode="External"/><Relationship Id="rId180" Type="http://schemas.openxmlformats.org/officeDocument/2006/relationships/hyperlink" Target="https://www.linkedin.com/search/results/people/?keywords=BabyOno+sales+OR+%22account+manager%22+OR+%22business+development%22" TargetMode="External"/><Relationship Id="rId181" Type="http://schemas.openxmlformats.org/officeDocument/2006/relationships/hyperlink" Target="https://www.linkedin.com/search/results/companies/?keywords=Davi" TargetMode="External"/><Relationship Id="rId182" Type="http://schemas.openxmlformats.org/officeDocument/2006/relationships/hyperlink" Target="https://www.linkedin.com/search/results/people/?keywords=Davi+sales+OR+%22account+manager%22+OR+%22business+development%22" TargetMode="External"/><Relationship Id="rId183" Type="http://schemas.openxmlformats.org/officeDocument/2006/relationships/hyperlink" Target="https://www.linkedin.com/search/results/companies/?keywords=Ziaja+Ltd" TargetMode="External"/><Relationship Id="rId184" Type="http://schemas.openxmlformats.org/officeDocument/2006/relationships/hyperlink" Target="https://www.linkedin.com/search/results/people/?keywords=Ziaja+Ltd+sales+OR+%22account+manager%22+OR+%22business+development%22" TargetMode="External"/><Relationship Id="rId185" Type="http://schemas.openxmlformats.org/officeDocument/2006/relationships/hyperlink" Target="https://www.linkedin.com/search/results/companies/?keywords=Dedra+Exim+Sp.+z+o.o." TargetMode="External"/><Relationship Id="rId186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187" Type="http://schemas.openxmlformats.org/officeDocument/2006/relationships/hyperlink" Target="https://www.linkedin.com/search/results/companies/?keywords=Logo-Tools+Sp.+z+o.o." TargetMode="External"/><Relationship Id="rId188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189" Type="http://schemas.openxmlformats.org/officeDocument/2006/relationships/hyperlink" Target="https://www.linkedin.com/search/results/companies/?keywords=MisterM+Plus+Sp.+z+o.o.+Sp.k." TargetMode="External"/><Relationship Id="rId190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191" Type="http://schemas.openxmlformats.org/officeDocument/2006/relationships/hyperlink" Target="https://www.linkedin.com/search/results/companies/?keywords=Parfum+Company+Sp.+z+o.o.+S.K.A." TargetMode="External"/><Relationship Id="rId192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193" Type="http://schemas.openxmlformats.org/officeDocument/2006/relationships/hyperlink" Target="https://www.linkedin.com/search/results/companies/?keywords=ZIP+Wieczorek+Sp.+z+o.o." TargetMode="External"/><Relationship Id="rId194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195" Type="http://schemas.openxmlformats.org/officeDocument/2006/relationships/hyperlink" Target="https://www.linkedin.com/search/results/companies/?keywords=Bacha+Sport+Sp.+z+o.o." TargetMode="External"/><Relationship Id="rId196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197" Type="http://schemas.openxmlformats.org/officeDocument/2006/relationships/hyperlink" Target="https://www.linkedin.com/search/results/companies/?keywords=Spokey+Sp.+z+o.o." TargetMode="External"/><Relationship Id="rId198" Type="http://schemas.openxmlformats.org/officeDocument/2006/relationships/hyperlink" Target="https://www.linkedin.com/search/results/people/?keywords=Spokey+Sp.+z+o.o.+sales+OR+%22account+manager%22+OR+%22business+development%22" TargetMode="External"/><Relationship Id="rId199" Type="http://schemas.openxmlformats.org/officeDocument/2006/relationships/hyperlink" Target="https://www.linkedin.com/search/results/companies/?keywords=Interdruk+S.A." TargetMode="External"/><Relationship Id="rId200" Type="http://schemas.openxmlformats.org/officeDocument/2006/relationships/hyperlink" Target="https://www.linkedin.com/search/results/people/?keywords=Interdruk+S.A.+sales+OR+%22account+manager%22+OR+%22business+development%22" TargetMode="External"/><Relationship Id="rId201" Type="http://schemas.openxmlformats.org/officeDocument/2006/relationships/hyperlink" Target="https://www.linkedin.com/search/results/companies/?keywords=TM+Toys+Sp.+z+o.o." TargetMode="External"/><Relationship Id="rId202" Type="http://schemas.openxmlformats.org/officeDocument/2006/relationships/hyperlink" Target="https://www.linkedin.com/search/results/people/?keywords=TM+Toys+Sp.+z+o.o.+sales+OR+%22account+manager%22+OR+%22business+development%22" TargetMode="External"/><Relationship Id="rId203" Type="http://schemas.openxmlformats.org/officeDocument/2006/relationships/hyperlink" Target="https://www.linkedin.com/search/results/companies/?keywords=YAMANN+Sp.+z+o.o." TargetMode="External"/><Relationship Id="rId204" Type="http://schemas.openxmlformats.org/officeDocument/2006/relationships/hyperlink" Target="https://www.linkedin.com/search/results/people/?keywords=YAMANN+Sp.+z+o.o.+sales+OR+%22account+manager%22+OR+%22business+development%22" TargetMode="External"/><Relationship Id="rId205" Type="http://schemas.openxmlformats.org/officeDocument/2006/relationships/hyperlink" Target="https://www.linkedin.com/search/results/companies/?keywords=Alpex-Tools" TargetMode="External"/><Relationship Id="rId206" Type="http://schemas.openxmlformats.org/officeDocument/2006/relationships/hyperlink" Target="https://www.linkedin.com/search/results/people/?keywords=Alpex-Tools+sales+OR+%22account+manager%22+OR+%22business+development%22" TargetMode="External"/><Relationship Id="rId207" Type="http://schemas.openxmlformats.org/officeDocument/2006/relationships/hyperlink" Target="https://www.linkedin.com/search/results/companies/?keywords=Profimed" TargetMode="External"/><Relationship Id="rId208" Type="http://schemas.openxmlformats.org/officeDocument/2006/relationships/hyperlink" Target="https://www.linkedin.com/search/results/people/?keywords=Profimed+sales+OR+%22account+manager%22+OR+%22business+development%22" TargetMode="External"/><Relationship Id="rId209" Type="http://schemas.openxmlformats.org/officeDocument/2006/relationships/hyperlink" Target="https://www.linkedin.com/search/results/companies/?keywords=Hurtowniakarm.pl" TargetMode="External"/><Relationship Id="rId210" Type="http://schemas.openxmlformats.org/officeDocument/2006/relationships/hyperlink" Target="https://www.linkedin.com/search/results/people/?keywords=Hurtowniakarm.pl+sales+OR+%22account+manager%22+OR+%22business+development%22" TargetMode="External"/><Relationship Id="rId211" Type="http://schemas.openxmlformats.org/officeDocument/2006/relationships/hyperlink" Target="https://www.linkedin.com/search/results/companies/?keywords=Marba-Sport" TargetMode="External"/><Relationship Id="rId212" Type="http://schemas.openxmlformats.org/officeDocument/2006/relationships/hyperlink" Target="https://www.linkedin.com/search/results/people/?keywords=Marba-Sport+sales+OR+%22account+manager%22+OR+%22business+development%22" TargetMode="External"/><Relationship Id="rId213" Type="http://schemas.openxmlformats.org/officeDocument/2006/relationships/hyperlink" Target="https://www.linkedin.com/search/results/companies/?keywords=Extrabiuro.pl" TargetMode="External"/><Relationship Id="rId214" Type="http://schemas.openxmlformats.org/officeDocument/2006/relationships/hyperlink" Target="https://www.linkedin.com/search/results/people/?keywords=Extrabiuro.pl+sales+OR+%22account+manager%22+OR+%22business+development%22" TargetMode="External"/><Relationship Id="rId215" Type="http://schemas.openxmlformats.org/officeDocument/2006/relationships/hyperlink" Target="https://www.linkedin.com/search/results/companies/?keywords=Hurtownia+Ikonka" TargetMode="External"/><Relationship Id="rId216" Type="http://schemas.openxmlformats.org/officeDocument/2006/relationships/hyperlink" Target="https://www.linkedin.com/search/results/people/?keywords=Hurtownia+Ikonka+sales+OR+%22account+manager%22+OR+%22business+development%22" TargetMode="External"/><Relationship Id="rId217" Type="http://schemas.openxmlformats.org/officeDocument/2006/relationships/hyperlink" Target="https://www.linkedin.com/search/results/companies/?keywords=Merkandi" TargetMode="External"/><Relationship Id="rId218" Type="http://schemas.openxmlformats.org/officeDocument/2006/relationships/hyperlink" Target="https://www.linkedin.com/search/results/people/?keywords=Merkandi+sales+OR+%22account+manager%22+OR+%22business+development%22" TargetMode="External"/><Relationship Id="rId219" Type="http://schemas.openxmlformats.org/officeDocument/2006/relationships/hyperlink" Target="https://www.linkedin.com/search/results/companies/?keywords=Filip+i+S-ka+Dromader+Sp.+j." TargetMode="External"/><Relationship Id="rId220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221" Type="http://schemas.openxmlformats.org/officeDocument/2006/relationships/hyperlink" Target="https://www.linkedin.com/search/results/companies/?keywords=QudoBeauty" TargetMode="External"/><Relationship Id="rId222" Type="http://schemas.openxmlformats.org/officeDocument/2006/relationships/hyperlink" Target="https://www.linkedin.com/search/results/people/?keywords=QudoBeauty+sales+OR+%22account+manager%22+OR+%22business+development%22" TargetMode="External"/><Relationship Id="rId223" Type="http://schemas.openxmlformats.org/officeDocument/2006/relationships/hyperlink" Target="https://www.linkedin.com/search/results/companies/?keywords=BigBuy" TargetMode="External"/><Relationship Id="rId224" Type="http://schemas.openxmlformats.org/officeDocument/2006/relationships/hyperlink" Target="https://www.linkedin.com/search/results/people/?keywords=BigBuy+sales+OR+%22account+manager%22+OR+%22business+development%22" TargetMode="External"/><Relationship Id="rId225" Type="http://schemas.openxmlformats.org/officeDocument/2006/relationships/hyperlink" Target="https://www.linkedin.com/search/results/companies/?keywords=Patner+Iberia+SL" TargetMode="External"/><Relationship Id="rId226" Type="http://schemas.openxmlformats.org/officeDocument/2006/relationships/hyperlink" Target="https://www.linkedin.com/search/results/people/?keywords=Patner+Iberia+SL+sales+OR+%22account+manager%22+OR+%22business+development%22" TargetMode="External"/><Relationship Id="rId227" Type="http://schemas.openxmlformats.org/officeDocument/2006/relationships/hyperlink" Target="https://www.linkedin.com/search/results/companies/?keywords=OrientFragance" TargetMode="External"/><Relationship Id="rId228" Type="http://schemas.openxmlformats.org/officeDocument/2006/relationships/hyperlink" Target="https://www.linkedin.com/search/results/people/?keywords=OrientFragance+sales+OR+%22account+manager%22+OR+%22business+development%22" TargetMode="External"/><Relationship Id="rId229" Type="http://schemas.openxmlformats.org/officeDocument/2006/relationships/hyperlink" Target="https://www.linkedin.com/search/results/companies/?keywords=Arquivet+SLU" TargetMode="External"/><Relationship Id="rId230" Type="http://schemas.openxmlformats.org/officeDocument/2006/relationships/hyperlink" Target="https://www.linkedin.com/search/results/people/?keywords=Arquivet+SLU+sales+OR+%22account+manager%22+OR+%22business+development%22" TargetMode="External"/><Relationship Id="rId231" Type="http://schemas.openxmlformats.org/officeDocument/2006/relationships/hyperlink" Target="https://www.linkedin.com/search/results/companies/?keywords=CSP+-+Comercial+del+Sur+de+Papeler&#237;a" TargetMode="External"/><Relationship Id="rId232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233" Type="http://schemas.openxmlformats.org/officeDocument/2006/relationships/hyperlink" Target="https://www.linkedin.com/search/results/companies/?keywords=Smart+Baby+Brands" TargetMode="External"/><Relationship Id="rId234" Type="http://schemas.openxmlformats.org/officeDocument/2006/relationships/hyperlink" Target="https://www.linkedin.com/search/results/people/?keywords=Smart+Baby+Brands+sales+OR+%22account+manager%22+OR+%22business+development%22" TargetMode="External"/><Relationship Id="rId235" Type="http://schemas.openxmlformats.org/officeDocument/2006/relationships/hyperlink" Target="https://www.linkedin.com/search/results/companies/?keywords=Tata+Batata" TargetMode="External"/><Relationship Id="rId236" Type="http://schemas.openxmlformats.org/officeDocument/2006/relationships/hyperlink" Target="https://www.linkedin.com/search/results/people/?keywords=Tata+Batata+sales+OR+%22account+manager%22+OR+%22business+development%22" TargetMode="External"/><Relationship Id="rId237" Type="http://schemas.openxmlformats.org/officeDocument/2006/relationships/hyperlink" Target="https://www.linkedin.com/search/results/companies/?keywords=Bizak+S.A." TargetMode="External"/><Relationship Id="rId238" Type="http://schemas.openxmlformats.org/officeDocument/2006/relationships/hyperlink" Target="https://www.linkedin.com/search/results/people/?keywords=Bizak+S.A.+sales+OR+%22account+manager%22+OR+%22business+development%22" TargetMode="External"/><Relationship Id="rId239" Type="http://schemas.openxmlformats.org/officeDocument/2006/relationships/hyperlink" Target="https://www.linkedin.com/search/results/companies/?keywords=Nomaco+Spain" TargetMode="External"/><Relationship Id="rId240" Type="http://schemas.openxmlformats.org/officeDocument/2006/relationships/hyperlink" Target="https://www.linkedin.com/search/results/people/?keywords=Nomaco+Spain+sales+OR+%22account+manager%22+OR+%22business+development%22" TargetMode="External"/><Relationship Id="rId241" Type="http://schemas.openxmlformats.org/officeDocument/2006/relationships/hyperlink" Target="https://www.linkedin.com/search/results/companies/?keywords=Carletto+AG" TargetMode="External"/><Relationship Id="rId242" Type="http://schemas.openxmlformats.org/officeDocument/2006/relationships/hyperlink" Target="https://www.linkedin.com/search/results/people/?keywords=Carletto+AG+sales+OR+%22account+manager%22+OR+%22business+development%22" TargetMode="External"/><Relationship Id="rId243" Type="http://schemas.openxmlformats.org/officeDocument/2006/relationships/hyperlink" Target="https://www.linkedin.com/search/results/companies/?keywords=Qogita" TargetMode="External"/><Relationship Id="rId244" Type="http://schemas.openxmlformats.org/officeDocument/2006/relationships/hyperlink" Target="https://www.linkedin.com/search/results/people/?keywords=Qogita+sales+OR+%22account+manager%22+OR+%22business+development%22" TargetMode="External"/><Relationship Id="rId245" Type="http://schemas.openxmlformats.org/officeDocument/2006/relationships/hyperlink" Target="https://www.linkedin.com/search/results/companies/?keywords=Babybase+Ltd" TargetMode="External"/><Relationship Id="rId246" Type="http://schemas.openxmlformats.org/officeDocument/2006/relationships/hyperlink" Target="https://www.linkedin.com/search/results/people/?keywords=Babybase+Ltd+sales+OR+%22account+manager%22+OR+%22business+development%22" TargetMode="External"/><Relationship Id="rId247" Type="http://schemas.openxmlformats.org/officeDocument/2006/relationships/hyperlink" Target="https://www.linkedin.com/search/results/companies/?keywords=Toolbank+Ltd" TargetMode="External"/><Relationship Id="rId248" Type="http://schemas.openxmlformats.org/officeDocument/2006/relationships/hyperlink" Target="https://www.linkedin.com/search/results/people/?keywords=Toolbank+Ltd+sales+OR+%22account+manager%22+OR+%22business+development%22" TargetMode="External"/><Relationship Id="rId249" Type="http://schemas.openxmlformats.org/officeDocument/2006/relationships/hyperlink" Target="https://www.linkedin.com/search/results/companies/?keywords=Knights+Fragrances" TargetMode="External"/><Relationship Id="rId250" Type="http://schemas.openxmlformats.org/officeDocument/2006/relationships/hyperlink" Target="https://www.linkedin.com/search/results/people/?keywords=Knights+Fragrances+sales+OR+%22account+manager%22+OR+%22business+development%22" TargetMode="External"/><Relationship Id="rId251" Type="http://schemas.openxmlformats.org/officeDocument/2006/relationships/hyperlink" Target="https://www.linkedin.com/search/results/companies/?keywords=Star+Perfumes" TargetMode="External"/><Relationship Id="rId252" Type="http://schemas.openxmlformats.org/officeDocument/2006/relationships/hyperlink" Target="https://www.linkedin.com/search/results/people/?keywords=Star+Perfumes+sales+OR+%22account+manager%22+OR+%22business+development%22" TargetMode="External"/><Relationship Id="rId253" Type="http://schemas.openxmlformats.org/officeDocument/2006/relationships/hyperlink" Target="https://www.linkedin.com/search/results/companies/?keywords=Harrisons+Direct" TargetMode="External"/><Relationship Id="rId254" Type="http://schemas.openxmlformats.org/officeDocument/2006/relationships/hyperlink" Target="https://www.linkedin.com/search/results/people/?keywords=Harrisons+Direct+sales+OR+%22account+manager%22+OR+%22business+development%22" TargetMode="External"/><Relationship Id="rId255" Type="http://schemas.openxmlformats.org/officeDocument/2006/relationships/hyperlink" Target="https://www.linkedin.com/search/results/companies/?keywords=RKW+Ltd" TargetMode="External"/><Relationship Id="rId256" Type="http://schemas.openxmlformats.org/officeDocument/2006/relationships/hyperlink" Target="https://www.linkedin.com/search/results/people/?keywords=RKW+Ltd+sales+OR+%22account+manager%22+OR+%22business+development%22" TargetMode="External"/><Relationship Id="rId257" Type="http://schemas.openxmlformats.org/officeDocument/2006/relationships/hyperlink" Target="https://www.linkedin.com/search/results/companies/?keywords=A.B.+Gee+of+Ripley+Ltd" TargetMode="External"/><Relationship Id="rId258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259" Type="http://schemas.openxmlformats.org/officeDocument/2006/relationships/hyperlink" Target="https://www.linkedin.com/search/results/companies/?keywords=NDA+Toys" TargetMode="External"/><Relationship Id="rId260" Type="http://schemas.openxmlformats.org/officeDocument/2006/relationships/hyperlink" Target="https://www.linkedin.com/search/results/people/?keywords=NDA+Toys+sales+OR+%22account+manager%22+OR+%22business+development%22" TargetMode="External"/><Relationship Id="rId261" Type="http://schemas.openxmlformats.org/officeDocument/2006/relationships/hyperlink" Target="https://www.linkedin.com/search/results/companies/?keywords=Wind+Designs+Ltd" TargetMode="External"/><Relationship Id="rId262" Type="http://schemas.openxmlformats.org/officeDocument/2006/relationships/hyperlink" Target="https://www.linkedin.com/search/results/people/?keywords=Wind+Designs+Ltd+sales+OR+%22account+manager%22+OR+%22business+development%22" TargetMode="External"/><Relationship Id="rId263" Type="http://schemas.openxmlformats.org/officeDocument/2006/relationships/hyperlink" Target="https://www.linkedin.com/search/results/companies/?keywords=Draper+Tools" TargetMode="External"/><Relationship Id="rId264" Type="http://schemas.openxmlformats.org/officeDocument/2006/relationships/hyperlink" Target="https://www.linkedin.com/search/results/people/?keywords=Draper+Tools+sales+OR+%22account+manager%22+OR+%22business+development%22" TargetMode="External"/><Relationship Id="rId265" Type="http://schemas.openxmlformats.org/officeDocument/2006/relationships/hyperlink" Target="https://www.linkedin.com/search/results/companies/?keywords=Affinity+Fragrances" TargetMode="External"/><Relationship Id="rId266" Type="http://schemas.openxmlformats.org/officeDocument/2006/relationships/hyperlink" Target="https://www.linkedin.com/search/results/people/?keywords=Affinity+Fragrances+sales+OR+%22account+manager%22+OR+%22business+development%22" TargetMode="External"/><Relationship Id="rId267" Type="http://schemas.openxmlformats.org/officeDocument/2006/relationships/hyperlink" Target="https://www.linkedin.com/search/results/companies/?keywords=Shaneel+Group" TargetMode="External"/><Relationship Id="rId268" Type="http://schemas.openxmlformats.org/officeDocument/2006/relationships/hyperlink" Target="https://www.linkedin.com/search/results/people/?keywords=Shaneel+Group+sales+OR+%22account+manager%22+OR+%22business+development%22" TargetMode="External"/><Relationship Id="rId269" Type="http://schemas.openxmlformats.org/officeDocument/2006/relationships/hyperlink" Target="https://www.linkedin.com/search/results/companies/?keywords=Booker+Wholesale" TargetMode="External"/><Relationship Id="rId270" Type="http://schemas.openxmlformats.org/officeDocument/2006/relationships/hyperlink" Target="https://www.linkedin.com/search/results/people/?keywords=Booker+Wholesale+sales+OR+%22account+manager%22+OR+%22business+development%22" TargetMode="External"/><Relationship Id="rId271" Type="http://schemas.openxmlformats.org/officeDocument/2006/relationships/hyperlink" Target="https://www.linkedin.com/search/results/companies/?keywords=PB+Wholesale" TargetMode="External"/><Relationship Id="rId272" Type="http://schemas.openxmlformats.org/officeDocument/2006/relationships/hyperlink" Target="https://www.linkedin.com/search/results/people/?keywords=PB+Wholesale+sales+OR+%22account+manager%22+OR+%22business+development%22" TargetMode="External"/><Relationship Id="rId273" Type="http://schemas.openxmlformats.org/officeDocument/2006/relationships/hyperlink" Target="https://www.linkedin.com/search/results/companies/?keywords=Reliance+Medical+Ltd" TargetMode="External"/><Relationship Id="rId274" Type="http://schemas.openxmlformats.org/officeDocument/2006/relationships/hyperlink" Target="https://www.linkedin.com/search/results/people/?keywords=Reliance+Medical+Ltd+sales+OR+%22account+manager%22+OR+%22business+development%22" TargetMode="External"/><Relationship Id="rId275" Type="http://schemas.openxmlformats.org/officeDocument/2006/relationships/hyperlink" Target="https://www.linkedin.com/search/results/companies/?keywords=EPE+International+Ltd" TargetMode="External"/><Relationship Id="rId276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277" Type="http://schemas.openxmlformats.org/officeDocument/2006/relationships/hyperlink" Target="https://www.linkedin.com/search/results/companies/?keywords=Pedigree+Wholesale" TargetMode="External"/><Relationship Id="rId278" Type="http://schemas.openxmlformats.org/officeDocument/2006/relationships/hyperlink" Target="https://www.linkedin.com/search/results/people/?keywords=Pedigree+Wholesale+sales+OR+%22account+manager%22+OR+%22business+development%22" TargetMode="External"/><Relationship Id="rId279" Type="http://schemas.openxmlformats.org/officeDocument/2006/relationships/hyperlink" Target="https://www.linkedin.com/search/results/companies/?keywords=Gymkit+UK" TargetMode="External"/><Relationship Id="rId280" Type="http://schemas.openxmlformats.org/officeDocument/2006/relationships/hyperlink" Target="https://www.linkedin.com/search/results/people/?keywords=Gymkit+UK+sales+OR+%22account+manager%22+OR+%22business+development%22" TargetMode="External"/><Relationship Id="rId281" Type="http://schemas.openxmlformats.org/officeDocument/2006/relationships/hyperlink" Target="https://www.linkedin.com/search/results/companies/?keywords=Galaxy+Wholesalers+Ltd" TargetMode="External"/><Relationship Id="rId282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283" Type="http://schemas.openxmlformats.org/officeDocument/2006/relationships/hyperlink" Target="https://www.linkedin.com/search/results/companies/?keywords=VOW+Wholesale" TargetMode="External"/><Relationship Id="rId284" Type="http://schemas.openxmlformats.org/officeDocument/2006/relationships/hyperlink" Target="https://www.linkedin.com/search/results/people/?keywords=VOW+Wholesale+sales+OR+%22account+manager%22+OR+%22business+development%22" TargetMode="External"/><Relationship Id="rId285" Type="http://schemas.openxmlformats.org/officeDocument/2006/relationships/hyperlink" Target="https://www.linkedin.com/search/results/companies/?keywords=John+Adams+Leisure+Ltd" TargetMode="External"/><Relationship Id="rId286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287" Type="http://schemas.openxmlformats.org/officeDocument/2006/relationships/hyperlink" Target="https://www.linkedin.com/search/results/companies/?keywords=One+For+Fun" TargetMode="External"/><Relationship Id="rId288" Type="http://schemas.openxmlformats.org/officeDocument/2006/relationships/hyperlink" Target="https://www.linkedin.com/search/results/people/?keywords=One+For+Fun+sales+OR+%22account+manager%22+OR+%22business+development%22" TargetMode="External"/><Relationship Id="rId289" Type="http://schemas.openxmlformats.org/officeDocument/2006/relationships/hyperlink" Target="https://www.linkedin.com/search/results/companies/?keywords=Peterkin+UK+Ltd" TargetMode="External"/><Relationship Id="rId290" Type="http://schemas.openxmlformats.org/officeDocument/2006/relationships/hyperlink" Target="https://www.linkedin.com/search/results/people/?keywords=Peterkin+UK+Ltd+sales+OR+%22account+manager%22+OR+%22business+development%22" TargetMode="External"/><Relationship Id="rId291" Type="http://schemas.openxmlformats.org/officeDocument/2006/relationships/hyperlink" Target="https://www.linkedin.com/search/results/companies/?keywords=Baby+Brands+Direct" TargetMode="External"/><Relationship Id="rId292" Type="http://schemas.openxmlformats.org/officeDocument/2006/relationships/hyperlink" Target="https://www.linkedin.com/search/results/people/?keywords=Baby+Brands+Direct+sales+OR+%22account+manager%22+OR+%22business+development%22" TargetMode="External"/><Relationship Id="rId293" Type="http://schemas.openxmlformats.org/officeDocument/2006/relationships/hyperlink" Target="https://www.linkedin.com/search/results/companies/?keywords=Wholesale+Baby+Products" TargetMode="External"/><Relationship Id="rId294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295" Type="http://schemas.openxmlformats.org/officeDocument/2006/relationships/hyperlink" Target="https://www.linkedin.com/search/results/companies/?keywords=Campbell+Miller+Tools" TargetMode="External"/><Relationship Id="rId296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297" Type="http://schemas.openxmlformats.org/officeDocument/2006/relationships/hyperlink" Target="https://www.linkedin.com/search/results/companies/?keywords=Toolstek" TargetMode="External"/><Relationship Id="rId298" Type="http://schemas.openxmlformats.org/officeDocument/2006/relationships/hyperlink" Target="https://www.linkedin.com/search/results/people/?keywords=Toolstek+sales+OR+%22account+manager%22+OR+%22business+development%22" TargetMode="External"/><Relationship Id="rId299" Type="http://schemas.openxmlformats.org/officeDocument/2006/relationships/hyperlink" Target="https://www.linkedin.com/search/results/companies/?keywords=Agence+de+Parfumerie" TargetMode="External"/><Relationship Id="rId300" Type="http://schemas.openxmlformats.org/officeDocument/2006/relationships/hyperlink" Target="https://www.linkedin.com/search/results/people/?keywords=Agence+de+Parfumerie+sales+OR+%22account+manager%22+OR+%22business+development%22" TargetMode="External"/><Relationship Id="rId301" Type="http://schemas.openxmlformats.org/officeDocument/2006/relationships/hyperlink" Target="https://www.linkedin.com/search/results/companies/?keywords=Bestway+Wholesale" TargetMode="External"/><Relationship Id="rId302" Type="http://schemas.openxmlformats.org/officeDocument/2006/relationships/hyperlink" Target="https://www.linkedin.com/search/results/people/?keywords=Bestway+Wholesale+sales+OR+%22account+manager%22+OR+%22business+development%22" TargetMode="External"/><Relationship Id="rId303" Type="http://schemas.openxmlformats.org/officeDocument/2006/relationships/hyperlink" Target="https://www.linkedin.com/search/results/companies/?keywords=Costco+UK" TargetMode="External"/><Relationship Id="rId304" Type="http://schemas.openxmlformats.org/officeDocument/2006/relationships/hyperlink" Target="https://www.linkedin.com/search/results/people/?keywords=Costco+UK+sales+OR+%22account+manager%22+OR+%22business+development%22" TargetMode="External"/><Relationship Id="rId305" Type="http://schemas.openxmlformats.org/officeDocument/2006/relationships/hyperlink" Target="https://www.linkedin.com/search/results/companies/?keywords=DK+Wholesale" TargetMode="External"/><Relationship Id="rId306" Type="http://schemas.openxmlformats.org/officeDocument/2006/relationships/hyperlink" Target="https://www.linkedin.com/search/results/people/?keywords=DK+Wholesale+sales+OR+%22account+manager%22+OR+%22business+development%22" TargetMode="External"/><Relationship Id="rId307" Type="http://schemas.openxmlformats.org/officeDocument/2006/relationships/hyperlink" Target="https://www.linkedin.com/search/results/companies/?keywords=Dhamecha+Cash+%26+Carry" TargetMode="External"/><Relationship Id="rId308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309" Type="http://schemas.openxmlformats.org/officeDocument/2006/relationships/hyperlink" Target="https://www.linkedin.com/search/results/companies/?keywords=Hancocks" TargetMode="External"/><Relationship Id="rId310" Type="http://schemas.openxmlformats.org/officeDocument/2006/relationships/hyperlink" Target="https://www.linkedin.com/search/results/people/?keywords=Hancocks+sales+OR+%22account+manager%22+OR+%22business+development%22" TargetMode="External"/><Relationship Id="rId311" Type="http://schemas.openxmlformats.org/officeDocument/2006/relationships/hyperlink" Target="https://www.linkedin.com/search/results/companies/?keywords=Parfetts" TargetMode="External"/><Relationship Id="rId312" Type="http://schemas.openxmlformats.org/officeDocument/2006/relationships/hyperlink" Target="https://www.linkedin.com/search/results/people/?keywords=Parfetts+sales+OR+%22account+manager%22+OR+%22business+development%22" TargetMode="External"/><Relationship Id="rId313" Type="http://schemas.openxmlformats.org/officeDocument/2006/relationships/hyperlink" Target="https://www.linkedin.com/search/results/companies/?keywords=CLF+Distribution" TargetMode="External"/><Relationship Id="rId314" Type="http://schemas.openxmlformats.org/officeDocument/2006/relationships/hyperlink" Target="https://www.linkedin.com/search/results/people/?keywords=CLF+Distribution+sales+OR+%22account+manager%22+OR+%22business+development%22" TargetMode="External"/><Relationship Id="rId315" Type="http://schemas.openxmlformats.org/officeDocument/2006/relationships/hyperlink" Target="https://www.linkedin.com/search/results/companies/?keywords=Lexon" TargetMode="External"/><Relationship Id="rId316" Type="http://schemas.openxmlformats.org/officeDocument/2006/relationships/hyperlink" Target="https://www.linkedin.com/search/results/people/?keywords=Lexon+sales+OR+%22account+manager%22+OR+%22business+development%22" TargetMode="External"/><Relationship Id="rId317" Type="http://schemas.openxmlformats.org/officeDocument/2006/relationships/hyperlink" Target="https://www.linkedin.com/search/results/companies/?keywords=Predator+Nutrition" TargetMode="External"/><Relationship Id="rId318" Type="http://schemas.openxmlformats.org/officeDocument/2006/relationships/hyperlink" Target="https://www.linkedin.com/search/results/people/?keywords=Predator+Nutrition+sales+OR+%22account+manager%22+OR+%22business+development%22" TargetMode="External"/><Relationship Id="rId319" Type="http://schemas.openxmlformats.org/officeDocument/2006/relationships/hyperlink" Target="https://www.linkedin.com/search/results/companies/?keywords=Bluestem+Group" TargetMode="External"/><Relationship Id="rId320" Type="http://schemas.openxmlformats.org/officeDocument/2006/relationships/hyperlink" Target="https://www.linkedin.com/search/results/people/?keywords=Bluestem+Group+sales+OR+%22account+manager%22+OR+%22business+development%22" TargetMode="External"/><Relationship Id="rId321" Type="http://schemas.openxmlformats.org/officeDocument/2006/relationships/hyperlink" Target="https://www.linkedin.com/search/results/companies/?keywords=Burton+McCall" TargetMode="External"/><Relationship Id="rId322" Type="http://schemas.openxmlformats.org/officeDocument/2006/relationships/hyperlink" Target="https://www.linkedin.com/search/results/people/?keywords=Burton+McCall+sales+OR+%22account+manager%22+OR+%22business+development%22" TargetMode="External"/><Relationship Id="rId323" Type="http://schemas.openxmlformats.org/officeDocument/2006/relationships/hyperlink" Target="https://www.linkedin.com/search/results/companies/?keywords=Connect+Distribution" TargetMode="External"/><Relationship Id="rId324" Type="http://schemas.openxmlformats.org/officeDocument/2006/relationships/hyperlink" Target="https://www.linkedin.com/search/results/people/?keywords=Connect+Distribution+sales+OR+%22account+manager%22+OR+%22business+development%22" TargetMode="External"/><Relationship Id="rId325" Type="http://schemas.openxmlformats.org/officeDocument/2006/relationships/hyperlink" Target="https://www.linkedin.com/search/results/companies/?keywords=HAUS+Marketing+%26+Distribution" TargetMode="External"/><Relationship Id="rId326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327" Type="http://schemas.openxmlformats.org/officeDocument/2006/relationships/hyperlink" Target="https://www.linkedin.com/search/results/companies/?keywords=SQ+Professional+Ltd" TargetMode="External"/><Relationship Id="rId328" Type="http://schemas.openxmlformats.org/officeDocument/2006/relationships/hyperlink" Target="https://www.linkedin.com/search/results/people/?keywords=SQ+Professional+Ltd+sales+OR+%22account+manager%22+OR+%22business+development%22" TargetMode="External"/><Relationship Id="rId329" Type="http://schemas.openxmlformats.org/officeDocument/2006/relationships/hyperlink" Target="https://www.linkedin.com/search/results/companies/?keywords=PMS+International" TargetMode="External"/><Relationship Id="rId330" Type="http://schemas.openxmlformats.org/officeDocument/2006/relationships/hyperlink" Target="https://www.linkedin.com/search/results/people/?keywords=PMS+International+sales+OR+%22account+manager%22+OR+%22business+development%22" TargetMode="External"/><Relationship Id="rId331" Type="http://schemas.openxmlformats.org/officeDocument/2006/relationships/hyperlink" Target="https://www.linkedin.com/search/results/companies/?keywords=Paws+Products+Wholesale" TargetMode="External"/><Relationship Id="rId332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333" Type="http://schemas.openxmlformats.org/officeDocument/2006/relationships/hyperlink" Target="https://www.linkedin.com/search/results/companies/?keywords=Hykeham+Wholesale+Ltd" TargetMode="External"/><Relationship Id="rId334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335" Type="http://schemas.openxmlformats.org/officeDocument/2006/relationships/hyperlink" Target="https://www.linkedin.com/search/results/companies/?keywords=Vango" TargetMode="External"/><Relationship Id="rId336" Type="http://schemas.openxmlformats.org/officeDocument/2006/relationships/hyperlink" Target="https://www.linkedin.com/search/results/people/?keywords=Vango+sales+OR+%22account+manager%22+OR+%22business+development%22" TargetMode="External"/><Relationship Id="rId337" Type="http://schemas.openxmlformats.org/officeDocument/2006/relationships/hyperlink" Target="https://www.linkedin.com/search/results/companies/?keywords=The+Impact+Distribution+Group" TargetMode="External"/><Relationship Id="rId338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339" Type="http://schemas.openxmlformats.org/officeDocument/2006/relationships/hyperlink" Target="https://www.linkedin.com/search/results/companies/?keywords=West+Design+Products" TargetMode="External"/><Relationship Id="rId340" Type="http://schemas.openxmlformats.org/officeDocument/2006/relationships/hyperlink" Target="https://www.linkedin.com/search/results/people/?keywords=West+Design+Products+sales+OR+%22account+manager%22+OR+%22business+development%22" TargetMode="External"/><Relationship Id="rId341" Type="http://schemas.openxmlformats.org/officeDocument/2006/relationships/hyperlink" Target="https://www.linkedin.com/search/results/companies/?keywords=Character+Options+Ltd" TargetMode="External"/><Relationship Id="rId342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343" Type="http://schemas.openxmlformats.org/officeDocument/2006/relationships/hyperlink" Target="https://www.linkedin.com/search/results/companies/?keywords=Keycraft" TargetMode="External"/><Relationship Id="rId344" Type="http://schemas.openxmlformats.org/officeDocument/2006/relationships/hyperlink" Target="https://www.linkedin.com/search/results/people/?keywords=Keycraft+sales+OR+%22account+manager%22+OR+%22business+development%22" TargetMode="External"/><Relationship Id="rId345" Type="http://schemas.openxmlformats.org/officeDocument/2006/relationships/hyperlink" Target="https://www.linkedin.com/search/results/companies/?keywords=Puckator+Ltd" TargetMode="External"/><Relationship Id="rId346" Type="http://schemas.openxmlformats.org/officeDocument/2006/relationships/hyperlink" Target="https://www.linkedin.com/search/results/people/?keywords=Puckator+Ltd+sales+OR+%22account+manager%22+OR+%22business+development%22" TargetMode="External"/><Relationship Id="rId347" Type="http://schemas.openxmlformats.org/officeDocument/2006/relationships/hyperlink" Target="https://www.linkedin.com/search/results/companies/?keywords=Aston+%26+Fincher" TargetMode="External"/><Relationship Id="rId348" Type="http://schemas.openxmlformats.org/officeDocument/2006/relationships/hyperlink" Target="https://www.linkedin.com/search/results/people/?keywords=Aston+%26+Fincher+sales+OR+%22account+manager%22+OR+%22business+development%22" TargetMode="External"/><Relationship Id="rId349" Type="http://schemas.openxmlformats.org/officeDocument/2006/relationships/hyperlink" Target="https://www.linkedin.com/search/results/companies/?keywords=Capital+Hair+%26+Beauty" TargetMode="External"/><Relationship Id="rId350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351" Type="http://schemas.openxmlformats.org/officeDocument/2006/relationships/hyperlink" Target="https://www.linkedin.com/search/results/companies/?keywords=Cherry+Cosmetics" TargetMode="External"/><Relationship Id="rId352" Type="http://schemas.openxmlformats.org/officeDocument/2006/relationships/hyperlink" Target="https://www.linkedin.com/search/results/people/?keywords=Cherry+Cosmetics+sales+OR+%22account+manager%22+OR+%22business+development%22" TargetMode="External"/><Relationship Id="rId353" Type="http://schemas.openxmlformats.org/officeDocument/2006/relationships/hyperlink" Target="https://www.linkedin.com/search/results/companies/?keywords=Exquisite+Cosmetics+Ltd" TargetMode="External"/><Relationship Id="rId354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355" Type="http://schemas.openxmlformats.org/officeDocument/2006/relationships/hyperlink" Target="https://www.linkedin.com/search/results/companies/?keywords=LookinStyle" TargetMode="External"/><Relationship Id="rId356" Type="http://schemas.openxmlformats.org/officeDocument/2006/relationships/hyperlink" Target="https://www.linkedin.com/search/results/people/?keywords=LookinStyle+sales+OR+%22account+manager%22+OR+%22business+development%22" TargetMode="External"/><Relationship Id="rId357" Type="http://schemas.openxmlformats.org/officeDocument/2006/relationships/hyperlink" Target="https://www.linkedin.com/search/results/companies/?keywords=Ludonex+Ltd" TargetMode="External"/><Relationship Id="rId358" Type="http://schemas.openxmlformats.org/officeDocument/2006/relationships/hyperlink" Target="https://www.linkedin.com/search/results/people/?keywords=Ludonex+Ltd+sales+OR+%22account+manager%22+OR+%22business+development%22" TargetMode="External"/><Relationship Id="rId359" Type="http://schemas.openxmlformats.org/officeDocument/2006/relationships/hyperlink" Target="https://www.linkedin.com/search/results/companies/?keywords=Wholesale+Clearance+UK" TargetMode="External"/><Relationship Id="rId360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361" Type="http://schemas.openxmlformats.org/officeDocument/2006/relationships/hyperlink" Target="https://www.linkedin.com/search/results/companies/?keywords=GP+Supplies" TargetMode="External"/><Relationship Id="rId362" Type="http://schemas.openxmlformats.org/officeDocument/2006/relationships/hyperlink" Target="https://www.linkedin.com/search/results/people/?keywords=GP+Supplies+sales+OR+%22account+manager%22+OR+%22business+development%22" TargetMode="External"/><Relationship Id="rId363" Type="http://schemas.openxmlformats.org/officeDocument/2006/relationships/hyperlink" Target="https://www.linkedin.com/search/results/companies/?keywords=Karysrol+Ltd" TargetMode="External"/><Relationship Id="rId364" Type="http://schemas.openxmlformats.org/officeDocument/2006/relationships/hyperlink" Target="https://www.linkedin.com/search/results/people/?keywords=Karysrol+Ltd+sales+OR+%22account+manager%22+OR+%22business+development%22" TargetMode="External"/><Relationship Id="rId365" Type="http://schemas.openxmlformats.org/officeDocument/2006/relationships/hyperlink" Target="https://www.linkedin.com/search/results/companies/?keywords=Kinetic+Natural+Product+Distributor" TargetMode="External"/><Relationship Id="rId366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367" Type="http://schemas.openxmlformats.org/officeDocument/2006/relationships/hyperlink" Target="https://www.linkedin.com/search/results/companies/?keywords=Suma+Wholefoods" TargetMode="External"/><Relationship Id="rId368" Type="http://schemas.openxmlformats.org/officeDocument/2006/relationships/hyperlink" Target="https://www.linkedin.com/search/results/people/?keywords=Suma+Wholefoods+sales+OR+%22account+manager%22+OR+%22business+development%22" TargetMode="External"/><Relationship Id="rId369" Type="http://schemas.openxmlformats.org/officeDocument/2006/relationships/hyperlink" Target="https://www.linkedin.com/search/results/companies/?keywords=Shure+Cosmetics" TargetMode="External"/><Relationship Id="rId370" Type="http://schemas.openxmlformats.org/officeDocument/2006/relationships/hyperlink" Target="https://www.linkedin.com/search/results/people/?keywords=Shure+Cosmetics+sales+OR+%22account+manager%22+OR+%22business+development%22" TargetMode="External"/><Relationship Id="rId371" Type="http://schemas.openxmlformats.org/officeDocument/2006/relationships/hyperlink" Target="https://www.linkedin.com/search/results/companies/?keywords=Toolstream+%2F+Silverline+Tools" TargetMode="External"/><Relationship Id="rId372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373" Type="http://schemas.openxmlformats.org/officeDocument/2006/relationships/hyperlink" Target="https://www.linkedin.com/search/results/companies/?keywords=Symphonya.eu" TargetMode="External"/><Relationship Id="rId374" Type="http://schemas.openxmlformats.org/officeDocument/2006/relationships/hyperlink" Target="https://www.linkedin.com/search/results/people/?keywords=Symphonya.eu+sales+OR+%22account+manager%22+OR+%22business+development%22" TargetMode="External"/><Relationship Id="rId375" Type="http://schemas.openxmlformats.org/officeDocument/2006/relationships/hyperlink" Target="https://www.linkedin.com/search/results/companies/?keywords=B-Stock+-+Amazon+EU+Liquidation+Auctions" TargetMode="External"/><Relationship Id="rId376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377" Type="http://schemas.openxmlformats.org/officeDocument/2006/relationships/hyperlink" Target="https://www.linkedin.com/search/results/companies/?keywords=Faire" TargetMode="External"/><Relationship Id="rId378" Type="http://schemas.openxmlformats.org/officeDocument/2006/relationships/hyperlink" Target="https://www.linkedin.com/search/results/people/?keywords=Faire+sales+OR+%22account+manager%22+OR+%22business+development%22" TargetMode="External"/><Relationship Id="rId379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een.ec.europa.eu/partnering-opportunities" TargetMode="External"/><Relationship Id="rId17" Type="http://schemas.openxmlformats.org/officeDocument/2006/relationships/hyperlink" Target="https://www.europages.co.uk/" TargetMode="External"/><Relationship Id="rId18" Type="http://schemas.openxmlformats.org/officeDocument/2006/relationships/hyperlink" Target="https://www.wlw.de/" TargetMode="External"/><Relationship Id="rId19" Type="http://schemas.openxmlformats.org/officeDocument/2006/relationships/hyperlink" Target="https://www.kompass.com/" TargetMode="External"/><Relationship Id="rId20" Type="http://schemas.openxmlformats.org/officeDocument/2006/relationships/hyperlink" Target="https://www.cosmeticindex.com/~cosmetic-distributors-wholesalers_Europe" TargetMode="External"/><Relationship Id="rId21" Type="http://schemas.openxmlformats.org/officeDocument/2006/relationships/hyperlink" Target="https://www.interzoo.com/en/exhibitors" TargetMode="External"/><Relationship Id="rId22" Type="http://schemas.openxmlformats.org/officeDocument/2006/relationships/hyperlink" Target="https://www.zoomark.it/en/" TargetMode="External"/><Relationship Id="rId23" Type="http://schemas.openxmlformats.org/officeDocument/2006/relationships/hyperlink" Target="https://ambiente.messefrankfurt.com/" TargetMode="External"/><Relationship Id="rId24" Type="http://schemas.openxmlformats.org/officeDocument/2006/relationships/hyperlink" Target="https://www.ifa-berlin.com/" TargetMode="External"/><Relationship Id="rId25" Type="http://schemas.openxmlformats.org/officeDocument/2006/relationships/hyperlink" Target="https://www.fibo.com/" TargetMode="External"/><Relationship Id="rId26" Type="http://schemas.openxmlformats.org/officeDocument/2006/relationships/hyperlink" Target="https://www.eurobike.com/" TargetMode="External"/><Relationship Id="rId27" Type="http://schemas.openxmlformats.org/officeDocument/2006/relationships/hyperlink" Target="https://www.kindundjugend.com/" TargetMode="External"/><Relationship Id="rId28" Type="http://schemas.openxmlformats.org/officeDocument/2006/relationships/hyperlink" Target="https://creativeworld.messefrankfurt.com/" TargetMode="External"/><Relationship Id="rId29" Type="http://schemas.openxmlformats.org/officeDocument/2006/relationships/hyperlink" Target="https://www.toyfair.co.uk/" TargetMode="External"/><Relationship Id="rId30" Type="http://schemas.openxmlformats.org/officeDocument/2006/relationships/hyperlink" Target="https://www.spielwarenmesse.de/" TargetMode="External"/><Relationship Id="rId31" Type="http://schemas.openxmlformats.org/officeDocument/2006/relationships/hyperlink" Target="https://www.cosmoprof.com/" TargetMode="External"/><Relationship Id="rId32" Type="http://schemas.openxmlformats.org/officeDocument/2006/relationships/hyperlink" Target="https://www.springfair.com/" TargetMode="External"/><Relationship Id="rId3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2" customFormat="false" ht="15" hidden="false" customHeight="false" outlineLevel="0" collapsed="false">
      <c r="B12" s="3" t="s">
        <v>13</v>
      </c>
    </row>
    <row r="13" customFormat="false" ht="23.85" hidden="false" customHeight="false" outlineLevel="0" collapsed="false">
      <c r="B13" s="4" t="s">
        <v>14</v>
      </c>
      <c r="C13" s="5" t="s">
        <v>15</v>
      </c>
    </row>
    <row r="14" customFormat="false" ht="15" hidden="false" customHeight="false" outlineLevel="0" collapsed="false">
      <c r="B14" s="4" t="s">
        <v>16</v>
      </c>
      <c r="C14" s="5" t="s">
        <v>17</v>
      </c>
    </row>
    <row r="15" customFormat="false" ht="23.8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15" hidden="false" customHeight="false" outlineLevel="0" collapsed="false">
      <c r="B17" s="4" t="s">
        <v>22</v>
      </c>
      <c r="C17" s="5" t="s">
        <v>23</v>
      </c>
    </row>
    <row r="18" customFormat="false" ht="1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4" t="s">
        <v>28</v>
      </c>
      <c r="C20" s="5" t="s">
        <v>29</v>
      </c>
    </row>
    <row r="21" customFormat="false" ht="23.85" hidden="false" customHeight="false" outlineLevel="0" collapsed="false">
      <c r="B21" s="4" t="s">
        <v>30</v>
      </c>
      <c r="C21" s="5" t="s">
        <v>31</v>
      </c>
    </row>
    <row r="23" customFormat="false" ht="15" hidden="false" customHeight="false" outlineLevel="0" collapsed="false">
      <c r="B23" s="3" t="s">
        <v>32</v>
      </c>
    </row>
    <row r="24" customFormat="false" ht="15" hidden="false" customHeight="false" outlineLevel="0" collapsed="false">
      <c r="B24" s="4" t="s">
        <v>33</v>
      </c>
      <c r="C24" s="5" t="s">
        <v>34</v>
      </c>
    </row>
    <row r="25" customFormat="false" ht="15" hidden="false" customHeight="false" outlineLevel="0" collapsed="false">
      <c r="B25" s="4" t="s">
        <v>35</v>
      </c>
      <c r="C25" s="5" t="s">
        <v>36</v>
      </c>
    </row>
    <row r="26" customFormat="false" ht="15" hidden="false" customHeight="false" outlineLevel="0" collapsed="false">
      <c r="B26" s="4" t="s">
        <v>37</v>
      </c>
      <c r="C26" s="5" t="s">
        <v>38</v>
      </c>
    </row>
    <row r="27" customFormat="false" ht="15" hidden="false" customHeight="false" outlineLevel="0" collapsed="false">
      <c r="B27" s="4" t="s">
        <v>39</v>
      </c>
      <c r="C27" s="5" t="s">
        <v>40</v>
      </c>
    </row>
    <row r="28" customFormat="false" ht="15" hidden="false" customHeight="false" outlineLevel="0" collapsed="false">
      <c r="B28" s="4" t="s">
        <v>41</v>
      </c>
      <c r="C28" s="5" t="s">
        <v>42</v>
      </c>
    </row>
    <row r="30" customFormat="false" ht="15" hidden="false" customHeight="false" outlineLevel="0" collapsed="false">
      <c r="B30" s="3" t="s">
        <v>43</v>
      </c>
    </row>
    <row r="31" customFormat="false" ht="15" hidden="false" customHeight="false" outlineLevel="0" collapsed="false">
      <c r="B31" s="4" t="s">
        <v>44</v>
      </c>
      <c r="C31" s="5" t="s">
        <v>45</v>
      </c>
    </row>
    <row r="32" customFormat="false" ht="15" hidden="false" customHeight="false" outlineLevel="0" collapsed="false">
      <c r="B32" s="4" t="s">
        <v>46</v>
      </c>
      <c r="C32" s="5" t="s">
        <v>47</v>
      </c>
    </row>
    <row r="33" customFormat="false" ht="15" hidden="false" customHeight="false" outlineLevel="0" collapsed="false">
      <c r="B33" s="4" t="s">
        <v>48</v>
      </c>
      <c r="C33" s="5" t="s">
        <v>49</v>
      </c>
    </row>
    <row r="34" customFormat="false" ht="15" hidden="false" customHeight="false" outlineLevel="0" collapsed="false">
      <c r="B34" s="4" t="s">
        <v>50</v>
      </c>
      <c r="C34" s="5" t="s">
        <v>51</v>
      </c>
    </row>
    <row r="36" customFormat="false" ht="15" hidden="false" customHeight="false" outlineLevel="0" collapsed="false">
      <c r="B36" s="3" t="s">
        <v>52</v>
      </c>
    </row>
    <row r="37" customFormat="false" ht="45" hidden="false" customHeight="true" outlineLevel="0" collapsed="false">
      <c r="B37" s="4" t="s">
        <v>53</v>
      </c>
      <c r="C37" s="5" t="s">
        <v>54</v>
      </c>
    </row>
    <row r="38" customFormat="false" ht="45" hidden="false" customHeight="true" outlineLevel="0" collapsed="false">
      <c r="B38" s="4" t="s">
        <v>55</v>
      </c>
      <c r="C38" s="5" t="s">
        <v>56</v>
      </c>
    </row>
    <row r="39" customFormat="false" ht="45" hidden="false" customHeight="true" outlineLevel="0" collapsed="false">
      <c r="B39" s="4" t="s">
        <v>57</v>
      </c>
      <c r="C39" s="5" t="s">
        <v>58</v>
      </c>
    </row>
    <row r="40" customFormat="false" ht="45" hidden="false" customHeight="true" outlineLevel="0" collapsed="false">
      <c r="B40" s="4" t="s">
        <v>59</v>
      </c>
      <c r="C40" s="5" t="s">
        <v>60</v>
      </c>
    </row>
    <row r="41" customFormat="false" ht="45" hidden="false" customHeight="true" outlineLevel="0" collapsed="false">
      <c r="B41" s="4" t="s">
        <v>61</v>
      </c>
      <c r="C41" s="5" t="s">
        <v>62</v>
      </c>
    </row>
    <row r="43" customFormat="false" ht="15" hidden="false" customHeight="false" outlineLevel="0" collapsed="false">
      <c r="B43" s="3" t="s">
        <v>63</v>
      </c>
    </row>
    <row r="44" customFormat="false" ht="45" hidden="false" customHeight="true" outlineLevel="0" collapsed="false">
      <c r="B44" s="4"/>
      <c r="C44" s="5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8"/>
    <col collapsed="false" customWidth="true" hidden="false" outlineLevel="0" max="12" min="12" style="0" width="28"/>
    <col collapsed="false" customWidth="true" hidden="false" outlineLevel="0" max="13" min="13" style="0" width="2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22"/>
    <col collapsed="false" customWidth="true" hidden="false" outlineLevel="0" max="17" min="17" style="0" width="28"/>
    <col collapsed="false" customWidth="true" hidden="false" outlineLevel="0" max="18" min="18" style="0" width="18"/>
    <col collapsed="false" customWidth="true" hidden="false" outlineLevel="0" max="19" min="19" style="0" width="16"/>
    <col collapsed="false" customWidth="true" hidden="false" outlineLevel="0" max="20" min="20" style="0" width="11"/>
    <col collapsed="false" customWidth="true" hidden="false" outlineLevel="0" max="21" min="21" style="0" width="18"/>
    <col collapsed="false" customWidth="true" hidden="false" outlineLevel="0" max="22" min="22" style="0" width="34"/>
    <col collapsed="false" customWidth="true" hidden="false" outlineLevel="0" max="24" min="23" style="0" width="36"/>
    <col collapsed="false" customWidth="true" hidden="false" outlineLevel="0" max="25" min="25" style="0" width="22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0"/>
    <col collapsed="false" customWidth="true" hidden="false" outlineLevel="0" max="29" min="29" style="0" width="18"/>
    <col collapsed="false" customWidth="true" hidden="false" outlineLevel="0" max="31" min="30" style="0" width="13"/>
    <col collapsed="false" customWidth="true" hidden="false" outlineLevel="0" max="32" min="32" style="0" width="18"/>
    <col collapsed="false" customWidth="true" hidden="false" outlineLevel="0" max="33" min="33" style="0" width="30"/>
    <col collapsed="false" customWidth="true" hidden="false" outlineLevel="0" max="34" min="34" style="0" width="13"/>
    <col collapsed="false" customWidth="true" hidden="false" outlineLevel="0" max="35" min="35" style="0" width="12"/>
    <col collapsed="false" customWidth="true" hidden="false" outlineLevel="0" max="36" min="36" style="0" width="26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67</v>
      </c>
      <c r="D1" s="6" t="s">
        <v>68</v>
      </c>
      <c r="E1" s="6" t="s">
        <v>69</v>
      </c>
      <c r="F1" s="6" t="s">
        <v>70</v>
      </c>
      <c r="G1" s="6" t="s">
        <v>71</v>
      </c>
      <c r="H1" s="6" t="s">
        <v>9</v>
      </c>
      <c r="I1" s="6" t="s">
        <v>72</v>
      </c>
      <c r="J1" s="6" t="s">
        <v>73</v>
      </c>
      <c r="K1" s="6" t="s">
        <v>74</v>
      </c>
      <c r="L1" s="6" t="s">
        <v>75</v>
      </c>
      <c r="M1" s="6" t="s">
        <v>76</v>
      </c>
      <c r="N1" s="6" t="s">
        <v>77</v>
      </c>
      <c r="O1" s="6" t="s">
        <v>78</v>
      </c>
      <c r="P1" s="6" t="s">
        <v>79</v>
      </c>
      <c r="Q1" s="6" t="s">
        <v>80</v>
      </c>
      <c r="R1" s="6" t="s">
        <v>81</v>
      </c>
      <c r="S1" s="6" t="s">
        <v>82</v>
      </c>
      <c r="T1" s="6" t="s">
        <v>83</v>
      </c>
      <c r="U1" s="6" t="s">
        <v>84</v>
      </c>
      <c r="V1" s="6" t="s">
        <v>85</v>
      </c>
      <c r="W1" s="6" t="s">
        <v>86</v>
      </c>
      <c r="X1" s="6" t="s">
        <v>87</v>
      </c>
      <c r="Y1" s="6" t="s">
        <v>88</v>
      </c>
      <c r="Z1" s="6" t="s">
        <v>89</v>
      </c>
      <c r="AA1" s="6" t="s">
        <v>90</v>
      </c>
      <c r="AB1" s="6" t="s">
        <v>91</v>
      </c>
      <c r="AC1" s="7" t="s">
        <v>92</v>
      </c>
      <c r="AD1" s="7" t="s">
        <v>93</v>
      </c>
      <c r="AE1" s="7" t="s">
        <v>94</v>
      </c>
      <c r="AF1" s="7" t="s">
        <v>95</v>
      </c>
      <c r="AG1" s="7" t="s">
        <v>96</v>
      </c>
      <c r="AH1" s="7" t="s">
        <v>97</v>
      </c>
      <c r="AI1" s="7" t="s">
        <v>98</v>
      </c>
      <c r="AJ1" s="7" t="s">
        <v>99</v>
      </c>
    </row>
    <row r="2" customFormat="false" ht="23.85" hidden="false" customHeight="false" outlineLevel="0" collapsed="false">
      <c r="A2" s="8" t="s">
        <v>100</v>
      </c>
      <c r="B2" s="9" t="n">
        <v>1</v>
      </c>
      <c r="C2" s="10" t="n">
        <v>4</v>
      </c>
      <c r="D2" s="11" t="s">
        <v>101</v>
      </c>
      <c r="E2" s="11" t="s">
        <v>102</v>
      </c>
      <c r="F2" s="12" t="s">
        <v>103</v>
      </c>
      <c r="G2" s="11" t="s">
        <v>104</v>
      </c>
      <c r="H2" s="11"/>
      <c r="I2" s="11" t="s">
        <v>105</v>
      </c>
      <c r="J2" s="11" t="s">
        <v>106</v>
      </c>
      <c r="K2" s="11" t="s">
        <v>107</v>
      </c>
      <c r="L2" s="11" t="s">
        <v>108</v>
      </c>
      <c r="M2" s="11" t="s">
        <v>109</v>
      </c>
      <c r="N2" s="11" t="s">
        <v>110</v>
      </c>
      <c r="O2" s="11" t="s">
        <v>111</v>
      </c>
      <c r="P2" s="11" t="s">
        <v>112</v>
      </c>
      <c r="Q2" s="11" t="s">
        <v>113</v>
      </c>
      <c r="R2" s="11" t="s">
        <v>114</v>
      </c>
      <c r="S2" s="11" t="s">
        <v>115</v>
      </c>
      <c r="T2" s="11" t="s">
        <v>115</v>
      </c>
      <c r="U2" s="11"/>
      <c r="V2" s="11" t="s">
        <v>116</v>
      </c>
      <c r="W2" s="11"/>
      <c r="X2" s="11"/>
      <c r="Y2" s="11" t="s">
        <v>117</v>
      </c>
      <c r="Z2" s="12" t="s">
        <v>118</v>
      </c>
      <c r="AA2" s="12" t="s">
        <v>119</v>
      </c>
      <c r="AB2" s="11" t="s">
        <v>120</v>
      </c>
      <c r="AC2" s="13" t="s">
        <v>121</v>
      </c>
      <c r="AD2" s="14"/>
      <c r="AE2" s="13"/>
      <c r="AF2" s="13"/>
      <c r="AG2" s="13"/>
      <c r="AH2" s="14" t="str">
        <f aca="false">IF(AD2="","",WORKDAY(AD2,5))</f>
        <v/>
      </c>
      <c r="AI2" s="13"/>
      <c r="AJ2" s="13"/>
    </row>
    <row r="3" customFormat="false" ht="23.85" hidden="false" customHeight="false" outlineLevel="0" collapsed="false">
      <c r="A3" s="15" t="s">
        <v>100</v>
      </c>
      <c r="B3" s="16" t="n">
        <v>2</v>
      </c>
      <c r="C3" s="17" t="n">
        <v>3</v>
      </c>
      <c r="D3" s="18" t="s">
        <v>122</v>
      </c>
      <c r="E3" s="18" t="s">
        <v>123</v>
      </c>
      <c r="F3" s="19" t="s">
        <v>124</v>
      </c>
      <c r="G3" s="18" t="s">
        <v>125</v>
      </c>
      <c r="H3" s="18"/>
      <c r="I3" s="18" t="s">
        <v>105</v>
      </c>
      <c r="J3" s="18" t="s">
        <v>126</v>
      </c>
      <c r="K3" s="18"/>
      <c r="L3" s="18" t="s">
        <v>127</v>
      </c>
      <c r="M3" s="18" t="s">
        <v>128</v>
      </c>
      <c r="N3" s="18" t="s">
        <v>129</v>
      </c>
      <c r="O3" s="18" t="s">
        <v>130</v>
      </c>
      <c r="P3" s="18" t="s">
        <v>112</v>
      </c>
      <c r="Q3" s="18" t="s">
        <v>131</v>
      </c>
      <c r="R3" s="18" t="s">
        <v>114</v>
      </c>
      <c r="S3" s="18" t="s">
        <v>115</v>
      </c>
      <c r="T3" s="18" t="s">
        <v>115</v>
      </c>
      <c r="U3" s="18"/>
      <c r="V3" s="18" t="s">
        <v>132</v>
      </c>
      <c r="W3" s="18"/>
      <c r="X3" s="18" t="s">
        <v>133</v>
      </c>
      <c r="Y3" s="18" t="s">
        <v>134</v>
      </c>
      <c r="Z3" s="19" t="s">
        <v>118</v>
      </c>
      <c r="AA3" s="19" t="s">
        <v>119</v>
      </c>
      <c r="AB3" s="18" t="s">
        <v>120</v>
      </c>
      <c r="AC3" s="20" t="s">
        <v>121</v>
      </c>
      <c r="AD3" s="21"/>
      <c r="AE3" s="20"/>
      <c r="AF3" s="20"/>
      <c r="AG3" s="20"/>
      <c r="AH3" s="21" t="str">
        <f aca="false">IF(AD3="","",WORKDAY(AD3,5))</f>
        <v/>
      </c>
      <c r="AI3" s="20"/>
      <c r="AJ3" s="20"/>
    </row>
    <row r="4" customFormat="false" ht="23.85" hidden="false" customHeight="false" outlineLevel="0" collapsed="false">
      <c r="A4" s="15" t="s">
        <v>100</v>
      </c>
      <c r="B4" s="16" t="n">
        <v>3</v>
      </c>
      <c r="C4" s="17" t="n">
        <v>3</v>
      </c>
      <c r="D4" s="18" t="s">
        <v>135</v>
      </c>
      <c r="E4" s="18" t="s">
        <v>136</v>
      </c>
      <c r="F4" s="19" t="s">
        <v>137</v>
      </c>
      <c r="G4" s="18" t="s">
        <v>138</v>
      </c>
      <c r="H4" s="18"/>
      <c r="I4" s="18" t="s">
        <v>105</v>
      </c>
      <c r="J4" s="18" t="s">
        <v>139</v>
      </c>
      <c r="K4" s="18" t="s">
        <v>140</v>
      </c>
      <c r="L4" s="18"/>
      <c r="M4" s="18" t="s">
        <v>141</v>
      </c>
      <c r="N4" s="18" t="s">
        <v>142</v>
      </c>
      <c r="O4" s="18" t="s">
        <v>143</v>
      </c>
      <c r="P4" s="18" t="s">
        <v>112</v>
      </c>
      <c r="Q4" s="18" t="s">
        <v>144</v>
      </c>
      <c r="R4" s="18" t="s">
        <v>145</v>
      </c>
      <c r="S4" s="18" t="s">
        <v>115</v>
      </c>
      <c r="T4" s="18" t="s">
        <v>115</v>
      </c>
      <c r="U4" s="18"/>
      <c r="V4" s="18" t="s">
        <v>146</v>
      </c>
      <c r="W4" s="18" t="s">
        <v>147</v>
      </c>
      <c r="X4" s="18"/>
      <c r="Y4" s="18" t="s">
        <v>148</v>
      </c>
      <c r="Z4" s="19" t="s">
        <v>118</v>
      </c>
      <c r="AA4" s="19" t="s">
        <v>119</v>
      </c>
      <c r="AB4" s="18" t="s">
        <v>149</v>
      </c>
      <c r="AC4" s="20" t="s">
        <v>121</v>
      </c>
      <c r="AD4" s="21"/>
      <c r="AE4" s="20"/>
      <c r="AF4" s="20"/>
      <c r="AG4" s="20"/>
      <c r="AH4" s="21" t="str">
        <f aca="false">IF(AD4="","",WORKDAY(AD4,5))</f>
        <v/>
      </c>
      <c r="AI4" s="20"/>
      <c r="AJ4" s="20"/>
    </row>
    <row r="5" customFormat="false" ht="46.25" hidden="false" customHeight="false" outlineLevel="0" collapsed="false">
      <c r="A5" s="15" t="s">
        <v>100</v>
      </c>
      <c r="B5" s="16" t="n">
        <v>4</v>
      </c>
      <c r="C5" s="17" t="n">
        <v>3</v>
      </c>
      <c r="D5" s="18" t="s">
        <v>150</v>
      </c>
      <c r="E5" s="18" t="s">
        <v>151</v>
      </c>
      <c r="F5" s="19" t="s">
        <v>152</v>
      </c>
      <c r="G5" s="18" t="s">
        <v>153</v>
      </c>
      <c r="H5" s="18"/>
      <c r="I5" s="18" t="s">
        <v>105</v>
      </c>
      <c r="J5" s="18" t="s">
        <v>154</v>
      </c>
      <c r="K5" s="18" t="s">
        <v>155</v>
      </c>
      <c r="L5" s="18" t="s">
        <v>156</v>
      </c>
      <c r="M5" s="18" t="s">
        <v>157</v>
      </c>
      <c r="N5" s="18" t="s">
        <v>158</v>
      </c>
      <c r="O5" s="18" t="s">
        <v>159</v>
      </c>
      <c r="P5" s="18" t="s">
        <v>112</v>
      </c>
      <c r="Q5" s="18" t="s">
        <v>160</v>
      </c>
      <c r="R5" s="18" t="s">
        <v>114</v>
      </c>
      <c r="S5" s="18" t="s">
        <v>115</v>
      </c>
      <c r="T5" s="18" t="s">
        <v>115</v>
      </c>
      <c r="U5" s="18" t="s">
        <v>161</v>
      </c>
      <c r="V5" s="18" t="s">
        <v>162</v>
      </c>
      <c r="W5" s="18" t="s">
        <v>163</v>
      </c>
      <c r="X5" s="18" t="s">
        <v>164</v>
      </c>
      <c r="Y5" s="18" t="s">
        <v>165</v>
      </c>
      <c r="Z5" s="19" t="s">
        <v>118</v>
      </c>
      <c r="AA5" s="19" t="s">
        <v>119</v>
      </c>
      <c r="AB5" s="18" t="s">
        <v>120</v>
      </c>
      <c r="AC5" s="20" t="s">
        <v>121</v>
      </c>
      <c r="AD5" s="21"/>
      <c r="AE5" s="20"/>
      <c r="AF5" s="20"/>
      <c r="AG5" s="20"/>
      <c r="AH5" s="21" t="str">
        <f aca="false">IF(AD5="","",WORKDAY(AD5,5))</f>
        <v/>
      </c>
      <c r="AI5" s="20"/>
      <c r="AJ5" s="20"/>
    </row>
    <row r="6" customFormat="false" ht="23.85" hidden="false" customHeight="false" outlineLevel="0" collapsed="false">
      <c r="A6" s="15" t="s">
        <v>100</v>
      </c>
      <c r="B6" s="16" t="n">
        <v>5</v>
      </c>
      <c r="C6" s="17" t="n">
        <v>3</v>
      </c>
      <c r="D6" s="18" t="s">
        <v>101</v>
      </c>
      <c r="E6" s="22" t="s">
        <v>166</v>
      </c>
      <c r="F6" s="18" t="s">
        <v>167</v>
      </c>
      <c r="G6" s="18" t="s">
        <v>168</v>
      </c>
      <c r="H6" s="18"/>
      <c r="I6" s="18" t="s">
        <v>105</v>
      </c>
      <c r="J6" s="18" t="s">
        <v>169</v>
      </c>
      <c r="K6" s="18"/>
      <c r="L6" s="18"/>
      <c r="M6" s="18" t="s">
        <v>170</v>
      </c>
      <c r="N6" s="18" t="s">
        <v>171</v>
      </c>
      <c r="O6" s="18" t="s">
        <v>172</v>
      </c>
      <c r="P6" s="18" t="s">
        <v>112</v>
      </c>
      <c r="Q6" s="18" t="s">
        <v>173</v>
      </c>
      <c r="R6" s="18" t="s">
        <v>114</v>
      </c>
      <c r="S6" s="18" t="s">
        <v>115</v>
      </c>
      <c r="T6" s="18" t="s">
        <v>115</v>
      </c>
      <c r="U6" s="18"/>
      <c r="V6" s="18" t="s">
        <v>174</v>
      </c>
      <c r="W6" s="18"/>
      <c r="X6" s="18"/>
      <c r="Y6" s="18" t="s">
        <v>175</v>
      </c>
      <c r="Z6" s="19" t="s">
        <v>118</v>
      </c>
      <c r="AA6" s="19" t="s">
        <v>119</v>
      </c>
      <c r="AB6" s="18" t="s">
        <v>176</v>
      </c>
      <c r="AC6" s="20" t="s">
        <v>121</v>
      </c>
      <c r="AD6" s="21"/>
      <c r="AE6" s="20"/>
      <c r="AF6" s="20"/>
      <c r="AG6" s="20"/>
      <c r="AH6" s="21" t="str">
        <f aca="false">IF(AD6="","",WORKDAY(AD6,5))</f>
        <v/>
      </c>
      <c r="AI6" s="20"/>
      <c r="AJ6" s="20"/>
    </row>
    <row r="7" customFormat="false" ht="23.85" hidden="false" customHeight="false" outlineLevel="0" collapsed="false">
      <c r="A7" s="15" t="s">
        <v>100</v>
      </c>
      <c r="B7" s="16" t="n">
        <v>6</v>
      </c>
      <c r="C7" s="17" t="n">
        <v>2</v>
      </c>
      <c r="D7" s="18" t="s">
        <v>122</v>
      </c>
      <c r="E7" s="18" t="s">
        <v>177</v>
      </c>
      <c r="F7" s="19" t="s">
        <v>178</v>
      </c>
      <c r="G7" s="18" t="s">
        <v>179</v>
      </c>
      <c r="H7" s="18"/>
      <c r="I7" s="18" t="s">
        <v>105</v>
      </c>
      <c r="J7" s="18" t="s">
        <v>180</v>
      </c>
      <c r="K7" s="18" t="s">
        <v>181</v>
      </c>
      <c r="L7" s="18"/>
      <c r="M7" s="18" t="s">
        <v>182</v>
      </c>
      <c r="N7" s="18" t="s">
        <v>183</v>
      </c>
      <c r="O7" s="18" t="s">
        <v>122</v>
      </c>
      <c r="P7" s="18" t="s">
        <v>112</v>
      </c>
      <c r="Q7" s="18" t="s">
        <v>184</v>
      </c>
      <c r="R7" s="18" t="s">
        <v>114</v>
      </c>
      <c r="S7" s="18" t="s">
        <v>115</v>
      </c>
      <c r="T7" s="18" t="s">
        <v>115</v>
      </c>
      <c r="U7" s="18"/>
      <c r="V7" s="18" t="s">
        <v>185</v>
      </c>
      <c r="W7" s="18"/>
      <c r="X7" s="18"/>
      <c r="Y7" s="18" t="s">
        <v>186</v>
      </c>
      <c r="Z7" s="19" t="s">
        <v>118</v>
      </c>
      <c r="AA7" s="19" t="s">
        <v>119</v>
      </c>
      <c r="AB7" s="18" t="s">
        <v>120</v>
      </c>
      <c r="AC7" s="20" t="s">
        <v>121</v>
      </c>
      <c r="AD7" s="21"/>
      <c r="AE7" s="20"/>
      <c r="AF7" s="20"/>
      <c r="AG7" s="20"/>
      <c r="AH7" s="21" t="str">
        <f aca="false">IF(AD7="","",WORKDAY(AD7,5))</f>
        <v/>
      </c>
      <c r="AI7" s="20"/>
      <c r="AJ7" s="20"/>
    </row>
    <row r="8" customFormat="false" ht="23.85" hidden="false" customHeight="false" outlineLevel="0" collapsed="false">
      <c r="A8" s="23" t="s">
        <v>187</v>
      </c>
      <c r="B8" s="24" t="n">
        <v>7</v>
      </c>
      <c r="C8" s="10" t="n">
        <v>2</v>
      </c>
      <c r="D8" s="11" t="s">
        <v>188</v>
      </c>
      <c r="E8" s="11" t="s">
        <v>189</v>
      </c>
      <c r="F8" s="12" t="s">
        <v>190</v>
      </c>
      <c r="G8" s="11" t="s">
        <v>191</v>
      </c>
      <c r="H8" s="11"/>
      <c r="I8" s="11" t="s">
        <v>105</v>
      </c>
      <c r="J8" s="11"/>
      <c r="K8" s="11"/>
      <c r="L8" s="11"/>
      <c r="M8" s="11" t="s">
        <v>192</v>
      </c>
      <c r="N8" s="11" t="s">
        <v>193</v>
      </c>
      <c r="O8" s="11" t="s">
        <v>194</v>
      </c>
      <c r="P8" s="11" t="s">
        <v>112</v>
      </c>
      <c r="Q8" s="11" t="s">
        <v>195</v>
      </c>
      <c r="R8" s="11" t="s">
        <v>196</v>
      </c>
      <c r="S8" s="11" t="s">
        <v>115</v>
      </c>
      <c r="T8" s="11" t="s">
        <v>115</v>
      </c>
      <c r="U8" s="11"/>
      <c r="V8" s="11" t="s">
        <v>197</v>
      </c>
      <c r="W8" s="11"/>
      <c r="X8" s="11"/>
      <c r="Y8" s="11" t="s">
        <v>165</v>
      </c>
      <c r="Z8" s="12" t="s">
        <v>118</v>
      </c>
      <c r="AA8" s="12" t="s">
        <v>119</v>
      </c>
      <c r="AB8" s="11" t="s">
        <v>120</v>
      </c>
      <c r="AC8" s="13" t="s">
        <v>121</v>
      </c>
      <c r="AD8" s="14"/>
      <c r="AE8" s="13"/>
      <c r="AF8" s="13"/>
      <c r="AG8" s="13"/>
      <c r="AH8" s="14" t="str">
        <f aca="false">IF(AD8="","",WORKDAY(AD8,5))</f>
        <v/>
      </c>
      <c r="AI8" s="13"/>
      <c r="AJ8" s="13"/>
    </row>
    <row r="9" customFormat="false" ht="35.05" hidden="false" customHeight="false" outlineLevel="0" collapsed="false">
      <c r="A9" s="8" t="s">
        <v>198</v>
      </c>
      <c r="B9" s="9" t="n">
        <v>8</v>
      </c>
      <c r="C9" s="10" t="n">
        <v>5</v>
      </c>
      <c r="D9" s="11" t="s">
        <v>135</v>
      </c>
      <c r="E9" s="11" t="s">
        <v>199</v>
      </c>
      <c r="F9" s="12" t="s">
        <v>200</v>
      </c>
      <c r="G9" s="11" t="s">
        <v>201</v>
      </c>
      <c r="H9" s="11"/>
      <c r="I9" s="11" t="s">
        <v>105</v>
      </c>
      <c r="J9" s="11" t="s">
        <v>202</v>
      </c>
      <c r="K9" s="11" t="s">
        <v>203</v>
      </c>
      <c r="L9" s="11" t="s">
        <v>204</v>
      </c>
      <c r="M9" s="11" t="s">
        <v>205</v>
      </c>
      <c r="N9" s="11" t="s">
        <v>206</v>
      </c>
      <c r="O9" s="11" t="s">
        <v>207</v>
      </c>
      <c r="P9" s="11" t="s">
        <v>208</v>
      </c>
      <c r="Q9" s="11" t="s">
        <v>209</v>
      </c>
      <c r="R9" s="11" t="s">
        <v>210</v>
      </c>
      <c r="S9" s="11" t="s">
        <v>115</v>
      </c>
      <c r="T9" s="11" t="s">
        <v>115</v>
      </c>
      <c r="U9" s="11"/>
      <c r="V9" s="11" t="s">
        <v>211</v>
      </c>
      <c r="W9" s="11" t="s">
        <v>212</v>
      </c>
      <c r="X9" s="11" t="s">
        <v>213</v>
      </c>
      <c r="Y9" s="11" t="s">
        <v>165</v>
      </c>
      <c r="Z9" s="12" t="s">
        <v>118</v>
      </c>
      <c r="AA9" s="12" t="s">
        <v>119</v>
      </c>
      <c r="AB9" s="11" t="s">
        <v>149</v>
      </c>
      <c r="AC9" s="13" t="s">
        <v>121</v>
      </c>
      <c r="AD9" s="14"/>
      <c r="AE9" s="13"/>
      <c r="AF9" s="13"/>
      <c r="AG9" s="13"/>
      <c r="AH9" s="14" t="str">
        <f aca="false">IF(AD9="","",WORKDAY(AD9,5))</f>
        <v/>
      </c>
      <c r="AI9" s="13"/>
      <c r="AJ9" s="13"/>
    </row>
    <row r="10" customFormat="false" ht="23.85" hidden="false" customHeight="false" outlineLevel="0" collapsed="false">
      <c r="A10" s="15" t="s">
        <v>198</v>
      </c>
      <c r="B10" s="16" t="n">
        <v>9</v>
      </c>
      <c r="C10" s="17" t="n">
        <v>3</v>
      </c>
      <c r="D10" s="18" t="s">
        <v>101</v>
      </c>
      <c r="E10" s="18" t="s">
        <v>214</v>
      </c>
      <c r="F10" s="19" t="s">
        <v>215</v>
      </c>
      <c r="G10" s="18" t="s">
        <v>216</v>
      </c>
      <c r="H10" s="18"/>
      <c r="I10" s="18" t="s">
        <v>105</v>
      </c>
      <c r="J10" s="18" t="s">
        <v>217</v>
      </c>
      <c r="K10" s="18" t="s">
        <v>218</v>
      </c>
      <c r="L10" s="18"/>
      <c r="M10" s="18" t="s">
        <v>219</v>
      </c>
      <c r="N10" s="18" t="s">
        <v>220</v>
      </c>
      <c r="O10" s="18" t="s">
        <v>221</v>
      </c>
      <c r="P10" s="18" t="s">
        <v>222</v>
      </c>
      <c r="Q10" s="18" t="s">
        <v>223</v>
      </c>
      <c r="R10" s="18" t="s">
        <v>224</v>
      </c>
      <c r="S10" s="18" t="s">
        <v>115</v>
      </c>
      <c r="T10" s="18" t="s">
        <v>115</v>
      </c>
      <c r="U10" s="18"/>
      <c r="V10" s="18" t="s">
        <v>225</v>
      </c>
      <c r="W10" s="18"/>
      <c r="X10" s="18"/>
      <c r="Y10" s="18" t="s">
        <v>226</v>
      </c>
      <c r="Z10" s="19" t="s">
        <v>118</v>
      </c>
      <c r="AA10" s="19" t="s">
        <v>119</v>
      </c>
      <c r="AB10" s="18" t="s">
        <v>120</v>
      </c>
      <c r="AC10" s="20" t="s">
        <v>121</v>
      </c>
      <c r="AD10" s="21"/>
      <c r="AE10" s="20"/>
      <c r="AF10" s="20"/>
      <c r="AG10" s="20"/>
      <c r="AH10" s="21" t="str">
        <f aca="false">IF(AD10="","",WORKDAY(AD10,5))</f>
        <v/>
      </c>
      <c r="AI10" s="20"/>
      <c r="AJ10" s="20"/>
    </row>
    <row r="11" customFormat="false" ht="23.85" hidden="false" customHeight="false" outlineLevel="0" collapsed="false">
      <c r="A11" s="15" t="s">
        <v>198</v>
      </c>
      <c r="B11" s="16" t="n">
        <v>10</v>
      </c>
      <c r="C11" s="17" t="n">
        <v>2</v>
      </c>
      <c r="D11" s="18" t="s">
        <v>101</v>
      </c>
      <c r="E11" s="18" t="s">
        <v>227</v>
      </c>
      <c r="F11" s="19" t="s">
        <v>228</v>
      </c>
      <c r="G11" s="18" t="s">
        <v>229</v>
      </c>
      <c r="H11" s="18"/>
      <c r="I11" s="18" t="s">
        <v>105</v>
      </c>
      <c r="J11" s="18" t="s">
        <v>229</v>
      </c>
      <c r="K11" s="18"/>
      <c r="L11" s="18"/>
      <c r="M11" s="18" t="s">
        <v>230</v>
      </c>
      <c r="N11" s="18" t="s">
        <v>231</v>
      </c>
      <c r="O11" s="18" t="s">
        <v>232</v>
      </c>
      <c r="P11" s="18" t="s">
        <v>112</v>
      </c>
      <c r="Q11" s="18" t="s">
        <v>233</v>
      </c>
      <c r="R11" s="18" t="s">
        <v>234</v>
      </c>
      <c r="S11" s="18" t="s">
        <v>115</v>
      </c>
      <c r="T11" s="18" t="s">
        <v>115</v>
      </c>
      <c r="U11" s="18"/>
      <c r="V11" s="18" t="s">
        <v>235</v>
      </c>
      <c r="W11" s="18"/>
      <c r="X11" s="18"/>
      <c r="Y11" s="18" t="s">
        <v>165</v>
      </c>
      <c r="Z11" s="19" t="s">
        <v>118</v>
      </c>
      <c r="AA11" s="19" t="s">
        <v>119</v>
      </c>
      <c r="AB11" s="18" t="s">
        <v>120</v>
      </c>
      <c r="AC11" s="20" t="s">
        <v>121</v>
      </c>
      <c r="AD11" s="21"/>
      <c r="AE11" s="20"/>
      <c r="AF11" s="20"/>
      <c r="AG11" s="20"/>
      <c r="AH11" s="21" t="str">
        <f aca="false">IF(AD11="","",WORKDAY(AD11,5))</f>
        <v/>
      </c>
      <c r="AI11" s="20"/>
      <c r="AJ11" s="20"/>
    </row>
    <row r="12" customFormat="false" ht="23.85" hidden="false" customHeight="false" outlineLevel="0" collapsed="false">
      <c r="A12" s="15" t="s">
        <v>198</v>
      </c>
      <c r="B12" s="16" t="n">
        <v>11</v>
      </c>
      <c r="C12" s="17" t="n">
        <v>2</v>
      </c>
      <c r="D12" s="18" t="s">
        <v>236</v>
      </c>
      <c r="E12" s="22" t="s">
        <v>237</v>
      </c>
      <c r="F12" s="18" t="s">
        <v>167</v>
      </c>
      <c r="G12" s="18" t="s">
        <v>238</v>
      </c>
      <c r="H12" s="18"/>
      <c r="I12" s="18" t="s">
        <v>105</v>
      </c>
      <c r="J12" s="18" t="s">
        <v>239</v>
      </c>
      <c r="K12" s="18"/>
      <c r="L12" s="18"/>
      <c r="M12" s="18" t="s">
        <v>240</v>
      </c>
      <c r="N12" s="18" t="s">
        <v>241</v>
      </c>
      <c r="O12" s="18" t="s">
        <v>242</v>
      </c>
      <c r="P12" s="18" t="s">
        <v>112</v>
      </c>
      <c r="Q12" s="18" t="s">
        <v>243</v>
      </c>
      <c r="R12" s="18" t="s">
        <v>114</v>
      </c>
      <c r="S12" s="18" t="s">
        <v>115</v>
      </c>
      <c r="T12" s="18" t="s">
        <v>115</v>
      </c>
      <c r="U12" s="18" t="s">
        <v>244</v>
      </c>
      <c r="V12" s="18" t="s">
        <v>245</v>
      </c>
      <c r="W12" s="18"/>
      <c r="X12" s="18"/>
      <c r="Y12" s="18" t="s">
        <v>246</v>
      </c>
      <c r="Z12" s="19" t="s">
        <v>118</v>
      </c>
      <c r="AA12" s="19" t="s">
        <v>119</v>
      </c>
      <c r="AB12" s="18" t="s">
        <v>176</v>
      </c>
      <c r="AC12" s="20" t="s">
        <v>121</v>
      </c>
      <c r="AD12" s="21"/>
      <c r="AE12" s="20"/>
      <c r="AF12" s="20"/>
      <c r="AG12" s="20"/>
      <c r="AH12" s="21" t="str">
        <f aca="false">IF(AD12="","",WORKDAY(AD12,5))</f>
        <v/>
      </c>
      <c r="AI12" s="20"/>
      <c r="AJ12" s="20"/>
    </row>
    <row r="13" customFormat="false" ht="23.85" hidden="false" customHeight="false" outlineLevel="0" collapsed="false">
      <c r="A13" s="23" t="s">
        <v>247</v>
      </c>
      <c r="B13" s="24" t="n">
        <v>12</v>
      </c>
      <c r="C13" s="10" t="n">
        <v>3</v>
      </c>
      <c r="D13" s="11" t="s">
        <v>248</v>
      </c>
      <c r="E13" s="11" t="s">
        <v>249</v>
      </c>
      <c r="F13" s="11" t="s">
        <v>167</v>
      </c>
      <c r="G13" s="11" t="s">
        <v>247</v>
      </c>
      <c r="H13" s="11"/>
      <c r="I13" s="11" t="s">
        <v>105</v>
      </c>
      <c r="J13" s="11"/>
      <c r="K13" s="11"/>
      <c r="L13" s="11"/>
      <c r="M13" s="11" t="s">
        <v>250</v>
      </c>
      <c r="N13" s="11" t="s">
        <v>251</v>
      </c>
      <c r="O13" s="11" t="s">
        <v>252</v>
      </c>
      <c r="P13" s="11" t="s">
        <v>112</v>
      </c>
      <c r="Q13" s="11" t="s">
        <v>253</v>
      </c>
      <c r="R13" s="11" t="s">
        <v>254</v>
      </c>
      <c r="S13" s="11" t="s">
        <v>115</v>
      </c>
      <c r="T13" s="11" t="s">
        <v>115</v>
      </c>
      <c r="U13" s="11"/>
      <c r="V13" s="11" t="s">
        <v>255</v>
      </c>
      <c r="W13" s="11"/>
      <c r="X13" s="11"/>
      <c r="Y13" s="11" t="s">
        <v>256</v>
      </c>
      <c r="Z13" s="12" t="s">
        <v>118</v>
      </c>
      <c r="AA13" s="12" t="s">
        <v>119</v>
      </c>
      <c r="AB13" s="11" t="s">
        <v>120</v>
      </c>
      <c r="AC13" s="13" t="s">
        <v>121</v>
      </c>
      <c r="AD13" s="14"/>
      <c r="AE13" s="13"/>
      <c r="AF13" s="13"/>
      <c r="AG13" s="13"/>
      <c r="AH13" s="14" t="str">
        <f aca="false">IF(AD13="","",WORKDAY(AD13,5))</f>
        <v/>
      </c>
      <c r="AI13" s="13"/>
      <c r="AJ13" s="13"/>
    </row>
    <row r="14" customFormat="false" ht="23.85" hidden="false" customHeight="false" outlineLevel="0" collapsed="false">
      <c r="A14" s="8" t="s">
        <v>257</v>
      </c>
      <c r="B14" s="9" t="n">
        <v>13</v>
      </c>
      <c r="C14" s="10" t="n">
        <v>3</v>
      </c>
      <c r="D14" s="11" t="s">
        <v>101</v>
      </c>
      <c r="E14" s="25" t="s">
        <v>258</v>
      </c>
      <c r="F14" s="12" t="s">
        <v>259</v>
      </c>
      <c r="G14" s="11" t="s">
        <v>260</v>
      </c>
      <c r="H14" s="11"/>
      <c r="I14" s="11" t="s">
        <v>105</v>
      </c>
      <c r="J14" s="11" t="s">
        <v>261</v>
      </c>
      <c r="K14" s="11"/>
      <c r="L14" s="11" t="s">
        <v>262</v>
      </c>
      <c r="M14" s="11" t="s">
        <v>157</v>
      </c>
      <c r="N14" s="11" t="s">
        <v>263</v>
      </c>
      <c r="O14" s="11" t="s">
        <v>264</v>
      </c>
      <c r="P14" s="11" t="s">
        <v>112</v>
      </c>
      <c r="Q14" s="11" t="s">
        <v>265</v>
      </c>
      <c r="R14" s="11" t="s">
        <v>266</v>
      </c>
      <c r="S14" s="11" t="s">
        <v>115</v>
      </c>
      <c r="T14" s="11" t="s">
        <v>115</v>
      </c>
      <c r="U14" s="11"/>
      <c r="V14" s="11" t="s">
        <v>267</v>
      </c>
      <c r="W14" s="11"/>
      <c r="X14" s="11"/>
      <c r="Y14" s="11" t="s">
        <v>268</v>
      </c>
      <c r="Z14" s="12" t="s">
        <v>118</v>
      </c>
      <c r="AA14" s="12" t="s">
        <v>119</v>
      </c>
      <c r="AB14" s="11" t="s">
        <v>176</v>
      </c>
      <c r="AC14" s="13" t="s">
        <v>121</v>
      </c>
      <c r="AD14" s="14"/>
      <c r="AE14" s="13"/>
      <c r="AF14" s="13"/>
      <c r="AG14" s="13"/>
      <c r="AH14" s="14" t="str">
        <f aca="false">IF(AD14="","",WORKDAY(AD14,5))</f>
        <v/>
      </c>
      <c r="AI14" s="13"/>
      <c r="AJ14" s="13"/>
    </row>
    <row r="15" customFormat="false" ht="35.05" hidden="false" customHeight="false" outlineLevel="0" collapsed="false">
      <c r="A15" s="15" t="s">
        <v>257</v>
      </c>
      <c r="B15" s="16" t="n">
        <v>14</v>
      </c>
      <c r="C15" s="17" t="n">
        <v>3</v>
      </c>
      <c r="D15" s="18" t="s">
        <v>248</v>
      </c>
      <c r="E15" s="22" t="s">
        <v>269</v>
      </c>
      <c r="F15" s="19" t="s">
        <v>270</v>
      </c>
      <c r="G15" s="18" t="s">
        <v>271</v>
      </c>
      <c r="H15" s="18"/>
      <c r="I15" s="18" t="s">
        <v>105</v>
      </c>
      <c r="J15" s="18" t="s">
        <v>272</v>
      </c>
      <c r="K15" s="18"/>
      <c r="L15" s="18"/>
      <c r="M15" s="18" t="s">
        <v>273</v>
      </c>
      <c r="N15" s="18" t="s">
        <v>274</v>
      </c>
      <c r="O15" s="18" t="s">
        <v>275</v>
      </c>
      <c r="P15" s="18" t="s">
        <v>276</v>
      </c>
      <c r="Q15" s="18" t="s">
        <v>277</v>
      </c>
      <c r="R15" s="18" t="s">
        <v>278</v>
      </c>
      <c r="S15" s="18" t="s">
        <v>115</v>
      </c>
      <c r="T15" s="18" t="s">
        <v>115</v>
      </c>
      <c r="U15" s="18"/>
      <c r="V15" s="18" t="s">
        <v>279</v>
      </c>
      <c r="W15" s="18" t="s">
        <v>280</v>
      </c>
      <c r="X15" s="18" t="s">
        <v>281</v>
      </c>
      <c r="Y15" s="18" t="s">
        <v>282</v>
      </c>
      <c r="Z15" s="19" t="s">
        <v>118</v>
      </c>
      <c r="AA15" s="19" t="s">
        <v>119</v>
      </c>
      <c r="AB15" s="18" t="s">
        <v>176</v>
      </c>
      <c r="AC15" s="20" t="s">
        <v>121</v>
      </c>
      <c r="AD15" s="21"/>
      <c r="AE15" s="20"/>
      <c r="AF15" s="20"/>
      <c r="AG15" s="20"/>
      <c r="AH15" s="21" t="str">
        <f aca="false">IF(AD15="","",WORKDAY(AD15,5))</f>
        <v/>
      </c>
      <c r="AI15" s="20"/>
      <c r="AJ15" s="20"/>
    </row>
    <row r="16" customFormat="false" ht="23.85" hidden="false" customHeight="false" outlineLevel="0" collapsed="false">
      <c r="A16" s="15" t="s">
        <v>257</v>
      </c>
      <c r="B16" s="16" t="n">
        <v>15</v>
      </c>
      <c r="C16" s="17" t="n">
        <v>3</v>
      </c>
      <c r="D16" s="18" t="s">
        <v>236</v>
      </c>
      <c r="E16" s="18" t="s">
        <v>283</v>
      </c>
      <c r="F16" s="18" t="s">
        <v>167</v>
      </c>
      <c r="G16" s="18" t="s">
        <v>284</v>
      </c>
      <c r="H16" s="18"/>
      <c r="I16" s="18" t="s">
        <v>105</v>
      </c>
      <c r="J16" s="18" t="s">
        <v>285</v>
      </c>
      <c r="K16" s="18" t="s">
        <v>286</v>
      </c>
      <c r="L16" s="18" t="s">
        <v>287</v>
      </c>
      <c r="M16" s="18" t="s">
        <v>288</v>
      </c>
      <c r="N16" s="18" t="s">
        <v>289</v>
      </c>
      <c r="O16" s="18" t="s">
        <v>290</v>
      </c>
      <c r="P16" s="18" t="s">
        <v>112</v>
      </c>
      <c r="Q16" s="18" t="s">
        <v>243</v>
      </c>
      <c r="R16" s="18" t="s">
        <v>291</v>
      </c>
      <c r="S16" s="18" t="s">
        <v>292</v>
      </c>
      <c r="T16" s="18" t="s">
        <v>115</v>
      </c>
      <c r="U16" s="18"/>
      <c r="V16" s="18" t="s">
        <v>293</v>
      </c>
      <c r="W16" s="18" t="s">
        <v>294</v>
      </c>
      <c r="X16" s="18"/>
      <c r="Y16" s="18" t="s">
        <v>295</v>
      </c>
      <c r="Z16" s="19" t="s">
        <v>118</v>
      </c>
      <c r="AA16" s="19" t="s">
        <v>119</v>
      </c>
      <c r="AB16" s="18" t="s">
        <v>120</v>
      </c>
      <c r="AC16" s="20" t="s">
        <v>121</v>
      </c>
      <c r="AD16" s="21"/>
      <c r="AE16" s="20"/>
      <c r="AF16" s="20"/>
      <c r="AG16" s="20"/>
      <c r="AH16" s="21" t="str">
        <f aca="false">IF(AD16="","",WORKDAY(AD16,5))</f>
        <v/>
      </c>
      <c r="AI16" s="20"/>
      <c r="AJ16" s="20"/>
    </row>
    <row r="17" customFormat="false" ht="23.85" hidden="false" customHeight="false" outlineLevel="0" collapsed="false">
      <c r="A17" s="15" t="s">
        <v>257</v>
      </c>
      <c r="B17" s="16" t="n">
        <v>16</v>
      </c>
      <c r="C17" s="17" t="n">
        <v>2</v>
      </c>
      <c r="D17" s="18" t="s">
        <v>296</v>
      </c>
      <c r="E17" s="18" t="s">
        <v>297</v>
      </c>
      <c r="F17" s="19" t="s">
        <v>298</v>
      </c>
      <c r="G17" s="18" t="s">
        <v>299</v>
      </c>
      <c r="H17" s="18"/>
      <c r="I17" s="18" t="s">
        <v>105</v>
      </c>
      <c r="J17" s="18"/>
      <c r="K17" s="18"/>
      <c r="L17" s="18"/>
      <c r="M17" s="18" t="s">
        <v>300</v>
      </c>
      <c r="N17" s="18" t="s">
        <v>301</v>
      </c>
      <c r="O17" s="18" t="s">
        <v>302</v>
      </c>
      <c r="P17" s="18" t="s">
        <v>303</v>
      </c>
      <c r="Q17" s="18" t="s">
        <v>304</v>
      </c>
      <c r="R17" s="18" t="s">
        <v>305</v>
      </c>
      <c r="S17" s="18" t="s">
        <v>115</v>
      </c>
      <c r="T17" s="18" t="s">
        <v>115</v>
      </c>
      <c r="U17" s="18"/>
      <c r="V17" s="18" t="s">
        <v>306</v>
      </c>
      <c r="W17" s="18" t="s">
        <v>307</v>
      </c>
      <c r="X17" s="18" t="s">
        <v>308</v>
      </c>
      <c r="Y17" s="18" t="s">
        <v>309</v>
      </c>
      <c r="Z17" s="19" t="s">
        <v>118</v>
      </c>
      <c r="AA17" s="19" t="s">
        <v>119</v>
      </c>
      <c r="AB17" s="18" t="s">
        <v>149</v>
      </c>
      <c r="AC17" s="20" t="s">
        <v>121</v>
      </c>
      <c r="AD17" s="21"/>
      <c r="AE17" s="20"/>
      <c r="AF17" s="20"/>
      <c r="AG17" s="20"/>
      <c r="AH17" s="21" t="str">
        <f aca="false">IF(AD17="","",WORKDAY(AD17,5))</f>
        <v/>
      </c>
      <c r="AI17" s="20"/>
      <c r="AJ17" s="20"/>
    </row>
    <row r="18" customFormat="false" ht="35.05" hidden="false" customHeight="false" outlineLevel="0" collapsed="false">
      <c r="A18" s="15" t="s">
        <v>257</v>
      </c>
      <c r="B18" s="16" t="n">
        <v>17</v>
      </c>
      <c r="C18" s="17" t="n">
        <v>2</v>
      </c>
      <c r="D18" s="18" t="s">
        <v>296</v>
      </c>
      <c r="E18" s="18" t="s">
        <v>310</v>
      </c>
      <c r="F18" s="19" t="s">
        <v>311</v>
      </c>
      <c r="G18" s="18" t="s">
        <v>312</v>
      </c>
      <c r="H18" s="18"/>
      <c r="I18" s="18" t="s">
        <v>105</v>
      </c>
      <c r="J18" s="18" t="s">
        <v>312</v>
      </c>
      <c r="K18" s="18"/>
      <c r="L18" s="18"/>
      <c r="M18" s="18" t="s">
        <v>313</v>
      </c>
      <c r="N18" s="18" t="s">
        <v>314</v>
      </c>
      <c r="O18" s="18" t="s">
        <v>315</v>
      </c>
      <c r="P18" s="18" t="s">
        <v>316</v>
      </c>
      <c r="Q18" s="18" t="s">
        <v>317</v>
      </c>
      <c r="R18" s="18" t="s">
        <v>318</v>
      </c>
      <c r="S18" s="18" t="s">
        <v>319</v>
      </c>
      <c r="T18" s="18" t="s">
        <v>320</v>
      </c>
      <c r="U18" s="18"/>
      <c r="V18" s="18" t="s">
        <v>321</v>
      </c>
      <c r="W18" s="18" t="s">
        <v>322</v>
      </c>
      <c r="X18" s="18"/>
      <c r="Y18" s="18" t="s">
        <v>323</v>
      </c>
      <c r="Z18" s="19" t="s">
        <v>118</v>
      </c>
      <c r="AA18" s="19" t="s">
        <v>119</v>
      </c>
      <c r="AB18" s="18" t="s">
        <v>120</v>
      </c>
      <c r="AC18" s="20" t="s">
        <v>121</v>
      </c>
      <c r="AD18" s="21"/>
      <c r="AE18" s="20"/>
      <c r="AF18" s="20"/>
      <c r="AG18" s="20"/>
      <c r="AH18" s="21" t="str">
        <f aca="false">IF(AD18="","",WORKDAY(AD18,5))</f>
        <v/>
      </c>
      <c r="AI18" s="20"/>
      <c r="AJ18" s="20"/>
    </row>
    <row r="19" customFormat="false" ht="35.05" hidden="false" customHeight="false" outlineLevel="0" collapsed="false">
      <c r="A19" s="15" t="s">
        <v>257</v>
      </c>
      <c r="B19" s="16" t="n">
        <v>18</v>
      </c>
      <c r="C19" s="17" t="n">
        <v>2</v>
      </c>
      <c r="D19" s="18" t="s">
        <v>122</v>
      </c>
      <c r="E19" s="18" t="s">
        <v>324</v>
      </c>
      <c r="F19" s="19" t="s">
        <v>325</v>
      </c>
      <c r="G19" s="18"/>
      <c r="H19" s="18"/>
      <c r="I19" s="18" t="s">
        <v>105</v>
      </c>
      <c r="J19" s="18"/>
      <c r="K19" s="18" t="s">
        <v>326</v>
      </c>
      <c r="L19" s="18"/>
      <c r="M19" s="18" t="s">
        <v>327</v>
      </c>
      <c r="N19" s="18" t="s">
        <v>328</v>
      </c>
      <c r="O19" s="18" t="s">
        <v>329</v>
      </c>
      <c r="P19" s="18" t="s">
        <v>112</v>
      </c>
      <c r="Q19" s="18" t="s">
        <v>330</v>
      </c>
      <c r="R19" s="18" t="s">
        <v>331</v>
      </c>
      <c r="S19" s="18" t="s">
        <v>115</v>
      </c>
      <c r="T19" s="18" t="s">
        <v>115</v>
      </c>
      <c r="U19" s="18"/>
      <c r="V19" s="18" t="s">
        <v>332</v>
      </c>
      <c r="W19" s="18" t="s">
        <v>333</v>
      </c>
      <c r="X19" s="18"/>
      <c r="Y19" s="18" t="s">
        <v>186</v>
      </c>
      <c r="Z19" s="19" t="s">
        <v>118</v>
      </c>
      <c r="AA19" s="19" t="s">
        <v>119</v>
      </c>
      <c r="AB19" s="18" t="s">
        <v>120</v>
      </c>
      <c r="AC19" s="20" t="s">
        <v>121</v>
      </c>
      <c r="AD19" s="21"/>
      <c r="AE19" s="20"/>
      <c r="AF19" s="20"/>
      <c r="AG19" s="20"/>
      <c r="AH19" s="21" t="str">
        <f aca="false">IF(AD19="","",WORKDAY(AD19,5))</f>
        <v/>
      </c>
      <c r="AI19" s="20"/>
      <c r="AJ19" s="20"/>
    </row>
    <row r="20" customFormat="false" ht="23.85" hidden="false" customHeight="false" outlineLevel="0" collapsed="false">
      <c r="A20" s="23" t="s">
        <v>334</v>
      </c>
      <c r="B20" s="24" t="n">
        <v>19</v>
      </c>
      <c r="C20" s="10" t="n">
        <v>5</v>
      </c>
      <c r="D20" s="11" t="s">
        <v>101</v>
      </c>
      <c r="E20" s="11" t="s">
        <v>335</v>
      </c>
      <c r="F20" s="12" t="s">
        <v>336</v>
      </c>
      <c r="G20" s="11" t="s">
        <v>337</v>
      </c>
      <c r="H20" s="11" t="s">
        <v>338</v>
      </c>
      <c r="I20" s="11" t="s">
        <v>105</v>
      </c>
      <c r="J20" s="11" t="s">
        <v>339</v>
      </c>
      <c r="K20" s="11" t="s">
        <v>340</v>
      </c>
      <c r="L20" s="11" t="s">
        <v>341</v>
      </c>
      <c r="M20" s="11" t="s">
        <v>342</v>
      </c>
      <c r="N20" s="11" t="s">
        <v>343</v>
      </c>
      <c r="O20" s="11" t="s">
        <v>344</v>
      </c>
      <c r="P20" s="11" t="s">
        <v>112</v>
      </c>
      <c r="Q20" s="11" t="s">
        <v>345</v>
      </c>
      <c r="R20" s="11" t="s">
        <v>346</v>
      </c>
      <c r="S20" s="11" t="s">
        <v>115</v>
      </c>
      <c r="T20" s="11" t="s">
        <v>115</v>
      </c>
      <c r="U20" s="11"/>
      <c r="V20" s="11" t="s">
        <v>347</v>
      </c>
      <c r="W20" s="11" t="s">
        <v>348</v>
      </c>
      <c r="X20" s="11"/>
      <c r="Y20" s="11" t="s">
        <v>349</v>
      </c>
      <c r="Z20" s="12" t="s">
        <v>118</v>
      </c>
      <c r="AA20" s="12" t="s">
        <v>119</v>
      </c>
      <c r="AB20" s="11" t="s">
        <v>120</v>
      </c>
      <c r="AC20" s="13" t="s">
        <v>121</v>
      </c>
      <c r="AD20" s="14"/>
      <c r="AE20" s="13"/>
      <c r="AF20" s="13"/>
      <c r="AG20" s="13"/>
      <c r="AH20" s="14" t="str">
        <f aca="false">IF(AD20="","",WORKDAY(AD20,5))</f>
        <v/>
      </c>
      <c r="AI20" s="13"/>
      <c r="AJ20" s="13"/>
    </row>
    <row r="21" customFormat="false" ht="35.05" hidden="false" customHeight="false" outlineLevel="0" collapsed="false">
      <c r="A21" s="26" t="s">
        <v>334</v>
      </c>
      <c r="B21" s="27" t="n">
        <v>20</v>
      </c>
      <c r="C21" s="17" t="n">
        <v>4</v>
      </c>
      <c r="D21" s="18" t="s">
        <v>122</v>
      </c>
      <c r="E21" s="22" t="s">
        <v>350</v>
      </c>
      <c r="F21" s="19" t="s">
        <v>351</v>
      </c>
      <c r="G21" s="18" t="s">
        <v>352</v>
      </c>
      <c r="H21" s="18"/>
      <c r="I21" s="18" t="s">
        <v>105</v>
      </c>
      <c r="J21" s="18" t="s">
        <v>353</v>
      </c>
      <c r="K21" s="18" t="s">
        <v>354</v>
      </c>
      <c r="L21" s="18" t="s">
        <v>355</v>
      </c>
      <c r="M21" s="18" t="s">
        <v>356</v>
      </c>
      <c r="N21" s="18" t="s">
        <v>357</v>
      </c>
      <c r="O21" s="18" t="s">
        <v>358</v>
      </c>
      <c r="P21" s="18" t="s">
        <v>276</v>
      </c>
      <c r="Q21" s="18" t="s">
        <v>359</v>
      </c>
      <c r="R21" s="18" t="s">
        <v>360</v>
      </c>
      <c r="S21" s="18" t="s">
        <v>115</v>
      </c>
      <c r="T21" s="18" t="s">
        <v>320</v>
      </c>
      <c r="U21" s="18"/>
      <c r="V21" s="18" t="s">
        <v>361</v>
      </c>
      <c r="W21" s="18" t="s">
        <v>362</v>
      </c>
      <c r="X21" s="18"/>
      <c r="Y21" s="18" t="s">
        <v>363</v>
      </c>
      <c r="Z21" s="19" t="s">
        <v>118</v>
      </c>
      <c r="AA21" s="19" t="s">
        <v>119</v>
      </c>
      <c r="AB21" s="18" t="s">
        <v>176</v>
      </c>
      <c r="AC21" s="20" t="s">
        <v>121</v>
      </c>
      <c r="AD21" s="21"/>
      <c r="AE21" s="20"/>
      <c r="AF21" s="20"/>
      <c r="AG21" s="20"/>
      <c r="AH21" s="21" t="str">
        <f aca="false">IF(AD21="","",WORKDAY(AD21,5))</f>
        <v/>
      </c>
      <c r="AI21" s="20"/>
      <c r="AJ21" s="20"/>
    </row>
    <row r="22" customFormat="false" ht="23.85" hidden="false" customHeight="false" outlineLevel="0" collapsed="false">
      <c r="A22" s="26" t="s">
        <v>334</v>
      </c>
      <c r="B22" s="27" t="n">
        <v>21</v>
      </c>
      <c r="C22" s="17" t="n">
        <v>4</v>
      </c>
      <c r="D22" s="18" t="s">
        <v>364</v>
      </c>
      <c r="E22" s="22" t="s">
        <v>365</v>
      </c>
      <c r="F22" s="19" t="s">
        <v>366</v>
      </c>
      <c r="G22" s="18" t="s">
        <v>367</v>
      </c>
      <c r="H22" s="18"/>
      <c r="I22" s="18" t="s">
        <v>105</v>
      </c>
      <c r="J22" s="18" t="s">
        <v>368</v>
      </c>
      <c r="K22" s="18" t="s">
        <v>369</v>
      </c>
      <c r="L22" s="18" t="s">
        <v>370</v>
      </c>
      <c r="M22" s="18" t="s">
        <v>371</v>
      </c>
      <c r="N22" s="18" t="s">
        <v>372</v>
      </c>
      <c r="O22" s="18" t="s">
        <v>373</v>
      </c>
      <c r="P22" s="18" t="s">
        <v>112</v>
      </c>
      <c r="Q22" s="18" t="s">
        <v>374</v>
      </c>
      <c r="R22" s="18" t="s">
        <v>375</v>
      </c>
      <c r="S22" s="18" t="s">
        <v>115</v>
      </c>
      <c r="T22" s="18" t="s">
        <v>115</v>
      </c>
      <c r="U22" s="18"/>
      <c r="V22" s="18" t="s">
        <v>376</v>
      </c>
      <c r="W22" s="18" t="s">
        <v>377</v>
      </c>
      <c r="X22" s="18"/>
      <c r="Y22" s="18" t="s">
        <v>378</v>
      </c>
      <c r="Z22" s="19" t="s">
        <v>118</v>
      </c>
      <c r="AA22" s="19" t="s">
        <v>119</v>
      </c>
      <c r="AB22" s="18" t="s">
        <v>176</v>
      </c>
      <c r="AC22" s="20" t="s">
        <v>121</v>
      </c>
      <c r="AD22" s="21"/>
      <c r="AE22" s="20"/>
      <c r="AF22" s="20"/>
      <c r="AG22" s="20"/>
      <c r="AH22" s="21" t="str">
        <f aca="false">IF(AD22="","",WORKDAY(AD22,5))</f>
        <v/>
      </c>
      <c r="AI22" s="20"/>
      <c r="AJ22" s="20"/>
    </row>
    <row r="23" customFormat="false" ht="23.85" hidden="false" customHeight="false" outlineLevel="0" collapsed="false">
      <c r="A23" s="26" t="s">
        <v>334</v>
      </c>
      <c r="B23" s="27" t="n">
        <v>22</v>
      </c>
      <c r="C23" s="17" t="n">
        <v>4</v>
      </c>
      <c r="D23" s="18" t="s">
        <v>379</v>
      </c>
      <c r="E23" s="22" t="s">
        <v>380</v>
      </c>
      <c r="F23" s="19" t="s">
        <v>381</v>
      </c>
      <c r="G23" s="18" t="s">
        <v>382</v>
      </c>
      <c r="H23" s="18"/>
      <c r="I23" s="18" t="s">
        <v>105</v>
      </c>
      <c r="J23" s="18" t="s">
        <v>383</v>
      </c>
      <c r="K23" s="18" t="s">
        <v>384</v>
      </c>
      <c r="L23" s="18"/>
      <c r="M23" s="18" t="s">
        <v>385</v>
      </c>
      <c r="N23" s="18" t="s">
        <v>386</v>
      </c>
      <c r="O23" s="18" t="s">
        <v>387</v>
      </c>
      <c r="P23" s="18" t="s">
        <v>276</v>
      </c>
      <c r="Q23" s="18" t="s">
        <v>388</v>
      </c>
      <c r="R23" s="18" t="s">
        <v>389</v>
      </c>
      <c r="S23" s="18" t="s">
        <v>115</v>
      </c>
      <c r="T23" s="18" t="s">
        <v>115</v>
      </c>
      <c r="U23" s="18"/>
      <c r="V23" s="18" t="s">
        <v>390</v>
      </c>
      <c r="W23" s="18" t="s">
        <v>391</v>
      </c>
      <c r="X23" s="18"/>
      <c r="Y23" s="18" t="s">
        <v>392</v>
      </c>
      <c r="Z23" s="19" t="s">
        <v>118</v>
      </c>
      <c r="AA23" s="19" t="s">
        <v>119</v>
      </c>
      <c r="AB23" s="18" t="s">
        <v>176</v>
      </c>
      <c r="AC23" s="20" t="s">
        <v>121</v>
      </c>
      <c r="AD23" s="21"/>
      <c r="AE23" s="20"/>
      <c r="AF23" s="20"/>
      <c r="AG23" s="20"/>
      <c r="AH23" s="21" t="str">
        <f aca="false">IF(AD23="","",WORKDAY(AD23,5))</f>
        <v/>
      </c>
      <c r="AI23" s="20"/>
      <c r="AJ23" s="20"/>
    </row>
    <row r="24" customFormat="false" ht="23.85" hidden="false" customHeight="false" outlineLevel="0" collapsed="false">
      <c r="A24" s="26" t="s">
        <v>334</v>
      </c>
      <c r="B24" s="27" t="n">
        <v>23</v>
      </c>
      <c r="C24" s="17" t="n">
        <v>4</v>
      </c>
      <c r="D24" s="18" t="s">
        <v>150</v>
      </c>
      <c r="E24" s="22" t="s">
        <v>393</v>
      </c>
      <c r="F24" s="19" t="s">
        <v>394</v>
      </c>
      <c r="G24" s="18" t="s">
        <v>395</v>
      </c>
      <c r="H24" s="18"/>
      <c r="I24" s="18" t="s">
        <v>105</v>
      </c>
      <c r="J24" s="18" t="s">
        <v>396</v>
      </c>
      <c r="K24" s="18" t="s">
        <v>397</v>
      </c>
      <c r="L24" s="18"/>
      <c r="M24" s="18" t="s">
        <v>398</v>
      </c>
      <c r="N24" s="18" t="s">
        <v>399</v>
      </c>
      <c r="O24" s="18" t="s">
        <v>400</v>
      </c>
      <c r="P24" s="18" t="s">
        <v>112</v>
      </c>
      <c r="Q24" s="18" t="s">
        <v>401</v>
      </c>
      <c r="R24" s="18" t="s">
        <v>224</v>
      </c>
      <c r="S24" s="18" t="s">
        <v>115</v>
      </c>
      <c r="T24" s="18" t="s">
        <v>115</v>
      </c>
      <c r="U24" s="18"/>
      <c r="V24" s="18" t="s">
        <v>402</v>
      </c>
      <c r="W24" s="18" t="s">
        <v>403</v>
      </c>
      <c r="X24" s="18"/>
      <c r="Y24" s="18" t="s">
        <v>404</v>
      </c>
      <c r="Z24" s="19" t="s">
        <v>118</v>
      </c>
      <c r="AA24" s="19" t="s">
        <v>119</v>
      </c>
      <c r="AB24" s="18" t="s">
        <v>176</v>
      </c>
      <c r="AC24" s="20" t="s">
        <v>121</v>
      </c>
      <c r="AD24" s="21"/>
      <c r="AE24" s="20"/>
      <c r="AF24" s="20"/>
      <c r="AG24" s="20"/>
      <c r="AH24" s="21" t="str">
        <f aca="false">IF(AD24="","",WORKDAY(AD24,5))</f>
        <v/>
      </c>
      <c r="AI24" s="20"/>
      <c r="AJ24" s="20"/>
    </row>
    <row r="25" customFormat="false" ht="23.85" hidden="false" customHeight="false" outlineLevel="0" collapsed="false">
      <c r="A25" s="26" t="s">
        <v>334</v>
      </c>
      <c r="B25" s="27" t="n">
        <v>24</v>
      </c>
      <c r="C25" s="17" t="n">
        <v>4</v>
      </c>
      <c r="D25" s="18" t="s">
        <v>101</v>
      </c>
      <c r="E25" s="22" t="s">
        <v>405</v>
      </c>
      <c r="F25" s="19" t="s">
        <v>406</v>
      </c>
      <c r="G25" s="18" t="s">
        <v>407</v>
      </c>
      <c r="H25" s="18"/>
      <c r="I25" s="18" t="s">
        <v>105</v>
      </c>
      <c r="J25" s="18" t="s">
        <v>408</v>
      </c>
      <c r="K25" s="18" t="s">
        <v>409</v>
      </c>
      <c r="L25" s="18" t="s">
        <v>410</v>
      </c>
      <c r="M25" s="18" t="s">
        <v>411</v>
      </c>
      <c r="N25" s="18" t="s">
        <v>412</v>
      </c>
      <c r="O25" s="18" t="s">
        <v>413</v>
      </c>
      <c r="P25" s="18" t="s">
        <v>112</v>
      </c>
      <c r="Q25" s="18" t="s">
        <v>243</v>
      </c>
      <c r="R25" s="18" t="s">
        <v>414</v>
      </c>
      <c r="S25" s="18" t="s">
        <v>115</v>
      </c>
      <c r="T25" s="18" t="s">
        <v>115</v>
      </c>
      <c r="U25" s="18"/>
      <c r="V25" s="18" t="s">
        <v>415</v>
      </c>
      <c r="W25" s="18" t="s">
        <v>416</v>
      </c>
      <c r="X25" s="18"/>
      <c r="Y25" s="18" t="s">
        <v>417</v>
      </c>
      <c r="Z25" s="19" t="s">
        <v>118</v>
      </c>
      <c r="AA25" s="19" t="s">
        <v>119</v>
      </c>
      <c r="AB25" s="18" t="s">
        <v>176</v>
      </c>
      <c r="AC25" s="20" t="s">
        <v>121</v>
      </c>
      <c r="AD25" s="21"/>
      <c r="AE25" s="20"/>
      <c r="AF25" s="20"/>
      <c r="AG25" s="20"/>
      <c r="AH25" s="21" t="str">
        <f aca="false">IF(AD25="","",WORKDAY(AD25,5))</f>
        <v/>
      </c>
      <c r="AI25" s="20"/>
      <c r="AJ25" s="20"/>
    </row>
    <row r="26" customFormat="false" ht="23.85" hidden="false" customHeight="false" outlineLevel="0" collapsed="false">
      <c r="A26" s="26" t="s">
        <v>334</v>
      </c>
      <c r="B26" s="27" t="n">
        <v>25</v>
      </c>
      <c r="C26" s="17" t="n">
        <v>4</v>
      </c>
      <c r="D26" s="18" t="s">
        <v>101</v>
      </c>
      <c r="E26" s="22" t="s">
        <v>418</v>
      </c>
      <c r="F26" s="19" t="s">
        <v>419</v>
      </c>
      <c r="G26" s="18" t="s">
        <v>420</v>
      </c>
      <c r="H26" s="18"/>
      <c r="I26" s="18" t="s">
        <v>105</v>
      </c>
      <c r="J26" s="18" t="s">
        <v>421</v>
      </c>
      <c r="K26" s="18" t="s">
        <v>422</v>
      </c>
      <c r="L26" s="18" t="s">
        <v>423</v>
      </c>
      <c r="M26" s="18" t="s">
        <v>424</v>
      </c>
      <c r="N26" s="18" t="s">
        <v>425</v>
      </c>
      <c r="O26" s="18" t="s">
        <v>413</v>
      </c>
      <c r="P26" s="18" t="s">
        <v>112</v>
      </c>
      <c r="Q26" s="18" t="s">
        <v>426</v>
      </c>
      <c r="R26" s="18" t="s">
        <v>427</v>
      </c>
      <c r="S26" s="18" t="s">
        <v>115</v>
      </c>
      <c r="T26" s="18" t="s">
        <v>115</v>
      </c>
      <c r="U26" s="18"/>
      <c r="V26" s="18" t="s">
        <v>428</v>
      </c>
      <c r="W26" s="18" t="s">
        <v>429</v>
      </c>
      <c r="X26" s="18"/>
      <c r="Y26" s="18" t="s">
        <v>430</v>
      </c>
      <c r="Z26" s="19" t="s">
        <v>118</v>
      </c>
      <c r="AA26" s="19" t="s">
        <v>119</v>
      </c>
      <c r="AB26" s="18" t="s">
        <v>176</v>
      </c>
      <c r="AC26" s="20" t="s">
        <v>121</v>
      </c>
      <c r="AD26" s="21"/>
      <c r="AE26" s="20"/>
      <c r="AF26" s="20"/>
      <c r="AG26" s="20"/>
      <c r="AH26" s="21" t="str">
        <f aca="false">IF(AD26="","",WORKDAY(AD26,5))</f>
        <v/>
      </c>
      <c r="AI26" s="20"/>
      <c r="AJ26" s="20"/>
    </row>
    <row r="27" customFormat="false" ht="23.85" hidden="false" customHeight="false" outlineLevel="0" collapsed="false">
      <c r="A27" s="26" t="s">
        <v>334</v>
      </c>
      <c r="B27" s="27" t="n">
        <v>26</v>
      </c>
      <c r="C27" s="17" t="n">
        <v>4</v>
      </c>
      <c r="D27" s="18" t="s">
        <v>101</v>
      </c>
      <c r="E27" s="22" t="s">
        <v>431</v>
      </c>
      <c r="F27" s="19" t="s">
        <v>432</v>
      </c>
      <c r="G27" s="18" t="s">
        <v>433</v>
      </c>
      <c r="H27" s="18"/>
      <c r="I27" s="18" t="s">
        <v>105</v>
      </c>
      <c r="J27" s="18" t="s">
        <v>434</v>
      </c>
      <c r="K27" s="18" t="s">
        <v>435</v>
      </c>
      <c r="L27" s="18" t="s">
        <v>436</v>
      </c>
      <c r="M27" s="18" t="s">
        <v>437</v>
      </c>
      <c r="N27" s="18" t="s">
        <v>438</v>
      </c>
      <c r="O27" s="18" t="s">
        <v>413</v>
      </c>
      <c r="P27" s="18" t="s">
        <v>112</v>
      </c>
      <c r="Q27" s="18" t="s">
        <v>439</v>
      </c>
      <c r="R27" s="18" t="s">
        <v>440</v>
      </c>
      <c r="S27" s="18" t="s">
        <v>115</v>
      </c>
      <c r="T27" s="18" t="s">
        <v>115</v>
      </c>
      <c r="U27" s="18"/>
      <c r="V27" s="18" t="s">
        <v>441</v>
      </c>
      <c r="W27" s="18"/>
      <c r="X27" s="18"/>
      <c r="Y27" s="18" t="s">
        <v>117</v>
      </c>
      <c r="Z27" s="19" t="s">
        <v>118</v>
      </c>
      <c r="AA27" s="19" t="s">
        <v>119</v>
      </c>
      <c r="AB27" s="18" t="s">
        <v>176</v>
      </c>
      <c r="AC27" s="20" t="s">
        <v>121</v>
      </c>
      <c r="AD27" s="21"/>
      <c r="AE27" s="20"/>
      <c r="AF27" s="20"/>
      <c r="AG27" s="20"/>
      <c r="AH27" s="21" t="str">
        <f aca="false">IF(AD27="","",WORKDAY(AD27,5))</f>
        <v/>
      </c>
      <c r="AI27" s="20"/>
      <c r="AJ27" s="20"/>
    </row>
    <row r="28" customFormat="false" ht="23.85" hidden="false" customHeight="false" outlineLevel="0" collapsed="false">
      <c r="A28" s="26" t="s">
        <v>334</v>
      </c>
      <c r="B28" s="27" t="n">
        <v>27</v>
      </c>
      <c r="C28" s="17" t="n">
        <v>4</v>
      </c>
      <c r="D28" s="18" t="s">
        <v>442</v>
      </c>
      <c r="E28" s="18" t="s">
        <v>443</v>
      </c>
      <c r="F28" s="19" t="s">
        <v>444</v>
      </c>
      <c r="G28" s="18" t="s">
        <v>445</v>
      </c>
      <c r="H28" s="18"/>
      <c r="I28" s="18" t="s">
        <v>105</v>
      </c>
      <c r="J28" s="18" t="s">
        <v>446</v>
      </c>
      <c r="K28" s="18"/>
      <c r="L28" s="18"/>
      <c r="M28" s="18" t="s">
        <v>447</v>
      </c>
      <c r="N28" s="18" t="s">
        <v>448</v>
      </c>
      <c r="O28" s="18" t="s">
        <v>449</v>
      </c>
      <c r="P28" s="18" t="s">
        <v>112</v>
      </c>
      <c r="Q28" s="18" t="s">
        <v>450</v>
      </c>
      <c r="R28" s="18" t="s">
        <v>451</v>
      </c>
      <c r="S28" s="18" t="s">
        <v>115</v>
      </c>
      <c r="T28" s="18" t="s">
        <v>115</v>
      </c>
      <c r="U28" s="18"/>
      <c r="V28" s="18" t="s">
        <v>452</v>
      </c>
      <c r="W28" s="18" t="s">
        <v>453</v>
      </c>
      <c r="X28" s="18"/>
      <c r="Y28" s="18" t="s">
        <v>454</v>
      </c>
      <c r="Z28" s="19" t="s">
        <v>118</v>
      </c>
      <c r="AA28" s="19" t="s">
        <v>119</v>
      </c>
      <c r="AB28" s="18" t="s">
        <v>120</v>
      </c>
      <c r="AC28" s="20" t="s">
        <v>121</v>
      </c>
      <c r="AD28" s="21"/>
      <c r="AE28" s="20"/>
      <c r="AF28" s="20"/>
      <c r="AG28" s="20"/>
      <c r="AH28" s="21" t="str">
        <f aca="false">IF(AD28="","",WORKDAY(AD28,5))</f>
        <v/>
      </c>
      <c r="AI28" s="20"/>
      <c r="AJ28" s="20"/>
    </row>
    <row r="29" customFormat="false" ht="23.85" hidden="false" customHeight="false" outlineLevel="0" collapsed="false">
      <c r="A29" s="26" t="s">
        <v>334</v>
      </c>
      <c r="B29" s="27" t="n">
        <v>28</v>
      </c>
      <c r="C29" s="17" t="n">
        <v>4</v>
      </c>
      <c r="D29" s="18" t="s">
        <v>236</v>
      </c>
      <c r="E29" s="22" t="s">
        <v>455</v>
      </c>
      <c r="F29" s="19" t="s">
        <v>456</v>
      </c>
      <c r="G29" s="18" t="s">
        <v>457</v>
      </c>
      <c r="H29" s="18"/>
      <c r="I29" s="18" t="s">
        <v>105</v>
      </c>
      <c r="J29" s="18" t="s">
        <v>458</v>
      </c>
      <c r="K29" s="18"/>
      <c r="L29" s="18"/>
      <c r="M29" s="18" t="s">
        <v>157</v>
      </c>
      <c r="N29" s="18" t="s">
        <v>459</v>
      </c>
      <c r="O29" s="18" t="s">
        <v>460</v>
      </c>
      <c r="P29" s="18" t="s">
        <v>112</v>
      </c>
      <c r="Q29" s="18" t="s">
        <v>243</v>
      </c>
      <c r="R29" s="18" t="s">
        <v>461</v>
      </c>
      <c r="S29" s="18" t="s">
        <v>115</v>
      </c>
      <c r="T29" s="18" t="s">
        <v>115</v>
      </c>
      <c r="U29" s="18"/>
      <c r="V29" s="18" t="s">
        <v>462</v>
      </c>
      <c r="W29" s="18" t="s">
        <v>463</v>
      </c>
      <c r="X29" s="18"/>
      <c r="Y29" s="18" t="s">
        <v>464</v>
      </c>
      <c r="Z29" s="19" t="s">
        <v>118</v>
      </c>
      <c r="AA29" s="19" t="s">
        <v>119</v>
      </c>
      <c r="AB29" s="18" t="s">
        <v>176</v>
      </c>
      <c r="AC29" s="20" t="s">
        <v>121</v>
      </c>
      <c r="AD29" s="21"/>
      <c r="AE29" s="20"/>
      <c r="AF29" s="20"/>
      <c r="AG29" s="20"/>
      <c r="AH29" s="21" t="str">
        <f aca="false">IF(AD29="","",WORKDAY(AD29,5))</f>
        <v/>
      </c>
      <c r="AI29" s="20"/>
      <c r="AJ29" s="20"/>
    </row>
    <row r="30" customFormat="false" ht="23.85" hidden="false" customHeight="false" outlineLevel="0" collapsed="false">
      <c r="A30" s="26" t="s">
        <v>334</v>
      </c>
      <c r="B30" s="27" t="n">
        <v>29</v>
      </c>
      <c r="C30" s="17" t="n">
        <v>4</v>
      </c>
      <c r="D30" s="18" t="s">
        <v>236</v>
      </c>
      <c r="E30" s="22" t="s">
        <v>465</v>
      </c>
      <c r="F30" s="19" t="s">
        <v>466</v>
      </c>
      <c r="G30" s="18" t="s">
        <v>467</v>
      </c>
      <c r="H30" s="18"/>
      <c r="I30" s="18" t="s">
        <v>105</v>
      </c>
      <c r="J30" s="18" t="s">
        <v>468</v>
      </c>
      <c r="K30" s="18" t="s">
        <v>469</v>
      </c>
      <c r="L30" s="18" t="s">
        <v>470</v>
      </c>
      <c r="M30" s="18" t="s">
        <v>471</v>
      </c>
      <c r="N30" s="18" t="s">
        <v>472</v>
      </c>
      <c r="O30" s="18" t="s">
        <v>473</v>
      </c>
      <c r="P30" s="18" t="s">
        <v>112</v>
      </c>
      <c r="Q30" s="18" t="s">
        <v>474</v>
      </c>
      <c r="R30" s="18" t="s">
        <v>114</v>
      </c>
      <c r="S30" s="18" t="s">
        <v>115</v>
      </c>
      <c r="T30" s="18" t="s">
        <v>115</v>
      </c>
      <c r="U30" s="18"/>
      <c r="V30" s="18" t="s">
        <v>475</v>
      </c>
      <c r="W30" s="18" t="s">
        <v>429</v>
      </c>
      <c r="X30" s="18"/>
      <c r="Y30" s="18" t="s">
        <v>476</v>
      </c>
      <c r="Z30" s="19" t="s">
        <v>118</v>
      </c>
      <c r="AA30" s="19" t="s">
        <v>119</v>
      </c>
      <c r="AB30" s="18" t="s">
        <v>176</v>
      </c>
      <c r="AC30" s="20" t="s">
        <v>121</v>
      </c>
      <c r="AD30" s="21"/>
      <c r="AE30" s="20"/>
      <c r="AF30" s="20"/>
      <c r="AG30" s="20"/>
      <c r="AH30" s="21" t="str">
        <f aca="false">IF(AD30="","",WORKDAY(AD30,5))</f>
        <v/>
      </c>
      <c r="AI30" s="20"/>
      <c r="AJ30" s="20"/>
    </row>
    <row r="31" customFormat="false" ht="35.05" hidden="false" customHeight="false" outlineLevel="0" collapsed="false">
      <c r="A31" s="26" t="s">
        <v>334</v>
      </c>
      <c r="B31" s="27" t="n">
        <v>30</v>
      </c>
      <c r="C31" s="17" t="n">
        <v>4</v>
      </c>
      <c r="D31" s="18" t="s">
        <v>236</v>
      </c>
      <c r="E31" s="18" t="s">
        <v>477</v>
      </c>
      <c r="F31" s="19" t="s">
        <v>478</v>
      </c>
      <c r="G31" s="18" t="s">
        <v>479</v>
      </c>
      <c r="H31" s="18"/>
      <c r="I31" s="18" t="s">
        <v>105</v>
      </c>
      <c r="J31" s="18" t="s">
        <v>480</v>
      </c>
      <c r="K31" s="18"/>
      <c r="L31" s="18"/>
      <c r="M31" s="18" t="s">
        <v>481</v>
      </c>
      <c r="N31" s="18" t="s">
        <v>482</v>
      </c>
      <c r="O31" s="18" t="s">
        <v>483</v>
      </c>
      <c r="P31" s="18" t="s">
        <v>112</v>
      </c>
      <c r="Q31" s="18" t="s">
        <v>484</v>
      </c>
      <c r="R31" s="18" t="s">
        <v>485</v>
      </c>
      <c r="S31" s="18" t="s">
        <v>115</v>
      </c>
      <c r="T31" s="18" t="s">
        <v>115</v>
      </c>
      <c r="U31" s="18"/>
      <c r="V31" s="18" t="s">
        <v>486</v>
      </c>
      <c r="W31" s="18" t="s">
        <v>487</v>
      </c>
      <c r="X31" s="18"/>
      <c r="Y31" s="18" t="s">
        <v>488</v>
      </c>
      <c r="Z31" s="19" t="s">
        <v>118</v>
      </c>
      <c r="AA31" s="19" t="s">
        <v>119</v>
      </c>
      <c r="AB31" s="18" t="s">
        <v>120</v>
      </c>
      <c r="AC31" s="20" t="s">
        <v>121</v>
      </c>
      <c r="AD31" s="21"/>
      <c r="AE31" s="20"/>
      <c r="AF31" s="20"/>
      <c r="AG31" s="20"/>
      <c r="AH31" s="21" t="str">
        <f aca="false">IF(AD31="","",WORKDAY(AD31,5))</f>
        <v/>
      </c>
      <c r="AI31" s="20"/>
      <c r="AJ31" s="20"/>
    </row>
    <row r="32" customFormat="false" ht="23.85" hidden="false" customHeight="false" outlineLevel="0" collapsed="false">
      <c r="A32" s="26" t="s">
        <v>334</v>
      </c>
      <c r="B32" s="27" t="n">
        <v>31</v>
      </c>
      <c r="C32" s="17" t="n">
        <v>4</v>
      </c>
      <c r="D32" s="18" t="s">
        <v>236</v>
      </c>
      <c r="E32" s="22" t="s">
        <v>489</v>
      </c>
      <c r="F32" s="19" t="s">
        <v>490</v>
      </c>
      <c r="G32" s="18" t="s">
        <v>491</v>
      </c>
      <c r="H32" s="18"/>
      <c r="I32" s="18" t="s">
        <v>105</v>
      </c>
      <c r="J32" s="18" t="s">
        <v>492</v>
      </c>
      <c r="K32" s="18"/>
      <c r="L32" s="18"/>
      <c r="M32" s="18" t="s">
        <v>493</v>
      </c>
      <c r="N32" s="18" t="s">
        <v>494</v>
      </c>
      <c r="O32" s="18" t="s">
        <v>473</v>
      </c>
      <c r="P32" s="18" t="s">
        <v>112</v>
      </c>
      <c r="Q32" s="18" t="s">
        <v>495</v>
      </c>
      <c r="R32" s="18" t="s">
        <v>114</v>
      </c>
      <c r="S32" s="18" t="s">
        <v>115</v>
      </c>
      <c r="T32" s="18" t="s">
        <v>115</v>
      </c>
      <c r="U32" s="18"/>
      <c r="V32" s="18" t="s">
        <v>496</v>
      </c>
      <c r="W32" s="18" t="s">
        <v>497</v>
      </c>
      <c r="X32" s="18"/>
      <c r="Y32" s="18" t="s">
        <v>498</v>
      </c>
      <c r="Z32" s="19" t="s">
        <v>118</v>
      </c>
      <c r="AA32" s="19" t="s">
        <v>119</v>
      </c>
      <c r="AB32" s="18" t="s">
        <v>176</v>
      </c>
      <c r="AC32" s="20" t="s">
        <v>121</v>
      </c>
      <c r="AD32" s="21"/>
      <c r="AE32" s="20"/>
      <c r="AF32" s="20"/>
      <c r="AG32" s="20"/>
      <c r="AH32" s="21" t="str">
        <f aca="false">IF(AD32="","",WORKDAY(AD32,5))</f>
        <v/>
      </c>
      <c r="AI32" s="20"/>
      <c r="AJ32" s="20"/>
    </row>
    <row r="33" customFormat="false" ht="23.85" hidden="false" customHeight="false" outlineLevel="0" collapsed="false">
      <c r="A33" s="26" t="s">
        <v>334</v>
      </c>
      <c r="B33" s="27" t="n">
        <v>32</v>
      </c>
      <c r="C33" s="17" t="n">
        <v>3</v>
      </c>
      <c r="D33" s="18" t="s">
        <v>296</v>
      </c>
      <c r="E33" s="18" t="s">
        <v>499</v>
      </c>
      <c r="F33" s="19" t="s">
        <v>500</v>
      </c>
      <c r="G33" s="18"/>
      <c r="H33" s="18"/>
      <c r="I33" s="18" t="s">
        <v>105</v>
      </c>
      <c r="J33" s="18"/>
      <c r="K33" s="18"/>
      <c r="L33" s="18"/>
      <c r="M33" s="18" t="s">
        <v>501</v>
      </c>
      <c r="N33" s="18" t="s">
        <v>502</v>
      </c>
      <c r="O33" s="18" t="s">
        <v>503</v>
      </c>
      <c r="P33" s="18" t="s">
        <v>504</v>
      </c>
      <c r="Q33" s="18" t="s">
        <v>505</v>
      </c>
      <c r="R33" s="18" t="s">
        <v>506</v>
      </c>
      <c r="S33" s="18" t="s">
        <v>115</v>
      </c>
      <c r="T33" s="18" t="s">
        <v>115</v>
      </c>
      <c r="U33" s="18"/>
      <c r="V33" s="18" t="s">
        <v>507</v>
      </c>
      <c r="W33" s="18" t="s">
        <v>508</v>
      </c>
      <c r="X33" s="18" t="s">
        <v>509</v>
      </c>
      <c r="Y33" s="18" t="s">
        <v>510</v>
      </c>
      <c r="Z33" s="19" t="s">
        <v>118</v>
      </c>
      <c r="AA33" s="19" t="s">
        <v>119</v>
      </c>
      <c r="AB33" s="18" t="s">
        <v>120</v>
      </c>
      <c r="AC33" s="20" t="s">
        <v>121</v>
      </c>
      <c r="AD33" s="21"/>
      <c r="AE33" s="20"/>
      <c r="AF33" s="20"/>
      <c r="AG33" s="20"/>
      <c r="AH33" s="21" t="str">
        <f aca="false">IF(AD33="","",WORKDAY(AD33,5))</f>
        <v/>
      </c>
      <c r="AI33" s="20"/>
      <c r="AJ33" s="20"/>
    </row>
    <row r="34" customFormat="false" ht="23.85" hidden="false" customHeight="false" outlineLevel="0" collapsed="false">
      <c r="A34" s="26" t="s">
        <v>334</v>
      </c>
      <c r="B34" s="27" t="n">
        <v>33</v>
      </c>
      <c r="C34" s="17" t="n">
        <v>3</v>
      </c>
      <c r="D34" s="18" t="s">
        <v>188</v>
      </c>
      <c r="E34" s="18" t="s">
        <v>511</v>
      </c>
      <c r="F34" s="19" t="s">
        <v>512</v>
      </c>
      <c r="G34" s="18" t="s">
        <v>513</v>
      </c>
      <c r="H34" s="18"/>
      <c r="I34" s="18" t="s">
        <v>105</v>
      </c>
      <c r="J34" s="18" t="s">
        <v>514</v>
      </c>
      <c r="K34" s="18" t="s">
        <v>515</v>
      </c>
      <c r="L34" s="18" t="s">
        <v>516</v>
      </c>
      <c r="M34" s="18" t="s">
        <v>517</v>
      </c>
      <c r="N34" s="18" t="s">
        <v>518</v>
      </c>
      <c r="O34" s="18" t="s">
        <v>519</v>
      </c>
      <c r="P34" s="18" t="s">
        <v>112</v>
      </c>
      <c r="Q34" s="18" t="s">
        <v>195</v>
      </c>
      <c r="R34" s="18" t="s">
        <v>520</v>
      </c>
      <c r="S34" s="18" t="s">
        <v>115</v>
      </c>
      <c r="T34" s="18" t="s">
        <v>115</v>
      </c>
      <c r="U34" s="18" t="s">
        <v>521</v>
      </c>
      <c r="V34" s="18" t="s">
        <v>522</v>
      </c>
      <c r="W34" s="18"/>
      <c r="X34" s="18"/>
      <c r="Y34" s="18" t="s">
        <v>523</v>
      </c>
      <c r="Z34" s="19" t="s">
        <v>118</v>
      </c>
      <c r="AA34" s="19" t="s">
        <v>119</v>
      </c>
      <c r="AB34" s="18" t="s">
        <v>120</v>
      </c>
      <c r="AC34" s="20" t="s">
        <v>121</v>
      </c>
      <c r="AD34" s="21"/>
      <c r="AE34" s="20"/>
      <c r="AF34" s="20"/>
      <c r="AG34" s="20"/>
      <c r="AH34" s="21" t="str">
        <f aca="false">IF(AD34="","",WORKDAY(AD34,5))</f>
        <v/>
      </c>
      <c r="AI34" s="20"/>
      <c r="AJ34" s="20"/>
    </row>
    <row r="35" customFormat="false" ht="35.05" hidden="false" customHeight="false" outlineLevel="0" collapsed="false">
      <c r="A35" s="26" t="s">
        <v>334</v>
      </c>
      <c r="B35" s="27" t="n">
        <v>34</v>
      </c>
      <c r="C35" s="17" t="n">
        <v>3</v>
      </c>
      <c r="D35" s="18" t="s">
        <v>188</v>
      </c>
      <c r="E35" s="18" t="s">
        <v>524</v>
      </c>
      <c r="F35" s="19" t="s">
        <v>525</v>
      </c>
      <c r="G35" s="18" t="s">
        <v>526</v>
      </c>
      <c r="H35" s="18"/>
      <c r="I35" s="18" t="s">
        <v>105</v>
      </c>
      <c r="J35" s="18" t="s">
        <v>527</v>
      </c>
      <c r="K35" s="18" t="s">
        <v>528</v>
      </c>
      <c r="L35" s="18"/>
      <c r="M35" s="18" t="s">
        <v>529</v>
      </c>
      <c r="N35" s="18" t="s">
        <v>530</v>
      </c>
      <c r="O35" s="18" t="s">
        <v>531</v>
      </c>
      <c r="P35" s="18" t="s">
        <v>276</v>
      </c>
      <c r="Q35" s="18" t="s">
        <v>532</v>
      </c>
      <c r="R35" s="18" t="s">
        <v>533</v>
      </c>
      <c r="S35" s="18" t="s">
        <v>115</v>
      </c>
      <c r="T35" s="18" t="s">
        <v>320</v>
      </c>
      <c r="U35" s="18"/>
      <c r="V35" s="18" t="s">
        <v>534</v>
      </c>
      <c r="W35" s="18" t="s">
        <v>535</v>
      </c>
      <c r="X35" s="18" t="s">
        <v>536</v>
      </c>
      <c r="Y35" s="18" t="s">
        <v>537</v>
      </c>
      <c r="Z35" s="19" t="s">
        <v>118</v>
      </c>
      <c r="AA35" s="19" t="s">
        <v>119</v>
      </c>
      <c r="AB35" s="18" t="s">
        <v>120</v>
      </c>
      <c r="AC35" s="20" t="s">
        <v>121</v>
      </c>
      <c r="AD35" s="21"/>
      <c r="AE35" s="20"/>
      <c r="AF35" s="20"/>
      <c r="AG35" s="20"/>
      <c r="AH35" s="21" t="str">
        <f aca="false">IF(AD35="","",WORKDAY(AD35,5))</f>
        <v/>
      </c>
      <c r="AI35" s="20"/>
      <c r="AJ35" s="20"/>
    </row>
    <row r="36" customFormat="false" ht="23.85" hidden="false" customHeight="false" outlineLevel="0" collapsed="false">
      <c r="A36" s="26" t="s">
        <v>334</v>
      </c>
      <c r="B36" s="27" t="n">
        <v>35</v>
      </c>
      <c r="C36" s="17" t="n">
        <v>3</v>
      </c>
      <c r="D36" s="18" t="s">
        <v>188</v>
      </c>
      <c r="E36" s="22" t="s">
        <v>538</v>
      </c>
      <c r="F36" s="19" t="s">
        <v>539</v>
      </c>
      <c r="G36" s="18" t="s">
        <v>540</v>
      </c>
      <c r="H36" s="18"/>
      <c r="I36" s="18" t="s">
        <v>105</v>
      </c>
      <c r="J36" s="18" t="s">
        <v>541</v>
      </c>
      <c r="K36" s="18" t="s">
        <v>542</v>
      </c>
      <c r="L36" s="18" t="s">
        <v>543</v>
      </c>
      <c r="M36" s="18" t="s">
        <v>544</v>
      </c>
      <c r="N36" s="18" t="s">
        <v>545</v>
      </c>
      <c r="O36" s="18" t="s">
        <v>546</v>
      </c>
      <c r="P36" s="18" t="s">
        <v>112</v>
      </c>
      <c r="Q36" s="18" t="s">
        <v>243</v>
      </c>
      <c r="R36" s="18" t="s">
        <v>114</v>
      </c>
      <c r="S36" s="18" t="s">
        <v>115</v>
      </c>
      <c r="T36" s="18" t="s">
        <v>115</v>
      </c>
      <c r="U36" s="18"/>
      <c r="V36" s="18" t="s">
        <v>547</v>
      </c>
      <c r="W36" s="18" t="s">
        <v>548</v>
      </c>
      <c r="X36" s="18"/>
      <c r="Y36" s="18" t="s">
        <v>549</v>
      </c>
      <c r="Z36" s="19" t="s">
        <v>118</v>
      </c>
      <c r="AA36" s="19" t="s">
        <v>119</v>
      </c>
      <c r="AB36" s="18" t="s">
        <v>176</v>
      </c>
      <c r="AC36" s="20" t="s">
        <v>121</v>
      </c>
      <c r="AD36" s="21"/>
      <c r="AE36" s="20"/>
      <c r="AF36" s="20"/>
      <c r="AG36" s="20"/>
      <c r="AH36" s="21" t="str">
        <f aca="false">IF(AD36="","",WORKDAY(AD36,5))</f>
        <v/>
      </c>
      <c r="AI36" s="20"/>
      <c r="AJ36" s="20"/>
    </row>
    <row r="37" customFormat="false" ht="35.05" hidden="false" customHeight="false" outlineLevel="0" collapsed="false">
      <c r="A37" s="26" t="s">
        <v>334</v>
      </c>
      <c r="B37" s="27" t="n">
        <v>36</v>
      </c>
      <c r="C37" s="17" t="n">
        <v>3</v>
      </c>
      <c r="D37" s="18" t="s">
        <v>364</v>
      </c>
      <c r="E37" s="22" t="s">
        <v>550</v>
      </c>
      <c r="F37" s="19" t="s">
        <v>551</v>
      </c>
      <c r="G37" s="18" t="s">
        <v>552</v>
      </c>
      <c r="H37" s="18"/>
      <c r="I37" s="18" t="s">
        <v>105</v>
      </c>
      <c r="J37" s="18" t="s">
        <v>553</v>
      </c>
      <c r="K37" s="18"/>
      <c r="L37" s="18"/>
      <c r="M37" s="18" t="s">
        <v>398</v>
      </c>
      <c r="N37" s="18" t="s">
        <v>554</v>
      </c>
      <c r="O37" s="18" t="s">
        <v>555</v>
      </c>
      <c r="P37" s="18" t="s">
        <v>112</v>
      </c>
      <c r="Q37" s="18" t="s">
        <v>556</v>
      </c>
      <c r="R37" s="18" t="s">
        <v>557</v>
      </c>
      <c r="S37" s="18" t="s">
        <v>115</v>
      </c>
      <c r="T37" s="18" t="s">
        <v>115</v>
      </c>
      <c r="U37" s="18"/>
      <c r="V37" s="18" t="s">
        <v>558</v>
      </c>
      <c r="W37" s="18" t="s">
        <v>559</v>
      </c>
      <c r="X37" s="18"/>
      <c r="Y37" s="18" t="s">
        <v>560</v>
      </c>
      <c r="Z37" s="19" t="s">
        <v>118</v>
      </c>
      <c r="AA37" s="19" t="s">
        <v>119</v>
      </c>
      <c r="AB37" s="18" t="s">
        <v>176</v>
      </c>
      <c r="AC37" s="20" t="s">
        <v>121</v>
      </c>
      <c r="AD37" s="21"/>
      <c r="AE37" s="20"/>
      <c r="AF37" s="20"/>
      <c r="AG37" s="20"/>
      <c r="AH37" s="21" t="str">
        <f aca="false">IF(AD37="","",WORKDAY(AD37,5))</f>
        <v/>
      </c>
      <c r="AI37" s="20"/>
      <c r="AJ37" s="20"/>
    </row>
    <row r="38" customFormat="false" ht="35.05" hidden="false" customHeight="false" outlineLevel="0" collapsed="false">
      <c r="A38" s="26" t="s">
        <v>334</v>
      </c>
      <c r="B38" s="27" t="n">
        <v>37</v>
      </c>
      <c r="C38" s="17" t="n">
        <v>3</v>
      </c>
      <c r="D38" s="18" t="s">
        <v>135</v>
      </c>
      <c r="E38" s="18" t="s">
        <v>561</v>
      </c>
      <c r="F38" s="18" t="s">
        <v>167</v>
      </c>
      <c r="G38" s="18" t="s">
        <v>562</v>
      </c>
      <c r="H38" s="18"/>
      <c r="I38" s="18" t="s">
        <v>105</v>
      </c>
      <c r="J38" s="18" t="s">
        <v>563</v>
      </c>
      <c r="K38" s="18"/>
      <c r="L38" s="18"/>
      <c r="M38" s="18" t="s">
        <v>564</v>
      </c>
      <c r="N38" s="18" t="s">
        <v>565</v>
      </c>
      <c r="O38" s="18" t="s">
        <v>566</v>
      </c>
      <c r="P38" s="18" t="s">
        <v>112</v>
      </c>
      <c r="Q38" s="18" t="s">
        <v>567</v>
      </c>
      <c r="R38" s="18" t="s">
        <v>145</v>
      </c>
      <c r="S38" s="18" t="s">
        <v>115</v>
      </c>
      <c r="T38" s="18" t="s">
        <v>115</v>
      </c>
      <c r="U38" s="18"/>
      <c r="V38" s="18" t="s">
        <v>568</v>
      </c>
      <c r="W38" s="18"/>
      <c r="X38" s="18" t="s">
        <v>569</v>
      </c>
      <c r="Y38" s="18" t="s">
        <v>570</v>
      </c>
      <c r="Z38" s="19" t="s">
        <v>118</v>
      </c>
      <c r="AA38" s="19" t="s">
        <v>119</v>
      </c>
      <c r="AB38" s="18" t="s">
        <v>149</v>
      </c>
      <c r="AC38" s="20" t="s">
        <v>121</v>
      </c>
      <c r="AD38" s="21"/>
      <c r="AE38" s="20"/>
      <c r="AF38" s="20"/>
      <c r="AG38" s="20"/>
      <c r="AH38" s="21" t="str">
        <f aca="false">IF(AD38="","",WORKDAY(AD38,5))</f>
        <v/>
      </c>
      <c r="AI38" s="20"/>
      <c r="AJ38" s="20"/>
    </row>
    <row r="39" customFormat="false" ht="23.85" hidden="false" customHeight="false" outlineLevel="0" collapsed="false">
      <c r="A39" s="26" t="s">
        <v>334</v>
      </c>
      <c r="B39" s="27" t="n">
        <v>38</v>
      </c>
      <c r="C39" s="17" t="n">
        <v>3</v>
      </c>
      <c r="D39" s="18" t="s">
        <v>379</v>
      </c>
      <c r="E39" s="22" t="s">
        <v>571</v>
      </c>
      <c r="F39" s="19" t="s">
        <v>572</v>
      </c>
      <c r="G39" s="18" t="s">
        <v>573</v>
      </c>
      <c r="H39" s="18"/>
      <c r="I39" s="18" t="s">
        <v>105</v>
      </c>
      <c r="J39" s="18" t="s">
        <v>574</v>
      </c>
      <c r="K39" s="18" t="s">
        <v>575</v>
      </c>
      <c r="L39" s="18" t="s">
        <v>576</v>
      </c>
      <c r="M39" s="18" t="s">
        <v>544</v>
      </c>
      <c r="N39" s="18" t="s">
        <v>577</v>
      </c>
      <c r="O39" s="18" t="s">
        <v>387</v>
      </c>
      <c r="P39" s="18" t="s">
        <v>112</v>
      </c>
      <c r="Q39" s="18" t="s">
        <v>578</v>
      </c>
      <c r="R39" s="18" t="s">
        <v>114</v>
      </c>
      <c r="S39" s="18" t="s">
        <v>115</v>
      </c>
      <c r="T39" s="18" t="s">
        <v>115</v>
      </c>
      <c r="U39" s="18"/>
      <c r="V39" s="18" t="s">
        <v>579</v>
      </c>
      <c r="W39" s="18" t="s">
        <v>497</v>
      </c>
      <c r="X39" s="18"/>
      <c r="Y39" s="18" t="s">
        <v>580</v>
      </c>
      <c r="Z39" s="19" t="s">
        <v>118</v>
      </c>
      <c r="AA39" s="19" t="s">
        <v>119</v>
      </c>
      <c r="AB39" s="18" t="s">
        <v>176</v>
      </c>
      <c r="AC39" s="20" t="s">
        <v>121</v>
      </c>
      <c r="AD39" s="21"/>
      <c r="AE39" s="20"/>
      <c r="AF39" s="20"/>
      <c r="AG39" s="20"/>
      <c r="AH39" s="21" t="str">
        <f aca="false">IF(AD39="","",WORKDAY(AD39,5))</f>
        <v/>
      </c>
      <c r="AI39" s="20"/>
      <c r="AJ39" s="20"/>
    </row>
    <row r="40" customFormat="false" ht="35.05" hidden="false" customHeight="false" outlineLevel="0" collapsed="false">
      <c r="A40" s="26" t="s">
        <v>334</v>
      </c>
      <c r="B40" s="27" t="n">
        <v>39</v>
      </c>
      <c r="C40" s="17" t="n">
        <v>3</v>
      </c>
      <c r="D40" s="18" t="s">
        <v>150</v>
      </c>
      <c r="E40" s="22" t="s">
        <v>581</v>
      </c>
      <c r="F40" s="19" t="s">
        <v>582</v>
      </c>
      <c r="G40" s="18" t="s">
        <v>583</v>
      </c>
      <c r="H40" s="18"/>
      <c r="I40" s="18" t="s">
        <v>105</v>
      </c>
      <c r="J40" s="18" t="s">
        <v>584</v>
      </c>
      <c r="K40" s="18"/>
      <c r="L40" s="18"/>
      <c r="M40" s="18" t="s">
        <v>585</v>
      </c>
      <c r="N40" s="18" t="s">
        <v>586</v>
      </c>
      <c r="O40" s="18" t="s">
        <v>587</v>
      </c>
      <c r="P40" s="18" t="s">
        <v>276</v>
      </c>
      <c r="Q40" s="18" t="s">
        <v>588</v>
      </c>
      <c r="R40" s="18" t="s">
        <v>589</v>
      </c>
      <c r="S40" s="18" t="s">
        <v>115</v>
      </c>
      <c r="T40" s="18" t="s">
        <v>115</v>
      </c>
      <c r="U40" s="18"/>
      <c r="V40" s="18" t="s">
        <v>590</v>
      </c>
      <c r="W40" s="18" t="s">
        <v>591</v>
      </c>
      <c r="X40" s="18"/>
      <c r="Y40" s="18" t="s">
        <v>592</v>
      </c>
      <c r="Z40" s="19" t="s">
        <v>118</v>
      </c>
      <c r="AA40" s="19" t="s">
        <v>119</v>
      </c>
      <c r="AB40" s="18" t="s">
        <v>176</v>
      </c>
      <c r="AC40" s="20" t="s">
        <v>121</v>
      </c>
      <c r="AD40" s="21"/>
      <c r="AE40" s="20"/>
      <c r="AF40" s="20"/>
      <c r="AG40" s="20"/>
      <c r="AH40" s="21" t="str">
        <f aca="false">IF(AD40="","",WORKDAY(AD40,5))</f>
        <v/>
      </c>
      <c r="AI40" s="20"/>
      <c r="AJ40" s="20"/>
    </row>
    <row r="41" customFormat="false" ht="23.85" hidden="false" customHeight="false" outlineLevel="0" collapsed="false">
      <c r="A41" s="26" t="s">
        <v>334</v>
      </c>
      <c r="B41" s="27" t="n">
        <v>40</v>
      </c>
      <c r="C41" s="17" t="n">
        <v>3</v>
      </c>
      <c r="D41" s="18" t="s">
        <v>150</v>
      </c>
      <c r="E41" s="18" t="s">
        <v>593</v>
      </c>
      <c r="F41" s="19" t="s">
        <v>594</v>
      </c>
      <c r="G41" s="18" t="s">
        <v>334</v>
      </c>
      <c r="H41" s="18"/>
      <c r="I41" s="18" t="s">
        <v>105</v>
      </c>
      <c r="J41" s="18"/>
      <c r="K41" s="18"/>
      <c r="L41" s="18"/>
      <c r="M41" s="18" t="s">
        <v>595</v>
      </c>
      <c r="N41" s="18" t="s">
        <v>596</v>
      </c>
      <c r="O41" s="18" t="s">
        <v>597</v>
      </c>
      <c r="P41" s="18" t="s">
        <v>112</v>
      </c>
      <c r="Q41" s="18" t="s">
        <v>330</v>
      </c>
      <c r="R41" s="18" t="s">
        <v>114</v>
      </c>
      <c r="S41" s="18" t="s">
        <v>115</v>
      </c>
      <c r="T41" s="18" t="s">
        <v>115</v>
      </c>
      <c r="U41" s="18"/>
      <c r="V41" s="18" t="s">
        <v>598</v>
      </c>
      <c r="W41" s="18"/>
      <c r="X41" s="18"/>
      <c r="Y41" s="18" t="s">
        <v>599</v>
      </c>
      <c r="Z41" s="19" t="s">
        <v>118</v>
      </c>
      <c r="AA41" s="19" t="s">
        <v>119</v>
      </c>
      <c r="AB41" s="18" t="s">
        <v>120</v>
      </c>
      <c r="AC41" s="20" t="s">
        <v>121</v>
      </c>
      <c r="AD41" s="21"/>
      <c r="AE41" s="20"/>
      <c r="AF41" s="20"/>
      <c r="AG41" s="20"/>
      <c r="AH41" s="21" t="str">
        <f aca="false">IF(AD41="","",WORKDAY(AD41,5))</f>
        <v/>
      </c>
      <c r="AI41" s="20"/>
      <c r="AJ41" s="20"/>
    </row>
    <row r="42" customFormat="false" ht="23.85" hidden="false" customHeight="false" outlineLevel="0" collapsed="false">
      <c r="A42" s="26" t="s">
        <v>334</v>
      </c>
      <c r="B42" s="27" t="n">
        <v>41</v>
      </c>
      <c r="C42" s="17" t="n">
        <v>3</v>
      </c>
      <c r="D42" s="18" t="s">
        <v>101</v>
      </c>
      <c r="E42" s="18" t="s">
        <v>600</v>
      </c>
      <c r="F42" s="19" t="s">
        <v>601</v>
      </c>
      <c r="G42" s="18" t="s">
        <v>602</v>
      </c>
      <c r="H42" s="18"/>
      <c r="I42" s="18" t="s">
        <v>105</v>
      </c>
      <c r="J42" s="18" t="s">
        <v>603</v>
      </c>
      <c r="K42" s="18" t="s">
        <v>604</v>
      </c>
      <c r="L42" s="18" t="s">
        <v>605</v>
      </c>
      <c r="M42" s="18" t="s">
        <v>606</v>
      </c>
      <c r="N42" s="18" t="s">
        <v>607</v>
      </c>
      <c r="O42" s="18" t="s">
        <v>608</v>
      </c>
      <c r="P42" s="18" t="s">
        <v>112</v>
      </c>
      <c r="Q42" s="18" t="s">
        <v>609</v>
      </c>
      <c r="R42" s="18" t="s">
        <v>610</v>
      </c>
      <c r="S42" s="18" t="s">
        <v>115</v>
      </c>
      <c r="T42" s="18" t="s">
        <v>115</v>
      </c>
      <c r="U42" s="18"/>
      <c r="V42" s="18" t="s">
        <v>611</v>
      </c>
      <c r="W42" s="18"/>
      <c r="X42" s="18"/>
      <c r="Y42" s="18" t="s">
        <v>117</v>
      </c>
      <c r="Z42" s="19" t="s">
        <v>118</v>
      </c>
      <c r="AA42" s="19" t="s">
        <v>119</v>
      </c>
      <c r="AB42" s="18" t="s">
        <v>120</v>
      </c>
      <c r="AC42" s="20" t="s">
        <v>121</v>
      </c>
      <c r="AD42" s="21"/>
      <c r="AE42" s="20"/>
      <c r="AF42" s="20"/>
      <c r="AG42" s="20"/>
      <c r="AH42" s="21" t="str">
        <f aca="false">IF(AD42="","",WORKDAY(AD42,5))</f>
        <v/>
      </c>
      <c r="AI42" s="20"/>
      <c r="AJ42" s="20"/>
    </row>
    <row r="43" customFormat="false" ht="23.85" hidden="false" customHeight="false" outlineLevel="0" collapsed="false">
      <c r="A43" s="26" t="s">
        <v>334</v>
      </c>
      <c r="B43" s="27" t="n">
        <v>42</v>
      </c>
      <c r="C43" s="17" t="n">
        <v>3</v>
      </c>
      <c r="D43" s="18" t="s">
        <v>442</v>
      </c>
      <c r="E43" s="18" t="s">
        <v>612</v>
      </c>
      <c r="F43" s="18" t="s">
        <v>167</v>
      </c>
      <c r="G43" s="18" t="s">
        <v>613</v>
      </c>
      <c r="H43" s="18"/>
      <c r="I43" s="18" t="s">
        <v>105</v>
      </c>
      <c r="J43" s="18" t="s">
        <v>614</v>
      </c>
      <c r="K43" s="18"/>
      <c r="L43" s="18"/>
      <c r="M43" s="18" t="s">
        <v>615</v>
      </c>
      <c r="N43" s="18" t="s">
        <v>616</v>
      </c>
      <c r="O43" s="18" t="s">
        <v>449</v>
      </c>
      <c r="P43" s="18" t="s">
        <v>112</v>
      </c>
      <c r="Q43" s="18" t="s">
        <v>617</v>
      </c>
      <c r="R43" s="18" t="s">
        <v>618</v>
      </c>
      <c r="S43" s="18" t="s">
        <v>619</v>
      </c>
      <c r="T43" s="18" t="s">
        <v>115</v>
      </c>
      <c r="U43" s="18"/>
      <c r="V43" s="18" t="s">
        <v>620</v>
      </c>
      <c r="W43" s="18" t="s">
        <v>621</v>
      </c>
      <c r="X43" s="18" t="s">
        <v>622</v>
      </c>
      <c r="Y43" s="18" t="s">
        <v>623</v>
      </c>
      <c r="Z43" s="19" t="s">
        <v>118</v>
      </c>
      <c r="AA43" s="19" t="s">
        <v>119</v>
      </c>
      <c r="AB43" s="18" t="s">
        <v>120</v>
      </c>
      <c r="AC43" s="20" t="s">
        <v>121</v>
      </c>
      <c r="AD43" s="21"/>
      <c r="AE43" s="20"/>
      <c r="AF43" s="20"/>
      <c r="AG43" s="20"/>
      <c r="AH43" s="21" t="str">
        <f aca="false">IF(AD43="","",WORKDAY(AD43,5))</f>
        <v/>
      </c>
      <c r="AI43" s="20"/>
      <c r="AJ43" s="20"/>
    </row>
    <row r="44" customFormat="false" ht="23.85" hidden="false" customHeight="false" outlineLevel="0" collapsed="false">
      <c r="A44" s="26" t="s">
        <v>334</v>
      </c>
      <c r="B44" s="27" t="n">
        <v>43</v>
      </c>
      <c r="C44" s="17" t="n">
        <v>3</v>
      </c>
      <c r="D44" s="18" t="s">
        <v>442</v>
      </c>
      <c r="E44" s="18" t="s">
        <v>624</v>
      </c>
      <c r="F44" s="19" t="s">
        <v>625</v>
      </c>
      <c r="G44" s="18" t="s">
        <v>626</v>
      </c>
      <c r="H44" s="18"/>
      <c r="I44" s="18" t="s">
        <v>105</v>
      </c>
      <c r="J44" s="18" t="s">
        <v>627</v>
      </c>
      <c r="K44" s="18"/>
      <c r="L44" s="18"/>
      <c r="M44" s="18" t="s">
        <v>628</v>
      </c>
      <c r="N44" s="18" t="s">
        <v>629</v>
      </c>
      <c r="O44" s="18" t="s">
        <v>630</v>
      </c>
      <c r="P44" s="18" t="s">
        <v>112</v>
      </c>
      <c r="Q44" s="18" t="s">
        <v>243</v>
      </c>
      <c r="R44" s="18" t="s">
        <v>114</v>
      </c>
      <c r="S44" s="18" t="s">
        <v>115</v>
      </c>
      <c r="T44" s="18" t="s">
        <v>115</v>
      </c>
      <c r="U44" s="18"/>
      <c r="V44" s="18" t="s">
        <v>631</v>
      </c>
      <c r="W44" s="18" t="s">
        <v>632</v>
      </c>
      <c r="X44" s="18"/>
      <c r="Y44" s="18" t="s">
        <v>633</v>
      </c>
      <c r="Z44" s="19" t="s">
        <v>118</v>
      </c>
      <c r="AA44" s="19" t="s">
        <v>119</v>
      </c>
      <c r="AB44" s="18" t="s">
        <v>120</v>
      </c>
      <c r="AC44" s="20" t="s">
        <v>121</v>
      </c>
      <c r="AD44" s="21"/>
      <c r="AE44" s="20"/>
      <c r="AF44" s="20"/>
      <c r="AG44" s="20"/>
      <c r="AH44" s="21" t="str">
        <f aca="false">IF(AD44="","",WORKDAY(AD44,5))</f>
        <v/>
      </c>
      <c r="AI44" s="20"/>
      <c r="AJ44" s="20"/>
    </row>
    <row r="45" customFormat="false" ht="23.85" hidden="false" customHeight="false" outlineLevel="0" collapsed="false">
      <c r="A45" s="26" t="s">
        <v>334</v>
      </c>
      <c r="B45" s="27" t="n">
        <v>44</v>
      </c>
      <c r="C45" s="17" t="n">
        <v>3</v>
      </c>
      <c r="D45" s="18" t="s">
        <v>442</v>
      </c>
      <c r="E45" s="22" t="s">
        <v>634</v>
      </c>
      <c r="F45" s="19" t="s">
        <v>635</v>
      </c>
      <c r="G45" s="18" t="s">
        <v>636</v>
      </c>
      <c r="H45" s="18"/>
      <c r="I45" s="18" t="s">
        <v>105</v>
      </c>
      <c r="J45" s="18" t="s">
        <v>637</v>
      </c>
      <c r="K45" s="18"/>
      <c r="L45" s="18"/>
      <c r="M45" s="18" t="s">
        <v>544</v>
      </c>
      <c r="N45" s="18" t="s">
        <v>638</v>
      </c>
      <c r="O45" s="18" t="s">
        <v>639</v>
      </c>
      <c r="P45" s="18" t="s">
        <v>112</v>
      </c>
      <c r="Q45" s="18" t="s">
        <v>243</v>
      </c>
      <c r="R45" s="18" t="s">
        <v>114</v>
      </c>
      <c r="S45" s="18" t="s">
        <v>115</v>
      </c>
      <c r="T45" s="18" t="s">
        <v>115</v>
      </c>
      <c r="U45" s="18"/>
      <c r="V45" s="18" t="s">
        <v>640</v>
      </c>
      <c r="W45" s="18" t="s">
        <v>641</v>
      </c>
      <c r="X45" s="18"/>
      <c r="Y45" s="18" t="s">
        <v>642</v>
      </c>
      <c r="Z45" s="19" t="s">
        <v>118</v>
      </c>
      <c r="AA45" s="19" t="s">
        <v>119</v>
      </c>
      <c r="AB45" s="18" t="s">
        <v>176</v>
      </c>
      <c r="AC45" s="20" t="s">
        <v>121</v>
      </c>
      <c r="AD45" s="21"/>
      <c r="AE45" s="20"/>
      <c r="AF45" s="20"/>
      <c r="AG45" s="20"/>
      <c r="AH45" s="21" t="str">
        <f aca="false">IF(AD45="","",WORKDAY(AD45,5))</f>
        <v/>
      </c>
      <c r="AI45" s="20"/>
      <c r="AJ45" s="20"/>
    </row>
    <row r="46" customFormat="false" ht="23.85" hidden="false" customHeight="false" outlineLevel="0" collapsed="false">
      <c r="A46" s="26" t="s">
        <v>334</v>
      </c>
      <c r="B46" s="27" t="n">
        <v>45</v>
      </c>
      <c r="C46" s="17" t="n">
        <v>2</v>
      </c>
      <c r="D46" s="18" t="s">
        <v>188</v>
      </c>
      <c r="E46" s="18" t="s">
        <v>643</v>
      </c>
      <c r="F46" s="18" t="s">
        <v>167</v>
      </c>
      <c r="G46" s="18" t="s">
        <v>644</v>
      </c>
      <c r="H46" s="18"/>
      <c r="I46" s="18" t="s">
        <v>105</v>
      </c>
      <c r="J46" s="18"/>
      <c r="K46" s="18"/>
      <c r="L46" s="18"/>
      <c r="M46" s="18" t="s">
        <v>645</v>
      </c>
      <c r="N46" s="18" t="s">
        <v>646</v>
      </c>
      <c r="O46" s="18" t="s">
        <v>647</v>
      </c>
      <c r="P46" s="18" t="s">
        <v>112</v>
      </c>
      <c r="Q46" s="18"/>
      <c r="R46" s="18" t="s">
        <v>224</v>
      </c>
      <c r="S46" s="18" t="s">
        <v>115</v>
      </c>
      <c r="T46" s="18" t="s">
        <v>115</v>
      </c>
      <c r="U46" s="18"/>
      <c r="V46" s="18" t="s">
        <v>648</v>
      </c>
      <c r="W46" s="18" t="s">
        <v>649</v>
      </c>
      <c r="X46" s="18"/>
      <c r="Y46" s="18" t="s">
        <v>186</v>
      </c>
      <c r="Z46" s="19" t="s">
        <v>118</v>
      </c>
      <c r="AA46" s="19" t="s">
        <v>119</v>
      </c>
      <c r="AB46" s="18" t="s">
        <v>120</v>
      </c>
      <c r="AC46" s="20" t="s">
        <v>121</v>
      </c>
      <c r="AD46" s="21"/>
      <c r="AE46" s="20"/>
      <c r="AF46" s="20"/>
      <c r="AG46" s="20"/>
      <c r="AH46" s="21" t="str">
        <f aca="false">IF(AD46="","",WORKDAY(AD46,5))</f>
        <v/>
      </c>
      <c r="AI46" s="20"/>
      <c r="AJ46" s="20"/>
    </row>
    <row r="47" customFormat="false" ht="23.85" hidden="false" customHeight="false" outlineLevel="0" collapsed="false">
      <c r="A47" s="26" t="s">
        <v>334</v>
      </c>
      <c r="B47" s="27" t="n">
        <v>46</v>
      </c>
      <c r="C47" s="17" t="n">
        <v>2</v>
      </c>
      <c r="D47" s="18" t="s">
        <v>122</v>
      </c>
      <c r="E47" s="18" t="s">
        <v>650</v>
      </c>
      <c r="F47" s="18" t="s">
        <v>167</v>
      </c>
      <c r="G47" s="18" t="s">
        <v>651</v>
      </c>
      <c r="H47" s="18" t="s">
        <v>338</v>
      </c>
      <c r="I47" s="18" t="s">
        <v>105</v>
      </c>
      <c r="J47" s="18" t="s">
        <v>651</v>
      </c>
      <c r="K47" s="18"/>
      <c r="L47" s="18"/>
      <c r="M47" s="18" t="s">
        <v>652</v>
      </c>
      <c r="N47" s="18" t="s">
        <v>653</v>
      </c>
      <c r="O47" s="18" t="s">
        <v>122</v>
      </c>
      <c r="P47" s="18" t="s">
        <v>112</v>
      </c>
      <c r="Q47" s="18" t="s">
        <v>195</v>
      </c>
      <c r="R47" s="18" t="s">
        <v>654</v>
      </c>
      <c r="S47" s="18" t="s">
        <v>115</v>
      </c>
      <c r="T47" s="18" t="s">
        <v>115</v>
      </c>
      <c r="U47" s="18"/>
      <c r="V47" s="18" t="s">
        <v>655</v>
      </c>
      <c r="W47" s="18"/>
      <c r="X47" s="18"/>
      <c r="Y47" s="18" t="s">
        <v>186</v>
      </c>
      <c r="Z47" s="19" t="s">
        <v>118</v>
      </c>
      <c r="AA47" s="19" t="s">
        <v>119</v>
      </c>
      <c r="AB47" s="18" t="s">
        <v>120</v>
      </c>
      <c r="AC47" s="20" t="s">
        <v>121</v>
      </c>
      <c r="AD47" s="21"/>
      <c r="AE47" s="20"/>
      <c r="AF47" s="20"/>
      <c r="AG47" s="20"/>
      <c r="AH47" s="21" t="str">
        <f aca="false">IF(AD47="","",WORKDAY(AD47,5))</f>
        <v/>
      </c>
      <c r="AI47" s="20"/>
      <c r="AJ47" s="20"/>
    </row>
    <row r="48" customFormat="false" ht="23.85" hidden="false" customHeight="false" outlineLevel="0" collapsed="false">
      <c r="A48" s="26" t="s">
        <v>334</v>
      </c>
      <c r="B48" s="27" t="n">
        <v>47</v>
      </c>
      <c r="C48" s="17" t="n">
        <v>2</v>
      </c>
      <c r="D48" s="18" t="s">
        <v>135</v>
      </c>
      <c r="E48" s="18" t="s">
        <v>656</v>
      </c>
      <c r="F48" s="18" t="s">
        <v>167</v>
      </c>
      <c r="G48" s="18" t="s">
        <v>657</v>
      </c>
      <c r="H48" s="18"/>
      <c r="I48" s="18" t="s">
        <v>105</v>
      </c>
      <c r="J48" s="18" t="s">
        <v>658</v>
      </c>
      <c r="K48" s="18"/>
      <c r="L48" s="18"/>
      <c r="M48" s="18" t="s">
        <v>659</v>
      </c>
      <c r="N48" s="18" t="s">
        <v>660</v>
      </c>
      <c r="O48" s="18" t="s">
        <v>661</v>
      </c>
      <c r="P48" s="18" t="s">
        <v>662</v>
      </c>
      <c r="Q48" s="18" t="s">
        <v>663</v>
      </c>
      <c r="R48" s="18" t="s">
        <v>664</v>
      </c>
      <c r="S48" s="18" t="s">
        <v>115</v>
      </c>
      <c r="T48" s="18" t="s">
        <v>115</v>
      </c>
      <c r="U48" s="18"/>
      <c r="V48" s="18" t="s">
        <v>665</v>
      </c>
      <c r="W48" s="18" t="s">
        <v>666</v>
      </c>
      <c r="X48" s="18" t="s">
        <v>667</v>
      </c>
      <c r="Y48" s="18" t="s">
        <v>668</v>
      </c>
      <c r="Z48" s="19" t="s">
        <v>118</v>
      </c>
      <c r="AA48" s="19" t="s">
        <v>119</v>
      </c>
      <c r="AB48" s="18" t="s">
        <v>149</v>
      </c>
      <c r="AC48" s="20" t="s">
        <v>121</v>
      </c>
      <c r="AD48" s="21"/>
      <c r="AE48" s="20"/>
      <c r="AF48" s="20"/>
      <c r="AG48" s="20"/>
      <c r="AH48" s="21" t="str">
        <f aca="false">IF(AD48="","",WORKDAY(AD48,5))</f>
        <v/>
      </c>
      <c r="AI48" s="20"/>
      <c r="AJ48" s="20"/>
    </row>
    <row r="49" customFormat="false" ht="35.05" hidden="false" customHeight="false" outlineLevel="0" collapsed="false">
      <c r="A49" s="26" t="s">
        <v>334</v>
      </c>
      <c r="B49" s="27" t="n">
        <v>48</v>
      </c>
      <c r="C49" s="17" t="n">
        <v>2</v>
      </c>
      <c r="D49" s="18" t="s">
        <v>379</v>
      </c>
      <c r="E49" s="22" t="s">
        <v>669</v>
      </c>
      <c r="F49" s="19" t="s">
        <v>670</v>
      </c>
      <c r="G49" s="18" t="s">
        <v>671</v>
      </c>
      <c r="H49" s="18"/>
      <c r="I49" s="18" t="s">
        <v>105</v>
      </c>
      <c r="J49" s="18" t="s">
        <v>671</v>
      </c>
      <c r="K49" s="18"/>
      <c r="L49" s="18"/>
      <c r="M49" s="18" t="s">
        <v>672</v>
      </c>
      <c r="N49" s="18" t="s">
        <v>673</v>
      </c>
      <c r="O49" s="18" t="s">
        <v>674</v>
      </c>
      <c r="P49" s="18" t="s">
        <v>112</v>
      </c>
      <c r="Q49" s="18" t="s">
        <v>330</v>
      </c>
      <c r="R49" s="18" t="s">
        <v>675</v>
      </c>
      <c r="S49" s="18" t="s">
        <v>115</v>
      </c>
      <c r="T49" s="18" t="s">
        <v>115</v>
      </c>
      <c r="U49" s="18"/>
      <c r="V49" s="18" t="s">
        <v>676</v>
      </c>
      <c r="W49" s="18"/>
      <c r="X49" s="18"/>
      <c r="Y49" s="18" t="s">
        <v>677</v>
      </c>
      <c r="Z49" s="19" t="s">
        <v>118</v>
      </c>
      <c r="AA49" s="19" t="s">
        <v>119</v>
      </c>
      <c r="AB49" s="18" t="s">
        <v>176</v>
      </c>
      <c r="AC49" s="20" t="s">
        <v>121</v>
      </c>
      <c r="AD49" s="21"/>
      <c r="AE49" s="20"/>
      <c r="AF49" s="20"/>
      <c r="AG49" s="20"/>
      <c r="AH49" s="21" t="str">
        <f aca="false">IF(AD49="","",WORKDAY(AD49,5))</f>
        <v/>
      </c>
      <c r="AI49" s="20"/>
      <c r="AJ49" s="20"/>
    </row>
    <row r="50" customFormat="false" ht="23.85" hidden="false" customHeight="false" outlineLevel="0" collapsed="false">
      <c r="A50" s="26" t="s">
        <v>334</v>
      </c>
      <c r="B50" s="27" t="n">
        <v>49</v>
      </c>
      <c r="C50" s="17" t="n">
        <v>2</v>
      </c>
      <c r="D50" s="18" t="s">
        <v>236</v>
      </c>
      <c r="E50" s="18" t="s">
        <v>678</v>
      </c>
      <c r="F50" s="18" t="s">
        <v>167</v>
      </c>
      <c r="G50" s="18" t="s">
        <v>679</v>
      </c>
      <c r="H50" s="18"/>
      <c r="I50" s="18" t="s">
        <v>105</v>
      </c>
      <c r="J50" s="18"/>
      <c r="K50" s="18"/>
      <c r="L50" s="18"/>
      <c r="M50" s="18" t="s">
        <v>680</v>
      </c>
      <c r="N50" s="18" t="s">
        <v>681</v>
      </c>
      <c r="O50" s="18" t="s">
        <v>483</v>
      </c>
      <c r="P50" s="18" t="s">
        <v>112</v>
      </c>
      <c r="Q50" s="18" t="s">
        <v>195</v>
      </c>
      <c r="R50" s="18" t="s">
        <v>145</v>
      </c>
      <c r="S50" s="18" t="s">
        <v>115</v>
      </c>
      <c r="T50" s="18" t="s">
        <v>115</v>
      </c>
      <c r="U50" s="18"/>
      <c r="V50" s="18" t="s">
        <v>682</v>
      </c>
      <c r="W50" s="18"/>
      <c r="X50" s="18"/>
      <c r="Y50" s="18" t="s">
        <v>683</v>
      </c>
      <c r="Z50" s="19" t="s">
        <v>118</v>
      </c>
      <c r="AA50" s="19" t="s">
        <v>119</v>
      </c>
      <c r="AB50" s="18" t="s">
        <v>149</v>
      </c>
      <c r="AC50" s="20" t="s">
        <v>121</v>
      </c>
      <c r="AD50" s="21"/>
      <c r="AE50" s="20"/>
      <c r="AF50" s="20"/>
      <c r="AG50" s="20"/>
      <c r="AH50" s="21" t="str">
        <f aca="false">IF(AD50="","",WORKDAY(AD50,5))</f>
        <v/>
      </c>
      <c r="AI50" s="20"/>
      <c r="AJ50" s="20"/>
    </row>
    <row r="51" customFormat="false" ht="23.85" hidden="false" customHeight="false" outlineLevel="0" collapsed="false">
      <c r="A51" s="8" t="s">
        <v>684</v>
      </c>
      <c r="B51" s="9" t="n">
        <v>50</v>
      </c>
      <c r="C51" s="10" t="n">
        <v>1</v>
      </c>
      <c r="D51" s="11" t="s">
        <v>122</v>
      </c>
      <c r="E51" s="11" t="s">
        <v>685</v>
      </c>
      <c r="F51" s="12" t="s">
        <v>686</v>
      </c>
      <c r="G51" s="11" t="s">
        <v>684</v>
      </c>
      <c r="H51" s="11"/>
      <c r="I51" s="11" t="s">
        <v>105</v>
      </c>
      <c r="J51" s="11"/>
      <c r="K51" s="11"/>
      <c r="L51" s="11"/>
      <c r="M51" s="11" t="s">
        <v>687</v>
      </c>
      <c r="N51" s="11" t="s">
        <v>688</v>
      </c>
      <c r="O51" s="11" t="s">
        <v>689</v>
      </c>
      <c r="P51" s="11" t="s">
        <v>276</v>
      </c>
      <c r="Q51" s="11" t="s">
        <v>690</v>
      </c>
      <c r="R51" s="11" t="s">
        <v>691</v>
      </c>
      <c r="S51" s="11" t="s">
        <v>692</v>
      </c>
      <c r="T51" s="11" t="s">
        <v>320</v>
      </c>
      <c r="U51" s="11"/>
      <c r="V51" s="11" t="s">
        <v>693</v>
      </c>
      <c r="W51" s="11" t="s">
        <v>694</v>
      </c>
      <c r="X51" s="11" t="s">
        <v>695</v>
      </c>
      <c r="Y51" s="11" t="s">
        <v>175</v>
      </c>
      <c r="Z51" s="12" t="s">
        <v>118</v>
      </c>
      <c r="AA51" s="12" t="s">
        <v>119</v>
      </c>
      <c r="AB51" s="11" t="s">
        <v>120</v>
      </c>
      <c r="AC51" s="13" t="s">
        <v>121</v>
      </c>
      <c r="AD51" s="14"/>
      <c r="AE51" s="13"/>
      <c r="AF51" s="13"/>
      <c r="AG51" s="13"/>
      <c r="AH51" s="14" t="str">
        <f aca="false">IF(AD51="","",WORKDAY(AD51,5))</f>
        <v/>
      </c>
      <c r="AI51" s="13"/>
      <c r="AJ51" s="13"/>
    </row>
    <row r="52" customFormat="false" ht="23.85" hidden="false" customHeight="false" outlineLevel="0" collapsed="false">
      <c r="A52" s="23" t="s">
        <v>696</v>
      </c>
      <c r="B52" s="24" t="n">
        <v>51</v>
      </c>
      <c r="C52" s="10" t="n">
        <v>3</v>
      </c>
      <c r="D52" s="11" t="s">
        <v>101</v>
      </c>
      <c r="E52" s="25" t="s">
        <v>697</v>
      </c>
      <c r="F52" s="12" t="s">
        <v>698</v>
      </c>
      <c r="G52" s="11" t="s">
        <v>699</v>
      </c>
      <c r="H52" s="11"/>
      <c r="I52" s="11" t="s">
        <v>105</v>
      </c>
      <c r="J52" s="11" t="s">
        <v>700</v>
      </c>
      <c r="K52" s="11" t="s">
        <v>701</v>
      </c>
      <c r="L52" s="11" t="s">
        <v>702</v>
      </c>
      <c r="M52" s="11" t="s">
        <v>157</v>
      </c>
      <c r="N52" s="11" t="s">
        <v>703</v>
      </c>
      <c r="O52" s="11" t="s">
        <v>413</v>
      </c>
      <c r="P52" s="11" t="s">
        <v>112</v>
      </c>
      <c r="Q52" s="11" t="s">
        <v>704</v>
      </c>
      <c r="R52" s="11" t="s">
        <v>705</v>
      </c>
      <c r="S52" s="11" t="s">
        <v>115</v>
      </c>
      <c r="T52" s="11" t="s">
        <v>115</v>
      </c>
      <c r="U52" s="11"/>
      <c r="V52" s="11" t="s">
        <v>706</v>
      </c>
      <c r="W52" s="11"/>
      <c r="X52" s="11"/>
      <c r="Y52" s="11" t="s">
        <v>117</v>
      </c>
      <c r="Z52" s="12" t="s">
        <v>118</v>
      </c>
      <c r="AA52" s="12" t="s">
        <v>119</v>
      </c>
      <c r="AB52" s="11" t="s">
        <v>176</v>
      </c>
      <c r="AC52" s="13" t="s">
        <v>121</v>
      </c>
      <c r="AD52" s="14"/>
      <c r="AE52" s="13"/>
      <c r="AF52" s="13"/>
      <c r="AG52" s="13"/>
      <c r="AH52" s="14" t="str">
        <f aca="false">IF(AD52="","",WORKDAY(AD52,5))</f>
        <v/>
      </c>
      <c r="AI52" s="13"/>
      <c r="AJ52" s="13"/>
    </row>
    <row r="53" customFormat="false" ht="23.85" hidden="false" customHeight="false" outlineLevel="0" collapsed="false">
      <c r="A53" s="26" t="s">
        <v>696</v>
      </c>
      <c r="B53" s="27" t="n">
        <v>52</v>
      </c>
      <c r="C53" s="17" t="n">
        <v>2</v>
      </c>
      <c r="D53" s="18" t="s">
        <v>296</v>
      </c>
      <c r="E53" s="18" t="s">
        <v>707</v>
      </c>
      <c r="F53" s="19" t="s">
        <v>708</v>
      </c>
      <c r="G53" s="18" t="s">
        <v>709</v>
      </c>
      <c r="H53" s="18"/>
      <c r="I53" s="18" t="s">
        <v>105</v>
      </c>
      <c r="J53" s="18" t="s">
        <v>710</v>
      </c>
      <c r="K53" s="18" t="s">
        <v>711</v>
      </c>
      <c r="L53" s="18"/>
      <c r="M53" s="18" t="s">
        <v>712</v>
      </c>
      <c r="N53" s="18" t="s">
        <v>713</v>
      </c>
      <c r="O53" s="18" t="s">
        <v>714</v>
      </c>
      <c r="P53" s="18" t="s">
        <v>112</v>
      </c>
      <c r="Q53" s="18" t="s">
        <v>715</v>
      </c>
      <c r="R53" s="18" t="s">
        <v>145</v>
      </c>
      <c r="S53" s="18" t="s">
        <v>115</v>
      </c>
      <c r="T53" s="18" t="s">
        <v>115</v>
      </c>
      <c r="U53" s="18"/>
      <c r="V53" s="18" t="s">
        <v>716</v>
      </c>
      <c r="W53" s="18"/>
      <c r="X53" s="18" t="s">
        <v>717</v>
      </c>
      <c r="Y53" s="18" t="s">
        <v>718</v>
      </c>
      <c r="Z53" s="19" t="s">
        <v>118</v>
      </c>
      <c r="AA53" s="19" t="s">
        <v>119</v>
      </c>
      <c r="AB53" s="18" t="s">
        <v>149</v>
      </c>
      <c r="AC53" s="20" t="s">
        <v>121</v>
      </c>
      <c r="AD53" s="21"/>
      <c r="AE53" s="20"/>
      <c r="AF53" s="20"/>
      <c r="AG53" s="20"/>
      <c r="AH53" s="21" t="str">
        <f aca="false">IF(AD53="","",WORKDAY(AD53,5))</f>
        <v/>
      </c>
      <c r="AI53" s="20"/>
      <c r="AJ53" s="20"/>
    </row>
    <row r="54" customFormat="false" ht="23.85" hidden="false" customHeight="false" outlineLevel="0" collapsed="false">
      <c r="A54" s="26" t="s">
        <v>696</v>
      </c>
      <c r="B54" s="27" t="n">
        <v>53</v>
      </c>
      <c r="C54" s="17" t="n">
        <v>2</v>
      </c>
      <c r="D54" s="18" t="s">
        <v>135</v>
      </c>
      <c r="E54" s="18" t="s">
        <v>719</v>
      </c>
      <c r="F54" s="19" t="s">
        <v>720</v>
      </c>
      <c r="G54" s="18" t="s">
        <v>721</v>
      </c>
      <c r="H54" s="18"/>
      <c r="I54" s="18" t="s">
        <v>105</v>
      </c>
      <c r="J54" s="18" t="s">
        <v>722</v>
      </c>
      <c r="K54" s="18"/>
      <c r="L54" s="18"/>
      <c r="M54" s="18" t="s">
        <v>723</v>
      </c>
      <c r="N54" s="18" t="s">
        <v>724</v>
      </c>
      <c r="O54" s="18" t="s">
        <v>725</v>
      </c>
      <c r="P54" s="18" t="s">
        <v>112</v>
      </c>
      <c r="Q54" s="18"/>
      <c r="R54" s="18" t="s">
        <v>145</v>
      </c>
      <c r="S54" s="18" t="s">
        <v>115</v>
      </c>
      <c r="T54" s="18" t="s">
        <v>115</v>
      </c>
      <c r="U54" s="18"/>
      <c r="V54" s="18" t="s">
        <v>726</v>
      </c>
      <c r="W54" s="18"/>
      <c r="X54" s="18"/>
      <c r="Y54" s="18" t="s">
        <v>727</v>
      </c>
      <c r="Z54" s="19" t="s">
        <v>118</v>
      </c>
      <c r="AA54" s="19" t="s">
        <v>119</v>
      </c>
      <c r="AB54" s="18" t="s">
        <v>149</v>
      </c>
      <c r="AC54" s="20" t="s">
        <v>121</v>
      </c>
      <c r="AD54" s="21"/>
      <c r="AE54" s="20"/>
      <c r="AF54" s="20"/>
      <c r="AG54" s="20"/>
      <c r="AH54" s="21" t="str">
        <f aca="false">IF(AD54="","",WORKDAY(AD54,5))</f>
        <v/>
      </c>
      <c r="AI54" s="20"/>
      <c r="AJ54" s="20"/>
    </row>
    <row r="55" customFormat="false" ht="23.85" hidden="false" customHeight="false" outlineLevel="0" collapsed="false">
      <c r="A55" s="26" t="s">
        <v>696</v>
      </c>
      <c r="B55" s="27" t="n">
        <v>54</v>
      </c>
      <c r="C55" s="17" t="n">
        <v>2</v>
      </c>
      <c r="D55" s="18" t="s">
        <v>135</v>
      </c>
      <c r="E55" s="18" t="s">
        <v>728</v>
      </c>
      <c r="F55" s="19" t="s">
        <v>729</v>
      </c>
      <c r="G55" s="18" t="s">
        <v>730</v>
      </c>
      <c r="H55" s="18"/>
      <c r="I55" s="18" t="s">
        <v>105</v>
      </c>
      <c r="J55" s="18" t="s">
        <v>731</v>
      </c>
      <c r="K55" s="18" t="s">
        <v>732</v>
      </c>
      <c r="L55" s="18" t="s">
        <v>733</v>
      </c>
      <c r="M55" s="18" t="s">
        <v>205</v>
      </c>
      <c r="N55" s="18" t="s">
        <v>734</v>
      </c>
      <c r="O55" s="18" t="s">
        <v>725</v>
      </c>
      <c r="P55" s="18" t="s">
        <v>112</v>
      </c>
      <c r="Q55" s="18" t="s">
        <v>735</v>
      </c>
      <c r="R55" s="18" t="s">
        <v>145</v>
      </c>
      <c r="S55" s="18" t="s">
        <v>115</v>
      </c>
      <c r="T55" s="18" t="s">
        <v>115</v>
      </c>
      <c r="U55" s="18"/>
      <c r="V55" s="18" t="s">
        <v>736</v>
      </c>
      <c r="W55" s="18"/>
      <c r="X55" s="18"/>
      <c r="Y55" s="18" t="s">
        <v>737</v>
      </c>
      <c r="Z55" s="19" t="s">
        <v>118</v>
      </c>
      <c r="AA55" s="19" t="s">
        <v>119</v>
      </c>
      <c r="AB55" s="18" t="s">
        <v>149</v>
      </c>
      <c r="AC55" s="20" t="s">
        <v>121</v>
      </c>
      <c r="AD55" s="21"/>
      <c r="AE55" s="20"/>
      <c r="AF55" s="20"/>
      <c r="AG55" s="20"/>
      <c r="AH55" s="21" t="str">
        <f aca="false">IF(AD55="","",WORKDAY(AD55,5))</f>
        <v/>
      </c>
      <c r="AI55" s="20"/>
      <c r="AJ55" s="20"/>
    </row>
    <row r="56" customFormat="false" ht="23.85" hidden="false" customHeight="false" outlineLevel="0" collapsed="false">
      <c r="A56" s="26" t="s">
        <v>696</v>
      </c>
      <c r="B56" s="27" t="n">
        <v>55</v>
      </c>
      <c r="C56" s="17" t="n">
        <v>2</v>
      </c>
      <c r="D56" s="18" t="s">
        <v>236</v>
      </c>
      <c r="E56" s="18" t="s">
        <v>738</v>
      </c>
      <c r="F56" s="18" t="s">
        <v>167</v>
      </c>
      <c r="G56" s="18" t="s">
        <v>696</v>
      </c>
      <c r="H56" s="18"/>
      <c r="I56" s="18" t="s">
        <v>105</v>
      </c>
      <c r="J56" s="18"/>
      <c r="K56" s="18"/>
      <c r="L56" s="18"/>
      <c r="M56" s="18" t="s">
        <v>739</v>
      </c>
      <c r="N56" s="18" t="s">
        <v>740</v>
      </c>
      <c r="O56" s="18" t="s">
        <v>741</v>
      </c>
      <c r="P56" s="18" t="s">
        <v>112</v>
      </c>
      <c r="Q56" s="18" t="s">
        <v>243</v>
      </c>
      <c r="R56" s="18" t="s">
        <v>742</v>
      </c>
      <c r="S56" s="18" t="s">
        <v>115</v>
      </c>
      <c r="T56" s="18" t="s">
        <v>115</v>
      </c>
      <c r="U56" s="18"/>
      <c r="V56" s="18" t="s">
        <v>743</v>
      </c>
      <c r="W56" s="18" t="s">
        <v>744</v>
      </c>
      <c r="X56" s="18"/>
      <c r="Y56" s="18" t="s">
        <v>745</v>
      </c>
      <c r="Z56" s="19" t="s">
        <v>118</v>
      </c>
      <c r="AA56" s="19" t="s">
        <v>119</v>
      </c>
      <c r="AB56" s="18" t="s">
        <v>120</v>
      </c>
      <c r="AC56" s="20" t="s">
        <v>121</v>
      </c>
      <c r="AD56" s="21"/>
      <c r="AE56" s="20"/>
      <c r="AF56" s="20"/>
      <c r="AG56" s="20"/>
      <c r="AH56" s="21" t="str">
        <f aca="false">IF(AD56="","",WORKDAY(AD56,5))</f>
        <v/>
      </c>
      <c r="AI56" s="20"/>
      <c r="AJ56" s="20"/>
    </row>
    <row r="57" customFormat="false" ht="23.85" hidden="false" customHeight="false" outlineLevel="0" collapsed="false">
      <c r="A57" s="8" t="s">
        <v>746</v>
      </c>
      <c r="B57" s="9" t="n">
        <v>56</v>
      </c>
      <c r="C57" s="10" t="n">
        <v>2</v>
      </c>
      <c r="D57" s="11" t="s">
        <v>364</v>
      </c>
      <c r="E57" s="11" t="s">
        <v>747</v>
      </c>
      <c r="F57" s="12" t="s">
        <v>748</v>
      </c>
      <c r="G57" s="11"/>
      <c r="H57" s="11"/>
      <c r="I57" s="11" t="s">
        <v>105</v>
      </c>
      <c r="J57" s="11"/>
      <c r="K57" s="11"/>
      <c r="L57" s="11"/>
      <c r="M57" s="11" t="s">
        <v>749</v>
      </c>
      <c r="N57" s="11" t="s">
        <v>750</v>
      </c>
      <c r="O57" s="11" t="s">
        <v>751</v>
      </c>
      <c r="P57" s="11" t="s">
        <v>112</v>
      </c>
      <c r="Q57" s="11"/>
      <c r="R57" s="11" t="s">
        <v>114</v>
      </c>
      <c r="S57" s="11" t="s">
        <v>115</v>
      </c>
      <c r="T57" s="11" t="s">
        <v>115</v>
      </c>
      <c r="U57" s="11"/>
      <c r="V57" s="11" t="s">
        <v>752</v>
      </c>
      <c r="W57" s="11"/>
      <c r="X57" s="11" t="s">
        <v>753</v>
      </c>
      <c r="Y57" s="11" t="s">
        <v>754</v>
      </c>
      <c r="Z57" s="12" t="s">
        <v>118</v>
      </c>
      <c r="AA57" s="12" t="s">
        <v>119</v>
      </c>
      <c r="AB57" s="11" t="s">
        <v>120</v>
      </c>
      <c r="AC57" s="13" t="s">
        <v>121</v>
      </c>
      <c r="AD57" s="14"/>
      <c r="AE57" s="13"/>
      <c r="AF57" s="13"/>
      <c r="AG57" s="13"/>
      <c r="AH57" s="14" t="str">
        <f aca="false">IF(AD57="","",WORKDAY(AD57,5))</f>
        <v/>
      </c>
      <c r="AI57" s="13"/>
      <c r="AJ57" s="13"/>
    </row>
    <row r="58" customFormat="false" ht="23.85" hidden="false" customHeight="false" outlineLevel="0" collapsed="false">
      <c r="A58" s="23" t="s">
        <v>755</v>
      </c>
      <c r="B58" s="24" t="n">
        <v>57</v>
      </c>
      <c r="C58" s="10" t="n">
        <v>4</v>
      </c>
      <c r="D58" s="11" t="s">
        <v>188</v>
      </c>
      <c r="E58" s="25" t="s">
        <v>756</v>
      </c>
      <c r="F58" s="12" t="s">
        <v>757</v>
      </c>
      <c r="G58" s="11" t="s">
        <v>758</v>
      </c>
      <c r="H58" s="11"/>
      <c r="I58" s="11" t="s">
        <v>105</v>
      </c>
      <c r="J58" s="11" t="s">
        <v>759</v>
      </c>
      <c r="K58" s="11"/>
      <c r="L58" s="11" t="s">
        <v>760</v>
      </c>
      <c r="M58" s="11" t="s">
        <v>761</v>
      </c>
      <c r="N58" s="11" t="s">
        <v>762</v>
      </c>
      <c r="O58" s="11" t="s">
        <v>763</v>
      </c>
      <c r="P58" s="11" t="s">
        <v>112</v>
      </c>
      <c r="Q58" s="11" t="s">
        <v>704</v>
      </c>
      <c r="R58" s="11" t="s">
        <v>764</v>
      </c>
      <c r="S58" s="11" t="s">
        <v>115</v>
      </c>
      <c r="T58" s="11" t="s">
        <v>115</v>
      </c>
      <c r="U58" s="11"/>
      <c r="V58" s="11" t="s">
        <v>765</v>
      </c>
      <c r="W58" s="11" t="s">
        <v>429</v>
      </c>
      <c r="X58" s="11" t="s">
        <v>766</v>
      </c>
      <c r="Y58" s="11" t="s">
        <v>165</v>
      </c>
      <c r="Z58" s="12" t="s">
        <v>118</v>
      </c>
      <c r="AA58" s="12" t="s">
        <v>119</v>
      </c>
      <c r="AB58" s="11" t="s">
        <v>176</v>
      </c>
      <c r="AC58" s="13" t="s">
        <v>121</v>
      </c>
      <c r="AD58" s="14"/>
      <c r="AE58" s="13"/>
      <c r="AF58" s="13"/>
      <c r="AG58" s="13"/>
      <c r="AH58" s="14" t="str">
        <f aca="false">IF(AD58="","",WORKDAY(AD58,5))</f>
        <v/>
      </c>
      <c r="AI58" s="13"/>
      <c r="AJ58" s="13"/>
    </row>
    <row r="59" customFormat="false" ht="23.85" hidden="false" customHeight="false" outlineLevel="0" collapsed="false">
      <c r="A59" s="26" t="s">
        <v>755</v>
      </c>
      <c r="B59" s="27" t="n">
        <v>58</v>
      </c>
      <c r="C59" s="17" t="n">
        <v>4</v>
      </c>
      <c r="D59" s="18" t="s">
        <v>767</v>
      </c>
      <c r="E59" s="18" t="s">
        <v>768</v>
      </c>
      <c r="F59" s="19" t="s">
        <v>769</v>
      </c>
      <c r="G59" s="18" t="s">
        <v>770</v>
      </c>
      <c r="H59" s="18"/>
      <c r="I59" s="18" t="s">
        <v>105</v>
      </c>
      <c r="J59" s="18" t="s">
        <v>771</v>
      </c>
      <c r="K59" s="18"/>
      <c r="L59" s="18" t="s">
        <v>772</v>
      </c>
      <c r="M59" s="18" t="s">
        <v>773</v>
      </c>
      <c r="N59" s="18" t="s">
        <v>774</v>
      </c>
      <c r="O59" s="18" t="s">
        <v>775</v>
      </c>
      <c r="P59" s="18" t="s">
        <v>776</v>
      </c>
      <c r="Q59" s="18" t="s">
        <v>330</v>
      </c>
      <c r="R59" s="18" t="s">
        <v>777</v>
      </c>
      <c r="S59" s="18" t="s">
        <v>115</v>
      </c>
      <c r="T59" s="18" t="s">
        <v>115</v>
      </c>
      <c r="U59" s="18"/>
      <c r="V59" s="18" t="s">
        <v>778</v>
      </c>
      <c r="W59" s="18" t="s">
        <v>779</v>
      </c>
      <c r="X59" s="18"/>
      <c r="Y59" s="18" t="s">
        <v>780</v>
      </c>
      <c r="Z59" s="19" t="s">
        <v>118</v>
      </c>
      <c r="AA59" s="19" t="s">
        <v>119</v>
      </c>
      <c r="AB59" s="18" t="s">
        <v>149</v>
      </c>
      <c r="AC59" s="20" t="s">
        <v>121</v>
      </c>
      <c r="AD59" s="21"/>
      <c r="AE59" s="20"/>
      <c r="AF59" s="20"/>
      <c r="AG59" s="20"/>
      <c r="AH59" s="21" t="str">
        <f aca="false">IF(AD59="","",WORKDAY(AD59,5))</f>
        <v/>
      </c>
      <c r="AI59" s="20"/>
      <c r="AJ59" s="20"/>
    </row>
    <row r="60" customFormat="false" ht="35.05" hidden="false" customHeight="false" outlineLevel="0" collapsed="false">
      <c r="A60" s="26" t="s">
        <v>755</v>
      </c>
      <c r="B60" s="27" t="n">
        <v>59</v>
      </c>
      <c r="C60" s="17" t="n">
        <v>4</v>
      </c>
      <c r="D60" s="18" t="s">
        <v>379</v>
      </c>
      <c r="E60" s="18" t="s">
        <v>781</v>
      </c>
      <c r="F60" s="19" t="s">
        <v>782</v>
      </c>
      <c r="G60" s="18" t="s">
        <v>783</v>
      </c>
      <c r="H60" s="18"/>
      <c r="I60" s="18" t="s">
        <v>105</v>
      </c>
      <c r="J60" s="18" t="s">
        <v>784</v>
      </c>
      <c r="K60" s="18" t="s">
        <v>785</v>
      </c>
      <c r="L60" s="18"/>
      <c r="M60" s="18" t="s">
        <v>786</v>
      </c>
      <c r="N60" s="18" t="s">
        <v>787</v>
      </c>
      <c r="O60" s="18" t="s">
        <v>788</v>
      </c>
      <c r="P60" s="18" t="s">
        <v>112</v>
      </c>
      <c r="Q60" s="18" t="s">
        <v>789</v>
      </c>
      <c r="R60" s="18" t="s">
        <v>790</v>
      </c>
      <c r="S60" s="18" t="s">
        <v>619</v>
      </c>
      <c r="T60" s="18" t="s">
        <v>115</v>
      </c>
      <c r="U60" s="18"/>
      <c r="V60" s="18" t="s">
        <v>791</v>
      </c>
      <c r="W60" s="18" t="s">
        <v>792</v>
      </c>
      <c r="X60" s="18" t="s">
        <v>793</v>
      </c>
      <c r="Y60" s="18" t="s">
        <v>794</v>
      </c>
      <c r="Z60" s="19" t="s">
        <v>118</v>
      </c>
      <c r="AA60" s="19" t="s">
        <v>119</v>
      </c>
      <c r="AB60" s="18" t="s">
        <v>120</v>
      </c>
      <c r="AC60" s="20" t="s">
        <v>121</v>
      </c>
      <c r="AD60" s="21"/>
      <c r="AE60" s="20"/>
      <c r="AF60" s="20"/>
      <c r="AG60" s="20"/>
      <c r="AH60" s="21" t="str">
        <f aca="false">IF(AD60="","",WORKDAY(AD60,5))</f>
        <v/>
      </c>
      <c r="AI60" s="20"/>
      <c r="AJ60" s="20"/>
    </row>
    <row r="61" customFormat="false" ht="35.05" hidden="false" customHeight="false" outlineLevel="0" collapsed="false">
      <c r="A61" s="26" t="s">
        <v>755</v>
      </c>
      <c r="B61" s="27" t="n">
        <v>60</v>
      </c>
      <c r="C61" s="17" t="n">
        <v>4</v>
      </c>
      <c r="D61" s="18" t="s">
        <v>379</v>
      </c>
      <c r="E61" s="18" t="s">
        <v>795</v>
      </c>
      <c r="F61" s="19" t="s">
        <v>796</v>
      </c>
      <c r="G61" s="18" t="s">
        <v>797</v>
      </c>
      <c r="H61" s="18"/>
      <c r="I61" s="18" t="s">
        <v>105</v>
      </c>
      <c r="J61" s="18" t="s">
        <v>798</v>
      </c>
      <c r="K61" s="18"/>
      <c r="L61" s="18" t="s">
        <v>127</v>
      </c>
      <c r="M61" s="18" t="s">
        <v>799</v>
      </c>
      <c r="N61" s="18" t="s">
        <v>800</v>
      </c>
      <c r="O61" s="18" t="s">
        <v>775</v>
      </c>
      <c r="P61" s="18" t="s">
        <v>801</v>
      </c>
      <c r="Q61" s="18" t="s">
        <v>802</v>
      </c>
      <c r="R61" s="18" t="s">
        <v>803</v>
      </c>
      <c r="S61" s="18" t="s">
        <v>115</v>
      </c>
      <c r="T61" s="18" t="s">
        <v>320</v>
      </c>
      <c r="U61" s="18"/>
      <c r="V61" s="18" t="s">
        <v>804</v>
      </c>
      <c r="W61" s="18" t="s">
        <v>805</v>
      </c>
      <c r="X61" s="18" t="s">
        <v>806</v>
      </c>
      <c r="Y61" s="18" t="s">
        <v>165</v>
      </c>
      <c r="Z61" s="19" t="s">
        <v>118</v>
      </c>
      <c r="AA61" s="19" t="s">
        <v>119</v>
      </c>
      <c r="AB61" s="18" t="s">
        <v>120</v>
      </c>
      <c r="AC61" s="20" t="s">
        <v>121</v>
      </c>
      <c r="AD61" s="21"/>
      <c r="AE61" s="20"/>
      <c r="AF61" s="20"/>
      <c r="AG61" s="20"/>
      <c r="AH61" s="21" t="str">
        <f aca="false">IF(AD61="","",WORKDAY(AD61,5))</f>
        <v/>
      </c>
      <c r="AI61" s="20"/>
      <c r="AJ61" s="20"/>
    </row>
    <row r="62" customFormat="false" ht="35.05" hidden="false" customHeight="false" outlineLevel="0" collapsed="false">
      <c r="A62" s="26" t="s">
        <v>755</v>
      </c>
      <c r="B62" s="27" t="n">
        <v>61</v>
      </c>
      <c r="C62" s="17" t="n">
        <v>4</v>
      </c>
      <c r="D62" s="18" t="s">
        <v>150</v>
      </c>
      <c r="E62" s="22" t="s">
        <v>807</v>
      </c>
      <c r="F62" s="19" t="s">
        <v>808</v>
      </c>
      <c r="G62" s="18" t="s">
        <v>797</v>
      </c>
      <c r="H62" s="18"/>
      <c r="I62" s="18" t="s">
        <v>105</v>
      </c>
      <c r="J62" s="18" t="s">
        <v>809</v>
      </c>
      <c r="K62" s="18" t="s">
        <v>810</v>
      </c>
      <c r="L62" s="18" t="s">
        <v>811</v>
      </c>
      <c r="M62" s="18" t="s">
        <v>812</v>
      </c>
      <c r="N62" s="18" t="s">
        <v>813</v>
      </c>
      <c r="O62" s="18" t="s">
        <v>814</v>
      </c>
      <c r="P62" s="18" t="s">
        <v>112</v>
      </c>
      <c r="Q62" s="18" t="s">
        <v>815</v>
      </c>
      <c r="R62" s="18" t="s">
        <v>816</v>
      </c>
      <c r="S62" s="18" t="s">
        <v>115</v>
      </c>
      <c r="T62" s="18" t="s">
        <v>115</v>
      </c>
      <c r="U62" s="18" t="s">
        <v>817</v>
      </c>
      <c r="V62" s="18" t="s">
        <v>818</v>
      </c>
      <c r="W62" s="18" t="s">
        <v>819</v>
      </c>
      <c r="X62" s="18"/>
      <c r="Y62" s="18" t="s">
        <v>820</v>
      </c>
      <c r="Z62" s="19" t="s">
        <v>118</v>
      </c>
      <c r="AA62" s="19" t="s">
        <v>119</v>
      </c>
      <c r="AB62" s="18" t="s">
        <v>176</v>
      </c>
      <c r="AC62" s="20" t="s">
        <v>121</v>
      </c>
      <c r="AD62" s="21"/>
      <c r="AE62" s="20"/>
      <c r="AF62" s="20"/>
      <c r="AG62" s="20"/>
      <c r="AH62" s="21" t="str">
        <f aca="false">IF(AD62="","",WORKDAY(AD62,5))</f>
        <v/>
      </c>
      <c r="AI62" s="20"/>
      <c r="AJ62" s="20"/>
    </row>
    <row r="63" customFormat="false" ht="23.85" hidden="false" customHeight="false" outlineLevel="0" collapsed="false">
      <c r="A63" s="26" t="s">
        <v>755</v>
      </c>
      <c r="B63" s="27" t="n">
        <v>62</v>
      </c>
      <c r="C63" s="17" t="n">
        <v>4</v>
      </c>
      <c r="D63" s="18" t="s">
        <v>236</v>
      </c>
      <c r="E63" s="18" t="s">
        <v>821</v>
      </c>
      <c r="F63" s="19" t="s">
        <v>822</v>
      </c>
      <c r="G63" s="18" t="s">
        <v>823</v>
      </c>
      <c r="H63" s="18"/>
      <c r="I63" s="18" t="s">
        <v>105</v>
      </c>
      <c r="J63" s="18" t="s">
        <v>823</v>
      </c>
      <c r="K63" s="18"/>
      <c r="L63" s="18" t="s">
        <v>824</v>
      </c>
      <c r="M63" s="18" t="s">
        <v>825</v>
      </c>
      <c r="N63" s="18" t="s">
        <v>826</v>
      </c>
      <c r="O63" s="18" t="s">
        <v>827</v>
      </c>
      <c r="P63" s="18" t="s">
        <v>828</v>
      </c>
      <c r="Q63" s="18" t="s">
        <v>829</v>
      </c>
      <c r="R63" s="18" t="s">
        <v>830</v>
      </c>
      <c r="S63" s="18" t="s">
        <v>115</v>
      </c>
      <c r="T63" s="18" t="s">
        <v>320</v>
      </c>
      <c r="U63" s="18"/>
      <c r="V63" s="18" t="s">
        <v>831</v>
      </c>
      <c r="W63" s="18" t="s">
        <v>832</v>
      </c>
      <c r="X63" s="18"/>
      <c r="Y63" s="18" t="s">
        <v>464</v>
      </c>
      <c r="Z63" s="19" t="s">
        <v>118</v>
      </c>
      <c r="AA63" s="19" t="s">
        <v>119</v>
      </c>
      <c r="AB63" s="18" t="s">
        <v>120</v>
      </c>
      <c r="AC63" s="20" t="s">
        <v>121</v>
      </c>
      <c r="AD63" s="21"/>
      <c r="AE63" s="20"/>
      <c r="AF63" s="20"/>
      <c r="AG63" s="20"/>
      <c r="AH63" s="21" t="str">
        <f aca="false">IF(AD63="","",WORKDAY(AD63,5))</f>
        <v/>
      </c>
      <c r="AI63" s="20"/>
      <c r="AJ63" s="20"/>
    </row>
    <row r="64" customFormat="false" ht="23.85" hidden="false" customHeight="false" outlineLevel="0" collapsed="false">
      <c r="A64" s="26" t="s">
        <v>755</v>
      </c>
      <c r="B64" s="27" t="n">
        <v>63</v>
      </c>
      <c r="C64" s="17" t="n">
        <v>3</v>
      </c>
      <c r="D64" s="18" t="s">
        <v>122</v>
      </c>
      <c r="E64" s="18" t="s">
        <v>833</v>
      </c>
      <c r="F64" s="19" t="s">
        <v>834</v>
      </c>
      <c r="G64" s="18" t="s">
        <v>835</v>
      </c>
      <c r="H64" s="18"/>
      <c r="I64" s="18" t="s">
        <v>105</v>
      </c>
      <c r="J64" s="18" t="s">
        <v>836</v>
      </c>
      <c r="K64" s="18"/>
      <c r="L64" s="18"/>
      <c r="M64" s="18" t="s">
        <v>564</v>
      </c>
      <c r="N64" s="18" t="s">
        <v>837</v>
      </c>
      <c r="O64" s="18" t="s">
        <v>838</v>
      </c>
      <c r="P64" s="18" t="s">
        <v>839</v>
      </c>
      <c r="Q64" s="18" t="s">
        <v>330</v>
      </c>
      <c r="R64" s="18" t="s">
        <v>114</v>
      </c>
      <c r="S64" s="18" t="s">
        <v>115</v>
      </c>
      <c r="T64" s="18" t="s">
        <v>115</v>
      </c>
      <c r="U64" s="18"/>
      <c r="V64" s="18" t="s">
        <v>840</v>
      </c>
      <c r="W64" s="18" t="s">
        <v>841</v>
      </c>
      <c r="X64" s="18"/>
      <c r="Y64" s="18" t="s">
        <v>842</v>
      </c>
      <c r="Z64" s="19" t="s">
        <v>118</v>
      </c>
      <c r="AA64" s="19" t="s">
        <v>119</v>
      </c>
      <c r="AB64" s="18" t="s">
        <v>120</v>
      </c>
      <c r="AC64" s="20" t="s">
        <v>121</v>
      </c>
      <c r="AD64" s="21"/>
      <c r="AE64" s="20"/>
      <c r="AF64" s="20"/>
      <c r="AG64" s="20"/>
      <c r="AH64" s="21" t="str">
        <f aca="false">IF(AD64="","",WORKDAY(AD64,5))</f>
        <v/>
      </c>
      <c r="AI64" s="20"/>
      <c r="AJ64" s="20"/>
    </row>
    <row r="65" customFormat="false" ht="23.85" hidden="false" customHeight="false" outlineLevel="0" collapsed="false">
      <c r="A65" s="26" t="s">
        <v>755</v>
      </c>
      <c r="B65" s="27" t="n">
        <v>64</v>
      </c>
      <c r="C65" s="17" t="n">
        <v>3</v>
      </c>
      <c r="D65" s="18" t="s">
        <v>135</v>
      </c>
      <c r="E65" s="18" t="s">
        <v>843</v>
      </c>
      <c r="F65" s="19" t="s">
        <v>844</v>
      </c>
      <c r="G65" s="18" t="s">
        <v>755</v>
      </c>
      <c r="H65" s="18"/>
      <c r="I65" s="18" t="s">
        <v>105</v>
      </c>
      <c r="J65" s="18"/>
      <c r="K65" s="18" t="s">
        <v>845</v>
      </c>
      <c r="L65" s="18" t="s">
        <v>846</v>
      </c>
      <c r="M65" s="18" t="s">
        <v>847</v>
      </c>
      <c r="N65" s="18" t="s">
        <v>848</v>
      </c>
      <c r="O65" s="18" t="s">
        <v>849</v>
      </c>
      <c r="P65" s="18" t="s">
        <v>112</v>
      </c>
      <c r="Q65" s="18" t="s">
        <v>850</v>
      </c>
      <c r="R65" s="18" t="s">
        <v>145</v>
      </c>
      <c r="S65" s="18" t="s">
        <v>115</v>
      </c>
      <c r="T65" s="18" t="s">
        <v>115</v>
      </c>
      <c r="U65" s="18"/>
      <c r="V65" s="18" t="s">
        <v>851</v>
      </c>
      <c r="W65" s="18" t="s">
        <v>852</v>
      </c>
      <c r="X65" s="18"/>
      <c r="Y65" s="18" t="s">
        <v>165</v>
      </c>
      <c r="Z65" s="19" t="s">
        <v>118</v>
      </c>
      <c r="AA65" s="19" t="s">
        <v>119</v>
      </c>
      <c r="AB65" s="18" t="s">
        <v>149</v>
      </c>
      <c r="AC65" s="20" t="s">
        <v>121</v>
      </c>
      <c r="AD65" s="21"/>
      <c r="AE65" s="20"/>
      <c r="AF65" s="20"/>
      <c r="AG65" s="20"/>
      <c r="AH65" s="21" t="str">
        <f aca="false">IF(AD65="","",WORKDAY(AD65,5))</f>
        <v/>
      </c>
      <c r="AI65" s="20"/>
      <c r="AJ65" s="20"/>
    </row>
    <row r="66" customFormat="false" ht="23.85" hidden="false" customHeight="false" outlineLevel="0" collapsed="false">
      <c r="A66" s="26" t="s">
        <v>755</v>
      </c>
      <c r="B66" s="27" t="n">
        <v>65</v>
      </c>
      <c r="C66" s="17" t="n">
        <v>3</v>
      </c>
      <c r="D66" s="18" t="s">
        <v>150</v>
      </c>
      <c r="E66" s="22" t="s">
        <v>853</v>
      </c>
      <c r="F66" s="19" t="s">
        <v>854</v>
      </c>
      <c r="G66" s="18" t="s">
        <v>855</v>
      </c>
      <c r="H66" s="18"/>
      <c r="I66" s="18" t="s">
        <v>105</v>
      </c>
      <c r="J66" s="18" t="s">
        <v>856</v>
      </c>
      <c r="K66" s="18" t="s">
        <v>857</v>
      </c>
      <c r="L66" s="18" t="s">
        <v>127</v>
      </c>
      <c r="M66" s="18" t="s">
        <v>858</v>
      </c>
      <c r="N66" s="18" t="s">
        <v>859</v>
      </c>
      <c r="O66" s="18" t="s">
        <v>860</v>
      </c>
      <c r="P66" s="18" t="s">
        <v>276</v>
      </c>
      <c r="Q66" s="18" t="s">
        <v>861</v>
      </c>
      <c r="R66" s="18" t="s">
        <v>862</v>
      </c>
      <c r="S66" s="18" t="s">
        <v>115</v>
      </c>
      <c r="T66" s="18" t="s">
        <v>115</v>
      </c>
      <c r="U66" s="18"/>
      <c r="V66" s="18" t="s">
        <v>863</v>
      </c>
      <c r="W66" s="18" t="s">
        <v>864</v>
      </c>
      <c r="X66" s="18" t="s">
        <v>865</v>
      </c>
      <c r="Y66" s="18" t="s">
        <v>165</v>
      </c>
      <c r="Z66" s="19" t="s">
        <v>118</v>
      </c>
      <c r="AA66" s="19" t="s">
        <v>119</v>
      </c>
      <c r="AB66" s="18" t="s">
        <v>176</v>
      </c>
      <c r="AC66" s="20" t="s">
        <v>121</v>
      </c>
      <c r="AD66" s="21"/>
      <c r="AE66" s="20"/>
      <c r="AF66" s="20"/>
      <c r="AG66" s="20"/>
      <c r="AH66" s="21" t="str">
        <f aca="false">IF(AD66="","",WORKDAY(AD66,5))</f>
        <v/>
      </c>
      <c r="AI66" s="20"/>
      <c r="AJ66" s="20"/>
    </row>
    <row r="67" customFormat="false" ht="35.05" hidden="false" customHeight="false" outlineLevel="0" collapsed="false">
      <c r="A67" s="26" t="s">
        <v>755</v>
      </c>
      <c r="B67" s="27" t="n">
        <v>66</v>
      </c>
      <c r="C67" s="17" t="n">
        <v>3</v>
      </c>
      <c r="D67" s="18" t="s">
        <v>150</v>
      </c>
      <c r="E67" s="18" t="s">
        <v>866</v>
      </c>
      <c r="F67" s="19" t="s">
        <v>867</v>
      </c>
      <c r="G67" s="18" t="s">
        <v>868</v>
      </c>
      <c r="H67" s="18"/>
      <c r="I67" s="18" t="s">
        <v>105</v>
      </c>
      <c r="J67" s="18"/>
      <c r="K67" s="18"/>
      <c r="L67" s="18"/>
      <c r="M67" s="18" t="s">
        <v>869</v>
      </c>
      <c r="N67" s="18" t="s">
        <v>870</v>
      </c>
      <c r="O67" s="18" t="s">
        <v>871</v>
      </c>
      <c r="P67" s="18" t="s">
        <v>872</v>
      </c>
      <c r="Q67" s="18" t="s">
        <v>873</v>
      </c>
      <c r="R67" s="18" t="s">
        <v>874</v>
      </c>
      <c r="S67" s="18" t="s">
        <v>305</v>
      </c>
      <c r="T67" s="18" t="s">
        <v>305</v>
      </c>
      <c r="U67" s="18"/>
      <c r="V67" s="18" t="s">
        <v>875</v>
      </c>
      <c r="W67" s="18" t="s">
        <v>876</v>
      </c>
      <c r="X67" s="18"/>
      <c r="Y67" s="18" t="s">
        <v>877</v>
      </c>
      <c r="Z67" s="19" t="s">
        <v>118</v>
      </c>
      <c r="AA67" s="19" t="s">
        <v>119</v>
      </c>
      <c r="AB67" s="18" t="s">
        <v>120</v>
      </c>
      <c r="AC67" s="20" t="s">
        <v>121</v>
      </c>
      <c r="AD67" s="21"/>
      <c r="AE67" s="20"/>
      <c r="AF67" s="20"/>
      <c r="AG67" s="20"/>
      <c r="AH67" s="21" t="str">
        <f aca="false">IF(AD67="","",WORKDAY(AD67,5))</f>
        <v/>
      </c>
      <c r="AI67" s="20"/>
      <c r="AJ67" s="20"/>
    </row>
    <row r="68" customFormat="false" ht="23.85" hidden="false" customHeight="false" outlineLevel="0" collapsed="false">
      <c r="A68" s="26" t="s">
        <v>755</v>
      </c>
      <c r="B68" s="27" t="n">
        <v>67</v>
      </c>
      <c r="C68" s="17" t="n">
        <v>3</v>
      </c>
      <c r="D68" s="18" t="s">
        <v>101</v>
      </c>
      <c r="E68" s="22" t="s">
        <v>878</v>
      </c>
      <c r="F68" s="19" t="s">
        <v>879</v>
      </c>
      <c r="G68" s="18" t="s">
        <v>880</v>
      </c>
      <c r="H68" s="18"/>
      <c r="I68" s="18" t="s">
        <v>105</v>
      </c>
      <c r="J68" s="18" t="s">
        <v>881</v>
      </c>
      <c r="K68" s="18"/>
      <c r="L68" s="18"/>
      <c r="M68" s="18" t="s">
        <v>471</v>
      </c>
      <c r="N68" s="18" t="s">
        <v>882</v>
      </c>
      <c r="O68" s="18" t="s">
        <v>413</v>
      </c>
      <c r="P68" s="18" t="s">
        <v>112</v>
      </c>
      <c r="Q68" s="18" t="s">
        <v>243</v>
      </c>
      <c r="R68" s="18" t="s">
        <v>114</v>
      </c>
      <c r="S68" s="18" t="s">
        <v>115</v>
      </c>
      <c r="T68" s="18" t="s">
        <v>115</v>
      </c>
      <c r="U68" s="18"/>
      <c r="V68" s="18" t="s">
        <v>883</v>
      </c>
      <c r="W68" s="18"/>
      <c r="X68" s="18"/>
      <c r="Y68" s="18" t="s">
        <v>884</v>
      </c>
      <c r="Z68" s="19" t="s">
        <v>118</v>
      </c>
      <c r="AA68" s="19" t="s">
        <v>119</v>
      </c>
      <c r="AB68" s="18" t="s">
        <v>176</v>
      </c>
      <c r="AC68" s="20" t="s">
        <v>121</v>
      </c>
      <c r="AD68" s="21"/>
      <c r="AE68" s="20"/>
      <c r="AF68" s="20"/>
      <c r="AG68" s="20"/>
      <c r="AH68" s="21" t="str">
        <f aca="false">IF(AD68="","",WORKDAY(AD68,5))</f>
        <v/>
      </c>
      <c r="AI68" s="20"/>
      <c r="AJ68" s="20"/>
    </row>
    <row r="69" customFormat="false" ht="23.85" hidden="false" customHeight="false" outlineLevel="0" collapsed="false">
      <c r="A69" s="26" t="s">
        <v>755</v>
      </c>
      <c r="B69" s="27" t="n">
        <v>68</v>
      </c>
      <c r="C69" s="17" t="n">
        <v>3</v>
      </c>
      <c r="D69" s="18" t="s">
        <v>101</v>
      </c>
      <c r="E69" s="18" t="s">
        <v>885</v>
      </c>
      <c r="F69" s="19" t="s">
        <v>886</v>
      </c>
      <c r="G69" s="18" t="s">
        <v>887</v>
      </c>
      <c r="H69" s="18"/>
      <c r="I69" s="18" t="s">
        <v>105</v>
      </c>
      <c r="J69" s="18" t="s">
        <v>888</v>
      </c>
      <c r="K69" s="18"/>
      <c r="L69" s="18"/>
      <c r="M69" s="18" t="s">
        <v>889</v>
      </c>
      <c r="N69" s="18" t="s">
        <v>890</v>
      </c>
      <c r="O69" s="18" t="s">
        <v>891</v>
      </c>
      <c r="P69" s="18" t="s">
        <v>112</v>
      </c>
      <c r="Q69" s="18" t="s">
        <v>892</v>
      </c>
      <c r="R69" s="18" t="s">
        <v>893</v>
      </c>
      <c r="S69" s="18" t="s">
        <v>894</v>
      </c>
      <c r="T69" s="18" t="s">
        <v>305</v>
      </c>
      <c r="U69" s="18"/>
      <c r="V69" s="18" t="s">
        <v>895</v>
      </c>
      <c r="W69" s="18" t="s">
        <v>896</v>
      </c>
      <c r="X69" s="18"/>
      <c r="Y69" s="18" t="s">
        <v>897</v>
      </c>
      <c r="Z69" s="19" t="s">
        <v>118</v>
      </c>
      <c r="AA69" s="19" t="s">
        <v>119</v>
      </c>
      <c r="AB69" s="18" t="s">
        <v>120</v>
      </c>
      <c r="AC69" s="20" t="s">
        <v>121</v>
      </c>
      <c r="AD69" s="21"/>
      <c r="AE69" s="20"/>
      <c r="AF69" s="20"/>
      <c r="AG69" s="20"/>
      <c r="AH69" s="21" t="str">
        <f aca="false">IF(AD69="","",WORKDAY(AD69,5))</f>
        <v/>
      </c>
      <c r="AI69" s="20"/>
      <c r="AJ69" s="20"/>
    </row>
    <row r="70" customFormat="false" ht="23.85" hidden="false" customHeight="false" outlineLevel="0" collapsed="false">
      <c r="A70" s="26" t="s">
        <v>755</v>
      </c>
      <c r="B70" s="27" t="n">
        <v>69</v>
      </c>
      <c r="C70" s="17" t="n">
        <v>3</v>
      </c>
      <c r="D70" s="18" t="s">
        <v>442</v>
      </c>
      <c r="E70" s="18" t="s">
        <v>898</v>
      </c>
      <c r="F70" s="19" t="s">
        <v>899</v>
      </c>
      <c r="G70" s="18" t="s">
        <v>900</v>
      </c>
      <c r="H70" s="18"/>
      <c r="I70" s="18" t="s">
        <v>105</v>
      </c>
      <c r="J70" s="18" t="s">
        <v>901</v>
      </c>
      <c r="K70" s="18"/>
      <c r="L70" s="18"/>
      <c r="M70" s="18" t="s">
        <v>902</v>
      </c>
      <c r="N70" s="18" t="s">
        <v>903</v>
      </c>
      <c r="O70" s="18" t="s">
        <v>904</v>
      </c>
      <c r="P70" s="18" t="s">
        <v>112</v>
      </c>
      <c r="Q70" s="18" t="s">
        <v>905</v>
      </c>
      <c r="R70" s="18" t="s">
        <v>906</v>
      </c>
      <c r="S70" s="18" t="s">
        <v>907</v>
      </c>
      <c r="T70" s="18" t="s">
        <v>115</v>
      </c>
      <c r="U70" s="18"/>
      <c r="V70" s="18" t="s">
        <v>908</v>
      </c>
      <c r="W70" s="18" t="s">
        <v>909</v>
      </c>
      <c r="X70" s="18"/>
      <c r="Y70" s="18" t="s">
        <v>910</v>
      </c>
      <c r="Z70" s="19" t="s">
        <v>118</v>
      </c>
      <c r="AA70" s="19" t="s">
        <v>119</v>
      </c>
      <c r="AB70" s="18" t="s">
        <v>120</v>
      </c>
      <c r="AC70" s="20" t="s">
        <v>121</v>
      </c>
      <c r="AD70" s="21"/>
      <c r="AE70" s="20"/>
      <c r="AF70" s="20"/>
      <c r="AG70" s="20"/>
      <c r="AH70" s="21" t="str">
        <f aca="false">IF(AD70="","",WORKDAY(AD70,5))</f>
        <v/>
      </c>
      <c r="AI70" s="20"/>
      <c r="AJ70" s="20"/>
    </row>
    <row r="71" customFormat="false" ht="23.85" hidden="false" customHeight="false" outlineLevel="0" collapsed="false">
      <c r="A71" s="26" t="s">
        <v>755</v>
      </c>
      <c r="B71" s="27" t="n">
        <v>70</v>
      </c>
      <c r="C71" s="17" t="n">
        <v>3</v>
      </c>
      <c r="D71" s="18" t="s">
        <v>248</v>
      </c>
      <c r="E71" s="18" t="s">
        <v>911</v>
      </c>
      <c r="F71" s="19" t="s">
        <v>912</v>
      </c>
      <c r="G71" s="18" t="s">
        <v>755</v>
      </c>
      <c r="H71" s="18"/>
      <c r="I71" s="18" t="s">
        <v>105</v>
      </c>
      <c r="J71" s="18"/>
      <c r="K71" s="18"/>
      <c r="L71" s="18"/>
      <c r="M71" s="18" t="s">
        <v>913</v>
      </c>
      <c r="N71" s="18" t="s">
        <v>914</v>
      </c>
      <c r="O71" s="18" t="s">
        <v>915</v>
      </c>
      <c r="P71" s="18" t="s">
        <v>112</v>
      </c>
      <c r="Q71" s="18" t="s">
        <v>916</v>
      </c>
      <c r="R71" s="18" t="s">
        <v>917</v>
      </c>
      <c r="S71" s="18" t="s">
        <v>894</v>
      </c>
      <c r="T71" s="18" t="s">
        <v>115</v>
      </c>
      <c r="U71" s="18"/>
      <c r="V71" s="18" t="s">
        <v>918</v>
      </c>
      <c r="W71" s="18" t="s">
        <v>919</v>
      </c>
      <c r="X71" s="18"/>
      <c r="Y71" s="18" t="s">
        <v>165</v>
      </c>
      <c r="Z71" s="19" t="s">
        <v>118</v>
      </c>
      <c r="AA71" s="19" t="s">
        <v>119</v>
      </c>
      <c r="AB71" s="18" t="s">
        <v>120</v>
      </c>
      <c r="AC71" s="20" t="s">
        <v>121</v>
      </c>
      <c r="AD71" s="21"/>
      <c r="AE71" s="20"/>
      <c r="AF71" s="20"/>
      <c r="AG71" s="20"/>
      <c r="AH71" s="21" t="str">
        <f aca="false">IF(AD71="","",WORKDAY(AD71,5))</f>
        <v/>
      </c>
      <c r="AI71" s="20"/>
      <c r="AJ71" s="20"/>
    </row>
    <row r="72" customFormat="false" ht="23.85" hidden="false" customHeight="false" outlineLevel="0" collapsed="false">
      <c r="A72" s="26" t="s">
        <v>755</v>
      </c>
      <c r="B72" s="27" t="n">
        <v>71</v>
      </c>
      <c r="C72" s="17" t="n">
        <v>3</v>
      </c>
      <c r="D72" s="18" t="s">
        <v>248</v>
      </c>
      <c r="E72" s="18" t="s">
        <v>920</v>
      </c>
      <c r="F72" s="19" t="s">
        <v>921</v>
      </c>
      <c r="G72" s="18" t="s">
        <v>755</v>
      </c>
      <c r="H72" s="18"/>
      <c r="I72" s="18" t="s">
        <v>105</v>
      </c>
      <c r="J72" s="18"/>
      <c r="K72" s="18"/>
      <c r="L72" s="18"/>
      <c r="M72" s="18" t="s">
        <v>922</v>
      </c>
      <c r="N72" s="18" t="s">
        <v>923</v>
      </c>
      <c r="O72" s="18" t="s">
        <v>924</v>
      </c>
      <c r="P72" s="18" t="s">
        <v>112</v>
      </c>
      <c r="Q72" s="18" t="s">
        <v>925</v>
      </c>
      <c r="R72" s="18" t="s">
        <v>114</v>
      </c>
      <c r="S72" s="18" t="s">
        <v>894</v>
      </c>
      <c r="T72" s="18" t="s">
        <v>305</v>
      </c>
      <c r="U72" s="18"/>
      <c r="V72" s="18" t="s">
        <v>926</v>
      </c>
      <c r="W72" s="18" t="s">
        <v>927</v>
      </c>
      <c r="X72" s="18"/>
      <c r="Y72" s="18" t="s">
        <v>928</v>
      </c>
      <c r="Z72" s="19" t="s">
        <v>118</v>
      </c>
      <c r="AA72" s="19" t="s">
        <v>119</v>
      </c>
      <c r="AB72" s="18" t="s">
        <v>120</v>
      </c>
      <c r="AC72" s="20" t="s">
        <v>121</v>
      </c>
      <c r="AD72" s="21"/>
      <c r="AE72" s="20"/>
      <c r="AF72" s="20"/>
      <c r="AG72" s="20"/>
      <c r="AH72" s="21" t="str">
        <f aca="false">IF(AD72="","",WORKDAY(AD72,5))</f>
        <v/>
      </c>
      <c r="AI72" s="20"/>
      <c r="AJ72" s="20"/>
    </row>
    <row r="73" customFormat="false" ht="23.85" hidden="false" customHeight="false" outlineLevel="0" collapsed="false">
      <c r="A73" s="26" t="s">
        <v>755</v>
      </c>
      <c r="B73" s="27" t="n">
        <v>72</v>
      </c>
      <c r="C73" s="17" t="n">
        <v>3</v>
      </c>
      <c r="D73" s="18" t="s">
        <v>236</v>
      </c>
      <c r="E73" s="18" t="s">
        <v>929</v>
      </c>
      <c r="F73" s="19" t="s">
        <v>930</v>
      </c>
      <c r="G73" s="18" t="s">
        <v>931</v>
      </c>
      <c r="H73" s="18"/>
      <c r="I73" s="18" t="s">
        <v>105</v>
      </c>
      <c r="J73" s="18" t="s">
        <v>932</v>
      </c>
      <c r="K73" s="18"/>
      <c r="L73" s="18"/>
      <c r="M73" s="18" t="s">
        <v>933</v>
      </c>
      <c r="N73" s="18" t="s">
        <v>934</v>
      </c>
      <c r="O73" s="18" t="s">
        <v>483</v>
      </c>
      <c r="P73" s="18" t="s">
        <v>112</v>
      </c>
      <c r="Q73" s="18" t="s">
        <v>935</v>
      </c>
      <c r="R73" s="18" t="s">
        <v>936</v>
      </c>
      <c r="S73" s="18" t="s">
        <v>115</v>
      </c>
      <c r="T73" s="18" t="s">
        <v>115</v>
      </c>
      <c r="U73" s="18"/>
      <c r="V73" s="18" t="s">
        <v>937</v>
      </c>
      <c r="W73" s="18" t="s">
        <v>938</v>
      </c>
      <c r="X73" s="18" t="s">
        <v>939</v>
      </c>
      <c r="Y73" s="18" t="s">
        <v>940</v>
      </c>
      <c r="Z73" s="19" t="s">
        <v>118</v>
      </c>
      <c r="AA73" s="19" t="s">
        <v>119</v>
      </c>
      <c r="AB73" s="18" t="s">
        <v>149</v>
      </c>
      <c r="AC73" s="20" t="s">
        <v>121</v>
      </c>
      <c r="AD73" s="21"/>
      <c r="AE73" s="20"/>
      <c r="AF73" s="20"/>
      <c r="AG73" s="20"/>
      <c r="AH73" s="21" t="str">
        <f aca="false">IF(AD73="","",WORKDAY(AD73,5))</f>
        <v/>
      </c>
      <c r="AI73" s="20"/>
      <c r="AJ73" s="20"/>
    </row>
    <row r="74" customFormat="false" ht="23.85" hidden="false" customHeight="false" outlineLevel="0" collapsed="false">
      <c r="A74" s="26" t="s">
        <v>755</v>
      </c>
      <c r="B74" s="27" t="n">
        <v>73</v>
      </c>
      <c r="C74" s="17" t="n">
        <v>3</v>
      </c>
      <c r="D74" s="18" t="s">
        <v>236</v>
      </c>
      <c r="E74" s="22" t="s">
        <v>941</v>
      </c>
      <c r="F74" s="18" t="s">
        <v>167</v>
      </c>
      <c r="G74" s="18" t="s">
        <v>942</v>
      </c>
      <c r="H74" s="18"/>
      <c r="I74" s="18" t="s">
        <v>105</v>
      </c>
      <c r="J74" s="18" t="s">
        <v>943</v>
      </c>
      <c r="K74" s="18" t="s">
        <v>944</v>
      </c>
      <c r="L74" s="18"/>
      <c r="M74" s="18" t="s">
        <v>945</v>
      </c>
      <c r="N74" s="18" t="s">
        <v>946</v>
      </c>
      <c r="O74" s="18" t="s">
        <v>947</v>
      </c>
      <c r="P74" s="18" t="s">
        <v>112</v>
      </c>
      <c r="Q74" s="18" t="s">
        <v>948</v>
      </c>
      <c r="R74" s="18" t="s">
        <v>114</v>
      </c>
      <c r="S74" s="18" t="s">
        <v>115</v>
      </c>
      <c r="T74" s="18" t="s">
        <v>115</v>
      </c>
      <c r="U74" s="18" t="s">
        <v>949</v>
      </c>
      <c r="V74" s="18" t="s">
        <v>950</v>
      </c>
      <c r="W74" s="18" t="s">
        <v>951</v>
      </c>
      <c r="X74" s="18"/>
      <c r="Y74" s="18" t="s">
        <v>952</v>
      </c>
      <c r="Z74" s="19" t="s">
        <v>118</v>
      </c>
      <c r="AA74" s="19" t="s">
        <v>119</v>
      </c>
      <c r="AB74" s="18" t="s">
        <v>176</v>
      </c>
      <c r="AC74" s="20" t="s">
        <v>121</v>
      </c>
      <c r="AD74" s="21"/>
      <c r="AE74" s="20"/>
      <c r="AF74" s="20"/>
      <c r="AG74" s="20"/>
      <c r="AH74" s="21" t="str">
        <f aca="false">IF(AD74="","",WORKDAY(AD74,5))</f>
        <v/>
      </c>
      <c r="AI74" s="20"/>
      <c r="AJ74" s="20"/>
    </row>
    <row r="75" customFormat="false" ht="23.85" hidden="false" customHeight="false" outlineLevel="0" collapsed="false">
      <c r="A75" s="26" t="s">
        <v>755</v>
      </c>
      <c r="B75" s="27" t="n">
        <v>74</v>
      </c>
      <c r="C75" s="17" t="n">
        <v>2</v>
      </c>
      <c r="D75" s="18" t="s">
        <v>122</v>
      </c>
      <c r="E75" s="18" t="s">
        <v>953</v>
      </c>
      <c r="F75" s="19" t="s">
        <v>954</v>
      </c>
      <c r="G75" s="18" t="s">
        <v>955</v>
      </c>
      <c r="H75" s="18"/>
      <c r="I75" s="18" t="s">
        <v>105</v>
      </c>
      <c r="J75" s="18" t="s">
        <v>956</v>
      </c>
      <c r="K75" s="18" t="s">
        <v>957</v>
      </c>
      <c r="L75" s="18"/>
      <c r="M75" s="18" t="s">
        <v>564</v>
      </c>
      <c r="N75" s="18" t="s">
        <v>958</v>
      </c>
      <c r="O75" s="18" t="s">
        <v>959</v>
      </c>
      <c r="P75" s="18" t="s">
        <v>112</v>
      </c>
      <c r="Q75" s="18" t="s">
        <v>195</v>
      </c>
      <c r="R75" s="18" t="s">
        <v>114</v>
      </c>
      <c r="S75" s="18" t="s">
        <v>115</v>
      </c>
      <c r="T75" s="18" t="s">
        <v>115</v>
      </c>
      <c r="U75" s="18"/>
      <c r="V75" s="18" t="s">
        <v>655</v>
      </c>
      <c r="W75" s="18"/>
      <c r="X75" s="18"/>
      <c r="Y75" s="18" t="s">
        <v>186</v>
      </c>
      <c r="Z75" s="19" t="s">
        <v>118</v>
      </c>
      <c r="AA75" s="19" t="s">
        <v>119</v>
      </c>
      <c r="AB75" s="18" t="s">
        <v>120</v>
      </c>
      <c r="AC75" s="20" t="s">
        <v>121</v>
      </c>
      <c r="AD75" s="21"/>
      <c r="AE75" s="20"/>
      <c r="AF75" s="20"/>
      <c r="AG75" s="20"/>
      <c r="AH75" s="21" t="str">
        <f aca="false">IF(AD75="","",WORKDAY(AD75,5))</f>
        <v/>
      </c>
      <c r="AI75" s="20"/>
      <c r="AJ75" s="20"/>
    </row>
    <row r="76" customFormat="false" ht="23.85" hidden="false" customHeight="false" outlineLevel="0" collapsed="false">
      <c r="A76" s="26" t="s">
        <v>755</v>
      </c>
      <c r="B76" s="27" t="n">
        <v>75</v>
      </c>
      <c r="C76" s="17" t="n">
        <v>2</v>
      </c>
      <c r="D76" s="18" t="s">
        <v>135</v>
      </c>
      <c r="E76" s="18" t="s">
        <v>960</v>
      </c>
      <c r="F76" s="18" t="s">
        <v>167</v>
      </c>
      <c r="G76" s="18" t="s">
        <v>961</v>
      </c>
      <c r="H76" s="18" t="s">
        <v>962</v>
      </c>
      <c r="I76" s="18" t="s">
        <v>105</v>
      </c>
      <c r="J76" s="18" t="s">
        <v>963</v>
      </c>
      <c r="K76" s="18" t="s">
        <v>964</v>
      </c>
      <c r="L76" s="18"/>
      <c r="M76" s="18" t="s">
        <v>965</v>
      </c>
      <c r="N76" s="18" t="s">
        <v>966</v>
      </c>
      <c r="O76" s="18" t="s">
        <v>967</v>
      </c>
      <c r="P76" s="18" t="s">
        <v>968</v>
      </c>
      <c r="Q76" s="18" t="s">
        <v>969</v>
      </c>
      <c r="R76" s="18" t="s">
        <v>145</v>
      </c>
      <c r="S76" s="18" t="s">
        <v>115</v>
      </c>
      <c r="T76" s="18" t="s">
        <v>115</v>
      </c>
      <c r="U76" s="18"/>
      <c r="V76" s="18" t="s">
        <v>970</v>
      </c>
      <c r="W76" s="18" t="s">
        <v>971</v>
      </c>
      <c r="X76" s="18"/>
      <c r="Y76" s="18" t="s">
        <v>972</v>
      </c>
      <c r="Z76" s="19" t="s">
        <v>118</v>
      </c>
      <c r="AA76" s="19" t="s">
        <v>119</v>
      </c>
      <c r="AB76" s="18" t="s">
        <v>149</v>
      </c>
      <c r="AC76" s="20" t="s">
        <v>121</v>
      </c>
      <c r="AD76" s="21"/>
      <c r="AE76" s="20"/>
      <c r="AF76" s="20"/>
      <c r="AG76" s="20"/>
      <c r="AH76" s="21" t="str">
        <f aca="false">IF(AD76="","",WORKDAY(AD76,5))</f>
        <v/>
      </c>
      <c r="AI76" s="20"/>
      <c r="AJ76" s="20"/>
    </row>
    <row r="77" customFormat="false" ht="35.05" hidden="false" customHeight="false" outlineLevel="0" collapsed="false">
      <c r="A77" s="26" t="s">
        <v>755</v>
      </c>
      <c r="B77" s="27" t="n">
        <v>76</v>
      </c>
      <c r="C77" s="17" t="n">
        <v>2</v>
      </c>
      <c r="D77" s="18" t="s">
        <v>135</v>
      </c>
      <c r="E77" s="18" t="s">
        <v>973</v>
      </c>
      <c r="F77" s="19" t="s">
        <v>974</v>
      </c>
      <c r="G77" s="18" t="s">
        <v>975</v>
      </c>
      <c r="H77" s="18"/>
      <c r="I77" s="18" t="s">
        <v>105</v>
      </c>
      <c r="J77" s="18"/>
      <c r="K77" s="18"/>
      <c r="L77" s="18" t="s">
        <v>127</v>
      </c>
      <c r="M77" s="18" t="s">
        <v>564</v>
      </c>
      <c r="N77" s="18" t="s">
        <v>976</v>
      </c>
      <c r="O77" s="18" t="s">
        <v>725</v>
      </c>
      <c r="P77" s="18" t="s">
        <v>112</v>
      </c>
      <c r="Q77" s="18" t="s">
        <v>977</v>
      </c>
      <c r="R77" s="18" t="s">
        <v>145</v>
      </c>
      <c r="S77" s="18" t="s">
        <v>115</v>
      </c>
      <c r="T77" s="18" t="s">
        <v>115</v>
      </c>
      <c r="U77" s="18"/>
      <c r="V77" s="18" t="s">
        <v>978</v>
      </c>
      <c r="W77" s="18"/>
      <c r="X77" s="18" t="s">
        <v>979</v>
      </c>
      <c r="Y77" s="18" t="s">
        <v>980</v>
      </c>
      <c r="Z77" s="19" t="s">
        <v>118</v>
      </c>
      <c r="AA77" s="19" t="s">
        <v>119</v>
      </c>
      <c r="AB77" s="18" t="s">
        <v>149</v>
      </c>
      <c r="AC77" s="20" t="s">
        <v>121</v>
      </c>
      <c r="AD77" s="21"/>
      <c r="AE77" s="20"/>
      <c r="AF77" s="20"/>
      <c r="AG77" s="20"/>
      <c r="AH77" s="21" t="str">
        <f aca="false">IF(AD77="","",WORKDAY(AD77,5))</f>
        <v/>
      </c>
      <c r="AI77" s="20"/>
      <c r="AJ77" s="20"/>
    </row>
    <row r="78" customFormat="false" ht="46.25" hidden="false" customHeight="false" outlineLevel="0" collapsed="false">
      <c r="A78" s="26" t="s">
        <v>755</v>
      </c>
      <c r="B78" s="27" t="n">
        <v>77</v>
      </c>
      <c r="C78" s="17" t="n">
        <v>2</v>
      </c>
      <c r="D78" s="18" t="s">
        <v>767</v>
      </c>
      <c r="E78" s="18" t="s">
        <v>981</v>
      </c>
      <c r="F78" s="19" t="s">
        <v>982</v>
      </c>
      <c r="G78" s="18" t="s">
        <v>983</v>
      </c>
      <c r="H78" s="18" t="s">
        <v>334</v>
      </c>
      <c r="I78" s="18" t="s">
        <v>105</v>
      </c>
      <c r="J78" s="18"/>
      <c r="K78" s="18"/>
      <c r="L78" s="18"/>
      <c r="M78" s="18" t="s">
        <v>984</v>
      </c>
      <c r="N78" s="18" t="s">
        <v>985</v>
      </c>
      <c r="O78" s="18" t="s">
        <v>986</v>
      </c>
      <c r="P78" s="18" t="s">
        <v>987</v>
      </c>
      <c r="Q78" s="18" t="s">
        <v>988</v>
      </c>
      <c r="R78" s="18" t="s">
        <v>989</v>
      </c>
      <c r="S78" s="18" t="s">
        <v>115</v>
      </c>
      <c r="T78" s="18" t="s">
        <v>115</v>
      </c>
      <c r="U78" s="18"/>
      <c r="V78" s="18" t="s">
        <v>990</v>
      </c>
      <c r="W78" s="18" t="s">
        <v>991</v>
      </c>
      <c r="X78" s="18"/>
      <c r="Y78" s="18" t="s">
        <v>992</v>
      </c>
      <c r="Z78" s="19" t="s">
        <v>118</v>
      </c>
      <c r="AA78" s="19" t="s">
        <v>119</v>
      </c>
      <c r="AB78" s="18" t="s">
        <v>149</v>
      </c>
      <c r="AC78" s="20" t="s">
        <v>121</v>
      </c>
      <c r="AD78" s="21"/>
      <c r="AE78" s="20"/>
      <c r="AF78" s="20"/>
      <c r="AG78" s="20"/>
      <c r="AH78" s="21" t="str">
        <f aca="false">IF(AD78="","",WORKDAY(AD78,5))</f>
        <v/>
      </c>
      <c r="AI78" s="20"/>
      <c r="AJ78" s="20"/>
    </row>
    <row r="79" customFormat="false" ht="35.05" hidden="false" customHeight="false" outlineLevel="0" collapsed="false">
      <c r="A79" s="26" t="s">
        <v>755</v>
      </c>
      <c r="B79" s="27" t="n">
        <v>78</v>
      </c>
      <c r="C79" s="17" t="n">
        <v>2</v>
      </c>
      <c r="D79" s="18" t="s">
        <v>379</v>
      </c>
      <c r="E79" s="18" t="s">
        <v>993</v>
      </c>
      <c r="F79" s="19" t="s">
        <v>994</v>
      </c>
      <c r="G79" s="18" t="s">
        <v>995</v>
      </c>
      <c r="H79" s="18"/>
      <c r="I79" s="18" t="s">
        <v>105</v>
      </c>
      <c r="J79" s="18" t="s">
        <v>996</v>
      </c>
      <c r="K79" s="18"/>
      <c r="L79" s="18" t="s">
        <v>997</v>
      </c>
      <c r="M79" s="18" t="s">
        <v>998</v>
      </c>
      <c r="N79" s="18" t="s">
        <v>999</v>
      </c>
      <c r="O79" s="18" t="s">
        <v>1000</v>
      </c>
      <c r="P79" s="18" t="s">
        <v>1001</v>
      </c>
      <c r="Q79" s="18" t="s">
        <v>1002</v>
      </c>
      <c r="R79" s="18" t="s">
        <v>114</v>
      </c>
      <c r="S79" s="18" t="s">
        <v>115</v>
      </c>
      <c r="T79" s="18" t="s">
        <v>320</v>
      </c>
      <c r="U79" s="18"/>
      <c r="V79" s="18" t="s">
        <v>1003</v>
      </c>
      <c r="W79" s="18" t="s">
        <v>1004</v>
      </c>
      <c r="X79" s="18" t="s">
        <v>1005</v>
      </c>
      <c r="Y79" s="18" t="s">
        <v>165</v>
      </c>
      <c r="Z79" s="19" t="s">
        <v>118</v>
      </c>
      <c r="AA79" s="19" t="s">
        <v>119</v>
      </c>
      <c r="AB79" s="18" t="s">
        <v>120</v>
      </c>
      <c r="AC79" s="20" t="s">
        <v>121</v>
      </c>
      <c r="AD79" s="21"/>
      <c r="AE79" s="20"/>
      <c r="AF79" s="20"/>
      <c r="AG79" s="20"/>
      <c r="AH79" s="21" t="str">
        <f aca="false">IF(AD79="","",WORKDAY(AD79,5))</f>
        <v/>
      </c>
      <c r="AI79" s="20"/>
      <c r="AJ79" s="20"/>
    </row>
    <row r="80" customFormat="false" ht="23.85" hidden="false" customHeight="false" outlineLevel="0" collapsed="false">
      <c r="A80" s="26" t="s">
        <v>755</v>
      </c>
      <c r="B80" s="27" t="n">
        <v>79</v>
      </c>
      <c r="C80" s="17" t="n">
        <v>2</v>
      </c>
      <c r="D80" s="18" t="s">
        <v>379</v>
      </c>
      <c r="E80" s="22" t="s">
        <v>1006</v>
      </c>
      <c r="F80" s="19" t="s">
        <v>1007</v>
      </c>
      <c r="G80" s="18" t="s">
        <v>755</v>
      </c>
      <c r="H80" s="18"/>
      <c r="I80" s="18" t="s">
        <v>105</v>
      </c>
      <c r="J80" s="18"/>
      <c r="K80" s="18"/>
      <c r="L80" s="18"/>
      <c r="M80" s="18" t="s">
        <v>1008</v>
      </c>
      <c r="N80" s="18" t="s">
        <v>1009</v>
      </c>
      <c r="O80" s="18" t="s">
        <v>1010</v>
      </c>
      <c r="P80" s="18" t="s">
        <v>1011</v>
      </c>
      <c r="Q80" s="18" t="s">
        <v>330</v>
      </c>
      <c r="R80" s="18" t="s">
        <v>114</v>
      </c>
      <c r="S80" s="18" t="s">
        <v>115</v>
      </c>
      <c r="T80" s="18" t="s">
        <v>115</v>
      </c>
      <c r="U80" s="18"/>
      <c r="V80" s="18" t="s">
        <v>655</v>
      </c>
      <c r="W80" s="18" t="s">
        <v>1012</v>
      </c>
      <c r="X80" s="18"/>
      <c r="Y80" s="18" t="s">
        <v>186</v>
      </c>
      <c r="Z80" s="19" t="s">
        <v>118</v>
      </c>
      <c r="AA80" s="19" t="s">
        <v>119</v>
      </c>
      <c r="AB80" s="18" t="s">
        <v>176</v>
      </c>
      <c r="AC80" s="20" t="s">
        <v>121</v>
      </c>
      <c r="AD80" s="21"/>
      <c r="AE80" s="20"/>
      <c r="AF80" s="20"/>
      <c r="AG80" s="20"/>
      <c r="AH80" s="21" t="str">
        <f aca="false">IF(AD80="","",WORKDAY(AD80,5))</f>
        <v/>
      </c>
      <c r="AI80" s="20"/>
      <c r="AJ80" s="20"/>
    </row>
    <row r="81" customFormat="false" ht="23.85" hidden="false" customHeight="false" outlineLevel="0" collapsed="false">
      <c r="A81" s="26" t="s">
        <v>755</v>
      </c>
      <c r="B81" s="27" t="n">
        <v>80</v>
      </c>
      <c r="C81" s="17" t="n">
        <v>2</v>
      </c>
      <c r="D81" s="18" t="s">
        <v>379</v>
      </c>
      <c r="E81" s="18" t="s">
        <v>1013</v>
      </c>
      <c r="F81" s="19" t="s">
        <v>1014</v>
      </c>
      <c r="G81" s="18" t="s">
        <v>1015</v>
      </c>
      <c r="H81" s="18"/>
      <c r="I81" s="18" t="s">
        <v>105</v>
      </c>
      <c r="J81" s="18"/>
      <c r="K81" s="18"/>
      <c r="L81" s="18" t="s">
        <v>1016</v>
      </c>
      <c r="M81" s="18" t="s">
        <v>1017</v>
      </c>
      <c r="N81" s="18" t="s">
        <v>1018</v>
      </c>
      <c r="O81" s="18" t="s">
        <v>1019</v>
      </c>
      <c r="P81" s="18" t="s">
        <v>112</v>
      </c>
      <c r="Q81" s="18" t="s">
        <v>1020</v>
      </c>
      <c r="R81" s="18" t="s">
        <v>145</v>
      </c>
      <c r="S81" s="18" t="s">
        <v>115</v>
      </c>
      <c r="T81" s="18" t="s">
        <v>115</v>
      </c>
      <c r="U81" s="18"/>
      <c r="V81" s="18" t="s">
        <v>1021</v>
      </c>
      <c r="W81" s="18"/>
      <c r="X81" s="18" t="s">
        <v>1022</v>
      </c>
      <c r="Y81" s="18" t="s">
        <v>1023</v>
      </c>
      <c r="Z81" s="19" t="s">
        <v>118</v>
      </c>
      <c r="AA81" s="19" t="s">
        <v>119</v>
      </c>
      <c r="AB81" s="18" t="s">
        <v>149</v>
      </c>
      <c r="AC81" s="20" t="s">
        <v>121</v>
      </c>
      <c r="AD81" s="21"/>
      <c r="AE81" s="20"/>
      <c r="AF81" s="20"/>
      <c r="AG81" s="20"/>
      <c r="AH81" s="21" t="str">
        <f aca="false">IF(AD81="","",WORKDAY(AD81,5))</f>
        <v/>
      </c>
      <c r="AI81" s="20"/>
      <c r="AJ81" s="20"/>
    </row>
    <row r="82" customFormat="false" ht="23.85" hidden="false" customHeight="false" outlineLevel="0" collapsed="false">
      <c r="A82" s="26" t="s">
        <v>755</v>
      </c>
      <c r="B82" s="27" t="n">
        <v>81</v>
      </c>
      <c r="C82" s="17" t="n">
        <v>2</v>
      </c>
      <c r="D82" s="18" t="s">
        <v>101</v>
      </c>
      <c r="E82" s="18" t="s">
        <v>1024</v>
      </c>
      <c r="F82" s="19" t="s">
        <v>1025</v>
      </c>
      <c r="G82" s="18" t="s">
        <v>1026</v>
      </c>
      <c r="H82" s="18"/>
      <c r="I82" s="18" t="s">
        <v>105</v>
      </c>
      <c r="J82" s="18" t="s">
        <v>1027</v>
      </c>
      <c r="K82" s="18" t="s">
        <v>1028</v>
      </c>
      <c r="L82" s="18" t="s">
        <v>1029</v>
      </c>
      <c r="M82" s="18" t="s">
        <v>1030</v>
      </c>
      <c r="N82" s="18" t="s">
        <v>1031</v>
      </c>
      <c r="O82" s="18" t="s">
        <v>413</v>
      </c>
      <c r="P82" s="18" t="s">
        <v>112</v>
      </c>
      <c r="Q82" s="18" t="s">
        <v>1032</v>
      </c>
      <c r="R82" s="18" t="s">
        <v>1033</v>
      </c>
      <c r="S82" s="18" t="s">
        <v>115</v>
      </c>
      <c r="T82" s="18" t="s">
        <v>115</v>
      </c>
      <c r="U82" s="18"/>
      <c r="V82" s="18" t="s">
        <v>1034</v>
      </c>
      <c r="W82" s="18"/>
      <c r="X82" s="18"/>
      <c r="Y82" s="18" t="s">
        <v>117</v>
      </c>
      <c r="Z82" s="19" t="s">
        <v>118</v>
      </c>
      <c r="AA82" s="19" t="s">
        <v>119</v>
      </c>
      <c r="AB82" s="18" t="s">
        <v>120</v>
      </c>
      <c r="AC82" s="20" t="s">
        <v>121</v>
      </c>
      <c r="AD82" s="21"/>
      <c r="AE82" s="20"/>
      <c r="AF82" s="20"/>
      <c r="AG82" s="20"/>
      <c r="AH82" s="21" t="str">
        <f aca="false">IF(AD82="","",WORKDAY(AD82,5))</f>
        <v/>
      </c>
      <c r="AI82" s="20"/>
      <c r="AJ82" s="20"/>
    </row>
    <row r="83" customFormat="false" ht="23.85" hidden="false" customHeight="false" outlineLevel="0" collapsed="false">
      <c r="A83" s="26" t="s">
        <v>755</v>
      </c>
      <c r="B83" s="27" t="n">
        <v>82</v>
      </c>
      <c r="C83" s="17" t="n">
        <v>2</v>
      </c>
      <c r="D83" s="18" t="s">
        <v>236</v>
      </c>
      <c r="E83" s="22" t="s">
        <v>1035</v>
      </c>
      <c r="F83" s="19" t="s">
        <v>1036</v>
      </c>
      <c r="G83" s="18" t="s">
        <v>1037</v>
      </c>
      <c r="H83" s="18"/>
      <c r="I83" s="18" t="s">
        <v>105</v>
      </c>
      <c r="J83" s="18" t="s">
        <v>1038</v>
      </c>
      <c r="K83" s="18"/>
      <c r="L83" s="18"/>
      <c r="M83" s="18" t="s">
        <v>680</v>
      </c>
      <c r="N83" s="18" t="s">
        <v>1039</v>
      </c>
      <c r="O83" s="18" t="s">
        <v>1040</v>
      </c>
      <c r="P83" s="18" t="s">
        <v>112</v>
      </c>
      <c r="Q83" s="18" t="s">
        <v>195</v>
      </c>
      <c r="R83" s="18" t="s">
        <v>114</v>
      </c>
      <c r="S83" s="18" t="s">
        <v>115</v>
      </c>
      <c r="T83" s="18" t="s">
        <v>115</v>
      </c>
      <c r="U83" s="18"/>
      <c r="V83" s="18" t="s">
        <v>1041</v>
      </c>
      <c r="W83" s="18"/>
      <c r="X83" s="18"/>
      <c r="Y83" s="18" t="s">
        <v>1042</v>
      </c>
      <c r="Z83" s="19" t="s">
        <v>118</v>
      </c>
      <c r="AA83" s="19" t="s">
        <v>119</v>
      </c>
      <c r="AB83" s="18" t="s">
        <v>176</v>
      </c>
      <c r="AC83" s="20" t="s">
        <v>121</v>
      </c>
      <c r="AD83" s="21"/>
      <c r="AE83" s="20"/>
      <c r="AF83" s="20"/>
      <c r="AG83" s="20"/>
      <c r="AH83" s="21" t="str">
        <f aca="false">IF(AD83="","",WORKDAY(AD83,5))</f>
        <v/>
      </c>
      <c r="AI83" s="20"/>
      <c r="AJ83" s="20"/>
    </row>
    <row r="84" customFormat="false" ht="23.85" hidden="false" customHeight="false" outlineLevel="0" collapsed="false">
      <c r="A84" s="26" t="s">
        <v>755</v>
      </c>
      <c r="B84" s="27" t="n">
        <v>83</v>
      </c>
      <c r="C84" s="17" t="n">
        <v>2</v>
      </c>
      <c r="D84" s="18" t="s">
        <v>236</v>
      </c>
      <c r="E84" s="18" t="s">
        <v>1043</v>
      </c>
      <c r="F84" s="19" t="s">
        <v>1044</v>
      </c>
      <c r="G84" s="18" t="s">
        <v>1045</v>
      </c>
      <c r="H84" s="18"/>
      <c r="I84" s="18" t="s">
        <v>105</v>
      </c>
      <c r="J84" s="18" t="s">
        <v>1045</v>
      </c>
      <c r="K84" s="18" t="s">
        <v>1046</v>
      </c>
      <c r="L84" s="18"/>
      <c r="M84" s="18" t="s">
        <v>1047</v>
      </c>
      <c r="N84" s="18" t="s">
        <v>1048</v>
      </c>
      <c r="O84" s="18" t="s">
        <v>1049</v>
      </c>
      <c r="P84" s="18" t="s">
        <v>112</v>
      </c>
      <c r="Q84" s="18" t="s">
        <v>243</v>
      </c>
      <c r="R84" s="18" t="s">
        <v>114</v>
      </c>
      <c r="S84" s="18" t="s">
        <v>115</v>
      </c>
      <c r="T84" s="18" t="s">
        <v>115</v>
      </c>
      <c r="U84" s="18"/>
      <c r="V84" s="18" t="s">
        <v>655</v>
      </c>
      <c r="W84" s="18"/>
      <c r="X84" s="18"/>
      <c r="Y84" s="18" t="s">
        <v>186</v>
      </c>
      <c r="Z84" s="19" t="s">
        <v>118</v>
      </c>
      <c r="AA84" s="19" t="s">
        <v>119</v>
      </c>
      <c r="AB84" s="18" t="s">
        <v>120</v>
      </c>
      <c r="AC84" s="20" t="s">
        <v>121</v>
      </c>
      <c r="AD84" s="21"/>
      <c r="AE84" s="20"/>
      <c r="AF84" s="20"/>
      <c r="AG84" s="20"/>
      <c r="AH84" s="21" t="str">
        <f aca="false">IF(AD84="","",WORKDAY(AD84,5))</f>
        <v/>
      </c>
      <c r="AI84" s="20"/>
      <c r="AJ84" s="20"/>
    </row>
    <row r="85" customFormat="false" ht="23.85" hidden="false" customHeight="false" outlineLevel="0" collapsed="false">
      <c r="A85" s="26" t="s">
        <v>755</v>
      </c>
      <c r="B85" s="27" t="n">
        <v>84</v>
      </c>
      <c r="C85" s="17" t="n">
        <v>1</v>
      </c>
      <c r="D85" s="18" t="s">
        <v>135</v>
      </c>
      <c r="E85" s="18" t="s">
        <v>1050</v>
      </c>
      <c r="F85" s="19" t="s">
        <v>1051</v>
      </c>
      <c r="G85" s="18" t="s">
        <v>1052</v>
      </c>
      <c r="H85" s="18"/>
      <c r="I85" s="18" t="s">
        <v>105</v>
      </c>
      <c r="J85" s="18" t="s">
        <v>1053</v>
      </c>
      <c r="K85" s="18" t="s">
        <v>1054</v>
      </c>
      <c r="L85" s="18"/>
      <c r="M85" s="18" t="s">
        <v>205</v>
      </c>
      <c r="N85" s="18" t="s">
        <v>1055</v>
      </c>
      <c r="O85" s="18" t="s">
        <v>1056</v>
      </c>
      <c r="P85" s="18" t="s">
        <v>1057</v>
      </c>
      <c r="Q85" s="18"/>
      <c r="R85" s="18" t="s">
        <v>145</v>
      </c>
      <c r="S85" s="18" t="s">
        <v>115</v>
      </c>
      <c r="T85" s="18" t="s">
        <v>115</v>
      </c>
      <c r="U85" s="18"/>
      <c r="V85" s="18" t="s">
        <v>1058</v>
      </c>
      <c r="W85" s="18"/>
      <c r="X85" s="18" t="s">
        <v>1059</v>
      </c>
      <c r="Y85" s="18" t="s">
        <v>1060</v>
      </c>
      <c r="Z85" s="19" t="s">
        <v>118</v>
      </c>
      <c r="AA85" s="19" t="s">
        <v>119</v>
      </c>
      <c r="AB85" s="18" t="s">
        <v>149</v>
      </c>
      <c r="AC85" s="20" t="s">
        <v>121</v>
      </c>
      <c r="AD85" s="21"/>
      <c r="AE85" s="20"/>
      <c r="AF85" s="20"/>
      <c r="AG85" s="20"/>
      <c r="AH85" s="21" t="str">
        <f aca="false">IF(AD85="","",WORKDAY(AD85,5))</f>
        <v/>
      </c>
      <c r="AI85" s="20"/>
      <c r="AJ85" s="20"/>
    </row>
    <row r="86" customFormat="false" ht="23.85" hidden="false" customHeight="false" outlineLevel="0" collapsed="false">
      <c r="A86" s="26" t="s">
        <v>755</v>
      </c>
      <c r="B86" s="27" t="n">
        <v>85</v>
      </c>
      <c r="C86" s="17" t="n">
        <v>1</v>
      </c>
      <c r="D86" s="18" t="s">
        <v>379</v>
      </c>
      <c r="E86" s="18" t="s">
        <v>1061</v>
      </c>
      <c r="F86" s="19" t="s">
        <v>1062</v>
      </c>
      <c r="G86" s="18" t="s">
        <v>1063</v>
      </c>
      <c r="H86" s="18"/>
      <c r="I86" s="18" t="s">
        <v>105</v>
      </c>
      <c r="J86" s="18"/>
      <c r="K86" s="18"/>
      <c r="L86" s="18"/>
      <c r="M86" s="18" t="s">
        <v>205</v>
      </c>
      <c r="N86" s="18" t="s">
        <v>1064</v>
      </c>
      <c r="O86" s="18" t="s">
        <v>1065</v>
      </c>
      <c r="P86" s="18" t="s">
        <v>112</v>
      </c>
      <c r="Q86" s="18" t="s">
        <v>330</v>
      </c>
      <c r="R86" s="18" t="s">
        <v>145</v>
      </c>
      <c r="S86" s="18" t="s">
        <v>115</v>
      </c>
      <c r="T86" s="18" t="s">
        <v>115</v>
      </c>
      <c r="U86" s="18"/>
      <c r="V86" s="18" t="s">
        <v>745</v>
      </c>
      <c r="W86" s="18"/>
      <c r="X86" s="18"/>
      <c r="Y86" s="18" t="s">
        <v>1066</v>
      </c>
      <c r="Z86" s="19" t="s">
        <v>118</v>
      </c>
      <c r="AA86" s="19" t="s">
        <v>119</v>
      </c>
      <c r="AB86" s="18" t="s">
        <v>149</v>
      </c>
      <c r="AC86" s="20" t="s">
        <v>121</v>
      </c>
      <c r="AD86" s="21"/>
      <c r="AE86" s="20"/>
      <c r="AF86" s="20"/>
      <c r="AG86" s="20"/>
      <c r="AH86" s="21" t="str">
        <f aca="false">IF(AD86="","",WORKDAY(AD86,5))</f>
        <v/>
      </c>
      <c r="AI86" s="20"/>
      <c r="AJ86" s="20"/>
    </row>
    <row r="87" customFormat="false" ht="23.85" hidden="false" customHeight="false" outlineLevel="0" collapsed="false">
      <c r="A87" s="8" t="s">
        <v>1067</v>
      </c>
      <c r="B87" s="9" t="n">
        <v>86</v>
      </c>
      <c r="C87" s="10" t="n">
        <v>4</v>
      </c>
      <c r="D87" s="11" t="s">
        <v>188</v>
      </c>
      <c r="E87" s="25" t="s">
        <v>1068</v>
      </c>
      <c r="F87" s="12" t="s">
        <v>1069</v>
      </c>
      <c r="G87" s="11" t="s">
        <v>1070</v>
      </c>
      <c r="H87" s="11"/>
      <c r="I87" s="11" t="s">
        <v>105</v>
      </c>
      <c r="J87" s="11" t="s">
        <v>1071</v>
      </c>
      <c r="K87" s="11"/>
      <c r="L87" s="11" t="s">
        <v>1072</v>
      </c>
      <c r="M87" s="11" t="s">
        <v>398</v>
      </c>
      <c r="N87" s="11" t="s">
        <v>1073</v>
      </c>
      <c r="O87" s="11" t="s">
        <v>1074</v>
      </c>
      <c r="P87" s="11" t="s">
        <v>112</v>
      </c>
      <c r="Q87" s="11" t="s">
        <v>704</v>
      </c>
      <c r="R87" s="11" t="s">
        <v>1075</v>
      </c>
      <c r="S87" s="11" t="s">
        <v>115</v>
      </c>
      <c r="T87" s="11" t="s">
        <v>115</v>
      </c>
      <c r="U87" s="11" t="s">
        <v>1076</v>
      </c>
      <c r="V87" s="11" t="s">
        <v>1077</v>
      </c>
      <c r="W87" s="11" t="s">
        <v>1078</v>
      </c>
      <c r="X87" s="11"/>
      <c r="Y87" s="11" t="s">
        <v>1079</v>
      </c>
      <c r="Z87" s="12" t="s">
        <v>118</v>
      </c>
      <c r="AA87" s="12" t="s">
        <v>119</v>
      </c>
      <c r="AB87" s="11" t="s">
        <v>176</v>
      </c>
      <c r="AC87" s="13" t="s">
        <v>121</v>
      </c>
      <c r="AD87" s="14"/>
      <c r="AE87" s="13"/>
      <c r="AF87" s="13"/>
      <c r="AG87" s="13"/>
      <c r="AH87" s="14" t="str">
        <f aca="false">IF(AD87="","",WORKDAY(AD87,5))</f>
        <v/>
      </c>
      <c r="AI87" s="13"/>
      <c r="AJ87" s="13"/>
    </row>
    <row r="88" customFormat="false" ht="35.05" hidden="false" customHeight="false" outlineLevel="0" collapsed="false">
      <c r="A88" s="15" t="s">
        <v>1067</v>
      </c>
      <c r="B88" s="16" t="n">
        <v>87</v>
      </c>
      <c r="C88" s="17" t="n">
        <v>4</v>
      </c>
      <c r="D88" s="18" t="s">
        <v>122</v>
      </c>
      <c r="E88" s="22" t="s">
        <v>1080</v>
      </c>
      <c r="F88" s="19" t="s">
        <v>1081</v>
      </c>
      <c r="G88" s="18" t="s">
        <v>1082</v>
      </c>
      <c r="H88" s="18"/>
      <c r="I88" s="18" t="s">
        <v>105</v>
      </c>
      <c r="J88" s="18" t="s">
        <v>1083</v>
      </c>
      <c r="K88" s="18" t="s">
        <v>1084</v>
      </c>
      <c r="L88" s="18"/>
      <c r="M88" s="18" t="s">
        <v>1085</v>
      </c>
      <c r="N88" s="18" t="s">
        <v>1086</v>
      </c>
      <c r="O88" s="18" t="s">
        <v>959</v>
      </c>
      <c r="P88" s="18" t="s">
        <v>112</v>
      </c>
      <c r="Q88" s="18" t="s">
        <v>704</v>
      </c>
      <c r="R88" s="18" t="s">
        <v>1087</v>
      </c>
      <c r="S88" s="18" t="s">
        <v>115</v>
      </c>
      <c r="T88" s="18" t="s">
        <v>115</v>
      </c>
      <c r="U88" s="18"/>
      <c r="V88" s="18" t="s">
        <v>1088</v>
      </c>
      <c r="W88" s="18" t="s">
        <v>1089</v>
      </c>
      <c r="X88" s="18" t="s">
        <v>1090</v>
      </c>
      <c r="Y88" s="18" t="s">
        <v>1091</v>
      </c>
      <c r="Z88" s="19" t="s">
        <v>118</v>
      </c>
      <c r="AA88" s="19" t="s">
        <v>119</v>
      </c>
      <c r="AB88" s="18" t="s">
        <v>176</v>
      </c>
      <c r="AC88" s="20" t="s">
        <v>121</v>
      </c>
      <c r="AD88" s="21"/>
      <c r="AE88" s="20"/>
      <c r="AF88" s="20"/>
      <c r="AG88" s="20"/>
      <c r="AH88" s="21" t="str">
        <f aca="false">IF(AD88="","",WORKDAY(AD88,5))</f>
        <v/>
      </c>
      <c r="AI88" s="20"/>
      <c r="AJ88" s="20"/>
    </row>
    <row r="89" customFormat="false" ht="23.85" hidden="false" customHeight="false" outlineLevel="0" collapsed="false">
      <c r="A89" s="15" t="s">
        <v>1067</v>
      </c>
      <c r="B89" s="16" t="n">
        <v>88</v>
      </c>
      <c r="C89" s="17" t="n">
        <v>4</v>
      </c>
      <c r="D89" s="18" t="s">
        <v>364</v>
      </c>
      <c r="E89" s="22" t="s">
        <v>1092</v>
      </c>
      <c r="F89" s="19" t="s">
        <v>1093</v>
      </c>
      <c r="G89" s="18" t="s">
        <v>1070</v>
      </c>
      <c r="H89" s="18"/>
      <c r="I89" s="18" t="s">
        <v>105</v>
      </c>
      <c r="J89" s="18" t="s">
        <v>1094</v>
      </c>
      <c r="K89" s="18"/>
      <c r="L89" s="18" t="s">
        <v>1095</v>
      </c>
      <c r="M89" s="18" t="s">
        <v>157</v>
      </c>
      <c r="N89" s="18" t="s">
        <v>1096</v>
      </c>
      <c r="O89" s="18" t="s">
        <v>1097</v>
      </c>
      <c r="P89" s="18" t="s">
        <v>112</v>
      </c>
      <c r="Q89" s="18" t="s">
        <v>1098</v>
      </c>
      <c r="R89" s="18" t="s">
        <v>1099</v>
      </c>
      <c r="S89" s="18" t="s">
        <v>115</v>
      </c>
      <c r="T89" s="18" t="s">
        <v>115</v>
      </c>
      <c r="U89" s="18"/>
      <c r="V89" s="18" t="s">
        <v>1100</v>
      </c>
      <c r="W89" s="18" t="s">
        <v>1101</v>
      </c>
      <c r="X89" s="18"/>
      <c r="Y89" s="18" t="s">
        <v>165</v>
      </c>
      <c r="Z89" s="19" t="s">
        <v>118</v>
      </c>
      <c r="AA89" s="19" t="s">
        <v>119</v>
      </c>
      <c r="AB89" s="18" t="s">
        <v>176</v>
      </c>
      <c r="AC89" s="20" t="s">
        <v>121</v>
      </c>
      <c r="AD89" s="21"/>
      <c r="AE89" s="20"/>
      <c r="AF89" s="20"/>
      <c r="AG89" s="20"/>
      <c r="AH89" s="21" t="str">
        <f aca="false">IF(AD89="","",WORKDAY(AD89,5))</f>
        <v/>
      </c>
      <c r="AI89" s="20"/>
      <c r="AJ89" s="20"/>
    </row>
    <row r="90" customFormat="false" ht="23.85" hidden="false" customHeight="false" outlineLevel="0" collapsed="false">
      <c r="A90" s="15" t="s">
        <v>1067</v>
      </c>
      <c r="B90" s="16" t="n">
        <v>89</v>
      </c>
      <c r="C90" s="17" t="n">
        <v>4</v>
      </c>
      <c r="D90" s="18" t="s">
        <v>379</v>
      </c>
      <c r="E90" s="18" t="s">
        <v>1102</v>
      </c>
      <c r="F90" s="18" t="s">
        <v>167</v>
      </c>
      <c r="G90" s="18" t="s">
        <v>1103</v>
      </c>
      <c r="H90" s="18" t="s">
        <v>338</v>
      </c>
      <c r="I90" s="18" t="s">
        <v>105</v>
      </c>
      <c r="J90" s="18"/>
      <c r="K90" s="18"/>
      <c r="L90" s="18"/>
      <c r="M90" s="18" t="s">
        <v>1104</v>
      </c>
      <c r="N90" s="18" t="s">
        <v>1105</v>
      </c>
      <c r="O90" s="18" t="s">
        <v>1106</v>
      </c>
      <c r="P90" s="18" t="s">
        <v>112</v>
      </c>
      <c r="Q90" s="18" t="s">
        <v>330</v>
      </c>
      <c r="R90" s="18" t="s">
        <v>1107</v>
      </c>
      <c r="S90" s="18" t="s">
        <v>115</v>
      </c>
      <c r="T90" s="18" t="s">
        <v>115</v>
      </c>
      <c r="U90" s="18"/>
      <c r="V90" s="18" t="s">
        <v>1108</v>
      </c>
      <c r="W90" s="18" t="s">
        <v>1109</v>
      </c>
      <c r="X90" s="18"/>
      <c r="Y90" s="18" t="s">
        <v>1110</v>
      </c>
      <c r="Z90" s="19" t="s">
        <v>118</v>
      </c>
      <c r="AA90" s="19" t="s">
        <v>119</v>
      </c>
      <c r="AB90" s="18" t="s">
        <v>120</v>
      </c>
      <c r="AC90" s="20" t="s">
        <v>121</v>
      </c>
      <c r="AD90" s="21"/>
      <c r="AE90" s="20"/>
      <c r="AF90" s="20"/>
      <c r="AG90" s="20"/>
      <c r="AH90" s="21" t="str">
        <f aca="false">IF(AD90="","",WORKDAY(AD90,5))</f>
        <v/>
      </c>
      <c r="AI90" s="20"/>
      <c r="AJ90" s="20"/>
    </row>
    <row r="91" customFormat="false" ht="23.85" hidden="false" customHeight="false" outlineLevel="0" collapsed="false">
      <c r="A91" s="15" t="s">
        <v>1067</v>
      </c>
      <c r="B91" s="16" t="n">
        <v>90</v>
      </c>
      <c r="C91" s="17" t="n">
        <v>3</v>
      </c>
      <c r="D91" s="18" t="s">
        <v>188</v>
      </c>
      <c r="E91" s="22" t="s">
        <v>1111</v>
      </c>
      <c r="F91" s="18" t="s">
        <v>167</v>
      </c>
      <c r="G91" s="18" t="s">
        <v>1112</v>
      </c>
      <c r="H91" s="18"/>
      <c r="I91" s="18" t="s">
        <v>105</v>
      </c>
      <c r="J91" s="18" t="s">
        <v>1112</v>
      </c>
      <c r="K91" s="18"/>
      <c r="L91" s="18" t="s">
        <v>1113</v>
      </c>
      <c r="M91" s="18" t="s">
        <v>544</v>
      </c>
      <c r="N91" s="18" t="s">
        <v>1114</v>
      </c>
      <c r="O91" s="18" t="s">
        <v>1115</v>
      </c>
      <c r="P91" s="18" t="s">
        <v>112</v>
      </c>
      <c r="Q91" s="18" t="s">
        <v>243</v>
      </c>
      <c r="R91" s="18" t="s">
        <v>114</v>
      </c>
      <c r="S91" s="18" t="s">
        <v>115</v>
      </c>
      <c r="T91" s="18" t="s">
        <v>115</v>
      </c>
      <c r="U91" s="18"/>
      <c r="V91" s="18" t="s">
        <v>1116</v>
      </c>
      <c r="W91" s="18" t="s">
        <v>1117</v>
      </c>
      <c r="X91" s="18"/>
      <c r="Y91" s="18" t="s">
        <v>1118</v>
      </c>
      <c r="Z91" s="19" t="s">
        <v>118</v>
      </c>
      <c r="AA91" s="19" t="s">
        <v>119</v>
      </c>
      <c r="AB91" s="18" t="s">
        <v>176</v>
      </c>
      <c r="AC91" s="20" t="s">
        <v>121</v>
      </c>
      <c r="AD91" s="21"/>
      <c r="AE91" s="20"/>
      <c r="AF91" s="20"/>
      <c r="AG91" s="20"/>
      <c r="AH91" s="21" t="str">
        <f aca="false">IF(AD91="","",WORKDAY(AD91,5))</f>
        <v/>
      </c>
      <c r="AI91" s="20"/>
      <c r="AJ91" s="20"/>
    </row>
    <row r="92" customFormat="false" ht="23.85" hidden="false" customHeight="false" outlineLevel="0" collapsed="false">
      <c r="A92" s="15" t="s">
        <v>1067</v>
      </c>
      <c r="B92" s="16" t="n">
        <v>91</v>
      </c>
      <c r="C92" s="17" t="n">
        <v>3</v>
      </c>
      <c r="D92" s="18" t="s">
        <v>122</v>
      </c>
      <c r="E92" s="18" t="s">
        <v>1119</v>
      </c>
      <c r="F92" s="18" t="s">
        <v>167</v>
      </c>
      <c r="G92" s="18" t="s">
        <v>1120</v>
      </c>
      <c r="H92" s="18"/>
      <c r="I92" s="18" t="s">
        <v>105</v>
      </c>
      <c r="J92" s="18" t="s">
        <v>1121</v>
      </c>
      <c r="K92" s="18" t="s">
        <v>1122</v>
      </c>
      <c r="L92" s="18"/>
      <c r="M92" s="18" t="s">
        <v>1123</v>
      </c>
      <c r="N92" s="18" t="s">
        <v>1124</v>
      </c>
      <c r="O92" s="18" t="s">
        <v>959</v>
      </c>
      <c r="P92" s="18" t="s">
        <v>112</v>
      </c>
      <c r="Q92" s="18" t="s">
        <v>1125</v>
      </c>
      <c r="R92" s="18" t="s">
        <v>114</v>
      </c>
      <c r="S92" s="18" t="s">
        <v>115</v>
      </c>
      <c r="T92" s="18" t="s">
        <v>115</v>
      </c>
      <c r="U92" s="18"/>
      <c r="V92" s="18" t="s">
        <v>1126</v>
      </c>
      <c r="W92" s="18"/>
      <c r="X92" s="18"/>
      <c r="Y92" s="18" t="s">
        <v>1127</v>
      </c>
      <c r="Z92" s="19" t="s">
        <v>118</v>
      </c>
      <c r="AA92" s="19" t="s">
        <v>119</v>
      </c>
      <c r="AB92" s="18" t="s">
        <v>120</v>
      </c>
      <c r="AC92" s="20" t="s">
        <v>121</v>
      </c>
      <c r="AD92" s="21"/>
      <c r="AE92" s="20"/>
      <c r="AF92" s="20"/>
      <c r="AG92" s="20"/>
      <c r="AH92" s="21" t="str">
        <f aca="false">IF(AD92="","",WORKDAY(AD92,5))</f>
        <v/>
      </c>
      <c r="AI92" s="20"/>
      <c r="AJ92" s="20"/>
    </row>
    <row r="93" customFormat="false" ht="35.05" hidden="false" customHeight="false" outlineLevel="0" collapsed="false">
      <c r="A93" s="15" t="s">
        <v>1067</v>
      </c>
      <c r="B93" s="16" t="n">
        <v>92</v>
      </c>
      <c r="C93" s="17" t="n">
        <v>3</v>
      </c>
      <c r="D93" s="18" t="s">
        <v>122</v>
      </c>
      <c r="E93" s="22" t="s">
        <v>1128</v>
      </c>
      <c r="F93" s="19" t="s">
        <v>1129</v>
      </c>
      <c r="G93" s="18" t="s">
        <v>1130</v>
      </c>
      <c r="H93" s="18"/>
      <c r="I93" s="18" t="s">
        <v>105</v>
      </c>
      <c r="J93" s="18" t="s">
        <v>1130</v>
      </c>
      <c r="K93" s="18"/>
      <c r="L93" s="18"/>
      <c r="M93" s="18" t="s">
        <v>398</v>
      </c>
      <c r="N93" s="18" t="s">
        <v>1131</v>
      </c>
      <c r="O93" s="18" t="s">
        <v>1132</v>
      </c>
      <c r="P93" s="18" t="s">
        <v>112</v>
      </c>
      <c r="Q93" s="18" t="s">
        <v>704</v>
      </c>
      <c r="R93" s="18" t="s">
        <v>1133</v>
      </c>
      <c r="S93" s="18" t="s">
        <v>115</v>
      </c>
      <c r="T93" s="18" t="s">
        <v>115</v>
      </c>
      <c r="U93" s="18"/>
      <c r="V93" s="18" t="s">
        <v>1134</v>
      </c>
      <c r="W93" s="18"/>
      <c r="X93" s="18"/>
      <c r="Y93" s="18" t="s">
        <v>1135</v>
      </c>
      <c r="Z93" s="19" t="s">
        <v>118</v>
      </c>
      <c r="AA93" s="19" t="s">
        <v>119</v>
      </c>
      <c r="AB93" s="18" t="s">
        <v>176</v>
      </c>
      <c r="AC93" s="20" t="s">
        <v>121</v>
      </c>
      <c r="AD93" s="21"/>
      <c r="AE93" s="20"/>
      <c r="AF93" s="20"/>
      <c r="AG93" s="20"/>
      <c r="AH93" s="21" t="str">
        <f aca="false">IF(AD93="","",WORKDAY(AD93,5))</f>
        <v/>
      </c>
      <c r="AI93" s="20"/>
      <c r="AJ93" s="20"/>
    </row>
    <row r="94" customFormat="false" ht="35.05" hidden="false" customHeight="false" outlineLevel="0" collapsed="false">
      <c r="A94" s="15" t="s">
        <v>1067</v>
      </c>
      <c r="B94" s="16" t="n">
        <v>93</v>
      </c>
      <c r="C94" s="17" t="n">
        <v>3</v>
      </c>
      <c r="D94" s="18" t="s">
        <v>364</v>
      </c>
      <c r="E94" s="22" t="s">
        <v>1136</v>
      </c>
      <c r="F94" s="19" t="s">
        <v>1137</v>
      </c>
      <c r="G94" s="18" t="s">
        <v>1138</v>
      </c>
      <c r="H94" s="18"/>
      <c r="I94" s="18" t="s">
        <v>105</v>
      </c>
      <c r="J94" s="18" t="s">
        <v>1139</v>
      </c>
      <c r="K94" s="18" t="s">
        <v>1140</v>
      </c>
      <c r="L94" s="18"/>
      <c r="M94" s="18" t="s">
        <v>157</v>
      </c>
      <c r="N94" s="18" t="s">
        <v>1141</v>
      </c>
      <c r="O94" s="18" t="s">
        <v>1142</v>
      </c>
      <c r="P94" s="18" t="s">
        <v>112</v>
      </c>
      <c r="Q94" s="18" t="s">
        <v>1143</v>
      </c>
      <c r="R94" s="18" t="s">
        <v>1144</v>
      </c>
      <c r="S94" s="18" t="s">
        <v>115</v>
      </c>
      <c r="T94" s="18" t="s">
        <v>115</v>
      </c>
      <c r="U94" s="18"/>
      <c r="V94" s="18" t="s">
        <v>1145</v>
      </c>
      <c r="W94" s="18"/>
      <c r="X94" s="18"/>
      <c r="Y94" s="18" t="s">
        <v>1146</v>
      </c>
      <c r="Z94" s="19" t="s">
        <v>118</v>
      </c>
      <c r="AA94" s="19" t="s">
        <v>119</v>
      </c>
      <c r="AB94" s="18" t="s">
        <v>176</v>
      </c>
      <c r="AC94" s="20" t="s">
        <v>121</v>
      </c>
      <c r="AD94" s="21"/>
      <c r="AE94" s="20"/>
      <c r="AF94" s="20"/>
      <c r="AG94" s="20"/>
      <c r="AH94" s="21" t="str">
        <f aca="false">IF(AD94="","",WORKDAY(AD94,5))</f>
        <v/>
      </c>
      <c r="AI94" s="20"/>
      <c r="AJ94" s="20"/>
    </row>
    <row r="95" customFormat="false" ht="23.85" hidden="false" customHeight="false" outlineLevel="0" collapsed="false">
      <c r="A95" s="15" t="s">
        <v>1067</v>
      </c>
      <c r="B95" s="16" t="n">
        <v>94</v>
      </c>
      <c r="C95" s="17" t="n">
        <v>3</v>
      </c>
      <c r="D95" s="18" t="s">
        <v>364</v>
      </c>
      <c r="E95" s="18" t="s">
        <v>1147</v>
      </c>
      <c r="F95" s="19" t="s">
        <v>1148</v>
      </c>
      <c r="G95" s="18" t="s">
        <v>1149</v>
      </c>
      <c r="H95" s="18"/>
      <c r="I95" s="18" t="s">
        <v>105</v>
      </c>
      <c r="J95" s="18" t="s">
        <v>1150</v>
      </c>
      <c r="K95" s="18"/>
      <c r="L95" s="18"/>
      <c r="M95" s="18" t="s">
        <v>1151</v>
      </c>
      <c r="N95" s="18" t="s">
        <v>1152</v>
      </c>
      <c r="O95" s="18" t="s">
        <v>1153</v>
      </c>
      <c r="P95" s="18" t="s">
        <v>112</v>
      </c>
      <c r="Q95" s="18" t="s">
        <v>195</v>
      </c>
      <c r="R95" s="18" t="s">
        <v>114</v>
      </c>
      <c r="S95" s="18" t="s">
        <v>115</v>
      </c>
      <c r="T95" s="18" t="s">
        <v>115</v>
      </c>
      <c r="U95" s="18" t="s">
        <v>1154</v>
      </c>
      <c r="V95" s="18" t="s">
        <v>1155</v>
      </c>
      <c r="W95" s="18" t="s">
        <v>1156</v>
      </c>
      <c r="X95" s="18"/>
      <c r="Y95" s="18" t="s">
        <v>1157</v>
      </c>
      <c r="Z95" s="19" t="s">
        <v>118</v>
      </c>
      <c r="AA95" s="19" t="s">
        <v>119</v>
      </c>
      <c r="AB95" s="18" t="s">
        <v>120</v>
      </c>
      <c r="AC95" s="20" t="s">
        <v>121</v>
      </c>
      <c r="AD95" s="21"/>
      <c r="AE95" s="20"/>
      <c r="AF95" s="20"/>
      <c r="AG95" s="20"/>
      <c r="AH95" s="21" t="str">
        <f aca="false">IF(AD95="","",WORKDAY(AD95,5))</f>
        <v/>
      </c>
      <c r="AI95" s="20"/>
      <c r="AJ95" s="20"/>
    </row>
    <row r="96" customFormat="false" ht="23.85" hidden="false" customHeight="false" outlineLevel="0" collapsed="false">
      <c r="A96" s="15" t="s">
        <v>1067</v>
      </c>
      <c r="B96" s="16" t="n">
        <v>95</v>
      </c>
      <c r="C96" s="17" t="n">
        <v>3</v>
      </c>
      <c r="D96" s="18" t="s">
        <v>135</v>
      </c>
      <c r="E96" s="18" t="s">
        <v>1158</v>
      </c>
      <c r="F96" s="18" t="s">
        <v>167</v>
      </c>
      <c r="G96" s="18" t="s">
        <v>1159</v>
      </c>
      <c r="H96" s="18"/>
      <c r="I96" s="18" t="s">
        <v>105</v>
      </c>
      <c r="J96" s="18" t="s">
        <v>1160</v>
      </c>
      <c r="K96" s="18"/>
      <c r="L96" s="18"/>
      <c r="M96" s="18" t="s">
        <v>1161</v>
      </c>
      <c r="N96" s="18" t="s">
        <v>1162</v>
      </c>
      <c r="O96" s="18" t="s">
        <v>1163</v>
      </c>
      <c r="P96" s="18" t="s">
        <v>112</v>
      </c>
      <c r="Q96" s="18" t="s">
        <v>567</v>
      </c>
      <c r="R96" s="18" t="s">
        <v>1164</v>
      </c>
      <c r="S96" s="18" t="s">
        <v>115</v>
      </c>
      <c r="T96" s="18" t="s">
        <v>115</v>
      </c>
      <c r="U96" s="18"/>
      <c r="V96" s="18" t="s">
        <v>1165</v>
      </c>
      <c r="W96" s="18" t="s">
        <v>1166</v>
      </c>
      <c r="X96" s="18"/>
      <c r="Y96" s="18" t="s">
        <v>1167</v>
      </c>
      <c r="Z96" s="19" t="s">
        <v>118</v>
      </c>
      <c r="AA96" s="19" t="s">
        <v>119</v>
      </c>
      <c r="AB96" s="18" t="s">
        <v>149</v>
      </c>
      <c r="AC96" s="20" t="s">
        <v>121</v>
      </c>
      <c r="AD96" s="21"/>
      <c r="AE96" s="20"/>
      <c r="AF96" s="20"/>
      <c r="AG96" s="20"/>
      <c r="AH96" s="21" t="str">
        <f aca="false">IF(AD96="","",WORKDAY(AD96,5))</f>
        <v/>
      </c>
      <c r="AI96" s="20"/>
      <c r="AJ96" s="20"/>
    </row>
    <row r="97" customFormat="false" ht="23.85" hidden="false" customHeight="false" outlineLevel="0" collapsed="false">
      <c r="A97" s="15" t="s">
        <v>1067</v>
      </c>
      <c r="B97" s="16" t="n">
        <v>96</v>
      </c>
      <c r="C97" s="17" t="n">
        <v>3</v>
      </c>
      <c r="D97" s="18" t="s">
        <v>135</v>
      </c>
      <c r="E97" s="18" t="s">
        <v>1168</v>
      </c>
      <c r="F97" s="18" t="s">
        <v>167</v>
      </c>
      <c r="G97" s="18" t="s">
        <v>1169</v>
      </c>
      <c r="H97" s="18"/>
      <c r="I97" s="18" t="s">
        <v>105</v>
      </c>
      <c r="J97" s="18" t="s">
        <v>1170</v>
      </c>
      <c r="K97" s="18"/>
      <c r="L97" s="18"/>
      <c r="M97" s="18" t="s">
        <v>564</v>
      </c>
      <c r="N97" s="18" t="s">
        <v>1171</v>
      </c>
      <c r="O97" s="18" t="s">
        <v>725</v>
      </c>
      <c r="P97" s="18" t="s">
        <v>112</v>
      </c>
      <c r="Q97" s="18" t="s">
        <v>1172</v>
      </c>
      <c r="R97" s="18" t="s">
        <v>145</v>
      </c>
      <c r="S97" s="18" t="s">
        <v>115</v>
      </c>
      <c r="T97" s="18" t="s">
        <v>115</v>
      </c>
      <c r="U97" s="18"/>
      <c r="V97" s="18" t="s">
        <v>1173</v>
      </c>
      <c r="W97" s="18"/>
      <c r="X97" s="18"/>
      <c r="Y97" s="18" t="s">
        <v>1174</v>
      </c>
      <c r="Z97" s="19" t="s">
        <v>118</v>
      </c>
      <c r="AA97" s="19" t="s">
        <v>119</v>
      </c>
      <c r="AB97" s="18" t="s">
        <v>149</v>
      </c>
      <c r="AC97" s="20" t="s">
        <v>121</v>
      </c>
      <c r="AD97" s="21"/>
      <c r="AE97" s="20"/>
      <c r="AF97" s="20"/>
      <c r="AG97" s="20"/>
      <c r="AH97" s="21" t="str">
        <f aca="false">IF(AD97="","",WORKDAY(AD97,5))</f>
        <v/>
      </c>
      <c r="AI97" s="20"/>
      <c r="AJ97" s="20"/>
    </row>
    <row r="98" customFormat="false" ht="35.05" hidden="false" customHeight="false" outlineLevel="0" collapsed="false">
      <c r="A98" s="15" t="s">
        <v>1067</v>
      </c>
      <c r="B98" s="16" t="n">
        <v>97</v>
      </c>
      <c r="C98" s="17" t="n">
        <v>3</v>
      </c>
      <c r="D98" s="18" t="s">
        <v>379</v>
      </c>
      <c r="E98" s="18" t="s">
        <v>1175</v>
      </c>
      <c r="F98" s="19" t="s">
        <v>1176</v>
      </c>
      <c r="G98" s="18" t="s">
        <v>1177</v>
      </c>
      <c r="H98" s="18"/>
      <c r="I98" s="18" t="s">
        <v>105</v>
      </c>
      <c r="J98" s="18" t="s">
        <v>1178</v>
      </c>
      <c r="K98" s="18"/>
      <c r="L98" s="18"/>
      <c r="M98" s="18" t="s">
        <v>1179</v>
      </c>
      <c r="N98" s="18" t="s">
        <v>1180</v>
      </c>
      <c r="O98" s="18" t="s">
        <v>775</v>
      </c>
      <c r="P98" s="18" t="s">
        <v>112</v>
      </c>
      <c r="Q98" s="18" t="s">
        <v>1181</v>
      </c>
      <c r="R98" s="18" t="s">
        <v>1182</v>
      </c>
      <c r="S98" s="18" t="s">
        <v>115</v>
      </c>
      <c r="T98" s="18" t="s">
        <v>320</v>
      </c>
      <c r="U98" s="18" t="s">
        <v>1183</v>
      </c>
      <c r="V98" s="18" t="s">
        <v>1184</v>
      </c>
      <c r="W98" s="18"/>
      <c r="X98" s="18"/>
      <c r="Y98" s="18" t="s">
        <v>1185</v>
      </c>
      <c r="Z98" s="19" t="s">
        <v>118</v>
      </c>
      <c r="AA98" s="19" t="s">
        <v>119</v>
      </c>
      <c r="AB98" s="18" t="s">
        <v>120</v>
      </c>
      <c r="AC98" s="20" t="s">
        <v>121</v>
      </c>
      <c r="AD98" s="21"/>
      <c r="AE98" s="20"/>
      <c r="AF98" s="20"/>
      <c r="AG98" s="20"/>
      <c r="AH98" s="21" t="str">
        <f aca="false">IF(AD98="","",WORKDAY(AD98,5))</f>
        <v/>
      </c>
      <c r="AI98" s="20"/>
      <c r="AJ98" s="20"/>
    </row>
    <row r="99" customFormat="false" ht="23.85" hidden="false" customHeight="false" outlineLevel="0" collapsed="false">
      <c r="A99" s="15" t="s">
        <v>1067</v>
      </c>
      <c r="B99" s="16" t="n">
        <v>98</v>
      </c>
      <c r="C99" s="17" t="n">
        <v>3</v>
      </c>
      <c r="D99" s="18" t="s">
        <v>442</v>
      </c>
      <c r="E99" s="18" t="s">
        <v>1186</v>
      </c>
      <c r="F99" s="19" t="s">
        <v>1187</v>
      </c>
      <c r="G99" s="18" t="s">
        <v>1188</v>
      </c>
      <c r="H99" s="18"/>
      <c r="I99" s="18" t="s">
        <v>105</v>
      </c>
      <c r="J99" s="18" t="s">
        <v>1189</v>
      </c>
      <c r="K99" s="18"/>
      <c r="L99" s="18"/>
      <c r="M99" s="18" t="s">
        <v>1190</v>
      </c>
      <c r="N99" s="18" t="s">
        <v>1191</v>
      </c>
      <c r="O99" s="18" t="s">
        <v>1192</v>
      </c>
      <c r="P99" s="18" t="s">
        <v>112</v>
      </c>
      <c r="Q99" s="18" t="s">
        <v>195</v>
      </c>
      <c r="R99" s="18" t="s">
        <v>114</v>
      </c>
      <c r="S99" s="18" t="s">
        <v>115</v>
      </c>
      <c r="T99" s="18" t="s">
        <v>115</v>
      </c>
      <c r="U99" s="18"/>
      <c r="V99" s="18" t="s">
        <v>1193</v>
      </c>
      <c r="W99" s="18" t="s">
        <v>1194</v>
      </c>
      <c r="X99" s="18"/>
      <c r="Y99" s="18" t="s">
        <v>1195</v>
      </c>
      <c r="Z99" s="19" t="s">
        <v>118</v>
      </c>
      <c r="AA99" s="19" t="s">
        <v>119</v>
      </c>
      <c r="AB99" s="18" t="s">
        <v>120</v>
      </c>
      <c r="AC99" s="20" t="s">
        <v>121</v>
      </c>
      <c r="AD99" s="21"/>
      <c r="AE99" s="20"/>
      <c r="AF99" s="20"/>
      <c r="AG99" s="20"/>
      <c r="AH99" s="21" t="str">
        <f aca="false">IF(AD99="","",WORKDAY(AD99,5))</f>
        <v/>
      </c>
      <c r="AI99" s="20"/>
      <c r="AJ99" s="20"/>
    </row>
    <row r="100" customFormat="false" ht="23.85" hidden="false" customHeight="false" outlineLevel="0" collapsed="false">
      <c r="A100" s="15" t="s">
        <v>1067</v>
      </c>
      <c r="B100" s="16" t="n">
        <v>99</v>
      </c>
      <c r="C100" s="17" t="n">
        <v>3</v>
      </c>
      <c r="D100" s="18" t="s">
        <v>442</v>
      </c>
      <c r="E100" s="22" t="s">
        <v>1196</v>
      </c>
      <c r="F100" s="19" t="s">
        <v>1197</v>
      </c>
      <c r="G100" s="18" t="s">
        <v>1198</v>
      </c>
      <c r="H100" s="18"/>
      <c r="I100" s="18" t="s">
        <v>105</v>
      </c>
      <c r="J100" s="18" t="s">
        <v>1199</v>
      </c>
      <c r="K100" s="18"/>
      <c r="L100" s="18"/>
      <c r="M100" s="18" t="s">
        <v>544</v>
      </c>
      <c r="N100" s="18" t="s">
        <v>1200</v>
      </c>
      <c r="O100" s="18" t="s">
        <v>1201</v>
      </c>
      <c r="P100" s="18" t="s">
        <v>112</v>
      </c>
      <c r="Q100" s="18" t="s">
        <v>401</v>
      </c>
      <c r="R100" s="18" t="s">
        <v>1202</v>
      </c>
      <c r="S100" s="18" t="s">
        <v>115</v>
      </c>
      <c r="T100" s="18" t="s">
        <v>115</v>
      </c>
      <c r="U100" s="18"/>
      <c r="V100" s="18" t="s">
        <v>1203</v>
      </c>
      <c r="W100" s="18" t="s">
        <v>1204</v>
      </c>
      <c r="X100" s="18"/>
      <c r="Y100" s="18" t="s">
        <v>1205</v>
      </c>
      <c r="Z100" s="19" t="s">
        <v>118</v>
      </c>
      <c r="AA100" s="19" t="s">
        <v>119</v>
      </c>
      <c r="AB100" s="18" t="s">
        <v>176</v>
      </c>
      <c r="AC100" s="20" t="s">
        <v>121</v>
      </c>
      <c r="AD100" s="21"/>
      <c r="AE100" s="20"/>
      <c r="AF100" s="20"/>
      <c r="AG100" s="20"/>
      <c r="AH100" s="21" t="str">
        <f aca="false">IF(AD100="","",WORKDAY(AD100,5))</f>
        <v/>
      </c>
      <c r="AI100" s="20"/>
      <c r="AJ100" s="20"/>
    </row>
    <row r="101" customFormat="false" ht="23.85" hidden="false" customHeight="false" outlineLevel="0" collapsed="false">
      <c r="A101" s="15" t="s">
        <v>1067</v>
      </c>
      <c r="B101" s="16" t="n">
        <v>100</v>
      </c>
      <c r="C101" s="17" t="n">
        <v>3</v>
      </c>
      <c r="D101" s="18" t="s">
        <v>248</v>
      </c>
      <c r="E101" s="22" t="s">
        <v>1206</v>
      </c>
      <c r="F101" s="19" t="s">
        <v>1207</v>
      </c>
      <c r="G101" s="18" t="s">
        <v>1070</v>
      </c>
      <c r="H101" s="18"/>
      <c r="I101" s="18" t="s">
        <v>105</v>
      </c>
      <c r="J101" s="18" t="s">
        <v>1208</v>
      </c>
      <c r="K101" s="18" t="s">
        <v>1209</v>
      </c>
      <c r="L101" s="18" t="s">
        <v>1210</v>
      </c>
      <c r="M101" s="18" t="s">
        <v>1211</v>
      </c>
      <c r="N101" s="18" t="s">
        <v>1212</v>
      </c>
      <c r="O101" s="18" t="s">
        <v>1213</v>
      </c>
      <c r="P101" s="18" t="s">
        <v>112</v>
      </c>
      <c r="Q101" s="18" t="s">
        <v>401</v>
      </c>
      <c r="R101" s="18" t="s">
        <v>114</v>
      </c>
      <c r="S101" s="18" t="s">
        <v>115</v>
      </c>
      <c r="T101" s="18" t="s">
        <v>115</v>
      </c>
      <c r="U101" s="18"/>
      <c r="V101" s="18" t="s">
        <v>1214</v>
      </c>
      <c r="W101" s="18" t="s">
        <v>1215</v>
      </c>
      <c r="X101" s="18"/>
      <c r="Y101" s="18" t="s">
        <v>1216</v>
      </c>
      <c r="Z101" s="19" t="s">
        <v>118</v>
      </c>
      <c r="AA101" s="19" t="s">
        <v>119</v>
      </c>
      <c r="AB101" s="18" t="s">
        <v>176</v>
      </c>
      <c r="AC101" s="20" t="s">
        <v>121</v>
      </c>
      <c r="AD101" s="21"/>
      <c r="AE101" s="20"/>
      <c r="AF101" s="20"/>
      <c r="AG101" s="20"/>
      <c r="AH101" s="21" t="str">
        <f aca="false">IF(AD101="","",WORKDAY(AD101,5))</f>
        <v/>
      </c>
      <c r="AI101" s="20"/>
      <c r="AJ101" s="20"/>
    </row>
    <row r="102" customFormat="false" ht="23.85" hidden="false" customHeight="false" outlineLevel="0" collapsed="false">
      <c r="A102" s="15" t="s">
        <v>1067</v>
      </c>
      <c r="B102" s="16" t="n">
        <v>101</v>
      </c>
      <c r="C102" s="17" t="n">
        <v>3</v>
      </c>
      <c r="D102" s="18" t="s">
        <v>236</v>
      </c>
      <c r="E102" s="18" t="s">
        <v>1217</v>
      </c>
      <c r="F102" s="19" t="s">
        <v>1218</v>
      </c>
      <c r="G102" s="18" t="s">
        <v>1219</v>
      </c>
      <c r="H102" s="18"/>
      <c r="I102" s="18" t="s">
        <v>105</v>
      </c>
      <c r="J102" s="18" t="s">
        <v>1220</v>
      </c>
      <c r="K102" s="18"/>
      <c r="L102" s="18"/>
      <c r="M102" s="18" t="s">
        <v>1221</v>
      </c>
      <c r="N102" s="18" t="s">
        <v>1222</v>
      </c>
      <c r="O102" s="18" t="s">
        <v>483</v>
      </c>
      <c r="P102" s="18" t="s">
        <v>112</v>
      </c>
      <c r="Q102" s="18" t="s">
        <v>401</v>
      </c>
      <c r="R102" s="18" t="s">
        <v>1223</v>
      </c>
      <c r="S102" s="18" t="s">
        <v>115</v>
      </c>
      <c r="T102" s="18" t="s">
        <v>115</v>
      </c>
      <c r="U102" s="18" t="s">
        <v>1224</v>
      </c>
      <c r="V102" s="18" t="s">
        <v>1225</v>
      </c>
      <c r="W102" s="18"/>
      <c r="X102" s="18"/>
      <c r="Y102" s="18" t="s">
        <v>1226</v>
      </c>
      <c r="Z102" s="19" t="s">
        <v>118</v>
      </c>
      <c r="AA102" s="19" t="s">
        <v>119</v>
      </c>
      <c r="AB102" s="18" t="s">
        <v>120</v>
      </c>
      <c r="AC102" s="20" t="s">
        <v>121</v>
      </c>
      <c r="AD102" s="21"/>
      <c r="AE102" s="20"/>
      <c r="AF102" s="20"/>
      <c r="AG102" s="20"/>
      <c r="AH102" s="21" t="str">
        <f aca="false">IF(AD102="","",WORKDAY(AD102,5))</f>
        <v/>
      </c>
      <c r="AI102" s="20"/>
      <c r="AJ102" s="20"/>
    </row>
    <row r="103" customFormat="false" ht="23.85" hidden="false" customHeight="false" outlineLevel="0" collapsed="false">
      <c r="A103" s="15" t="s">
        <v>1067</v>
      </c>
      <c r="B103" s="16" t="n">
        <v>102</v>
      </c>
      <c r="C103" s="17" t="n">
        <v>3</v>
      </c>
      <c r="D103" s="18" t="s">
        <v>236</v>
      </c>
      <c r="E103" s="18" t="s">
        <v>1227</v>
      </c>
      <c r="F103" s="18" t="s">
        <v>167</v>
      </c>
      <c r="G103" s="18" t="s">
        <v>1228</v>
      </c>
      <c r="H103" s="18"/>
      <c r="I103" s="18" t="s">
        <v>105</v>
      </c>
      <c r="J103" s="18" t="s">
        <v>1229</v>
      </c>
      <c r="K103" s="18"/>
      <c r="L103" s="18"/>
      <c r="M103" s="18" t="s">
        <v>1230</v>
      </c>
      <c r="N103" s="18" t="s">
        <v>1231</v>
      </c>
      <c r="O103" s="18" t="s">
        <v>1232</v>
      </c>
      <c r="P103" s="18" t="s">
        <v>112</v>
      </c>
      <c r="Q103" s="18" t="s">
        <v>1233</v>
      </c>
      <c r="R103" s="18" t="s">
        <v>114</v>
      </c>
      <c r="S103" s="18" t="s">
        <v>1234</v>
      </c>
      <c r="T103" s="18" t="s">
        <v>115</v>
      </c>
      <c r="U103" s="18"/>
      <c r="V103" s="18" t="s">
        <v>1235</v>
      </c>
      <c r="W103" s="18" t="s">
        <v>1236</v>
      </c>
      <c r="X103" s="18" t="s">
        <v>1237</v>
      </c>
      <c r="Y103" s="18" t="s">
        <v>1238</v>
      </c>
      <c r="Z103" s="19" t="s">
        <v>118</v>
      </c>
      <c r="AA103" s="19" t="s">
        <v>119</v>
      </c>
      <c r="AB103" s="18" t="s">
        <v>120</v>
      </c>
      <c r="AC103" s="20" t="s">
        <v>121</v>
      </c>
      <c r="AD103" s="21"/>
      <c r="AE103" s="20"/>
      <c r="AF103" s="20"/>
      <c r="AG103" s="20"/>
      <c r="AH103" s="21" t="str">
        <f aca="false">IF(AD103="","",WORKDAY(AD103,5))</f>
        <v/>
      </c>
      <c r="AI103" s="20"/>
      <c r="AJ103" s="20"/>
    </row>
    <row r="104" customFormat="false" ht="23.85" hidden="false" customHeight="false" outlineLevel="0" collapsed="false">
      <c r="A104" s="15" t="s">
        <v>1067</v>
      </c>
      <c r="B104" s="16" t="n">
        <v>103</v>
      </c>
      <c r="C104" s="17" t="n">
        <v>2</v>
      </c>
      <c r="D104" s="18" t="s">
        <v>364</v>
      </c>
      <c r="E104" s="18" t="s">
        <v>1239</v>
      </c>
      <c r="F104" s="18" t="s">
        <v>167</v>
      </c>
      <c r="G104" s="18" t="s">
        <v>1240</v>
      </c>
      <c r="H104" s="18"/>
      <c r="I104" s="18" t="s">
        <v>105</v>
      </c>
      <c r="J104" s="18" t="s">
        <v>1240</v>
      </c>
      <c r="K104" s="18"/>
      <c r="L104" s="18"/>
      <c r="M104" s="18" t="s">
        <v>1241</v>
      </c>
      <c r="N104" s="18" t="s">
        <v>1242</v>
      </c>
      <c r="O104" s="18" t="s">
        <v>1243</v>
      </c>
      <c r="P104" s="18" t="s">
        <v>112</v>
      </c>
      <c r="Q104" s="18" t="s">
        <v>1244</v>
      </c>
      <c r="R104" s="18" t="s">
        <v>114</v>
      </c>
      <c r="S104" s="18" t="s">
        <v>115</v>
      </c>
      <c r="T104" s="18" t="s">
        <v>115</v>
      </c>
      <c r="U104" s="18"/>
      <c r="V104" s="18" t="s">
        <v>1245</v>
      </c>
      <c r="W104" s="18"/>
      <c r="X104" s="18"/>
      <c r="Y104" s="18" t="s">
        <v>1246</v>
      </c>
      <c r="Z104" s="19" t="s">
        <v>118</v>
      </c>
      <c r="AA104" s="19" t="s">
        <v>119</v>
      </c>
      <c r="AB104" s="18" t="s">
        <v>120</v>
      </c>
      <c r="AC104" s="20" t="s">
        <v>121</v>
      </c>
      <c r="AD104" s="21"/>
      <c r="AE104" s="20"/>
      <c r="AF104" s="20"/>
      <c r="AG104" s="20"/>
      <c r="AH104" s="21" t="str">
        <f aca="false">IF(AD104="","",WORKDAY(AD104,5))</f>
        <v/>
      </c>
      <c r="AI104" s="20"/>
      <c r="AJ104" s="20"/>
    </row>
    <row r="105" customFormat="false" ht="23.85" hidden="false" customHeight="false" outlineLevel="0" collapsed="false">
      <c r="A105" s="15" t="s">
        <v>1067</v>
      </c>
      <c r="B105" s="16" t="n">
        <v>104</v>
      </c>
      <c r="C105" s="17" t="n">
        <v>2</v>
      </c>
      <c r="D105" s="18" t="s">
        <v>379</v>
      </c>
      <c r="E105" s="18" t="s">
        <v>1247</v>
      </c>
      <c r="F105" s="18" t="s">
        <v>167</v>
      </c>
      <c r="G105" s="18" t="s">
        <v>1070</v>
      </c>
      <c r="H105" s="18"/>
      <c r="I105" s="18" t="s">
        <v>105</v>
      </c>
      <c r="J105" s="18" t="s">
        <v>1070</v>
      </c>
      <c r="K105" s="18"/>
      <c r="L105" s="18"/>
      <c r="M105" s="18" t="s">
        <v>1248</v>
      </c>
      <c r="N105" s="18" t="s">
        <v>1249</v>
      </c>
      <c r="O105" s="18" t="s">
        <v>1250</v>
      </c>
      <c r="P105" s="18" t="s">
        <v>112</v>
      </c>
      <c r="Q105" s="18" t="s">
        <v>195</v>
      </c>
      <c r="R105" s="18" t="s">
        <v>1251</v>
      </c>
      <c r="S105" s="18" t="s">
        <v>115</v>
      </c>
      <c r="T105" s="18" t="s">
        <v>115</v>
      </c>
      <c r="U105" s="18"/>
      <c r="V105" s="18" t="s">
        <v>1252</v>
      </c>
      <c r="W105" s="18"/>
      <c r="X105" s="18"/>
      <c r="Y105" s="18" t="s">
        <v>1253</v>
      </c>
      <c r="Z105" s="19" t="s">
        <v>118</v>
      </c>
      <c r="AA105" s="19" t="s">
        <v>119</v>
      </c>
      <c r="AB105" s="18" t="s">
        <v>120</v>
      </c>
      <c r="AC105" s="20" t="s">
        <v>121</v>
      </c>
      <c r="AD105" s="21"/>
      <c r="AE105" s="20"/>
      <c r="AF105" s="20"/>
      <c r="AG105" s="20"/>
      <c r="AH105" s="21" t="str">
        <f aca="false">IF(AD105="","",WORKDAY(AD105,5))</f>
        <v/>
      </c>
      <c r="AI105" s="20"/>
      <c r="AJ105" s="20"/>
    </row>
    <row r="106" customFormat="false" ht="23.85" hidden="false" customHeight="false" outlineLevel="0" collapsed="false">
      <c r="A106" s="15" t="s">
        <v>1067</v>
      </c>
      <c r="B106" s="16" t="n">
        <v>105</v>
      </c>
      <c r="C106" s="17" t="n">
        <v>2</v>
      </c>
      <c r="D106" s="18" t="s">
        <v>101</v>
      </c>
      <c r="E106" s="18" t="s">
        <v>1254</v>
      </c>
      <c r="F106" s="19" t="s">
        <v>1255</v>
      </c>
      <c r="G106" s="18" t="s">
        <v>1256</v>
      </c>
      <c r="H106" s="18"/>
      <c r="I106" s="18" t="s">
        <v>105</v>
      </c>
      <c r="J106" s="18" t="s">
        <v>1256</v>
      </c>
      <c r="K106" s="18"/>
      <c r="L106" s="18"/>
      <c r="M106" s="18" t="s">
        <v>1257</v>
      </c>
      <c r="N106" s="18" t="s">
        <v>1258</v>
      </c>
      <c r="O106" s="18" t="s">
        <v>1259</v>
      </c>
      <c r="P106" s="18" t="s">
        <v>112</v>
      </c>
      <c r="Q106" s="18" t="s">
        <v>1260</v>
      </c>
      <c r="R106" s="18" t="s">
        <v>114</v>
      </c>
      <c r="S106" s="18" t="s">
        <v>115</v>
      </c>
      <c r="T106" s="18" t="s">
        <v>305</v>
      </c>
      <c r="U106" s="18"/>
      <c r="V106" s="18" t="s">
        <v>1261</v>
      </c>
      <c r="W106" s="18"/>
      <c r="X106" s="18"/>
      <c r="Y106" s="18" t="s">
        <v>1262</v>
      </c>
      <c r="Z106" s="19" t="s">
        <v>118</v>
      </c>
      <c r="AA106" s="19" t="s">
        <v>119</v>
      </c>
      <c r="AB106" s="18" t="s">
        <v>120</v>
      </c>
      <c r="AC106" s="20" t="s">
        <v>121</v>
      </c>
      <c r="AD106" s="21"/>
      <c r="AE106" s="20"/>
      <c r="AF106" s="20"/>
      <c r="AG106" s="20"/>
      <c r="AH106" s="21" t="str">
        <f aca="false">IF(AD106="","",WORKDAY(AD106,5))</f>
        <v/>
      </c>
      <c r="AI106" s="20"/>
      <c r="AJ106" s="20"/>
    </row>
    <row r="107" customFormat="false" ht="23.85" hidden="false" customHeight="false" outlineLevel="0" collapsed="false">
      <c r="A107" s="15" t="s">
        <v>1067</v>
      </c>
      <c r="B107" s="16" t="n">
        <v>106</v>
      </c>
      <c r="C107" s="17" t="n">
        <v>2</v>
      </c>
      <c r="D107" s="18" t="s">
        <v>442</v>
      </c>
      <c r="E107" s="18" t="s">
        <v>1263</v>
      </c>
      <c r="F107" s="19" t="s">
        <v>1264</v>
      </c>
      <c r="G107" s="18" t="s">
        <v>1265</v>
      </c>
      <c r="H107" s="18"/>
      <c r="I107" s="18" t="s">
        <v>105</v>
      </c>
      <c r="J107" s="18" t="s">
        <v>1266</v>
      </c>
      <c r="K107" s="18"/>
      <c r="L107" s="18"/>
      <c r="M107" s="18" t="s">
        <v>1267</v>
      </c>
      <c r="N107" s="18" t="s">
        <v>1268</v>
      </c>
      <c r="O107" s="18" t="s">
        <v>1269</v>
      </c>
      <c r="P107" s="18" t="s">
        <v>112</v>
      </c>
      <c r="Q107" s="18" t="s">
        <v>1270</v>
      </c>
      <c r="R107" s="18" t="s">
        <v>114</v>
      </c>
      <c r="S107" s="18" t="s">
        <v>115</v>
      </c>
      <c r="T107" s="18" t="s">
        <v>115</v>
      </c>
      <c r="U107" s="18"/>
      <c r="V107" s="18" t="s">
        <v>1271</v>
      </c>
      <c r="W107" s="18"/>
      <c r="X107" s="18"/>
      <c r="Y107" s="18" t="s">
        <v>1272</v>
      </c>
      <c r="Z107" s="19" t="s">
        <v>118</v>
      </c>
      <c r="AA107" s="19" t="s">
        <v>119</v>
      </c>
      <c r="AB107" s="18" t="s">
        <v>120</v>
      </c>
      <c r="AC107" s="20" t="s">
        <v>121</v>
      </c>
      <c r="AD107" s="21"/>
      <c r="AE107" s="20"/>
      <c r="AF107" s="20"/>
      <c r="AG107" s="20"/>
      <c r="AH107" s="21" t="str">
        <f aca="false">IF(AD107="","",WORKDAY(AD107,5))</f>
        <v/>
      </c>
      <c r="AI107" s="20"/>
      <c r="AJ107" s="20"/>
    </row>
    <row r="108" customFormat="false" ht="23.85" hidden="false" customHeight="false" outlineLevel="0" collapsed="false">
      <c r="A108" s="15" t="s">
        <v>1067</v>
      </c>
      <c r="B108" s="16" t="n">
        <v>107</v>
      </c>
      <c r="C108" s="17" t="n">
        <v>2</v>
      </c>
      <c r="D108" s="18" t="s">
        <v>248</v>
      </c>
      <c r="E108" s="18" t="s">
        <v>1273</v>
      </c>
      <c r="F108" s="19" t="s">
        <v>1274</v>
      </c>
      <c r="G108" s="18" t="s">
        <v>1275</v>
      </c>
      <c r="H108" s="18"/>
      <c r="I108" s="18" t="s">
        <v>105</v>
      </c>
      <c r="J108" s="18" t="s">
        <v>1276</v>
      </c>
      <c r="K108" s="18" t="s">
        <v>1277</v>
      </c>
      <c r="L108" s="18"/>
      <c r="M108" s="18" t="s">
        <v>1278</v>
      </c>
      <c r="N108" s="18" t="s">
        <v>1279</v>
      </c>
      <c r="O108" s="18" t="s">
        <v>1280</v>
      </c>
      <c r="P108" s="18" t="s">
        <v>112</v>
      </c>
      <c r="Q108" s="18" t="s">
        <v>330</v>
      </c>
      <c r="R108" s="18" t="s">
        <v>114</v>
      </c>
      <c r="S108" s="18" t="s">
        <v>115</v>
      </c>
      <c r="T108" s="18" t="s">
        <v>115</v>
      </c>
      <c r="U108" s="18"/>
      <c r="V108" s="18" t="s">
        <v>1281</v>
      </c>
      <c r="W108" s="18"/>
      <c r="X108" s="18"/>
      <c r="Y108" s="18" t="s">
        <v>1282</v>
      </c>
      <c r="Z108" s="19" t="s">
        <v>118</v>
      </c>
      <c r="AA108" s="19" t="s">
        <v>119</v>
      </c>
      <c r="AB108" s="18" t="s">
        <v>120</v>
      </c>
      <c r="AC108" s="20" t="s">
        <v>121</v>
      </c>
      <c r="AD108" s="21"/>
      <c r="AE108" s="20"/>
      <c r="AF108" s="20"/>
      <c r="AG108" s="20"/>
      <c r="AH108" s="21" t="str">
        <f aca="false">IF(AD108="","",WORKDAY(AD108,5))</f>
        <v/>
      </c>
      <c r="AI108" s="20"/>
      <c r="AJ108" s="20"/>
    </row>
    <row r="109" customFormat="false" ht="23.85" hidden="false" customHeight="false" outlineLevel="0" collapsed="false">
      <c r="A109" s="15" t="s">
        <v>1067</v>
      </c>
      <c r="B109" s="16" t="n">
        <v>108</v>
      </c>
      <c r="C109" s="17" t="n">
        <v>2</v>
      </c>
      <c r="D109" s="18" t="s">
        <v>236</v>
      </c>
      <c r="E109" s="18" t="s">
        <v>1283</v>
      </c>
      <c r="F109" s="19" t="s">
        <v>1284</v>
      </c>
      <c r="G109" s="18" t="s">
        <v>1285</v>
      </c>
      <c r="H109" s="18"/>
      <c r="I109" s="18" t="s">
        <v>105</v>
      </c>
      <c r="J109" s="18" t="s">
        <v>1285</v>
      </c>
      <c r="K109" s="18"/>
      <c r="L109" s="18"/>
      <c r="M109" s="18" t="s">
        <v>1286</v>
      </c>
      <c r="N109" s="18" t="s">
        <v>1287</v>
      </c>
      <c r="O109" s="18" t="s">
        <v>503</v>
      </c>
      <c r="P109" s="18" t="s">
        <v>1288</v>
      </c>
      <c r="Q109" s="18" t="s">
        <v>1289</v>
      </c>
      <c r="R109" s="18" t="s">
        <v>114</v>
      </c>
      <c r="S109" s="18" t="s">
        <v>305</v>
      </c>
      <c r="T109" s="18" t="s">
        <v>305</v>
      </c>
      <c r="U109" s="18"/>
      <c r="V109" s="18" t="s">
        <v>1290</v>
      </c>
      <c r="W109" s="18" t="s">
        <v>1291</v>
      </c>
      <c r="X109" s="18"/>
      <c r="Y109" s="18" t="s">
        <v>1292</v>
      </c>
      <c r="Z109" s="19" t="s">
        <v>118</v>
      </c>
      <c r="AA109" s="19" t="s">
        <v>119</v>
      </c>
      <c r="AB109" s="18" t="s">
        <v>120</v>
      </c>
      <c r="AC109" s="20" t="s">
        <v>121</v>
      </c>
      <c r="AD109" s="21"/>
      <c r="AE109" s="20"/>
      <c r="AF109" s="20"/>
      <c r="AG109" s="20"/>
      <c r="AH109" s="21" t="str">
        <f aca="false">IF(AD109="","",WORKDAY(AD109,5))</f>
        <v/>
      </c>
      <c r="AI109" s="20"/>
      <c r="AJ109" s="20"/>
    </row>
    <row r="110" customFormat="false" ht="23.85" hidden="false" customHeight="false" outlineLevel="0" collapsed="false">
      <c r="A110" s="15" t="s">
        <v>1067</v>
      </c>
      <c r="B110" s="16" t="n">
        <v>109</v>
      </c>
      <c r="C110" s="17" t="n">
        <v>1</v>
      </c>
      <c r="D110" s="18" t="s">
        <v>296</v>
      </c>
      <c r="E110" s="18" t="s">
        <v>1293</v>
      </c>
      <c r="F110" s="19" t="s">
        <v>1294</v>
      </c>
      <c r="G110" s="18"/>
      <c r="H110" s="18"/>
      <c r="I110" s="18" t="s">
        <v>105</v>
      </c>
      <c r="J110" s="18"/>
      <c r="K110" s="18"/>
      <c r="L110" s="18"/>
      <c r="M110" s="18" t="s">
        <v>1295</v>
      </c>
      <c r="N110" s="18" t="s">
        <v>1296</v>
      </c>
      <c r="O110" s="18" t="s">
        <v>1297</v>
      </c>
      <c r="P110" s="18" t="s">
        <v>1011</v>
      </c>
      <c r="Q110" s="18" t="s">
        <v>1298</v>
      </c>
      <c r="R110" s="18" t="s">
        <v>305</v>
      </c>
      <c r="S110" s="18" t="s">
        <v>115</v>
      </c>
      <c r="T110" s="18" t="s">
        <v>115</v>
      </c>
      <c r="U110" s="18"/>
      <c r="V110" s="18" t="s">
        <v>1299</v>
      </c>
      <c r="W110" s="18" t="s">
        <v>1300</v>
      </c>
      <c r="X110" s="18"/>
      <c r="Y110" s="18" t="s">
        <v>1301</v>
      </c>
      <c r="Z110" s="19" t="s">
        <v>118</v>
      </c>
      <c r="AA110" s="19" t="s">
        <v>119</v>
      </c>
      <c r="AB110" s="18" t="s">
        <v>149</v>
      </c>
      <c r="AC110" s="20" t="s">
        <v>121</v>
      </c>
      <c r="AD110" s="21"/>
      <c r="AE110" s="20"/>
      <c r="AF110" s="20"/>
      <c r="AG110" s="20"/>
      <c r="AH110" s="21" t="str">
        <f aca="false">IF(AD110="","",WORKDAY(AD110,5))</f>
        <v/>
      </c>
      <c r="AI110" s="20"/>
      <c r="AJ110" s="20"/>
    </row>
    <row r="111" customFormat="false" ht="35.05" hidden="false" customHeight="false" outlineLevel="0" collapsed="false">
      <c r="A111" s="15" t="s">
        <v>1067</v>
      </c>
      <c r="B111" s="16" t="n">
        <v>110</v>
      </c>
      <c r="C111" s="17" t="n">
        <v>1</v>
      </c>
      <c r="D111" s="18" t="s">
        <v>236</v>
      </c>
      <c r="E111" s="22" t="s">
        <v>1302</v>
      </c>
      <c r="F111" s="19" t="s">
        <v>1303</v>
      </c>
      <c r="G111" s="18" t="s">
        <v>1275</v>
      </c>
      <c r="H111" s="18"/>
      <c r="I111" s="18" t="s">
        <v>105</v>
      </c>
      <c r="J111" s="18" t="s">
        <v>1304</v>
      </c>
      <c r="K111" s="18"/>
      <c r="L111" s="18" t="s">
        <v>1305</v>
      </c>
      <c r="M111" s="18" t="s">
        <v>240</v>
      </c>
      <c r="N111" s="18" t="s">
        <v>1306</v>
      </c>
      <c r="O111" s="18" t="s">
        <v>242</v>
      </c>
      <c r="P111" s="18" t="s">
        <v>112</v>
      </c>
      <c r="Q111" s="18" t="s">
        <v>195</v>
      </c>
      <c r="R111" s="18" t="s">
        <v>114</v>
      </c>
      <c r="S111" s="18" t="s">
        <v>115</v>
      </c>
      <c r="T111" s="18" t="s">
        <v>115</v>
      </c>
      <c r="U111" s="18"/>
      <c r="V111" s="18" t="s">
        <v>1307</v>
      </c>
      <c r="W111" s="18"/>
      <c r="X111" s="18" t="s">
        <v>1308</v>
      </c>
      <c r="Y111" s="18" t="s">
        <v>1309</v>
      </c>
      <c r="Z111" s="19" t="s">
        <v>118</v>
      </c>
      <c r="AA111" s="19" t="s">
        <v>119</v>
      </c>
      <c r="AB111" s="18" t="s">
        <v>176</v>
      </c>
      <c r="AC111" s="20" t="s">
        <v>121</v>
      </c>
      <c r="AD111" s="21"/>
      <c r="AE111" s="20"/>
      <c r="AF111" s="20"/>
      <c r="AG111" s="20"/>
      <c r="AH111" s="21" t="str">
        <f aca="false">IF(AD111="","",WORKDAY(AD111,5))</f>
        <v/>
      </c>
      <c r="AI111" s="20"/>
      <c r="AJ111" s="20"/>
    </row>
    <row r="112" customFormat="false" ht="35.05" hidden="false" customHeight="false" outlineLevel="0" collapsed="false">
      <c r="A112" s="23" t="s">
        <v>1310</v>
      </c>
      <c r="B112" s="24" t="n">
        <v>111</v>
      </c>
      <c r="C112" s="10" t="n">
        <v>4</v>
      </c>
      <c r="D112" s="11" t="s">
        <v>122</v>
      </c>
      <c r="E112" s="11" t="s">
        <v>1311</v>
      </c>
      <c r="F112" s="12" t="s">
        <v>1312</v>
      </c>
      <c r="G112" s="11" t="s">
        <v>1313</v>
      </c>
      <c r="H112" s="11"/>
      <c r="I112" s="11" t="s">
        <v>105</v>
      </c>
      <c r="J112" s="11" t="s">
        <v>1314</v>
      </c>
      <c r="K112" s="11" t="s">
        <v>1315</v>
      </c>
      <c r="L112" s="11" t="s">
        <v>1316</v>
      </c>
      <c r="M112" s="11" t="s">
        <v>1317</v>
      </c>
      <c r="N112" s="11" t="s">
        <v>1318</v>
      </c>
      <c r="O112" s="11" t="s">
        <v>1319</v>
      </c>
      <c r="P112" s="11" t="s">
        <v>1320</v>
      </c>
      <c r="Q112" s="11" t="s">
        <v>1321</v>
      </c>
      <c r="R112" s="11" t="s">
        <v>1322</v>
      </c>
      <c r="S112" s="11" t="s">
        <v>115</v>
      </c>
      <c r="T112" s="11" t="s">
        <v>115</v>
      </c>
      <c r="U112" s="11"/>
      <c r="V112" s="11" t="s">
        <v>1323</v>
      </c>
      <c r="W112" s="11" t="s">
        <v>1324</v>
      </c>
      <c r="X112" s="11"/>
      <c r="Y112" s="11" t="s">
        <v>1325</v>
      </c>
      <c r="Z112" s="12" t="s">
        <v>118</v>
      </c>
      <c r="AA112" s="12" t="s">
        <v>119</v>
      </c>
      <c r="AB112" s="11" t="s">
        <v>120</v>
      </c>
      <c r="AC112" s="13" t="s">
        <v>121</v>
      </c>
      <c r="AD112" s="14"/>
      <c r="AE112" s="13"/>
      <c r="AF112" s="13"/>
      <c r="AG112" s="13"/>
      <c r="AH112" s="14" t="str">
        <f aca="false">IF(AD112="","",WORKDAY(AD112,5))</f>
        <v/>
      </c>
      <c r="AI112" s="13"/>
      <c r="AJ112" s="13"/>
    </row>
    <row r="113" customFormat="false" ht="35.05" hidden="false" customHeight="false" outlineLevel="0" collapsed="false">
      <c r="A113" s="8" t="s">
        <v>1326</v>
      </c>
      <c r="B113" s="9" t="n">
        <v>112</v>
      </c>
      <c r="C113" s="10" t="n">
        <v>3</v>
      </c>
      <c r="D113" s="11" t="s">
        <v>296</v>
      </c>
      <c r="E113" s="11" t="s">
        <v>1327</v>
      </c>
      <c r="F113" s="12" t="s">
        <v>1328</v>
      </c>
      <c r="G113" s="11" t="s">
        <v>1329</v>
      </c>
      <c r="H113" s="11"/>
      <c r="I113" s="11" t="s">
        <v>105</v>
      </c>
      <c r="J113" s="11"/>
      <c r="K113" s="11"/>
      <c r="L113" s="11"/>
      <c r="M113" s="11" t="s">
        <v>1330</v>
      </c>
      <c r="N113" s="11" t="s">
        <v>1331</v>
      </c>
      <c r="O113" s="11" t="s">
        <v>1332</v>
      </c>
      <c r="P113" s="11" t="s">
        <v>1333</v>
      </c>
      <c r="Q113" s="11" t="s">
        <v>1334</v>
      </c>
      <c r="R113" s="11" t="s">
        <v>1322</v>
      </c>
      <c r="S113" s="11" t="s">
        <v>115</v>
      </c>
      <c r="T113" s="11" t="s">
        <v>115</v>
      </c>
      <c r="U113" s="11"/>
      <c r="V113" s="11" t="s">
        <v>1335</v>
      </c>
      <c r="W113" s="11" t="s">
        <v>1336</v>
      </c>
      <c r="X113" s="11" t="s">
        <v>1337</v>
      </c>
      <c r="Y113" s="11" t="s">
        <v>1338</v>
      </c>
      <c r="Z113" s="12" t="s">
        <v>118</v>
      </c>
      <c r="AA113" s="12" t="s">
        <v>119</v>
      </c>
      <c r="AB113" s="11" t="s">
        <v>149</v>
      </c>
      <c r="AC113" s="13" t="s">
        <v>121</v>
      </c>
      <c r="AD113" s="14"/>
      <c r="AE113" s="13"/>
      <c r="AF113" s="13"/>
      <c r="AG113" s="13"/>
      <c r="AH113" s="14" t="str">
        <f aca="false">IF(AD113="","",WORKDAY(AD113,5))</f>
        <v/>
      </c>
      <c r="AI113" s="13"/>
      <c r="AJ113" s="13"/>
    </row>
    <row r="114" customFormat="false" ht="35.05" hidden="false" customHeight="false" outlineLevel="0" collapsed="false">
      <c r="A114" s="15" t="s">
        <v>1326</v>
      </c>
      <c r="B114" s="16" t="n">
        <v>113</v>
      </c>
      <c r="C114" s="17" t="n">
        <v>3</v>
      </c>
      <c r="D114" s="18" t="s">
        <v>364</v>
      </c>
      <c r="E114" s="18" t="s">
        <v>1339</v>
      </c>
      <c r="F114" s="19" t="s">
        <v>1340</v>
      </c>
      <c r="G114" s="18" t="s">
        <v>1341</v>
      </c>
      <c r="H114" s="18"/>
      <c r="I114" s="18" t="s">
        <v>105</v>
      </c>
      <c r="J114" s="18" t="s">
        <v>1342</v>
      </c>
      <c r="K114" s="18" t="s">
        <v>1343</v>
      </c>
      <c r="L114" s="18"/>
      <c r="M114" s="18" t="s">
        <v>1344</v>
      </c>
      <c r="N114" s="18" t="s">
        <v>1345</v>
      </c>
      <c r="O114" s="18" t="s">
        <v>1346</v>
      </c>
      <c r="P114" s="18" t="s">
        <v>112</v>
      </c>
      <c r="Q114" s="18" t="s">
        <v>195</v>
      </c>
      <c r="R114" s="18" t="s">
        <v>114</v>
      </c>
      <c r="S114" s="18" t="s">
        <v>1347</v>
      </c>
      <c r="T114" s="18" t="s">
        <v>115</v>
      </c>
      <c r="U114" s="18"/>
      <c r="V114" s="18" t="s">
        <v>1348</v>
      </c>
      <c r="W114" s="18" t="s">
        <v>1349</v>
      </c>
      <c r="X114" s="18"/>
      <c r="Y114" s="18" t="s">
        <v>1350</v>
      </c>
      <c r="Z114" s="19" t="s">
        <v>118</v>
      </c>
      <c r="AA114" s="19" t="s">
        <v>119</v>
      </c>
      <c r="AB114" s="18" t="s">
        <v>120</v>
      </c>
      <c r="AC114" s="20" t="s">
        <v>121</v>
      </c>
      <c r="AD114" s="21"/>
      <c r="AE114" s="20"/>
      <c r="AF114" s="20"/>
      <c r="AG114" s="20"/>
      <c r="AH114" s="21" t="str">
        <f aca="false">IF(AD114="","",WORKDAY(AD114,5))</f>
        <v/>
      </c>
      <c r="AI114" s="20"/>
      <c r="AJ114" s="20"/>
    </row>
    <row r="115" customFormat="false" ht="35.05" hidden="false" customHeight="false" outlineLevel="0" collapsed="false">
      <c r="A115" s="15" t="s">
        <v>1326</v>
      </c>
      <c r="B115" s="16" t="n">
        <v>114</v>
      </c>
      <c r="C115" s="17" t="n">
        <v>3</v>
      </c>
      <c r="D115" s="18" t="s">
        <v>135</v>
      </c>
      <c r="E115" s="18" t="s">
        <v>1351</v>
      </c>
      <c r="F115" s="19" t="s">
        <v>1352</v>
      </c>
      <c r="G115" s="18" t="s">
        <v>1353</v>
      </c>
      <c r="H115" s="18"/>
      <c r="I115" s="18" t="s">
        <v>105</v>
      </c>
      <c r="J115" s="18" t="s">
        <v>1354</v>
      </c>
      <c r="K115" s="18" t="s">
        <v>1355</v>
      </c>
      <c r="L115" s="18" t="s">
        <v>1356</v>
      </c>
      <c r="M115" s="18" t="s">
        <v>1357</v>
      </c>
      <c r="N115" s="18" t="s">
        <v>1358</v>
      </c>
      <c r="O115" s="18" t="s">
        <v>1359</v>
      </c>
      <c r="P115" s="18" t="s">
        <v>1360</v>
      </c>
      <c r="Q115" s="18" t="s">
        <v>1361</v>
      </c>
      <c r="R115" s="18" t="s">
        <v>1362</v>
      </c>
      <c r="S115" s="18" t="s">
        <v>115</v>
      </c>
      <c r="T115" s="18" t="s">
        <v>115</v>
      </c>
      <c r="U115" s="18"/>
      <c r="V115" s="18" t="s">
        <v>1363</v>
      </c>
      <c r="W115" s="18" t="s">
        <v>1364</v>
      </c>
      <c r="X115" s="18" t="s">
        <v>1365</v>
      </c>
      <c r="Y115" s="18" t="s">
        <v>165</v>
      </c>
      <c r="Z115" s="19" t="s">
        <v>118</v>
      </c>
      <c r="AA115" s="19" t="s">
        <v>119</v>
      </c>
      <c r="AB115" s="18" t="s">
        <v>149</v>
      </c>
      <c r="AC115" s="20" t="s">
        <v>121</v>
      </c>
      <c r="AD115" s="21"/>
      <c r="AE115" s="20"/>
      <c r="AF115" s="20"/>
      <c r="AG115" s="20"/>
      <c r="AH115" s="21" t="str">
        <f aca="false">IF(AD115="","",WORKDAY(AD115,5))</f>
        <v/>
      </c>
      <c r="AI115" s="20"/>
      <c r="AJ115" s="20"/>
    </row>
    <row r="116" customFormat="false" ht="23.85" hidden="false" customHeight="false" outlineLevel="0" collapsed="false">
      <c r="A116" s="15" t="s">
        <v>1326</v>
      </c>
      <c r="B116" s="16" t="n">
        <v>115</v>
      </c>
      <c r="C116" s="17" t="n">
        <v>3</v>
      </c>
      <c r="D116" s="18" t="s">
        <v>101</v>
      </c>
      <c r="E116" s="22" t="s">
        <v>1366</v>
      </c>
      <c r="F116" s="19" t="s">
        <v>1367</v>
      </c>
      <c r="G116" s="18" t="s">
        <v>1368</v>
      </c>
      <c r="H116" s="18"/>
      <c r="I116" s="18" t="s">
        <v>105</v>
      </c>
      <c r="J116" s="18" t="s">
        <v>1369</v>
      </c>
      <c r="K116" s="18" t="s">
        <v>1370</v>
      </c>
      <c r="L116" s="18"/>
      <c r="M116" s="18" t="s">
        <v>1371</v>
      </c>
      <c r="N116" s="18" t="s">
        <v>1372</v>
      </c>
      <c r="O116" s="18" t="s">
        <v>172</v>
      </c>
      <c r="P116" s="18" t="s">
        <v>112</v>
      </c>
      <c r="Q116" s="18" t="s">
        <v>1373</v>
      </c>
      <c r="R116" s="18" t="s">
        <v>1374</v>
      </c>
      <c r="S116" s="18" t="s">
        <v>115</v>
      </c>
      <c r="T116" s="18" t="s">
        <v>115</v>
      </c>
      <c r="U116" s="18"/>
      <c r="V116" s="18" t="s">
        <v>1375</v>
      </c>
      <c r="W116" s="18"/>
      <c r="X116" s="18"/>
      <c r="Y116" s="18" t="s">
        <v>117</v>
      </c>
      <c r="Z116" s="19" t="s">
        <v>118</v>
      </c>
      <c r="AA116" s="19" t="s">
        <v>119</v>
      </c>
      <c r="AB116" s="18" t="s">
        <v>176</v>
      </c>
      <c r="AC116" s="20" t="s">
        <v>121</v>
      </c>
      <c r="AD116" s="21"/>
      <c r="AE116" s="20"/>
      <c r="AF116" s="20"/>
      <c r="AG116" s="20"/>
      <c r="AH116" s="21" t="str">
        <f aca="false">IF(AD116="","",WORKDAY(AD116,5))</f>
        <v/>
      </c>
      <c r="AI116" s="20"/>
      <c r="AJ116" s="20"/>
    </row>
    <row r="117" customFormat="false" ht="35.05" hidden="false" customHeight="false" outlineLevel="0" collapsed="false">
      <c r="A117" s="15" t="s">
        <v>1326</v>
      </c>
      <c r="B117" s="16" t="n">
        <v>116</v>
      </c>
      <c r="C117" s="17" t="n">
        <v>3</v>
      </c>
      <c r="D117" s="18" t="s">
        <v>248</v>
      </c>
      <c r="E117" s="18" t="s">
        <v>1376</v>
      </c>
      <c r="F117" s="19" t="s">
        <v>1377</v>
      </c>
      <c r="G117" s="18" t="s">
        <v>1378</v>
      </c>
      <c r="H117" s="18" t="s">
        <v>1379</v>
      </c>
      <c r="I117" s="18" t="s">
        <v>105</v>
      </c>
      <c r="J117" s="18" t="s">
        <v>1380</v>
      </c>
      <c r="K117" s="18"/>
      <c r="L117" s="18"/>
      <c r="M117" s="18" t="s">
        <v>1381</v>
      </c>
      <c r="N117" s="18" t="s">
        <v>1382</v>
      </c>
      <c r="O117" s="18" t="s">
        <v>1280</v>
      </c>
      <c r="P117" s="18" t="s">
        <v>112</v>
      </c>
      <c r="Q117" s="18" t="s">
        <v>1383</v>
      </c>
      <c r="R117" s="18" t="s">
        <v>1384</v>
      </c>
      <c r="S117" s="18" t="s">
        <v>115</v>
      </c>
      <c r="T117" s="18" t="s">
        <v>115</v>
      </c>
      <c r="U117" s="18"/>
      <c r="V117" s="18" t="s">
        <v>1385</v>
      </c>
      <c r="W117" s="18" t="s">
        <v>1386</v>
      </c>
      <c r="X117" s="18"/>
      <c r="Y117" s="18" t="s">
        <v>165</v>
      </c>
      <c r="Z117" s="19" t="s">
        <v>118</v>
      </c>
      <c r="AA117" s="19" t="s">
        <v>119</v>
      </c>
      <c r="AB117" s="18" t="s">
        <v>120</v>
      </c>
      <c r="AC117" s="20" t="s">
        <v>121</v>
      </c>
      <c r="AD117" s="21"/>
      <c r="AE117" s="20"/>
      <c r="AF117" s="20"/>
      <c r="AG117" s="20"/>
      <c r="AH117" s="21" t="str">
        <f aca="false">IF(AD117="","",WORKDAY(AD117,5))</f>
        <v/>
      </c>
      <c r="AI117" s="20"/>
      <c r="AJ117" s="20"/>
    </row>
    <row r="118" customFormat="false" ht="23.85" hidden="false" customHeight="false" outlineLevel="0" collapsed="false">
      <c r="A118" s="15" t="s">
        <v>1326</v>
      </c>
      <c r="B118" s="16" t="n">
        <v>117</v>
      </c>
      <c r="C118" s="17" t="n">
        <v>2</v>
      </c>
      <c r="D118" s="18" t="s">
        <v>188</v>
      </c>
      <c r="E118" s="18" t="s">
        <v>1387</v>
      </c>
      <c r="F118" s="18" t="s">
        <v>167</v>
      </c>
      <c r="G118" s="18" t="s">
        <v>1388</v>
      </c>
      <c r="H118" s="18"/>
      <c r="I118" s="18" t="s">
        <v>105</v>
      </c>
      <c r="J118" s="18" t="s">
        <v>1389</v>
      </c>
      <c r="K118" s="18"/>
      <c r="L118" s="18"/>
      <c r="M118" s="18" t="s">
        <v>1390</v>
      </c>
      <c r="N118" s="18" t="s">
        <v>1391</v>
      </c>
      <c r="O118" s="18" t="s">
        <v>1392</v>
      </c>
      <c r="P118" s="18" t="s">
        <v>112</v>
      </c>
      <c r="Q118" s="18" t="s">
        <v>243</v>
      </c>
      <c r="R118" s="18" t="s">
        <v>1393</v>
      </c>
      <c r="S118" s="18" t="s">
        <v>115</v>
      </c>
      <c r="T118" s="18" t="s">
        <v>115</v>
      </c>
      <c r="U118" s="18"/>
      <c r="V118" s="18" t="s">
        <v>1394</v>
      </c>
      <c r="W118" s="18" t="s">
        <v>1395</v>
      </c>
      <c r="X118" s="18" t="s">
        <v>1396</v>
      </c>
      <c r="Y118" s="18" t="s">
        <v>175</v>
      </c>
      <c r="Z118" s="19" t="s">
        <v>118</v>
      </c>
      <c r="AA118" s="19" t="s">
        <v>119</v>
      </c>
      <c r="AB118" s="18" t="s">
        <v>120</v>
      </c>
      <c r="AC118" s="20" t="s">
        <v>121</v>
      </c>
      <c r="AD118" s="21"/>
      <c r="AE118" s="20"/>
      <c r="AF118" s="20"/>
      <c r="AG118" s="20"/>
      <c r="AH118" s="21" t="str">
        <f aca="false">IF(AD118="","",WORKDAY(AD118,5))</f>
        <v/>
      </c>
      <c r="AI118" s="20"/>
      <c r="AJ118" s="20"/>
    </row>
    <row r="119" customFormat="false" ht="23.85" hidden="false" customHeight="false" outlineLevel="0" collapsed="false">
      <c r="A119" s="15" t="s">
        <v>1326</v>
      </c>
      <c r="B119" s="16" t="n">
        <v>118</v>
      </c>
      <c r="C119" s="17" t="n">
        <v>2</v>
      </c>
      <c r="D119" s="18" t="s">
        <v>188</v>
      </c>
      <c r="E119" s="18" t="s">
        <v>1397</v>
      </c>
      <c r="F119" s="18" t="s">
        <v>167</v>
      </c>
      <c r="G119" s="18" t="s">
        <v>1398</v>
      </c>
      <c r="H119" s="18"/>
      <c r="I119" s="18" t="s">
        <v>105</v>
      </c>
      <c r="J119" s="18"/>
      <c r="K119" s="18"/>
      <c r="L119" s="18"/>
      <c r="M119" s="18" t="s">
        <v>205</v>
      </c>
      <c r="N119" s="18" t="s">
        <v>1399</v>
      </c>
      <c r="O119" s="18" t="s">
        <v>1400</v>
      </c>
      <c r="P119" s="18" t="s">
        <v>112</v>
      </c>
      <c r="Q119" s="18" t="s">
        <v>243</v>
      </c>
      <c r="R119" s="18" t="s">
        <v>1401</v>
      </c>
      <c r="S119" s="18" t="s">
        <v>115</v>
      </c>
      <c r="T119" s="18" t="s">
        <v>115</v>
      </c>
      <c r="U119" s="18"/>
      <c r="V119" s="18" t="s">
        <v>655</v>
      </c>
      <c r="W119" s="18"/>
      <c r="X119" s="18"/>
      <c r="Y119" s="18" t="s">
        <v>186</v>
      </c>
      <c r="Z119" s="19" t="s">
        <v>118</v>
      </c>
      <c r="AA119" s="19" t="s">
        <v>119</v>
      </c>
      <c r="AB119" s="18" t="s">
        <v>120</v>
      </c>
      <c r="AC119" s="20" t="s">
        <v>121</v>
      </c>
      <c r="AD119" s="21"/>
      <c r="AE119" s="20"/>
      <c r="AF119" s="20"/>
      <c r="AG119" s="20"/>
      <c r="AH119" s="21" t="str">
        <f aca="false">IF(AD119="","",WORKDAY(AD119,5))</f>
        <v/>
      </c>
      <c r="AI119" s="20"/>
      <c r="AJ119" s="20"/>
    </row>
    <row r="120" customFormat="false" ht="23.85" hidden="false" customHeight="false" outlineLevel="0" collapsed="false">
      <c r="A120" s="15" t="s">
        <v>1326</v>
      </c>
      <c r="B120" s="16" t="n">
        <v>119</v>
      </c>
      <c r="C120" s="17" t="n">
        <v>2</v>
      </c>
      <c r="D120" s="18" t="s">
        <v>236</v>
      </c>
      <c r="E120" s="22" t="s">
        <v>1402</v>
      </c>
      <c r="F120" s="19" t="s">
        <v>1403</v>
      </c>
      <c r="G120" s="18" t="s">
        <v>1404</v>
      </c>
      <c r="H120" s="18"/>
      <c r="I120" s="18" t="s">
        <v>105</v>
      </c>
      <c r="J120" s="18" t="s">
        <v>1405</v>
      </c>
      <c r="K120" s="18" t="s">
        <v>1406</v>
      </c>
      <c r="L120" s="18"/>
      <c r="M120" s="18" t="s">
        <v>1407</v>
      </c>
      <c r="N120" s="18" t="s">
        <v>1408</v>
      </c>
      <c r="O120" s="18" t="s">
        <v>242</v>
      </c>
      <c r="P120" s="18" t="s">
        <v>112</v>
      </c>
      <c r="Q120" s="18" t="s">
        <v>243</v>
      </c>
      <c r="R120" s="18" t="s">
        <v>1409</v>
      </c>
      <c r="S120" s="18" t="s">
        <v>115</v>
      </c>
      <c r="T120" s="18" t="s">
        <v>115</v>
      </c>
      <c r="U120" s="18"/>
      <c r="V120" s="18" t="s">
        <v>1410</v>
      </c>
      <c r="W120" s="18"/>
      <c r="X120" s="18"/>
      <c r="Y120" s="18" t="s">
        <v>1411</v>
      </c>
      <c r="Z120" s="19" t="s">
        <v>118</v>
      </c>
      <c r="AA120" s="19" t="s">
        <v>119</v>
      </c>
      <c r="AB120" s="18" t="s">
        <v>176</v>
      </c>
      <c r="AC120" s="20" t="s">
        <v>121</v>
      </c>
      <c r="AD120" s="21"/>
      <c r="AE120" s="20"/>
      <c r="AF120" s="20"/>
      <c r="AG120" s="20"/>
      <c r="AH120" s="21" t="str">
        <f aca="false">IF(AD120="","",WORKDAY(AD120,5))</f>
        <v/>
      </c>
      <c r="AI120" s="20"/>
      <c r="AJ120" s="20"/>
    </row>
    <row r="121" customFormat="false" ht="23.85" hidden="false" customHeight="false" outlineLevel="0" collapsed="false">
      <c r="A121" s="15" t="s">
        <v>1326</v>
      </c>
      <c r="B121" s="16" t="n">
        <v>120</v>
      </c>
      <c r="C121" s="17" t="n">
        <v>2</v>
      </c>
      <c r="D121" s="18" t="s">
        <v>236</v>
      </c>
      <c r="E121" s="18" t="s">
        <v>1412</v>
      </c>
      <c r="F121" s="18" t="s">
        <v>167</v>
      </c>
      <c r="G121" s="18" t="s">
        <v>1413</v>
      </c>
      <c r="H121" s="18"/>
      <c r="I121" s="18" t="s">
        <v>105</v>
      </c>
      <c r="J121" s="18" t="s">
        <v>1414</v>
      </c>
      <c r="K121" s="18" t="s">
        <v>1415</v>
      </c>
      <c r="L121" s="18"/>
      <c r="M121" s="18" t="s">
        <v>327</v>
      </c>
      <c r="N121" s="18" t="s">
        <v>1416</v>
      </c>
      <c r="O121" s="18" t="s">
        <v>483</v>
      </c>
      <c r="P121" s="18" t="s">
        <v>112</v>
      </c>
      <c r="Q121" s="18" t="s">
        <v>243</v>
      </c>
      <c r="R121" s="18" t="s">
        <v>145</v>
      </c>
      <c r="S121" s="18" t="s">
        <v>115</v>
      </c>
      <c r="T121" s="18" t="s">
        <v>115</v>
      </c>
      <c r="U121" s="18"/>
      <c r="V121" s="18" t="s">
        <v>1417</v>
      </c>
      <c r="W121" s="18"/>
      <c r="X121" s="18"/>
      <c r="Y121" s="18" t="s">
        <v>1418</v>
      </c>
      <c r="Z121" s="19" t="s">
        <v>118</v>
      </c>
      <c r="AA121" s="19" t="s">
        <v>119</v>
      </c>
      <c r="AB121" s="18" t="s">
        <v>149</v>
      </c>
      <c r="AC121" s="20" t="s">
        <v>121</v>
      </c>
      <c r="AD121" s="21"/>
      <c r="AE121" s="20"/>
      <c r="AF121" s="20"/>
      <c r="AG121" s="20"/>
      <c r="AH121" s="21" t="str">
        <f aca="false">IF(AD121="","",WORKDAY(AD121,5))</f>
        <v/>
      </c>
      <c r="AI121" s="20"/>
      <c r="AJ121" s="20"/>
    </row>
    <row r="122" customFormat="false" ht="35.05" hidden="false" customHeight="false" outlineLevel="0" collapsed="false">
      <c r="A122" s="23" t="s">
        <v>1419</v>
      </c>
      <c r="B122" s="24" t="n">
        <v>121</v>
      </c>
      <c r="C122" s="10" t="n">
        <v>3</v>
      </c>
      <c r="D122" s="11" t="s">
        <v>236</v>
      </c>
      <c r="E122" s="25" t="s">
        <v>1420</v>
      </c>
      <c r="F122" s="11" t="s">
        <v>167</v>
      </c>
      <c r="G122" s="11" t="s">
        <v>1421</v>
      </c>
      <c r="H122" s="11"/>
      <c r="I122" s="11" t="s">
        <v>105</v>
      </c>
      <c r="J122" s="11" t="s">
        <v>1422</v>
      </c>
      <c r="K122" s="11"/>
      <c r="L122" s="11"/>
      <c r="M122" s="11" t="s">
        <v>1423</v>
      </c>
      <c r="N122" s="11" t="s">
        <v>1424</v>
      </c>
      <c r="O122" s="11" t="s">
        <v>1425</v>
      </c>
      <c r="P122" s="11" t="s">
        <v>112</v>
      </c>
      <c r="Q122" s="11" t="s">
        <v>1426</v>
      </c>
      <c r="R122" s="11" t="s">
        <v>1427</v>
      </c>
      <c r="S122" s="11" t="s">
        <v>115</v>
      </c>
      <c r="T122" s="11" t="s">
        <v>115</v>
      </c>
      <c r="U122" s="11"/>
      <c r="V122" s="11" t="s">
        <v>1428</v>
      </c>
      <c r="W122" s="11"/>
      <c r="X122" s="11" t="s">
        <v>1429</v>
      </c>
      <c r="Y122" s="11" t="s">
        <v>1430</v>
      </c>
      <c r="Z122" s="12" t="s">
        <v>118</v>
      </c>
      <c r="AA122" s="12" t="s">
        <v>119</v>
      </c>
      <c r="AB122" s="11" t="s">
        <v>176</v>
      </c>
      <c r="AC122" s="13" t="s">
        <v>121</v>
      </c>
      <c r="AD122" s="14"/>
      <c r="AE122" s="13"/>
      <c r="AF122" s="13"/>
      <c r="AG122" s="13"/>
      <c r="AH122" s="14" t="str">
        <f aca="false">IF(AD122="","",WORKDAY(AD122,5))</f>
        <v/>
      </c>
      <c r="AI122" s="13"/>
      <c r="AJ122" s="13"/>
    </row>
    <row r="123" customFormat="false" ht="35.05" hidden="false" customHeight="false" outlineLevel="0" collapsed="false">
      <c r="A123" s="8" t="s">
        <v>338</v>
      </c>
      <c r="B123" s="9" t="n">
        <v>122</v>
      </c>
      <c r="C123" s="10" t="n">
        <v>5</v>
      </c>
      <c r="D123" s="11" t="s">
        <v>296</v>
      </c>
      <c r="E123" s="11" t="s">
        <v>1431</v>
      </c>
      <c r="F123" s="12" t="s">
        <v>1432</v>
      </c>
      <c r="G123" s="11" t="s">
        <v>1433</v>
      </c>
      <c r="H123" s="11"/>
      <c r="I123" s="11" t="s">
        <v>338</v>
      </c>
      <c r="J123" s="11"/>
      <c r="K123" s="11"/>
      <c r="L123" s="11" t="s">
        <v>127</v>
      </c>
      <c r="M123" s="11" t="s">
        <v>1434</v>
      </c>
      <c r="N123" s="11" t="s">
        <v>1435</v>
      </c>
      <c r="O123" s="11" t="s">
        <v>1436</v>
      </c>
      <c r="P123" s="11" t="s">
        <v>1437</v>
      </c>
      <c r="Q123" s="11" t="s">
        <v>1438</v>
      </c>
      <c r="R123" s="11" t="s">
        <v>305</v>
      </c>
      <c r="S123" s="11" t="s">
        <v>115</v>
      </c>
      <c r="T123" s="11" t="s">
        <v>115</v>
      </c>
      <c r="U123" s="11"/>
      <c r="V123" s="11" t="s">
        <v>1439</v>
      </c>
      <c r="W123" s="11" t="s">
        <v>1440</v>
      </c>
      <c r="X123" s="11" t="s">
        <v>1441</v>
      </c>
      <c r="Y123" s="11" t="s">
        <v>1442</v>
      </c>
      <c r="Z123" s="12" t="s">
        <v>118</v>
      </c>
      <c r="AA123" s="12" t="s">
        <v>119</v>
      </c>
      <c r="AB123" s="11" t="s">
        <v>149</v>
      </c>
      <c r="AC123" s="13" t="s">
        <v>121</v>
      </c>
      <c r="AD123" s="14"/>
      <c r="AE123" s="13"/>
      <c r="AF123" s="13"/>
      <c r="AG123" s="13"/>
      <c r="AH123" s="14" t="str">
        <f aca="false">IF(AD123="","",WORKDAY(AD123,5))</f>
        <v/>
      </c>
      <c r="AI123" s="13"/>
      <c r="AJ123" s="13"/>
    </row>
    <row r="124" customFormat="false" ht="23.85" hidden="false" customHeight="false" outlineLevel="0" collapsed="false">
      <c r="A124" s="15" t="s">
        <v>338</v>
      </c>
      <c r="B124" s="16" t="n">
        <v>123</v>
      </c>
      <c r="C124" s="17" t="n">
        <v>5</v>
      </c>
      <c r="D124" s="18" t="s">
        <v>188</v>
      </c>
      <c r="E124" s="18" t="s">
        <v>1443</v>
      </c>
      <c r="F124" s="19" t="s">
        <v>1444</v>
      </c>
      <c r="G124" s="18" t="s">
        <v>1445</v>
      </c>
      <c r="H124" s="18"/>
      <c r="I124" s="18" t="s">
        <v>338</v>
      </c>
      <c r="J124" s="18" t="s">
        <v>1446</v>
      </c>
      <c r="K124" s="18" t="s">
        <v>1447</v>
      </c>
      <c r="L124" s="18" t="s">
        <v>1448</v>
      </c>
      <c r="M124" s="18" t="s">
        <v>1449</v>
      </c>
      <c r="N124" s="18" t="s">
        <v>1450</v>
      </c>
      <c r="O124" s="18" t="s">
        <v>1451</v>
      </c>
      <c r="P124" s="18" t="s">
        <v>1452</v>
      </c>
      <c r="Q124" s="18" t="s">
        <v>1453</v>
      </c>
      <c r="R124" s="18" t="s">
        <v>305</v>
      </c>
      <c r="S124" s="18" t="s">
        <v>115</v>
      </c>
      <c r="T124" s="18" t="s">
        <v>115</v>
      </c>
      <c r="U124" s="18" t="s">
        <v>1454</v>
      </c>
      <c r="V124" s="18" t="s">
        <v>1455</v>
      </c>
      <c r="W124" s="18" t="s">
        <v>1456</v>
      </c>
      <c r="X124" s="18" t="s">
        <v>1457</v>
      </c>
      <c r="Y124" s="18" t="s">
        <v>1458</v>
      </c>
      <c r="Z124" s="19" t="s">
        <v>118</v>
      </c>
      <c r="AA124" s="19" t="s">
        <v>119</v>
      </c>
      <c r="AB124" s="18" t="s">
        <v>120</v>
      </c>
      <c r="AC124" s="20" t="s">
        <v>121</v>
      </c>
      <c r="AD124" s="21"/>
      <c r="AE124" s="20"/>
      <c r="AF124" s="20"/>
      <c r="AG124" s="20"/>
      <c r="AH124" s="21" t="str">
        <f aca="false">IF(AD124="","",WORKDAY(AD124,5))</f>
        <v/>
      </c>
      <c r="AI124" s="20"/>
      <c r="AJ124" s="20"/>
    </row>
    <row r="125" customFormat="false" ht="35.05" hidden="false" customHeight="false" outlineLevel="0" collapsed="false">
      <c r="A125" s="15" t="s">
        <v>338</v>
      </c>
      <c r="B125" s="16" t="n">
        <v>124</v>
      </c>
      <c r="C125" s="17" t="n">
        <v>5</v>
      </c>
      <c r="D125" s="18" t="s">
        <v>364</v>
      </c>
      <c r="E125" s="18" t="s">
        <v>1459</v>
      </c>
      <c r="F125" s="19" t="s">
        <v>1460</v>
      </c>
      <c r="G125" s="18" t="s">
        <v>1461</v>
      </c>
      <c r="H125" s="18"/>
      <c r="I125" s="18" t="s">
        <v>338</v>
      </c>
      <c r="J125" s="18" t="s">
        <v>1462</v>
      </c>
      <c r="K125" s="18" t="s">
        <v>1463</v>
      </c>
      <c r="L125" s="18"/>
      <c r="M125" s="18" t="s">
        <v>1464</v>
      </c>
      <c r="N125" s="18" t="s">
        <v>1465</v>
      </c>
      <c r="O125" s="18" t="s">
        <v>1097</v>
      </c>
      <c r="P125" s="18" t="s">
        <v>1466</v>
      </c>
      <c r="Q125" s="18" t="s">
        <v>1467</v>
      </c>
      <c r="R125" s="18" t="s">
        <v>1468</v>
      </c>
      <c r="S125" s="18" t="s">
        <v>115</v>
      </c>
      <c r="T125" s="18" t="s">
        <v>115</v>
      </c>
      <c r="U125" s="18" t="s">
        <v>1469</v>
      </c>
      <c r="V125" s="18" t="s">
        <v>1470</v>
      </c>
      <c r="W125" s="18" t="s">
        <v>1471</v>
      </c>
      <c r="X125" s="18" t="s">
        <v>1472</v>
      </c>
      <c r="Y125" s="18" t="s">
        <v>1473</v>
      </c>
      <c r="Z125" s="19" t="s">
        <v>118</v>
      </c>
      <c r="AA125" s="19" t="s">
        <v>119</v>
      </c>
      <c r="AB125" s="18" t="s">
        <v>120</v>
      </c>
      <c r="AC125" s="20" t="s">
        <v>121</v>
      </c>
      <c r="AD125" s="21"/>
      <c r="AE125" s="20"/>
      <c r="AF125" s="20"/>
      <c r="AG125" s="20"/>
      <c r="AH125" s="21" t="str">
        <f aca="false">IF(AD125="","",WORKDAY(AD125,5))</f>
        <v/>
      </c>
      <c r="AI125" s="20"/>
      <c r="AJ125" s="20"/>
    </row>
    <row r="126" customFormat="false" ht="46.25" hidden="false" customHeight="false" outlineLevel="0" collapsed="false">
      <c r="A126" s="15" t="s">
        <v>338</v>
      </c>
      <c r="B126" s="16" t="n">
        <v>125</v>
      </c>
      <c r="C126" s="17" t="n">
        <v>5</v>
      </c>
      <c r="D126" s="18" t="s">
        <v>135</v>
      </c>
      <c r="E126" s="18" t="s">
        <v>1474</v>
      </c>
      <c r="F126" s="19" t="s">
        <v>1475</v>
      </c>
      <c r="G126" s="18" t="s">
        <v>1476</v>
      </c>
      <c r="H126" s="18"/>
      <c r="I126" s="18" t="s">
        <v>338</v>
      </c>
      <c r="J126" s="18" t="s">
        <v>1477</v>
      </c>
      <c r="K126" s="18"/>
      <c r="L126" s="18"/>
      <c r="M126" s="18" t="s">
        <v>1478</v>
      </c>
      <c r="N126" s="18" t="s">
        <v>1479</v>
      </c>
      <c r="O126" s="18" t="s">
        <v>1480</v>
      </c>
      <c r="P126" s="18" t="s">
        <v>112</v>
      </c>
      <c r="Q126" s="18" t="s">
        <v>567</v>
      </c>
      <c r="R126" s="18" t="s">
        <v>1481</v>
      </c>
      <c r="S126" s="18" t="s">
        <v>115</v>
      </c>
      <c r="T126" s="18" t="s">
        <v>115</v>
      </c>
      <c r="U126" s="18"/>
      <c r="V126" s="18" t="s">
        <v>1482</v>
      </c>
      <c r="W126" s="18" t="s">
        <v>1483</v>
      </c>
      <c r="X126" s="18" t="s">
        <v>1484</v>
      </c>
      <c r="Y126" s="18" t="s">
        <v>148</v>
      </c>
      <c r="Z126" s="19" t="s">
        <v>118</v>
      </c>
      <c r="AA126" s="19" t="s">
        <v>119</v>
      </c>
      <c r="AB126" s="18" t="s">
        <v>149</v>
      </c>
      <c r="AC126" s="20" t="s">
        <v>121</v>
      </c>
      <c r="AD126" s="21"/>
      <c r="AE126" s="20"/>
      <c r="AF126" s="20"/>
      <c r="AG126" s="20"/>
      <c r="AH126" s="21" t="str">
        <f aca="false">IF(AD126="","",WORKDAY(AD126,5))</f>
        <v/>
      </c>
      <c r="AI126" s="20"/>
      <c r="AJ126" s="20"/>
    </row>
    <row r="127" customFormat="false" ht="46.25" hidden="false" customHeight="false" outlineLevel="0" collapsed="false">
      <c r="A127" s="15" t="s">
        <v>338</v>
      </c>
      <c r="B127" s="16" t="n">
        <v>126</v>
      </c>
      <c r="C127" s="17" t="n">
        <v>5</v>
      </c>
      <c r="D127" s="18" t="s">
        <v>135</v>
      </c>
      <c r="E127" s="18" t="s">
        <v>1485</v>
      </c>
      <c r="F127" s="19" t="s">
        <v>1486</v>
      </c>
      <c r="G127" s="18" t="s">
        <v>1487</v>
      </c>
      <c r="H127" s="18"/>
      <c r="I127" s="18" t="s">
        <v>338</v>
      </c>
      <c r="J127" s="18" t="s">
        <v>1488</v>
      </c>
      <c r="K127" s="18" t="s">
        <v>1489</v>
      </c>
      <c r="L127" s="18" t="s">
        <v>1490</v>
      </c>
      <c r="M127" s="18" t="s">
        <v>1478</v>
      </c>
      <c r="N127" s="18" t="s">
        <v>1491</v>
      </c>
      <c r="O127" s="18" t="s">
        <v>1480</v>
      </c>
      <c r="P127" s="18" t="s">
        <v>112</v>
      </c>
      <c r="Q127" s="18" t="s">
        <v>1492</v>
      </c>
      <c r="R127" s="18" t="s">
        <v>1493</v>
      </c>
      <c r="S127" s="18" t="s">
        <v>115</v>
      </c>
      <c r="T127" s="18" t="s">
        <v>115</v>
      </c>
      <c r="U127" s="18"/>
      <c r="V127" s="18" t="s">
        <v>1494</v>
      </c>
      <c r="W127" s="18" t="s">
        <v>1495</v>
      </c>
      <c r="X127" s="18" t="s">
        <v>1496</v>
      </c>
      <c r="Y127" s="18" t="s">
        <v>1497</v>
      </c>
      <c r="Z127" s="19" t="s">
        <v>118</v>
      </c>
      <c r="AA127" s="19" t="s">
        <v>119</v>
      </c>
      <c r="AB127" s="18" t="s">
        <v>149</v>
      </c>
      <c r="AC127" s="20" t="s">
        <v>121</v>
      </c>
      <c r="AD127" s="21"/>
      <c r="AE127" s="20"/>
      <c r="AF127" s="20"/>
      <c r="AG127" s="20"/>
      <c r="AH127" s="21" t="str">
        <f aca="false">IF(AD127="","",WORKDAY(AD127,5))</f>
        <v/>
      </c>
      <c r="AI127" s="20"/>
      <c r="AJ127" s="20"/>
    </row>
    <row r="128" customFormat="false" ht="35.05" hidden="false" customHeight="false" outlineLevel="0" collapsed="false">
      <c r="A128" s="15" t="s">
        <v>338</v>
      </c>
      <c r="B128" s="16" t="n">
        <v>127</v>
      </c>
      <c r="C128" s="17" t="n">
        <v>5</v>
      </c>
      <c r="D128" s="18" t="s">
        <v>379</v>
      </c>
      <c r="E128" s="18" t="s">
        <v>1498</v>
      </c>
      <c r="F128" s="19" t="s">
        <v>1499</v>
      </c>
      <c r="G128" s="18" t="s">
        <v>1500</v>
      </c>
      <c r="H128" s="18"/>
      <c r="I128" s="18" t="s">
        <v>338</v>
      </c>
      <c r="J128" s="18" t="s">
        <v>1501</v>
      </c>
      <c r="K128" s="18" t="s">
        <v>1502</v>
      </c>
      <c r="L128" s="18"/>
      <c r="M128" s="18" t="s">
        <v>564</v>
      </c>
      <c r="N128" s="18" t="s">
        <v>1503</v>
      </c>
      <c r="O128" s="18" t="s">
        <v>1504</v>
      </c>
      <c r="P128" s="18" t="s">
        <v>1505</v>
      </c>
      <c r="Q128" s="18" t="s">
        <v>1506</v>
      </c>
      <c r="R128" s="18" t="s">
        <v>1507</v>
      </c>
      <c r="S128" s="18" t="s">
        <v>115</v>
      </c>
      <c r="T128" s="18" t="s">
        <v>115</v>
      </c>
      <c r="U128" s="18"/>
      <c r="V128" s="18" t="s">
        <v>1508</v>
      </c>
      <c r="W128" s="18" t="s">
        <v>1509</v>
      </c>
      <c r="X128" s="18" t="s">
        <v>1510</v>
      </c>
      <c r="Y128" s="18" t="s">
        <v>165</v>
      </c>
      <c r="Z128" s="19" t="s">
        <v>118</v>
      </c>
      <c r="AA128" s="19" t="s">
        <v>119</v>
      </c>
      <c r="AB128" s="18" t="s">
        <v>149</v>
      </c>
      <c r="AC128" s="20" t="s">
        <v>121</v>
      </c>
      <c r="AD128" s="21"/>
      <c r="AE128" s="20"/>
      <c r="AF128" s="20"/>
      <c r="AG128" s="20"/>
      <c r="AH128" s="21" t="str">
        <f aca="false">IF(AD128="","",WORKDAY(AD128,5))</f>
        <v/>
      </c>
      <c r="AI128" s="20"/>
      <c r="AJ128" s="20"/>
    </row>
    <row r="129" customFormat="false" ht="35.05" hidden="false" customHeight="false" outlineLevel="0" collapsed="false">
      <c r="A129" s="15" t="s">
        <v>338</v>
      </c>
      <c r="B129" s="16" t="n">
        <v>128</v>
      </c>
      <c r="C129" s="17" t="n">
        <v>5</v>
      </c>
      <c r="D129" s="18" t="s">
        <v>150</v>
      </c>
      <c r="E129" s="18" t="s">
        <v>1511</v>
      </c>
      <c r="F129" s="19" t="s">
        <v>1512</v>
      </c>
      <c r="G129" s="18" t="s">
        <v>1513</v>
      </c>
      <c r="H129" s="18"/>
      <c r="I129" s="18" t="s">
        <v>338</v>
      </c>
      <c r="J129" s="18" t="s">
        <v>1514</v>
      </c>
      <c r="K129" s="18" t="s">
        <v>1515</v>
      </c>
      <c r="L129" s="18" t="s">
        <v>1516</v>
      </c>
      <c r="M129" s="18" t="s">
        <v>157</v>
      </c>
      <c r="N129" s="18" t="s">
        <v>1517</v>
      </c>
      <c r="O129" s="18" t="s">
        <v>1518</v>
      </c>
      <c r="P129" s="18" t="s">
        <v>112</v>
      </c>
      <c r="Q129" s="18" t="s">
        <v>243</v>
      </c>
      <c r="R129" s="18" t="s">
        <v>305</v>
      </c>
      <c r="S129" s="18" t="s">
        <v>115</v>
      </c>
      <c r="T129" s="18" t="s">
        <v>115</v>
      </c>
      <c r="U129" s="18"/>
      <c r="V129" s="18" t="s">
        <v>1519</v>
      </c>
      <c r="W129" s="18" t="s">
        <v>1520</v>
      </c>
      <c r="X129" s="18"/>
      <c r="Y129" s="18" t="s">
        <v>1521</v>
      </c>
      <c r="Z129" s="19" t="s">
        <v>118</v>
      </c>
      <c r="AA129" s="19" t="s">
        <v>119</v>
      </c>
      <c r="AB129" s="18" t="s">
        <v>120</v>
      </c>
      <c r="AC129" s="20" t="s">
        <v>121</v>
      </c>
      <c r="AD129" s="21"/>
      <c r="AE129" s="20"/>
      <c r="AF129" s="20"/>
      <c r="AG129" s="20"/>
      <c r="AH129" s="21" t="str">
        <f aca="false">IF(AD129="","",WORKDAY(AD129,5))</f>
        <v/>
      </c>
      <c r="AI129" s="20"/>
      <c r="AJ129" s="20"/>
    </row>
    <row r="130" customFormat="false" ht="23.85" hidden="false" customHeight="false" outlineLevel="0" collapsed="false">
      <c r="A130" s="15" t="s">
        <v>338</v>
      </c>
      <c r="B130" s="16" t="n">
        <v>129</v>
      </c>
      <c r="C130" s="17" t="n">
        <v>5</v>
      </c>
      <c r="D130" s="18" t="s">
        <v>236</v>
      </c>
      <c r="E130" s="18" t="s">
        <v>1522</v>
      </c>
      <c r="F130" s="19" t="s">
        <v>1523</v>
      </c>
      <c r="G130" s="18" t="s">
        <v>1524</v>
      </c>
      <c r="H130" s="18"/>
      <c r="I130" s="18" t="s">
        <v>338</v>
      </c>
      <c r="J130" s="18" t="s">
        <v>1525</v>
      </c>
      <c r="K130" s="18" t="s">
        <v>1526</v>
      </c>
      <c r="L130" s="18" t="s">
        <v>1527</v>
      </c>
      <c r="M130" s="18" t="s">
        <v>1528</v>
      </c>
      <c r="N130" s="18" t="s">
        <v>1529</v>
      </c>
      <c r="O130" s="18" t="s">
        <v>483</v>
      </c>
      <c r="P130" s="18" t="s">
        <v>112</v>
      </c>
      <c r="Q130" s="18" t="s">
        <v>1530</v>
      </c>
      <c r="R130" s="18" t="s">
        <v>305</v>
      </c>
      <c r="S130" s="18" t="s">
        <v>115</v>
      </c>
      <c r="T130" s="18" t="s">
        <v>115</v>
      </c>
      <c r="U130" s="18"/>
      <c r="V130" s="18" t="s">
        <v>1531</v>
      </c>
      <c r="W130" s="18" t="s">
        <v>1532</v>
      </c>
      <c r="X130" s="18" t="s">
        <v>1533</v>
      </c>
      <c r="Y130" s="18" t="s">
        <v>1458</v>
      </c>
      <c r="Z130" s="19" t="s">
        <v>118</v>
      </c>
      <c r="AA130" s="19" t="s">
        <v>119</v>
      </c>
      <c r="AB130" s="18" t="s">
        <v>149</v>
      </c>
      <c r="AC130" s="20" t="s">
        <v>121</v>
      </c>
      <c r="AD130" s="21"/>
      <c r="AE130" s="20"/>
      <c r="AF130" s="20"/>
      <c r="AG130" s="20"/>
      <c r="AH130" s="21" t="str">
        <f aca="false">IF(AD130="","",WORKDAY(AD130,5))</f>
        <v/>
      </c>
      <c r="AI130" s="20"/>
      <c r="AJ130" s="20"/>
    </row>
    <row r="131" customFormat="false" ht="23.85" hidden="false" customHeight="false" outlineLevel="0" collapsed="false">
      <c r="A131" s="15" t="s">
        <v>338</v>
      </c>
      <c r="B131" s="16" t="n">
        <v>130</v>
      </c>
      <c r="C131" s="17" t="n">
        <v>5</v>
      </c>
      <c r="D131" s="18" t="s">
        <v>236</v>
      </c>
      <c r="E131" s="18" t="s">
        <v>1534</v>
      </c>
      <c r="F131" s="19" t="s">
        <v>1535</v>
      </c>
      <c r="G131" s="18" t="s">
        <v>1536</v>
      </c>
      <c r="H131" s="18"/>
      <c r="I131" s="18" t="s">
        <v>338</v>
      </c>
      <c r="J131" s="18" t="s">
        <v>1537</v>
      </c>
      <c r="K131" s="18"/>
      <c r="L131" s="18"/>
      <c r="M131" s="18" t="s">
        <v>1538</v>
      </c>
      <c r="N131" s="18" t="s">
        <v>1539</v>
      </c>
      <c r="O131" s="18" t="s">
        <v>483</v>
      </c>
      <c r="P131" s="18" t="s">
        <v>112</v>
      </c>
      <c r="Q131" s="18" t="s">
        <v>1540</v>
      </c>
      <c r="R131" s="18" t="s">
        <v>305</v>
      </c>
      <c r="S131" s="18" t="s">
        <v>115</v>
      </c>
      <c r="T131" s="18" t="s">
        <v>115</v>
      </c>
      <c r="U131" s="18"/>
      <c r="V131" s="18" t="s">
        <v>1541</v>
      </c>
      <c r="W131" s="18" t="s">
        <v>1542</v>
      </c>
      <c r="X131" s="18"/>
      <c r="Y131" s="18" t="s">
        <v>1543</v>
      </c>
      <c r="Z131" s="19" t="s">
        <v>118</v>
      </c>
      <c r="AA131" s="19" t="s">
        <v>119</v>
      </c>
      <c r="AB131" s="18" t="s">
        <v>149</v>
      </c>
      <c r="AC131" s="20" t="s">
        <v>121</v>
      </c>
      <c r="AD131" s="21"/>
      <c r="AE131" s="20"/>
      <c r="AF131" s="20"/>
      <c r="AG131" s="20"/>
      <c r="AH131" s="21" t="str">
        <f aca="false">IF(AD131="","",WORKDAY(AD131,5))</f>
        <v/>
      </c>
      <c r="AI131" s="20"/>
      <c r="AJ131" s="20"/>
    </row>
    <row r="132" customFormat="false" ht="35.05" hidden="false" customHeight="false" outlineLevel="0" collapsed="false">
      <c r="A132" s="15" t="s">
        <v>338</v>
      </c>
      <c r="B132" s="16" t="n">
        <v>131</v>
      </c>
      <c r="C132" s="17" t="n">
        <v>5</v>
      </c>
      <c r="D132" s="18" t="s">
        <v>236</v>
      </c>
      <c r="E132" s="18" t="s">
        <v>1544</v>
      </c>
      <c r="F132" s="19" t="s">
        <v>1545</v>
      </c>
      <c r="G132" s="18" t="s">
        <v>1546</v>
      </c>
      <c r="H132" s="18"/>
      <c r="I132" s="18" t="s">
        <v>338</v>
      </c>
      <c r="J132" s="18" t="s">
        <v>1547</v>
      </c>
      <c r="K132" s="18" t="s">
        <v>1548</v>
      </c>
      <c r="L132" s="18"/>
      <c r="M132" s="18" t="s">
        <v>1549</v>
      </c>
      <c r="N132" s="18" t="s">
        <v>1550</v>
      </c>
      <c r="O132" s="18" t="s">
        <v>1551</v>
      </c>
      <c r="P132" s="18" t="s">
        <v>1552</v>
      </c>
      <c r="Q132" s="18" t="s">
        <v>1553</v>
      </c>
      <c r="R132" s="18" t="s">
        <v>305</v>
      </c>
      <c r="S132" s="18" t="s">
        <v>115</v>
      </c>
      <c r="T132" s="18" t="s">
        <v>115</v>
      </c>
      <c r="U132" s="18"/>
      <c r="V132" s="18" t="s">
        <v>1554</v>
      </c>
      <c r="W132" s="18" t="s">
        <v>1483</v>
      </c>
      <c r="X132" s="18" t="s">
        <v>1555</v>
      </c>
      <c r="Y132" s="18" t="s">
        <v>1556</v>
      </c>
      <c r="Z132" s="19" t="s">
        <v>118</v>
      </c>
      <c r="AA132" s="19" t="s">
        <v>119</v>
      </c>
      <c r="AB132" s="18" t="s">
        <v>149</v>
      </c>
      <c r="AC132" s="20" t="s">
        <v>121</v>
      </c>
      <c r="AD132" s="21"/>
      <c r="AE132" s="20"/>
      <c r="AF132" s="20"/>
      <c r="AG132" s="20"/>
      <c r="AH132" s="21" t="str">
        <f aca="false">IF(AD132="","",WORKDAY(AD132,5))</f>
        <v/>
      </c>
      <c r="AI132" s="20"/>
      <c r="AJ132" s="20"/>
    </row>
    <row r="133" customFormat="false" ht="35.05" hidden="false" customHeight="false" outlineLevel="0" collapsed="false">
      <c r="A133" s="15" t="s">
        <v>338</v>
      </c>
      <c r="B133" s="16" t="n">
        <v>132</v>
      </c>
      <c r="C133" s="17" t="n">
        <v>4</v>
      </c>
      <c r="D133" s="18" t="s">
        <v>364</v>
      </c>
      <c r="E133" s="18" t="s">
        <v>1557</v>
      </c>
      <c r="F133" s="19" t="s">
        <v>1558</v>
      </c>
      <c r="G133" s="18" t="s">
        <v>1559</v>
      </c>
      <c r="H133" s="18"/>
      <c r="I133" s="18" t="s">
        <v>338</v>
      </c>
      <c r="J133" s="18" t="s">
        <v>1560</v>
      </c>
      <c r="K133" s="18" t="s">
        <v>1561</v>
      </c>
      <c r="L133" s="18" t="s">
        <v>1562</v>
      </c>
      <c r="M133" s="18" t="s">
        <v>1563</v>
      </c>
      <c r="N133" s="18" t="s">
        <v>1564</v>
      </c>
      <c r="O133" s="18" t="s">
        <v>1565</v>
      </c>
      <c r="P133" s="18" t="s">
        <v>112</v>
      </c>
      <c r="Q133" s="18" t="s">
        <v>1566</v>
      </c>
      <c r="R133" s="18" t="s">
        <v>305</v>
      </c>
      <c r="S133" s="18" t="s">
        <v>115</v>
      </c>
      <c r="T133" s="18" t="s">
        <v>115</v>
      </c>
      <c r="U133" s="18"/>
      <c r="V133" s="18" t="s">
        <v>1567</v>
      </c>
      <c r="W133" s="18" t="s">
        <v>1568</v>
      </c>
      <c r="X133" s="18" t="s">
        <v>1569</v>
      </c>
      <c r="Y133" s="18" t="s">
        <v>165</v>
      </c>
      <c r="Z133" s="19" t="s">
        <v>118</v>
      </c>
      <c r="AA133" s="19" t="s">
        <v>119</v>
      </c>
      <c r="AB133" s="18" t="s">
        <v>120</v>
      </c>
      <c r="AC133" s="20" t="s">
        <v>121</v>
      </c>
      <c r="AD133" s="21"/>
      <c r="AE133" s="20"/>
      <c r="AF133" s="20"/>
      <c r="AG133" s="20"/>
      <c r="AH133" s="21" t="str">
        <f aca="false">IF(AD133="","",WORKDAY(AD133,5))</f>
        <v/>
      </c>
      <c r="AI133" s="20"/>
      <c r="AJ133" s="20"/>
    </row>
    <row r="134" customFormat="false" ht="35.05" hidden="false" customHeight="false" outlineLevel="0" collapsed="false">
      <c r="A134" s="15" t="s">
        <v>338</v>
      </c>
      <c r="B134" s="16" t="n">
        <v>133</v>
      </c>
      <c r="C134" s="17" t="n">
        <v>4</v>
      </c>
      <c r="D134" s="18" t="s">
        <v>135</v>
      </c>
      <c r="E134" s="18" t="s">
        <v>1570</v>
      </c>
      <c r="F134" s="19" t="s">
        <v>1571</v>
      </c>
      <c r="G134" s="18" t="s">
        <v>1572</v>
      </c>
      <c r="H134" s="18"/>
      <c r="I134" s="18" t="s">
        <v>338</v>
      </c>
      <c r="J134" s="18" t="s">
        <v>1573</v>
      </c>
      <c r="K134" s="18"/>
      <c r="L134" s="18"/>
      <c r="M134" s="18" t="s">
        <v>1478</v>
      </c>
      <c r="N134" s="18" t="s">
        <v>1574</v>
      </c>
      <c r="O134" s="18" t="s">
        <v>725</v>
      </c>
      <c r="P134" s="18" t="s">
        <v>112</v>
      </c>
      <c r="Q134" s="18" t="s">
        <v>567</v>
      </c>
      <c r="R134" s="18" t="s">
        <v>1575</v>
      </c>
      <c r="S134" s="18" t="s">
        <v>115</v>
      </c>
      <c r="T134" s="18" t="s">
        <v>115</v>
      </c>
      <c r="U134" s="18"/>
      <c r="V134" s="18" t="s">
        <v>1576</v>
      </c>
      <c r="W134" s="18" t="s">
        <v>1577</v>
      </c>
      <c r="X134" s="18" t="s">
        <v>1578</v>
      </c>
      <c r="Y134" s="18" t="s">
        <v>1579</v>
      </c>
      <c r="Z134" s="19" t="s">
        <v>118</v>
      </c>
      <c r="AA134" s="19" t="s">
        <v>119</v>
      </c>
      <c r="AB134" s="18" t="s">
        <v>149</v>
      </c>
      <c r="AC134" s="20" t="s">
        <v>121</v>
      </c>
      <c r="AD134" s="21"/>
      <c r="AE134" s="20"/>
      <c r="AF134" s="20"/>
      <c r="AG134" s="20"/>
      <c r="AH134" s="21" t="str">
        <f aca="false">IF(AD134="","",WORKDAY(AD134,5))</f>
        <v/>
      </c>
      <c r="AI134" s="20"/>
      <c r="AJ134" s="20"/>
    </row>
    <row r="135" customFormat="false" ht="46.25" hidden="false" customHeight="false" outlineLevel="0" collapsed="false">
      <c r="A135" s="15" t="s">
        <v>338</v>
      </c>
      <c r="B135" s="16" t="n">
        <v>134</v>
      </c>
      <c r="C135" s="17" t="n">
        <v>4</v>
      </c>
      <c r="D135" s="18" t="s">
        <v>135</v>
      </c>
      <c r="E135" s="18" t="s">
        <v>1580</v>
      </c>
      <c r="F135" s="19" t="s">
        <v>1581</v>
      </c>
      <c r="G135" s="18" t="s">
        <v>1582</v>
      </c>
      <c r="H135" s="18"/>
      <c r="I135" s="18" t="s">
        <v>338</v>
      </c>
      <c r="J135" s="18" t="s">
        <v>1583</v>
      </c>
      <c r="K135" s="18"/>
      <c r="L135" s="18"/>
      <c r="M135" s="18" t="s">
        <v>1584</v>
      </c>
      <c r="N135" s="18" t="s">
        <v>1585</v>
      </c>
      <c r="O135" s="18" t="s">
        <v>1480</v>
      </c>
      <c r="P135" s="18" t="s">
        <v>112</v>
      </c>
      <c r="Q135" s="18" t="s">
        <v>567</v>
      </c>
      <c r="R135" s="18" t="s">
        <v>1586</v>
      </c>
      <c r="S135" s="18" t="s">
        <v>115</v>
      </c>
      <c r="T135" s="18" t="s">
        <v>115</v>
      </c>
      <c r="U135" s="18"/>
      <c r="V135" s="18" t="s">
        <v>1587</v>
      </c>
      <c r="W135" s="18" t="s">
        <v>1588</v>
      </c>
      <c r="X135" s="18" t="s">
        <v>1589</v>
      </c>
      <c r="Y135" s="18" t="s">
        <v>1590</v>
      </c>
      <c r="Z135" s="19" t="s">
        <v>118</v>
      </c>
      <c r="AA135" s="19" t="s">
        <v>119</v>
      </c>
      <c r="AB135" s="18" t="s">
        <v>149</v>
      </c>
      <c r="AC135" s="20" t="s">
        <v>121</v>
      </c>
      <c r="AD135" s="21"/>
      <c r="AE135" s="20"/>
      <c r="AF135" s="20"/>
      <c r="AG135" s="20"/>
      <c r="AH135" s="21" t="str">
        <f aca="false">IF(AD135="","",WORKDAY(AD135,5))</f>
        <v/>
      </c>
      <c r="AI135" s="20"/>
      <c r="AJ135" s="20"/>
    </row>
    <row r="136" customFormat="false" ht="23.85" hidden="false" customHeight="false" outlineLevel="0" collapsed="false">
      <c r="A136" s="15" t="s">
        <v>338</v>
      </c>
      <c r="B136" s="16" t="n">
        <v>135</v>
      </c>
      <c r="C136" s="17" t="n">
        <v>4</v>
      </c>
      <c r="D136" s="18" t="s">
        <v>767</v>
      </c>
      <c r="E136" s="18" t="s">
        <v>1591</v>
      </c>
      <c r="F136" s="19" t="s">
        <v>1592</v>
      </c>
      <c r="G136" s="18" t="s">
        <v>1593</v>
      </c>
      <c r="H136" s="18"/>
      <c r="I136" s="18" t="s">
        <v>338</v>
      </c>
      <c r="J136" s="18" t="s">
        <v>1594</v>
      </c>
      <c r="K136" s="18"/>
      <c r="L136" s="18"/>
      <c r="M136" s="18" t="s">
        <v>1595</v>
      </c>
      <c r="N136" s="18" t="s">
        <v>1596</v>
      </c>
      <c r="O136" s="18" t="s">
        <v>986</v>
      </c>
      <c r="P136" s="18" t="s">
        <v>1597</v>
      </c>
      <c r="Q136" s="18" t="s">
        <v>1598</v>
      </c>
      <c r="R136" s="18" t="s">
        <v>305</v>
      </c>
      <c r="S136" s="18" t="s">
        <v>115</v>
      </c>
      <c r="T136" s="18" t="s">
        <v>115</v>
      </c>
      <c r="U136" s="18"/>
      <c r="V136" s="18" t="s">
        <v>1599</v>
      </c>
      <c r="W136" s="18" t="s">
        <v>1600</v>
      </c>
      <c r="X136" s="18" t="s">
        <v>1601</v>
      </c>
      <c r="Y136" s="18" t="s">
        <v>1602</v>
      </c>
      <c r="Z136" s="19" t="s">
        <v>118</v>
      </c>
      <c r="AA136" s="19" t="s">
        <v>119</v>
      </c>
      <c r="AB136" s="18" t="s">
        <v>149</v>
      </c>
      <c r="AC136" s="20" t="s">
        <v>121</v>
      </c>
      <c r="AD136" s="21"/>
      <c r="AE136" s="20"/>
      <c r="AF136" s="20"/>
      <c r="AG136" s="20"/>
      <c r="AH136" s="21" t="str">
        <f aca="false">IF(AD136="","",WORKDAY(AD136,5))</f>
        <v/>
      </c>
      <c r="AI136" s="20"/>
      <c r="AJ136" s="20"/>
    </row>
    <row r="137" customFormat="false" ht="23.85" hidden="false" customHeight="false" outlineLevel="0" collapsed="false">
      <c r="A137" s="15" t="s">
        <v>338</v>
      </c>
      <c r="B137" s="16" t="n">
        <v>136</v>
      </c>
      <c r="C137" s="17" t="n">
        <v>4</v>
      </c>
      <c r="D137" s="18" t="s">
        <v>379</v>
      </c>
      <c r="E137" s="18" t="s">
        <v>1603</v>
      </c>
      <c r="F137" s="19" t="s">
        <v>1604</v>
      </c>
      <c r="G137" s="18" t="s">
        <v>1605</v>
      </c>
      <c r="H137" s="18"/>
      <c r="I137" s="18" t="s">
        <v>338</v>
      </c>
      <c r="J137" s="18" t="s">
        <v>1606</v>
      </c>
      <c r="K137" s="18"/>
      <c r="L137" s="18"/>
      <c r="M137" s="18" t="s">
        <v>786</v>
      </c>
      <c r="N137" s="18" t="s">
        <v>1607</v>
      </c>
      <c r="O137" s="18" t="s">
        <v>788</v>
      </c>
      <c r="P137" s="18" t="s">
        <v>112</v>
      </c>
      <c r="Q137" s="18" t="s">
        <v>1608</v>
      </c>
      <c r="R137" s="18" t="s">
        <v>305</v>
      </c>
      <c r="S137" s="18" t="s">
        <v>115</v>
      </c>
      <c r="T137" s="18" t="s">
        <v>115</v>
      </c>
      <c r="U137" s="18"/>
      <c r="V137" s="18" t="s">
        <v>1609</v>
      </c>
      <c r="W137" s="18" t="s">
        <v>1610</v>
      </c>
      <c r="X137" s="18"/>
      <c r="Y137" s="18" t="s">
        <v>1611</v>
      </c>
      <c r="Z137" s="19" t="s">
        <v>118</v>
      </c>
      <c r="AA137" s="19" t="s">
        <v>119</v>
      </c>
      <c r="AB137" s="18" t="s">
        <v>149</v>
      </c>
      <c r="AC137" s="20" t="s">
        <v>121</v>
      </c>
      <c r="AD137" s="21"/>
      <c r="AE137" s="20"/>
      <c r="AF137" s="20"/>
      <c r="AG137" s="20"/>
      <c r="AH137" s="21" t="str">
        <f aca="false">IF(AD137="","",WORKDAY(AD137,5))</f>
        <v/>
      </c>
      <c r="AI137" s="20"/>
      <c r="AJ137" s="20"/>
    </row>
    <row r="138" customFormat="false" ht="35.05" hidden="false" customHeight="false" outlineLevel="0" collapsed="false">
      <c r="A138" s="15" t="s">
        <v>338</v>
      </c>
      <c r="B138" s="16" t="n">
        <v>137</v>
      </c>
      <c r="C138" s="17" t="n">
        <v>4</v>
      </c>
      <c r="D138" s="18" t="s">
        <v>379</v>
      </c>
      <c r="E138" s="18" t="s">
        <v>1612</v>
      </c>
      <c r="F138" s="19" t="s">
        <v>1613</v>
      </c>
      <c r="G138" s="18" t="s">
        <v>1614</v>
      </c>
      <c r="H138" s="18"/>
      <c r="I138" s="18" t="s">
        <v>338</v>
      </c>
      <c r="J138" s="18" t="s">
        <v>1615</v>
      </c>
      <c r="K138" s="18"/>
      <c r="L138" s="18"/>
      <c r="M138" s="18" t="s">
        <v>1616</v>
      </c>
      <c r="N138" s="18" t="s">
        <v>1617</v>
      </c>
      <c r="O138" s="18" t="s">
        <v>1618</v>
      </c>
      <c r="P138" s="18" t="s">
        <v>112</v>
      </c>
      <c r="Q138" s="18" t="s">
        <v>1619</v>
      </c>
      <c r="R138" s="18" t="s">
        <v>305</v>
      </c>
      <c r="S138" s="18" t="s">
        <v>115</v>
      </c>
      <c r="T138" s="18" t="s">
        <v>115</v>
      </c>
      <c r="U138" s="18"/>
      <c r="V138" s="18" t="s">
        <v>1620</v>
      </c>
      <c r="W138" s="18" t="s">
        <v>1621</v>
      </c>
      <c r="X138" s="18"/>
      <c r="Y138" s="18" t="s">
        <v>940</v>
      </c>
      <c r="Z138" s="19" t="s">
        <v>118</v>
      </c>
      <c r="AA138" s="19" t="s">
        <v>119</v>
      </c>
      <c r="AB138" s="18" t="s">
        <v>149</v>
      </c>
      <c r="AC138" s="20" t="s">
        <v>121</v>
      </c>
      <c r="AD138" s="21"/>
      <c r="AE138" s="20"/>
      <c r="AF138" s="20"/>
      <c r="AG138" s="20"/>
      <c r="AH138" s="21" t="str">
        <f aca="false">IF(AD138="","",WORKDAY(AD138,5))</f>
        <v/>
      </c>
      <c r="AI138" s="20"/>
      <c r="AJ138" s="20"/>
    </row>
    <row r="139" customFormat="false" ht="35.05" hidden="false" customHeight="false" outlineLevel="0" collapsed="false">
      <c r="A139" s="15" t="s">
        <v>338</v>
      </c>
      <c r="B139" s="16" t="n">
        <v>138</v>
      </c>
      <c r="C139" s="17" t="n">
        <v>4</v>
      </c>
      <c r="D139" s="18" t="s">
        <v>150</v>
      </c>
      <c r="E139" s="18" t="s">
        <v>1622</v>
      </c>
      <c r="F139" s="19" t="s">
        <v>1623</v>
      </c>
      <c r="G139" s="18" t="s">
        <v>1624</v>
      </c>
      <c r="H139" s="18"/>
      <c r="I139" s="18" t="s">
        <v>338</v>
      </c>
      <c r="J139" s="18" t="s">
        <v>1625</v>
      </c>
      <c r="K139" s="18"/>
      <c r="L139" s="18"/>
      <c r="M139" s="18" t="s">
        <v>1626</v>
      </c>
      <c r="N139" s="18" t="s">
        <v>1627</v>
      </c>
      <c r="O139" s="18" t="s">
        <v>1628</v>
      </c>
      <c r="P139" s="18" t="s">
        <v>112</v>
      </c>
      <c r="Q139" s="18" t="s">
        <v>1629</v>
      </c>
      <c r="R139" s="18" t="s">
        <v>305</v>
      </c>
      <c r="S139" s="18" t="s">
        <v>115</v>
      </c>
      <c r="T139" s="18" t="s">
        <v>115</v>
      </c>
      <c r="U139" s="18"/>
      <c r="V139" s="18" t="s">
        <v>1630</v>
      </c>
      <c r="W139" s="18"/>
      <c r="X139" s="18"/>
      <c r="Y139" s="18" t="s">
        <v>1631</v>
      </c>
      <c r="Z139" s="19" t="s">
        <v>118</v>
      </c>
      <c r="AA139" s="19" t="s">
        <v>119</v>
      </c>
      <c r="AB139" s="18" t="s">
        <v>120</v>
      </c>
      <c r="AC139" s="20" t="s">
        <v>121</v>
      </c>
      <c r="AD139" s="21"/>
      <c r="AE139" s="20"/>
      <c r="AF139" s="20"/>
      <c r="AG139" s="20"/>
      <c r="AH139" s="21" t="str">
        <f aca="false">IF(AD139="","",WORKDAY(AD139,5))</f>
        <v/>
      </c>
      <c r="AI139" s="20"/>
      <c r="AJ139" s="20"/>
    </row>
    <row r="140" customFormat="false" ht="35.05" hidden="false" customHeight="false" outlineLevel="0" collapsed="false">
      <c r="A140" s="15" t="s">
        <v>338</v>
      </c>
      <c r="B140" s="16" t="n">
        <v>139</v>
      </c>
      <c r="C140" s="17" t="n">
        <v>4</v>
      </c>
      <c r="D140" s="18" t="s">
        <v>101</v>
      </c>
      <c r="E140" s="18" t="s">
        <v>1632</v>
      </c>
      <c r="F140" s="19" t="s">
        <v>1633</v>
      </c>
      <c r="G140" s="18" t="s">
        <v>1634</v>
      </c>
      <c r="H140" s="18"/>
      <c r="I140" s="18" t="s">
        <v>338</v>
      </c>
      <c r="J140" s="18" t="s">
        <v>1635</v>
      </c>
      <c r="K140" s="18" t="s">
        <v>1636</v>
      </c>
      <c r="L140" s="18" t="s">
        <v>1637</v>
      </c>
      <c r="M140" s="18" t="s">
        <v>1638</v>
      </c>
      <c r="N140" s="18" t="s">
        <v>1639</v>
      </c>
      <c r="O140" s="18" t="s">
        <v>172</v>
      </c>
      <c r="P140" s="18" t="s">
        <v>1640</v>
      </c>
      <c r="Q140" s="18" t="s">
        <v>1641</v>
      </c>
      <c r="R140" s="18" t="s">
        <v>305</v>
      </c>
      <c r="S140" s="18" t="s">
        <v>115</v>
      </c>
      <c r="T140" s="18" t="s">
        <v>115</v>
      </c>
      <c r="U140" s="18"/>
      <c r="V140" s="18" t="s">
        <v>1642</v>
      </c>
      <c r="W140" s="18" t="s">
        <v>1643</v>
      </c>
      <c r="X140" s="18"/>
      <c r="Y140" s="18" t="s">
        <v>1644</v>
      </c>
      <c r="Z140" s="19" t="s">
        <v>118</v>
      </c>
      <c r="AA140" s="19" t="s">
        <v>119</v>
      </c>
      <c r="AB140" s="18" t="s">
        <v>149</v>
      </c>
      <c r="AC140" s="20" t="s">
        <v>121</v>
      </c>
      <c r="AD140" s="21"/>
      <c r="AE140" s="20"/>
      <c r="AF140" s="20"/>
      <c r="AG140" s="20"/>
      <c r="AH140" s="21" t="str">
        <f aca="false">IF(AD140="","",WORKDAY(AD140,5))</f>
        <v/>
      </c>
      <c r="AI140" s="20"/>
      <c r="AJ140" s="20"/>
    </row>
    <row r="141" customFormat="false" ht="23.85" hidden="false" customHeight="false" outlineLevel="0" collapsed="false">
      <c r="A141" s="15" t="s">
        <v>338</v>
      </c>
      <c r="B141" s="16" t="n">
        <v>140</v>
      </c>
      <c r="C141" s="17" t="n">
        <v>4</v>
      </c>
      <c r="D141" s="18" t="s">
        <v>442</v>
      </c>
      <c r="E141" s="18" t="s">
        <v>1645</v>
      </c>
      <c r="F141" s="19" t="s">
        <v>1646</v>
      </c>
      <c r="G141" s="18" t="s">
        <v>1647</v>
      </c>
      <c r="H141" s="18"/>
      <c r="I141" s="18" t="s">
        <v>338</v>
      </c>
      <c r="J141" s="18" t="s">
        <v>1648</v>
      </c>
      <c r="K141" s="18" t="s">
        <v>1649</v>
      </c>
      <c r="L141" s="18"/>
      <c r="M141" s="18" t="s">
        <v>1650</v>
      </c>
      <c r="N141" s="18" t="s">
        <v>1651</v>
      </c>
      <c r="O141" s="18" t="s">
        <v>1192</v>
      </c>
      <c r="P141" s="18" t="s">
        <v>112</v>
      </c>
      <c r="Q141" s="18" t="s">
        <v>195</v>
      </c>
      <c r="R141" s="18" t="s">
        <v>305</v>
      </c>
      <c r="S141" s="18" t="s">
        <v>115</v>
      </c>
      <c r="T141" s="18" t="s">
        <v>115</v>
      </c>
      <c r="U141" s="18"/>
      <c r="V141" s="18" t="s">
        <v>1652</v>
      </c>
      <c r="W141" s="18" t="s">
        <v>1653</v>
      </c>
      <c r="X141" s="18"/>
      <c r="Y141" s="18" t="s">
        <v>1654</v>
      </c>
      <c r="Z141" s="19" t="s">
        <v>118</v>
      </c>
      <c r="AA141" s="19" t="s">
        <v>119</v>
      </c>
      <c r="AB141" s="18" t="s">
        <v>120</v>
      </c>
      <c r="AC141" s="20" t="s">
        <v>121</v>
      </c>
      <c r="AD141" s="21"/>
      <c r="AE141" s="20"/>
      <c r="AF141" s="20"/>
      <c r="AG141" s="20"/>
      <c r="AH141" s="21" t="str">
        <f aca="false">IF(AD141="","",WORKDAY(AD141,5))</f>
        <v/>
      </c>
      <c r="AI141" s="20"/>
      <c r="AJ141" s="20"/>
    </row>
    <row r="142" customFormat="false" ht="23.85" hidden="false" customHeight="false" outlineLevel="0" collapsed="false">
      <c r="A142" s="15" t="s">
        <v>338</v>
      </c>
      <c r="B142" s="16" t="n">
        <v>141</v>
      </c>
      <c r="C142" s="17" t="n">
        <v>4</v>
      </c>
      <c r="D142" s="18" t="s">
        <v>248</v>
      </c>
      <c r="E142" s="18" t="s">
        <v>1655</v>
      </c>
      <c r="F142" s="19" t="s">
        <v>1656</v>
      </c>
      <c r="G142" s="18" t="s">
        <v>1657</v>
      </c>
      <c r="H142" s="18"/>
      <c r="I142" s="18" t="s">
        <v>338</v>
      </c>
      <c r="J142" s="18" t="s">
        <v>1658</v>
      </c>
      <c r="K142" s="18"/>
      <c r="L142" s="18"/>
      <c r="M142" s="18" t="s">
        <v>1659</v>
      </c>
      <c r="N142" s="18" t="s">
        <v>1660</v>
      </c>
      <c r="O142" s="18" t="s">
        <v>1661</v>
      </c>
      <c r="P142" s="18" t="s">
        <v>112</v>
      </c>
      <c r="Q142" s="18" t="s">
        <v>1662</v>
      </c>
      <c r="R142" s="18" t="s">
        <v>305</v>
      </c>
      <c r="S142" s="18" t="s">
        <v>115</v>
      </c>
      <c r="T142" s="18" t="s">
        <v>115</v>
      </c>
      <c r="U142" s="18" t="s">
        <v>1663</v>
      </c>
      <c r="V142" s="18" t="s">
        <v>1664</v>
      </c>
      <c r="W142" s="18" t="s">
        <v>1665</v>
      </c>
      <c r="X142" s="18"/>
      <c r="Y142" s="18" t="s">
        <v>1666</v>
      </c>
      <c r="Z142" s="19" t="s">
        <v>118</v>
      </c>
      <c r="AA142" s="19" t="s">
        <v>119</v>
      </c>
      <c r="AB142" s="18" t="s">
        <v>120</v>
      </c>
      <c r="AC142" s="20" t="s">
        <v>121</v>
      </c>
      <c r="AD142" s="21"/>
      <c r="AE142" s="20"/>
      <c r="AF142" s="20"/>
      <c r="AG142" s="20"/>
      <c r="AH142" s="21" t="str">
        <f aca="false">IF(AD142="","",WORKDAY(AD142,5))</f>
        <v/>
      </c>
      <c r="AI142" s="20"/>
      <c r="AJ142" s="20"/>
    </row>
    <row r="143" customFormat="false" ht="23.85" hidden="false" customHeight="false" outlineLevel="0" collapsed="false">
      <c r="A143" s="15" t="s">
        <v>338</v>
      </c>
      <c r="B143" s="16" t="n">
        <v>142</v>
      </c>
      <c r="C143" s="17" t="n">
        <v>4</v>
      </c>
      <c r="D143" s="18" t="s">
        <v>248</v>
      </c>
      <c r="E143" s="18" t="s">
        <v>1667</v>
      </c>
      <c r="F143" s="18" t="s">
        <v>167</v>
      </c>
      <c r="G143" s="18" t="s">
        <v>1668</v>
      </c>
      <c r="H143" s="18"/>
      <c r="I143" s="18" t="s">
        <v>338</v>
      </c>
      <c r="J143" s="18" t="s">
        <v>1669</v>
      </c>
      <c r="K143" s="18"/>
      <c r="L143" s="18"/>
      <c r="M143" s="18" t="s">
        <v>1670</v>
      </c>
      <c r="N143" s="18" t="s">
        <v>1671</v>
      </c>
      <c r="O143" s="18" t="s">
        <v>1672</v>
      </c>
      <c r="P143" s="18" t="s">
        <v>112</v>
      </c>
      <c r="Q143" s="18" t="s">
        <v>1673</v>
      </c>
      <c r="R143" s="18" t="s">
        <v>1674</v>
      </c>
      <c r="S143" s="18" t="s">
        <v>115</v>
      </c>
      <c r="T143" s="18" t="s">
        <v>115</v>
      </c>
      <c r="U143" s="18" t="s">
        <v>1675</v>
      </c>
      <c r="V143" s="18" t="s">
        <v>1676</v>
      </c>
      <c r="W143" s="18" t="s">
        <v>1677</v>
      </c>
      <c r="X143" s="18"/>
      <c r="Y143" s="18" t="s">
        <v>1458</v>
      </c>
      <c r="Z143" s="19" t="s">
        <v>118</v>
      </c>
      <c r="AA143" s="19" t="s">
        <v>119</v>
      </c>
      <c r="AB143" s="18" t="s">
        <v>120</v>
      </c>
      <c r="AC143" s="20" t="s">
        <v>121</v>
      </c>
      <c r="AD143" s="21"/>
      <c r="AE143" s="20"/>
      <c r="AF143" s="20"/>
      <c r="AG143" s="20"/>
      <c r="AH143" s="21" t="str">
        <f aca="false">IF(AD143="","",WORKDAY(AD143,5))</f>
        <v/>
      </c>
      <c r="AI143" s="20"/>
      <c r="AJ143" s="20"/>
    </row>
    <row r="144" customFormat="false" ht="35.05" hidden="false" customHeight="false" outlineLevel="0" collapsed="false">
      <c r="A144" s="15" t="s">
        <v>338</v>
      </c>
      <c r="B144" s="16" t="n">
        <v>143</v>
      </c>
      <c r="C144" s="17" t="n">
        <v>4</v>
      </c>
      <c r="D144" s="18" t="s">
        <v>236</v>
      </c>
      <c r="E144" s="18" t="s">
        <v>1678</v>
      </c>
      <c r="F144" s="19" t="s">
        <v>1679</v>
      </c>
      <c r="G144" s="18" t="s">
        <v>1680</v>
      </c>
      <c r="H144" s="18"/>
      <c r="I144" s="18" t="s">
        <v>338</v>
      </c>
      <c r="J144" s="18" t="s">
        <v>1681</v>
      </c>
      <c r="K144" s="18" t="s">
        <v>1682</v>
      </c>
      <c r="L144" s="18"/>
      <c r="M144" s="18" t="s">
        <v>157</v>
      </c>
      <c r="N144" s="18" t="s">
        <v>1683</v>
      </c>
      <c r="O144" s="18" t="s">
        <v>1425</v>
      </c>
      <c r="P144" s="18" t="s">
        <v>112</v>
      </c>
      <c r="Q144" s="18" t="s">
        <v>195</v>
      </c>
      <c r="R144" s="18" t="s">
        <v>305</v>
      </c>
      <c r="S144" s="18" t="s">
        <v>115</v>
      </c>
      <c r="T144" s="18" t="s">
        <v>115</v>
      </c>
      <c r="U144" s="18"/>
      <c r="V144" s="18" t="s">
        <v>1684</v>
      </c>
      <c r="W144" s="18" t="s">
        <v>1685</v>
      </c>
      <c r="X144" s="18"/>
      <c r="Y144" s="18" t="s">
        <v>1686</v>
      </c>
      <c r="Z144" s="19" t="s">
        <v>118</v>
      </c>
      <c r="AA144" s="19" t="s">
        <v>119</v>
      </c>
      <c r="AB144" s="18" t="s">
        <v>149</v>
      </c>
      <c r="AC144" s="20" t="s">
        <v>121</v>
      </c>
      <c r="AD144" s="21"/>
      <c r="AE144" s="20"/>
      <c r="AF144" s="20"/>
      <c r="AG144" s="20"/>
      <c r="AH144" s="21" t="str">
        <f aca="false">IF(AD144="","",WORKDAY(AD144,5))</f>
        <v/>
      </c>
      <c r="AI144" s="20"/>
      <c r="AJ144" s="20"/>
    </row>
    <row r="145" customFormat="false" ht="23.85" hidden="false" customHeight="false" outlineLevel="0" collapsed="false">
      <c r="A145" s="15" t="s">
        <v>338</v>
      </c>
      <c r="B145" s="16" t="n">
        <v>144</v>
      </c>
      <c r="C145" s="17" t="n">
        <v>4</v>
      </c>
      <c r="D145" s="18" t="s">
        <v>236</v>
      </c>
      <c r="E145" s="18" t="s">
        <v>1687</v>
      </c>
      <c r="F145" s="18" t="s">
        <v>167</v>
      </c>
      <c r="G145" s="18" t="s">
        <v>1688</v>
      </c>
      <c r="H145" s="18"/>
      <c r="I145" s="18" t="s">
        <v>338</v>
      </c>
      <c r="J145" s="18" t="s">
        <v>1689</v>
      </c>
      <c r="K145" s="18" t="s">
        <v>1690</v>
      </c>
      <c r="L145" s="18"/>
      <c r="M145" s="18" t="s">
        <v>1691</v>
      </c>
      <c r="N145" s="18" t="s">
        <v>1692</v>
      </c>
      <c r="O145" s="18" t="s">
        <v>1693</v>
      </c>
      <c r="P145" s="18" t="s">
        <v>112</v>
      </c>
      <c r="Q145" s="18" t="s">
        <v>195</v>
      </c>
      <c r="R145" s="18" t="s">
        <v>305</v>
      </c>
      <c r="S145" s="18" t="s">
        <v>115</v>
      </c>
      <c r="T145" s="18" t="s">
        <v>115</v>
      </c>
      <c r="U145" s="18"/>
      <c r="V145" s="18" t="s">
        <v>1694</v>
      </c>
      <c r="W145" s="18"/>
      <c r="X145" s="18" t="s">
        <v>1695</v>
      </c>
      <c r="Y145" s="18" t="s">
        <v>1696</v>
      </c>
      <c r="Z145" s="19" t="s">
        <v>118</v>
      </c>
      <c r="AA145" s="19" t="s">
        <v>119</v>
      </c>
      <c r="AB145" s="18" t="s">
        <v>149</v>
      </c>
      <c r="AC145" s="20" t="s">
        <v>121</v>
      </c>
      <c r="AD145" s="21"/>
      <c r="AE145" s="20"/>
      <c r="AF145" s="20"/>
      <c r="AG145" s="20"/>
      <c r="AH145" s="21" t="str">
        <f aca="false">IF(AD145="","",WORKDAY(AD145,5))</f>
        <v/>
      </c>
      <c r="AI145" s="20"/>
      <c r="AJ145" s="20"/>
    </row>
    <row r="146" customFormat="false" ht="23.85" hidden="false" customHeight="false" outlineLevel="0" collapsed="false">
      <c r="A146" s="15" t="s">
        <v>338</v>
      </c>
      <c r="B146" s="16" t="n">
        <v>145</v>
      </c>
      <c r="C146" s="17" t="n">
        <v>4</v>
      </c>
      <c r="D146" s="18" t="s">
        <v>236</v>
      </c>
      <c r="E146" s="18" t="s">
        <v>1697</v>
      </c>
      <c r="F146" s="19" t="s">
        <v>1698</v>
      </c>
      <c r="G146" s="18" t="s">
        <v>1699</v>
      </c>
      <c r="H146" s="18"/>
      <c r="I146" s="18" t="s">
        <v>338</v>
      </c>
      <c r="J146" s="18" t="s">
        <v>1700</v>
      </c>
      <c r="K146" s="18"/>
      <c r="L146" s="18" t="s">
        <v>1701</v>
      </c>
      <c r="M146" s="18" t="s">
        <v>219</v>
      </c>
      <c r="N146" s="18" t="s">
        <v>1702</v>
      </c>
      <c r="O146" s="18" t="s">
        <v>483</v>
      </c>
      <c r="P146" s="18" t="s">
        <v>112</v>
      </c>
      <c r="Q146" s="18" t="s">
        <v>1703</v>
      </c>
      <c r="R146" s="18" t="s">
        <v>305</v>
      </c>
      <c r="S146" s="18" t="s">
        <v>115</v>
      </c>
      <c r="T146" s="18" t="s">
        <v>115</v>
      </c>
      <c r="U146" s="18"/>
      <c r="V146" s="18" t="s">
        <v>1704</v>
      </c>
      <c r="W146" s="18" t="s">
        <v>1705</v>
      </c>
      <c r="X146" s="18"/>
      <c r="Y146" s="18" t="s">
        <v>1458</v>
      </c>
      <c r="Z146" s="19" t="s">
        <v>118</v>
      </c>
      <c r="AA146" s="19" t="s">
        <v>119</v>
      </c>
      <c r="AB146" s="18" t="s">
        <v>149</v>
      </c>
      <c r="AC146" s="20" t="s">
        <v>121</v>
      </c>
      <c r="AD146" s="21"/>
      <c r="AE146" s="20"/>
      <c r="AF146" s="20"/>
      <c r="AG146" s="20"/>
      <c r="AH146" s="21" t="str">
        <f aca="false">IF(AD146="","",WORKDAY(AD146,5))</f>
        <v/>
      </c>
      <c r="AI146" s="20"/>
      <c r="AJ146" s="20"/>
    </row>
    <row r="147" customFormat="false" ht="46.25" hidden="false" customHeight="false" outlineLevel="0" collapsed="false">
      <c r="A147" s="15" t="s">
        <v>338</v>
      </c>
      <c r="B147" s="16" t="n">
        <v>146</v>
      </c>
      <c r="C147" s="17" t="n">
        <v>3</v>
      </c>
      <c r="D147" s="18" t="s">
        <v>188</v>
      </c>
      <c r="E147" s="18" t="s">
        <v>1706</v>
      </c>
      <c r="F147" s="19" t="s">
        <v>1707</v>
      </c>
      <c r="G147" s="18" t="s">
        <v>1708</v>
      </c>
      <c r="H147" s="18"/>
      <c r="I147" s="18" t="s">
        <v>338</v>
      </c>
      <c r="J147" s="18" t="s">
        <v>1709</v>
      </c>
      <c r="K147" s="18"/>
      <c r="L147" s="18"/>
      <c r="M147" s="18" t="s">
        <v>1710</v>
      </c>
      <c r="N147" s="18" t="s">
        <v>1711</v>
      </c>
      <c r="O147" s="18" t="s">
        <v>1712</v>
      </c>
      <c r="P147" s="18" t="s">
        <v>112</v>
      </c>
      <c r="Q147" s="18" t="s">
        <v>1713</v>
      </c>
      <c r="R147" s="18" t="s">
        <v>305</v>
      </c>
      <c r="S147" s="18" t="s">
        <v>1714</v>
      </c>
      <c r="T147" s="18" t="s">
        <v>1715</v>
      </c>
      <c r="U147" s="18"/>
      <c r="V147" s="18" t="s">
        <v>1716</v>
      </c>
      <c r="W147" s="18" t="s">
        <v>1717</v>
      </c>
      <c r="X147" s="18"/>
      <c r="Y147" s="18" t="s">
        <v>940</v>
      </c>
      <c r="Z147" s="19" t="s">
        <v>118</v>
      </c>
      <c r="AA147" s="19" t="s">
        <v>119</v>
      </c>
      <c r="AB147" s="18" t="s">
        <v>120</v>
      </c>
      <c r="AC147" s="20" t="s">
        <v>121</v>
      </c>
      <c r="AD147" s="21"/>
      <c r="AE147" s="20"/>
      <c r="AF147" s="20"/>
      <c r="AG147" s="20"/>
      <c r="AH147" s="21" t="str">
        <f aca="false">IF(AD147="","",WORKDAY(AD147,5))</f>
        <v/>
      </c>
      <c r="AI147" s="20"/>
      <c r="AJ147" s="20"/>
    </row>
    <row r="148" customFormat="false" ht="23.85" hidden="false" customHeight="false" outlineLevel="0" collapsed="false">
      <c r="A148" s="15" t="s">
        <v>338</v>
      </c>
      <c r="B148" s="16" t="n">
        <v>147</v>
      </c>
      <c r="C148" s="17" t="n">
        <v>3</v>
      </c>
      <c r="D148" s="18" t="s">
        <v>188</v>
      </c>
      <c r="E148" s="18" t="s">
        <v>1718</v>
      </c>
      <c r="F148" s="19" t="s">
        <v>1719</v>
      </c>
      <c r="G148" s="18" t="s">
        <v>1720</v>
      </c>
      <c r="H148" s="18"/>
      <c r="I148" s="18" t="s">
        <v>338</v>
      </c>
      <c r="J148" s="18" t="s">
        <v>1721</v>
      </c>
      <c r="K148" s="18"/>
      <c r="L148" s="18"/>
      <c r="M148" s="18" t="s">
        <v>1722</v>
      </c>
      <c r="N148" s="18" t="s">
        <v>1723</v>
      </c>
      <c r="O148" s="18" t="s">
        <v>1724</v>
      </c>
      <c r="P148" s="18" t="s">
        <v>112</v>
      </c>
      <c r="Q148" s="18" t="s">
        <v>195</v>
      </c>
      <c r="R148" s="18" t="s">
        <v>305</v>
      </c>
      <c r="S148" s="18" t="s">
        <v>115</v>
      </c>
      <c r="T148" s="18" t="s">
        <v>115</v>
      </c>
      <c r="U148" s="18"/>
      <c r="V148" s="18" t="s">
        <v>1725</v>
      </c>
      <c r="W148" s="18" t="s">
        <v>1726</v>
      </c>
      <c r="X148" s="18"/>
      <c r="Y148" s="18" t="s">
        <v>1418</v>
      </c>
      <c r="Z148" s="19" t="s">
        <v>118</v>
      </c>
      <c r="AA148" s="19" t="s">
        <v>119</v>
      </c>
      <c r="AB148" s="18" t="s">
        <v>149</v>
      </c>
      <c r="AC148" s="20" t="s">
        <v>121</v>
      </c>
      <c r="AD148" s="21"/>
      <c r="AE148" s="20"/>
      <c r="AF148" s="20"/>
      <c r="AG148" s="20"/>
      <c r="AH148" s="21" t="str">
        <f aca="false">IF(AD148="","",WORKDAY(AD148,5))</f>
        <v/>
      </c>
      <c r="AI148" s="20"/>
      <c r="AJ148" s="20"/>
    </row>
    <row r="149" customFormat="false" ht="23.85" hidden="false" customHeight="false" outlineLevel="0" collapsed="false">
      <c r="A149" s="15" t="s">
        <v>338</v>
      </c>
      <c r="B149" s="16" t="n">
        <v>148</v>
      </c>
      <c r="C149" s="17" t="n">
        <v>3</v>
      </c>
      <c r="D149" s="18" t="s">
        <v>364</v>
      </c>
      <c r="E149" s="18" t="s">
        <v>1727</v>
      </c>
      <c r="F149" s="19" t="s">
        <v>1728</v>
      </c>
      <c r="G149" s="18" t="s">
        <v>1729</v>
      </c>
      <c r="H149" s="18"/>
      <c r="I149" s="18" t="s">
        <v>338</v>
      </c>
      <c r="J149" s="18" t="s">
        <v>1729</v>
      </c>
      <c r="K149" s="18"/>
      <c r="L149" s="18"/>
      <c r="M149" s="18" t="s">
        <v>1730</v>
      </c>
      <c r="N149" s="18" t="s">
        <v>1731</v>
      </c>
      <c r="O149" s="18" t="s">
        <v>751</v>
      </c>
      <c r="P149" s="18" t="s">
        <v>112</v>
      </c>
      <c r="Q149" s="18" t="s">
        <v>195</v>
      </c>
      <c r="R149" s="18" t="s">
        <v>305</v>
      </c>
      <c r="S149" s="18" t="s">
        <v>115</v>
      </c>
      <c r="T149" s="18" t="s">
        <v>115</v>
      </c>
      <c r="U149" s="18"/>
      <c r="V149" s="18" t="s">
        <v>1732</v>
      </c>
      <c r="W149" s="18"/>
      <c r="X149" s="18"/>
      <c r="Y149" s="18" t="s">
        <v>1733</v>
      </c>
      <c r="Z149" s="19" t="s">
        <v>118</v>
      </c>
      <c r="AA149" s="19" t="s">
        <v>119</v>
      </c>
      <c r="AB149" s="18" t="s">
        <v>120</v>
      </c>
      <c r="AC149" s="20" t="s">
        <v>121</v>
      </c>
      <c r="AD149" s="21"/>
      <c r="AE149" s="20"/>
      <c r="AF149" s="20"/>
      <c r="AG149" s="20"/>
      <c r="AH149" s="21" t="str">
        <f aca="false">IF(AD149="","",WORKDAY(AD149,5))</f>
        <v/>
      </c>
      <c r="AI149" s="20"/>
      <c r="AJ149" s="20"/>
    </row>
    <row r="150" customFormat="false" ht="23.85" hidden="false" customHeight="false" outlineLevel="0" collapsed="false">
      <c r="A150" s="15" t="s">
        <v>338</v>
      </c>
      <c r="B150" s="16" t="n">
        <v>149</v>
      </c>
      <c r="C150" s="17" t="n">
        <v>3</v>
      </c>
      <c r="D150" s="18" t="s">
        <v>364</v>
      </c>
      <c r="E150" s="18" t="s">
        <v>1734</v>
      </c>
      <c r="F150" s="19" t="s">
        <v>1735</v>
      </c>
      <c r="G150" s="18" t="s">
        <v>1736</v>
      </c>
      <c r="H150" s="18"/>
      <c r="I150" s="18" t="s">
        <v>338</v>
      </c>
      <c r="J150" s="18"/>
      <c r="K150" s="18"/>
      <c r="L150" s="18"/>
      <c r="M150" s="18" t="s">
        <v>1737</v>
      </c>
      <c r="N150" s="18" t="s">
        <v>1738</v>
      </c>
      <c r="O150" s="18" t="s">
        <v>1097</v>
      </c>
      <c r="P150" s="18" t="s">
        <v>112</v>
      </c>
      <c r="Q150" s="18" t="s">
        <v>1739</v>
      </c>
      <c r="R150" s="18" t="s">
        <v>305</v>
      </c>
      <c r="S150" s="18" t="s">
        <v>305</v>
      </c>
      <c r="T150" s="18" t="s">
        <v>115</v>
      </c>
      <c r="U150" s="18" t="s">
        <v>1740</v>
      </c>
      <c r="V150" s="18" t="s">
        <v>1741</v>
      </c>
      <c r="W150" s="18" t="s">
        <v>1742</v>
      </c>
      <c r="X150" s="18"/>
      <c r="Y150" s="18" t="s">
        <v>1743</v>
      </c>
      <c r="Z150" s="19" t="s">
        <v>118</v>
      </c>
      <c r="AA150" s="19" t="s">
        <v>119</v>
      </c>
      <c r="AB150" s="18" t="s">
        <v>120</v>
      </c>
      <c r="AC150" s="20" t="s">
        <v>121</v>
      </c>
      <c r="AD150" s="21"/>
      <c r="AE150" s="20"/>
      <c r="AF150" s="20"/>
      <c r="AG150" s="20"/>
      <c r="AH150" s="21" t="str">
        <f aca="false">IF(AD150="","",WORKDAY(AD150,5))</f>
        <v/>
      </c>
      <c r="AI150" s="20"/>
      <c r="AJ150" s="20"/>
    </row>
    <row r="151" customFormat="false" ht="23.85" hidden="false" customHeight="false" outlineLevel="0" collapsed="false">
      <c r="A151" s="15" t="s">
        <v>338</v>
      </c>
      <c r="B151" s="16" t="n">
        <v>150</v>
      </c>
      <c r="C151" s="17" t="n">
        <v>3</v>
      </c>
      <c r="D151" s="18" t="s">
        <v>135</v>
      </c>
      <c r="E151" s="18" t="s">
        <v>1744</v>
      </c>
      <c r="F151" s="19" t="s">
        <v>1745</v>
      </c>
      <c r="G151" s="18" t="s">
        <v>1746</v>
      </c>
      <c r="H151" s="18"/>
      <c r="I151" s="18" t="s">
        <v>338</v>
      </c>
      <c r="J151" s="18" t="s">
        <v>1747</v>
      </c>
      <c r="K151" s="18" t="s">
        <v>1748</v>
      </c>
      <c r="L151" s="18"/>
      <c r="M151" s="18" t="s">
        <v>847</v>
      </c>
      <c r="N151" s="18" t="s">
        <v>1749</v>
      </c>
      <c r="O151" s="18" t="s">
        <v>725</v>
      </c>
      <c r="P151" s="18" t="s">
        <v>112</v>
      </c>
      <c r="Q151" s="18" t="s">
        <v>1750</v>
      </c>
      <c r="R151" s="18" t="s">
        <v>1586</v>
      </c>
      <c r="S151" s="18" t="s">
        <v>115</v>
      </c>
      <c r="T151" s="18" t="s">
        <v>115</v>
      </c>
      <c r="U151" s="18"/>
      <c r="V151" s="18" t="s">
        <v>1751</v>
      </c>
      <c r="W151" s="18" t="s">
        <v>1752</v>
      </c>
      <c r="X151" s="18" t="s">
        <v>1753</v>
      </c>
      <c r="Y151" s="18" t="s">
        <v>148</v>
      </c>
      <c r="Z151" s="19" t="s">
        <v>118</v>
      </c>
      <c r="AA151" s="19" t="s">
        <v>119</v>
      </c>
      <c r="AB151" s="18" t="s">
        <v>149</v>
      </c>
      <c r="AC151" s="20" t="s">
        <v>121</v>
      </c>
      <c r="AD151" s="21"/>
      <c r="AE151" s="20"/>
      <c r="AF151" s="20"/>
      <c r="AG151" s="20"/>
      <c r="AH151" s="21" t="str">
        <f aca="false">IF(AD151="","",WORKDAY(AD151,5))</f>
        <v/>
      </c>
      <c r="AI151" s="20"/>
      <c r="AJ151" s="20"/>
    </row>
    <row r="152" customFormat="false" ht="35.05" hidden="false" customHeight="false" outlineLevel="0" collapsed="false">
      <c r="A152" s="15" t="s">
        <v>338</v>
      </c>
      <c r="B152" s="16" t="n">
        <v>151</v>
      </c>
      <c r="C152" s="17" t="n">
        <v>3</v>
      </c>
      <c r="D152" s="18" t="s">
        <v>767</v>
      </c>
      <c r="E152" s="18" t="s">
        <v>1754</v>
      </c>
      <c r="F152" s="19" t="s">
        <v>1755</v>
      </c>
      <c r="G152" s="18" t="s">
        <v>1756</v>
      </c>
      <c r="H152" s="18"/>
      <c r="I152" s="18" t="s">
        <v>338</v>
      </c>
      <c r="J152" s="18" t="s">
        <v>1757</v>
      </c>
      <c r="K152" s="18" t="s">
        <v>1758</v>
      </c>
      <c r="L152" s="18" t="s">
        <v>1759</v>
      </c>
      <c r="M152" s="18" t="s">
        <v>1760</v>
      </c>
      <c r="N152" s="18" t="s">
        <v>1761</v>
      </c>
      <c r="O152" s="18" t="s">
        <v>986</v>
      </c>
      <c r="P152" s="18" t="s">
        <v>1762</v>
      </c>
      <c r="Q152" s="18" t="s">
        <v>1763</v>
      </c>
      <c r="R152" s="18" t="s">
        <v>305</v>
      </c>
      <c r="S152" s="18" t="s">
        <v>115</v>
      </c>
      <c r="T152" s="18" t="s">
        <v>115</v>
      </c>
      <c r="U152" s="18"/>
      <c r="V152" s="18" t="s">
        <v>1764</v>
      </c>
      <c r="W152" s="18"/>
      <c r="X152" s="18"/>
      <c r="Y152" s="18" t="s">
        <v>1765</v>
      </c>
      <c r="Z152" s="19" t="s">
        <v>118</v>
      </c>
      <c r="AA152" s="19" t="s">
        <v>119</v>
      </c>
      <c r="AB152" s="18" t="s">
        <v>149</v>
      </c>
      <c r="AC152" s="20" t="s">
        <v>121</v>
      </c>
      <c r="AD152" s="21"/>
      <c r="AE152" s="20"/>
      <c r="AF152" s="20"/>
      <c r="AG152" s="20"/>
      <c r="AH152" s="21" t="str">
        <f aca="false">IF(AD152="","",WORKDAY(AD152,5))</f>
        <v/>
      </c>
      <c r="AI152" s="20"/>
      <c r="AJ152" s="20"/>
    </row>
    <row r="153" customFormat="false" ht="46.25" hidden="false" customHeight="false" outlineLevel="0" collapsed="false">
      <c r="A153" s="15" t="s">
        <v>338</v>
      </c>
      <c r="B153" s="16" t="n">
        <v>152</v>
      </c>
      <c r="C153" s="17" t="n">
        <v>3</v>
      </c>
      <c r="D153" s="18" t="s">
        <v>767</v>
      </c>
      <c r="E153" s="18" t="s">
        <v>1766</v>
      </c>
      <c r="F153" s="19" t="s">
        <v>1767</v>
      </c>
      <c r="G153" s="18" t="s">
        <v>1768</v>
      </c>
      <c r="H153" s="18"/>
      <c r="I153" s="18" t="s">
        <v>338</v>
      </c>
      <c r="J153" s="18"/>
      <c r="K153" s="18" t="s">
        <v>1769</v>
      </c>
      <c r="L153" s="18"/>
      <c r="M153" s="18" t="s">
        <v>1770</v>
      </c>
      <c r="N153" s="18" t="s">
        <v>1771</v>
      </c>
      <c r="O153" s="18" t="s">
        <v>1772</v>
      </c>
      <c r="P153" s="18" t="s">
        <v>987</v>
      </c>
      <c r="Q153" s="18" t="s">
        <v>1773</v>
      </c>
      <c r="R153" s="18" t="s">
        <v>305</v>
      </c>
      <c r="S153" s="18" t="s">
        <v>115</v>
      </c>
      <c r="T153" s="18" t="s">
        <v>115</v>
      </c>
      <c r="U153" s="18"/>
      <c r="V153" s="18" t="s">
        <v>1774</v>
      </c>
      <c r="W153" s="18" t="s">
        <v>1775</v>
      </c>
      <c r="X153" s="18"/>
      <c r="Y153" s="18" t="s">
        <v>1765</v>
      </c>
      <c r="Z153" s="19" t="s">
        <v>118</v>
      </c>
      <c r="AA153" s="19" t="s">
        <v>119</v>
      </c>
      <c r="AB153" s="18" t="s">
        <v>149</v>
      </c>
      <c r="AC153" s="20" t="s">
        <v>121</v>
      </c>
      <c r="AD153" s="21"/>
      <c r="AE153" s="20"/>
      <c r="AF153" s="20"/>
      <c r="AG153" s="20"/>
      <c r="AH153" s="21" t="str">
        <f aca="false">IF(AD153="","",WORKDAY(AD153,5))</f>
        <v/>
      </c>
      <c r="AI153" s="20"/>
      <c r="AJ153" s="20"/>
    </row>
    <row r="154" customFormat="false" ht="23.85" hidden="false" customHeight="false" outlineLevel="0" collapsed="false">
      <c r="A154" s="15" t="s">
        <v>338</v>
      </c>
      <c r="B154" s="16" t="n">
        <v>153</v>
      </c>
      <c r="C154" s="17" t="n">
        <v>3</v>
      </c>
      <c r="D154" s="18" t="s">
        <v>767</v>
      </c>
      <c r="E154" s="18" t="s">
        <v>1776</v>
      </c>
      <c r="F154" s="19" t="s">
        <v>1777</v>
      </c>
      <c r="G154" s="18" t="s">
        <v>1778</v>
      </c>
      <c r="H154" s="18"/>
      <c r="I154" s="18" t="s">
        <v>338</v>
      </c>
      <c r="J154" s="18" t="s">
        <v>1779</v>
      </c>
      <c r="K154" s="18" t="s">
        <v>1780</v>
      </c>
      <c r="L154" s="18" t="s">
        <v>1781</v>
      </c>
      <c r="M154" s="18" t="s">
        <v>1782</v>
      </c>
      <c r="N154" s="18" t="s">
        <v>1783</v>
      </c>
      <c r="O154" s="18" t="s">
        <v>503</v>
      </c>
      <c r="P154" s="18" t="s">
        <v>112</v>
      </c>
      <c r="Q154" s="18" t="s">
        <v>195</v>
      </c>
      <c r="R154" s="18" t="s">
        <v>305</v>
      </c>
      <c r="S154" s="18" t="s">
        <v>115</v>
      </c>
      <c r="T154" s="18" t="s">
        <v>115</v>
      </c>
      <c r="U154" s="18"/>
      <c r="V154" s="18" t="s">
        <v>1784</v>
      </c>
      <c r="W154" s="18"/>
      <c r="X154" s="18" t="s">
        <v>1785</v>
      </c>
      <c r="Y154" s="18" t="s">
        <v>1786</v>
      </c>
      <c r="Z154" s="19" t="s">
        <v>118</v>
      </c>
      <c r="AA154" s="19" t="s">
        <v>119</v>
      </c>
      <c r="AB154" s="18" t="s">
        <v>149</v>
      </c>
      <c r="AC154" s="20" t="s">
        <v>121</v>
      </c>
      <c r="AD154" s="21"/>
      <c r="AE154" s="20"/>
      <c r="AF154" s="20"/>
      <c r="AG154" s="20"/>
      <c r="AH154" s="21" t="str">
        <f aca="false">IF(AD154="","",WORKDAY(AD154,5))</f>
        <v/>
      </c>
      <c r="AI154" s="20"/>
      <c r="AJ154" s="20"/>
    </row>
    <row r="155" customFormat="false" ht="23.85" hidden="false" customHeight="false" outlineLevel="0" collapsed="false">
      <c r="A155" s="15" t="s">
        <v>338</v>
      </c>
      <c r="B155" s="16" t="n">
        <v>154</v>
      </c>
      <c r="C155" s="17" t="n">
        <v>3</v>
      </c>
      <c r="D155" s="18" t="s">
        <v>767</v>
      </c>
      <c r="E155" s="18" t="s">
        <v>1787</v>
      </c>
      <c r="F155" s="19" t="s">
        <v>1788</v>
      </c>
      <c r="G155" s="18" t="s">
        <v>1789</v>
      </c>
      <c r="H155" s="18"/>
      <c r="I155" s="18" t="s">
        <v>338</v>
      </c>
      <c r="J155" s="18" t="s">
        <v>1790</v>
      </c>
      <c r="K155" s="18" t="s">
        <v>1791</v>
      </c>
      <c r="L155" s="18"/>
      <c r="M155" s="18" t="s">
        <v>984</v>
      </c>
      <c r="N155" s="18" t="s">
        <v>1761</v>
      </c>
      <c r="O155" s="18" t="s">
        <v>986</v>
      </c>
      <c r="P155" s="18" t="s">
        <v>987</v>
      </c>
      <c r="Q155" s="18" t="s">
        <v>1792</v>
      </c>
      <c r="R155" s="18" t="s">
        <v>305</v>
      </c>
      <c r="S155" s="18" t="s">
        <v>115</v>
      </c>
      <c r="T155" s="18" t="s">
        <v>115</v>
      </c>
      <c r="U155" s="18"/>
      <c r="V155" s="18" t="s">
        <v>1793</v>
      </c>
      <c r="W155" s="18"/>
      <c r="X155" s="18"/>
      <c r="Y155" s="18" t="s">
        <v>1794</v>
      </c>
      <c r="Z155" s="19" t="s">
        <v>118</v>
      </c>
      <c r="AA155" s="19" t="s">
        <v>119</v>
      </c>
      <c r="AB155" s="18" t="s">
        <v>149</v>
      </c>
      <c r="AC155" s="20" t="s">
        <v>121</v>
      </c>
      <c r="AD155" s="21"/>
      <c r="AE155" s="20"/>
      <c r="AF155" s="20"/>
      <c r="AG155" s="20"/>
      <c r="AH155" s="21" t="str">
        <f aca="false">IF(AD155="","",WORKDAY(AD155,5))</f>
        <v/>
      </c>
      <c r="AI155" s="20"/>
      <c r="AJ155" s="20"/>
    </row>
    <row r="156" customFormat="false" ht="23.85" hidden="false" customHeight="false" outlineLevel="0" collapsed="false">
      <c r="A156" s="15" t="s">
        <v>338</v>
      </c>
      <c r="B156" s="16" t="n">
        <v>155</v>
      </c>
      <c r="C156" s="17" t="n">
        <v>3</v>
      </c>
      <c r="D156" s="18" t="s">
        <v>767</v>
      </c>
      <c r="E156" s="18" t="s">
        <v>1795</v>
      </c>
      <c r="F156" s="19" t="s">
        <v>1796</v>
      </c>
      <c r="G156" s="18" t="s">
        <v>1797</v>
      </c>
      <c r="H156" s="18"/>
      <c r="I156" s="18" t="s">
        <v>338</v>
      </c>
      <c r="J156" s="18" t="s">
        <v>1798</v>
      </c>
      <c r="K156" s="18"/>
      <c r="L156" s="18"/>
      <c r="M156" s="18" t="s">
        <v>1799</v>
      </c>
      <c r="N156" s="18" t="s">
        <v>1800</v>
      </c>
      <c r="O156" s="18" t="s">
        <v>1801</v>
      </c>
      <c r="P156" s="18" t="s">
        <v>112</v>
      </c>
      <c r="Q156" s="18" t="s">
        <v>1802</v>
      </c>
      <c r="R156" s="18" t="s">
        <v>305</v>
      </c>
      <c r="S156" s="18" t="s">
        <v>115</v>
      </c>
      <c r="T156" s="18" t="s">
        <v>115</v>
      </c>
      <c r="U156" s="18"/>
      <c r="V156" s="18" t="s">
        <v>1803</v>
      </c>
      <c r="W156" s="18" t="s">
        <v>1804</v>
      </c>
      <c r="X156" s="18"/>
      <c r="Y156" s="18" t="s">
        <v>1458</v>
      </c>
      <c r="Z156" s="19" t="s">
        <v>118</v>
      </c>
      <c r="AA156" s="19" t="s">
        <v>119</v>
      </c>
      <c r="AB156" s="18" t="s">
        <v>149</v>
      </c>
      <c r="AC156" s="20" t="s">
        <v>121</v>
      </c>
      <c r="AD156" s="21"/>
      <c r="AE156" s="20"/>
      <c r="AF156" s="20"/>
      <c r="AG156" s="20"/>
      <c r="AH156" s="21" t="str">
        <f aca="false">IF(AD156="","",WORKDAY(AD156,5))</f>
        <v/>
      </c>
      <c r="AI156" s="20"/>
      <c r="AJ156" s="20"/>
    </row>
    <row r="157" customFormat="false" ht="23.85" hidden="false" customHeight="false" outlineLevel="0" collapsed="false">
      <c r="A157" s="15" t="s">
        <v>338</v>
      </c>
      <c r="B157" s="16" t="n">
        <v>156</v>
      </c>
      <c r="C157" s="17" t="n">
        <v>3</v>
      </c>
      <c r="D157" s="18" t="s">
        <v>767</v>
      </c>
      <c r="E157" s="18" t="s">
        <v>1805</v>
      </c>
      <c r="F157" s="19" t="s">
        <v>1806</v>
      </c>
      <c r="G157" s="18" t="s">
        <v>1807</v>
      </c>
      <c r="H157" s="18"/>
      <c r="I157" s="18" t="s">
        <v>338</v>
      </c>
      <c r="J157" s="18" t="s">
        <v>1808</v>
      </c>
      <c r="K157" s="18" t="s">
        <v>1809</v>
      </c>
      <c r="L157" s="18"/>
      <c r="M157" s="18" t="s">
        <v>984</v>
      </c>
      <c r="N157" s="18" t="s">
        <v>1810</v>
      </c>
      <c r="O157" s="18" t="s">
        <v>986</v>
      </c>
      <c r="P157" s="18" t="s">
        <v>987</v>
      </c>
      <c r="Q157" s="18" t="s">
        <v>1763</v>
      </c>
      <c r="R157" s="18" t="s">
        <v>305</v>
      </c>
      <c r="S157" s="18" t="s">
        <v>115</v>
      </c>
      <c r="T157" s="18" t="s">
        <v>115</v>
      </c>
      <c r="U157" s="18"/>
      <c r="V157" s="18" t="s">
        <v>1811</v>
      </c>
      <c r="W157" s="18"/>
      <c r="X157" s="18"/>
      <c r="Y157" s="18" t="s">
        <v>1418</v>
      </c>
      <c r="Z157" s="19" t="s">
        <v>118</v>
      </c>
      <c r="AA157" s="19" t="s">
        <v>119</v>
      </c>
      <c r="AB157" s="18" t="s">
        <v>149</v>
      </c>
      <c r="AC157" s="20" t="s">
        <v>121</v>
      </c>
      <c r="AD157" s="21"/>
      <c r="AE157" s="20"/>
      <c r="AF157" s="20"/>
      <c r="AG157" s="20"/>
      <c r="AH157" s="21" t="str">
        <f aca="false">IF(AD157="","",WORKDAY(AD157,5))</f>
        <v/>
      </c>
      <c r="AI157" s="20"/>
      <c r="AJ157" s="20"/>
    </row>
    <row r="158" customFormat="false" ht="46.25" hidden="false" customHeight="false" outlineLevel="0" collapsed="false">
      <c r="A158" s="15" t="s">
        <v>338</v>
      </c>
      <c r="B158" s="16" t="n">
        <v>157</v>
      </c>
      <c r="C158" s="17" t="n">
        <v>3</v>
      </c>
      <c r="D158" s="18" t="s">
        <v>379</v>
      </c>
      <c r="E158" s="18" t="s">
        <v>1812</v>
      </c>
      <c r="F158" s="19" t="s">
        <v>1813</v>
      </c>
      <c r="G158" s="18" t="s">
        <v>1814</v>
      </c>
      <c r="H158" s="18"/>
      <c r="I158" s="18" t="s">
        <v>338</v>
      </c>
      <c r="J158" s="18" t="s">
        <v>1815</v>
      </c>
      <c r="K158" s="18" t="s">
        <v>1816</v>
      </c>
      <c r="L158" s="18" t="s">
        <v>1817</v>
      </c>
      <c r="M158" s="18" t="s">
        <v>1478</v>
      </c>
      <c r="N158" s="18" t="s">
        <v>1818</v>
      </c>
      <c r="O158" s="18" t="s">
        <v>1819</v>
      </c>
      <c r="P158" s="18" t="s">
        <v>112</v>
      </c>
      <c r="Q158" s="18" t="s">
        <v>1820</v>
      </c>
      <c r="R158" s="18" t="s">
        <v>1586</v>
      </c>
      <c r="S158" s="18" t="s">
        <v>115</v>
      </c>
      <c r="T158" s="18" t="s">
        <v>115</v>
      </c>
      <c r="U158" s="18"/>
      <c r="V158" s="18" t="s">
        <v>1821</v>
      </c>
      <c r="W158" s="18" t="s">
        <v>1822</v>
      </c>
      <c r="X158" s="18" t="s">
        <v>1823</v>
      </c>
      <c r="Y158" s="18" t="s">
        <v>1824</v>
      </c>
      <c r="Z158" s="19" t="s">
        <v>118</v>
      </c>
      <c r="AA158" s="19" t="s">
        <v>119</v>
      </c>
      <c r="AB158" s="18" t="s">
        <v>149</v>
      </c>
      <c r="AC158" s="20" t="s">
        <v>121</v>
      </c>
      <c r="AD158" s="21"/>
      <c r="AE158" s="20"/>
      <c r="AF158" s="20"/>
      <c r="AG158" s="20"/>
      <c r="AH158" s="21" t="str">
        <f aca="false">IF(AD158="","",WORKDAY(AD158,5))</f>
        <v/>
      </c>
      <c r="AI158" s="20"/>
      <c r="AJ158" s="20"/>
    </row>
    <row r="159" customFormat="false" ht="35.05" hidden="false" customHeight="false" outlineLevel="0" collapsed="false">
      <c r="A159" s="15" t="s">
        <v>338</v>
      </c>
      <c r="B159" s="16" t="n">
        <v>158</v>
      </c>
      <c r="C159" s="17" t="n">
        <v>3</v>
      </c>
      <c r="D159" s="18" t="s">
        <v>379</v>
      </c>
      <c r="E159" s="18" t="s">
        <v>1825</v>
      </c>
      <c r="F159" s="18" t="s">
        <v>167</v>
      </c>
      <c r="G159" s="18" t="s">
        <v>1476</v>
      </c>
      <c r="H159" s="18"/>
      <c r="I159" s="18" t="s">
        <v>338</v>
      </c>
      <c r="J159" s="18" t="s">
        <v>1826</v>
      </c>
      <c r="K159" s="18" t="s">
        <v>1827</v>
      </c>
      <c r="L159" s="18"/>
      <c r="M159" s="18" t="s">
        <v>1828</v>
      </c>
      <c r="N159" s="18" t="s">
        <v>1829</v>
      </c>
      <c r="O159" s="18" t="s">
        <v>1830</v>
      </c>
      <c r="P159" s="18" t="s">
        <v>112</v>
      </c>
      <c r="Q159" s="18" t="s">
        <v>1831</v>
      </c>
      <c r="R159" s="18" t="s">
        <v>305</v>
      </c>
      <c r="S159" s="18" t="s">
        <v>115</v>
      </c>
      <c r="T159" s="18" t="s">
        <v>115</v>
      </c>
      <c r="U159" s="18"/>
      <c r="V159" s="18" t="s">
        <v>1832</v>
      </c>
      <c r="W159" s="18" t="s">
        <v>1833</v>
      </c>
      <c r="X159" s="18" t="s">
        <v>1834</v>
      </c>
      <c r="Y159" s="18" t="s">
        <v>1835</v>
      </c>
      <c r="Z159" s="19" t="s">
        <v>118</v>
      </c>
      <c r="AA159" s="19" t="s">
        <v>119</v>
      </c>
      <c r="AB159" s="18" t="s">
        <v>149</v>
      </c>
      <c r="AC159" s="20" t="s">
        <v>121</v>
      </c>
      <c r="AD159" s="21"/>
      <c r="AE159" s="20"/>
      <c r="AF159" s="20"/>
      <c r="AG159" s="20"/>
      <c r="AH159" s="21" t="str">
        <f aca="false">IF(AD159="","",WORKDAY(AD159,5))</f>
        <v/>
      </c>
      <c r="AI159" s="20"/>
      <c r="AJ159" s="20"/>
    </row>
    <row r="160" customFormat="false" ht="23.85" hidden="false" customHeight="false" outlineLevel="0" collapsed="false">
      <c r="A160" s="15" t="s">
        <v>338</v>
      </c>
      <c r="B160" s="16" t="n">
        <v>159</v>
      </c>
      <c r="C160" s="17" t="n">
        <v>3</v>
      </c>
      <c r="D160" s="18" t="s">
        <v>379</v>
      </c>
      <c r="E160" s="18" t="s">
        <v>1836</v>
      </c>
      <c r="F160" s="19" t="s">
        <v>1837</v>
      </c>
      <c r="G160" s="18" t="s">
        <v>1838</v>
      </c>
      <c r="H160" s="18"/>
      <c r="I160" s="18" t="s">
        <v>338</v>
      </c>
      <c r="J160" s="18" t="s">
        <v>1838</v>
      </c>
      <c r="K160" s="18"/>
      <c r="L160" s="18"/>
      <c r="M160" s="18" t="s">
        <v>1839</v>
      </c>
      <c r="N160" s="18" t="s">
        <v>1840</v>
      </c>
      <c r="O160" s="18" t="s">
        <v>1841</v>
      </c>
      <c r="P160" s="18" t="s">
        <v>112</v>
      </c>
      <c r="Q160" s="18" t="s">
        <v>195</v>
      </c>
      <c r="R160" s="18" t="s">
        <v>305</v>
      </c>
      <c r="S160" s="18" t="s">
        <v>115</v>
      </c>
      <c r="T160" s="18" t="s">
        <v>115</v>
      </c>
      <c r="U160" s="18"/>
      <c r="V160" s="18" t="s">
        <v>1842</v>
      </c>
      <c r="W160" s="18"/>
      <c r="X160" s="18"/>
      <c r="Y160" s="18" t="s">
        <v>1843</v>
      </c>
      <c r="Z160" s="19" t="s">
        <v>118</v>
      </c>
      <c r="AA160" s="19" t="s">
        <v>119</v>
      </c>
      <c r="AB160" s="18" t="s">
        <v>120</v>
      </c>
      <c r="AC160" s="20" t="s">
        <v>121</v>
      </c>
      <c r="AD160" s="21"/>
      <c r="AE160" s="20"/>
      <c r="AF160" s="20"/>
      <c r="AG160" s="20"/>
      <c r="AH160" s="21" t="str">
        <f aca="false">IF(AD160="","",WORKDAY(AD160,5))</f>
        <v/>
      </c>
      <c r="AI160" s="20"/>
      <c r="AJ160" s="20"/>
    </row>
    <row r="161" customFormat="false" ht="23.85" hidden="false" customHeight="false" outlineLevel="0" collapsed="false">
      <c r="A161" s="15" t="s">
        <v>338</v>
      </c>
      <c r="B161" s="16" t="n">
        <v>160</v>
      </c>
      <c r="C161" s="17" t="n">
        <v>3</v>
      </c>
      <c r="D161" s="18" t="s">
        <v>150</v>
      </c>
      <c r="E161" s="18" t="s">
        <v>1844</v>
      </c>
      <c r="F161" s="18" t="s">
        <v>167</v>
      </c>
      <c r="G161" s="18" t="s">
        <v>1845</v>
      </c>
      <c r="H161" s="18"/>
      <c r="I161" s="18" t="s">
        <v>338</v>
      </c>
      <c r="J161" s="18"/>
      <c r="K161" s="18" t="s">
        <v>1846</v>
      </c>
      <c r="L161" s="18" t="s">
        <v>1847</v>
      </c>
      <c r="M161" s="18" t="s">
        <v>1848</v>
      </c>
      <c r="N161" s="18" t="s">
        <v>1849</v>
      </c>
      <c r="O161" s="18" t="s">
        <v>1850</v>
      </c>
      <c r="P161" s="18" t="s">
        <v>112</v>
      </c>
      <c r="Q161" s="18" t="s">
        <v>243</v>
      </c>
      <c r="R161" s="18" t="s">
        <v>305</v>
      </c>
      <c r="S161" s="18" t="s">
        <v>115</v>
      </c>
      <c r="T161" s="18" t="s">
        <v>115</v>
      </c>
      <c r="U161" s="18"/>
      <c r="V161" s="18" t="s">
        <v>1851</v>
      </c>
      <c r="W161" s="18"/>
      <c r="X161" s="18"/>
      <c r="Y161" s="18" t="s">
        <v>1852</v>
      </c>
      <c r="Z161" s="19" t="s">
        <v>118</v>
      </c>
      <c r="AA161" s="19" t="s">
        <v>119</v>
      </c>
      <c r="AB161" s="18" t="s">
        <v>120</v>
      </c>
      <c r="AC161" s="20" t="s">
        <v>121</v>
      </c>
      <c r="AD161" s="21"/>
      <c r="AE161" s="20"/>
      <c r="AF161" s="20"/>
      <c r="AG161" s="20"/>
      <c r="AH161" s="21" t="str">
        <f aca="false">IF(AD161="","",WORKDAY(AD161,5))</f>
        <v/>
      </c>
      <c r="AI161" s="20"/>
      <c r="AJ161" s="20"/>
    </row>
    <row r="162" customFormat="false" ht="23.85" hidden="false" customHeight="false" outlineLevel="0" collapsed="false">
      <c r="A162" s="15" t="s">
        <v>338</v>
      </c>
      <c r="B162" s="16" t="n">
        <v>161</v>
      </c>
      <c r="C162" s="17" t="n">
        <v>3</v>
      </c>
      <c r="D162" s="18" t="s">
        <v>150</v>
      </c>
      <c r="E162" s="18" t="s">
        <v>1853</v>
      </c>
      <c r="F162" s="18" t="s">
        <v>167</v>
      </c>
      <c r="G162" s="18" t="s">
        <v>1854</v>
      </c>
      <c r="H162" s="18"/>
      <c r="I162" s="18" t="s">
        <v>338</v>
      </c>
      <c r="J162" s="18"/>
      <c r="K162" s="18"/>
      <c r="L162" s="18"/>
      <c r="M162" s="18" t="s">
        <v>1855</v>
      </c>
      <c r="N162" s="18" t="s">
        <v>1856</v>
      </c>
      <c r="O162" s="18" t="s">
        <v>1857</v>
      </c>
      <c r="P162" s="18" t="s">
        <v>112</v>
      </c>
      <c r="Q162" s="18" t="s">
        <v>243</v>
      </c>
      <c r="R162" s="18" t="s">
        <v>305</v>
      </c>
      <c r="S162" s="18" t="s">
        <v>115</v>
      </c>
      <c r="T162" s="18" t="s">
        <v>115</v>
      </c>
      <c r="U162" s="18"/>
      <c r="V162" s="18" t="s">
        <v>1858</v>
      </c>
      <c r="W162" s="18"/>
      <c r="X162" s="18"/>
      <c r="Y162" s="18" t="s">
        <v>175</v>
      </c>
      <c r="Z162" s="19" t="s">
        <v>118</v>
      </c>
      <c r="AA162" s="19" t="s">
        <v>119</v>
      </c>
      <c r="AB162" s="18" t="s">
        <v>120</v>
      </c>
      <c r="AC162" s="20" t="s">
        <v>121</v>
      </c>
      <c r="AD162" s="21"/>
      <c r="AE162" s="20"/>
      <c r="AF162" s="20"/>
      <c r="AG162" s="20"/>
      <c r="AH162" s="21" t="str">
        <f aca="false">IF(AD162="","",WORKDAY(AD162,5))</f>
        <v/>
      </c>
      <c r="AI162" s="20"/>
      <c r="AJ162" s="20"/>
    </row>
    <row r="163" customFormat="false" ht="23.85" hidden="false" customHeight="false" outlineLevel="0" collapsed="false">
      <c r="A163" s="15" t="s">
        <v>338</v>
      </c>
      <c r="B163" s="16" t="n">
        <v>162</v>
      </c>
      <c r="C163" s="17" t="n">
        <v>3</v>
      </c>
      <c r="D163" s="18" t="s">
        <v>150</v>
      </c>
      <c r="E163" s="18" t="s">
        <v>1859</v>
      </c>
      <c r="F163" s="19" t="s">
        <v>1860</v>
      </c>
      <c r="G163" s="18" t="s">
        <v>338</v>
      </c>
      <c r="H163" s="18"/>
      <c r="I163" s="18" t="s">
        <v>338</v>
      </c>
      <c r="J163" s="18"/>
      <c r="K163" s="18"/>
      <c r="L163" s="18" t="s">
        <v>1861</v>
      </c>
      <c r="M163" s="18" t="s">
        <v>1862</v>
      </c>
      <c r="N163" s="18" t="s">
        <v>1863</v>
      </c>
      <c r="O163" s="18" t="s">
        <v>1850</v>
      </c>
      <c r="P163" s="18" t="s">
        <v>112</v>
      </c>
      <c r="Q163" s="18" t="s">
        <v>1864</v>
      </c>
      <c r="R163" s="18" t="s">
        <v>305</v>
      </c>
      <c r="S163" s="18" t="s">
        <v>115</v>
      </c>
      <c r="T163" s="18" t="s">
        <v>115</v>
      </c>
      <c r="U163" s="18"/>
      <c r="V163" s="18" t="s">
        <v>1865</v>
      </c>
      <c r="W163" s="18" t="s">
        <v>1866</v>
      </c>
      <c r="X163" s="18" t="s">
        <v>1867</v>
      </c>
      <c r="Y163" s="18" t="s">
        <v>1868</v>
      </c>
      <c r="Z163" s="19" t="s">
        <v>118</v>
      </c>
      <c r="AA163" s="19" t="s">
        <v>119</v>
      </c>
      <c r="AB163" s="18" t="s">
        <v>120</v>
      </c>
      <c r="AC163" s="20" t="s">
        <v>121</v>
      </c>
      <c r="AD163" s="21"/>
      <c r="AE163" s="20"/>
      <c r="AF163" s="20"/>
      <c r="AG163" s="20"/>
      <c r="AH163" s="21" t="str">
        <f aca="false">IF(AD163="","",WORKDAY(AD163,5))</f>
        <v/>
      </c>
      <c r="AI163" s="20"/>
      <c r="AJ163" s="20"/>
    </row>
    <row r="164" customFormat="false" ht="23.85" hidden="false" customHeight="false" outlineLevel="0" collapsed="false">
      <c r="A164" s="15" t="s">
        <v>338</v>
      </c>
      <c r="B164" s="16" t="n">
        <v>163</v>
      </c>
      <c r="C164" s="17" t="n">
        <v>3</v>
      </c>
      <c r="D164" s="18" t="s">
        <v>150</v>
      </c>
      <c r="E164" s="18" t="s">
        <v>1869</v>
      </c>
      <c r="F164" s="19" t="s">
        <v>1870</v>
      </c>
      <c r="G164" s="18" t="s">
        <v>1513</v>
      </c>
      <c r="H164" s="18"/>
      <c r="I164" s="18" t="s">
        <v>338</v>
      </c>
      <c r="J164" s="18" t="s">
        <v>1871</v>
      </c>
      <c r="K164" s="18" t="s">
        <v>1872</v>
      </c>
      <c r="L164" s="18" t="s">
        <v>1873</v>
      </c>
      <c r="M164" s="18" t="s">
        <v>1874</v>
      </c>
      <c r="N164" s="18" t="s">
        <v>1875</v>
      </c>
      <c r="O164" s="18" t="s">
        <v>1876</v>
      </c>
      <c r="P164" s="18" t="s">
        <v>112</v>
      </c>
      <c r="Q164" s="18" t="s">
        <v>1877</v>
      </c>
      <c r="R164" s="18" t="s">
        <v>305</v>
      </c>
      <c r="S164" s="18" t="s">
        <v>115</v>
      </c>
      <c r="T164" s="18" t="s">
        <v>115</v>
      </c>
      <c r="U164" s="18"/>
      <c r="V164" s="18" t="s">
        <v>1878</v>
      </c>
      <c r="W164" s="18" t="s">
        <v>1879</v>
      </c>
      <c r="X164" s="18"/>
      <c r="Y164" s="18" t="s">
        <v>1880</v>
      </c>
      <c r="Z164" s="19" t="s">
        <v>118</v>
      </c>
      <c r="AA164" s="19" t="s">
        <v>119</v>
      </c>
      <c r="AB164" s="18" t="s">
        <v>120</v>
      </c>
      <c r="AC164" s="20" t="s">
        <v>121</v>
      </c>
      <c r="AD164" s="21"/>
      <c r="AE164" s="20"/>
      <c r="AF164" s="20"/>
      <c r="AG164" s="20"/>
      <c r="AH164" s="21" t="str">
        <f aca="false">IF(AD164="","",WORKDAY(AD164,5))</f>
        <v/>
      </c>
      <c r="AI164" s="20"/>
      <c r="AJ164" s="20"/>
    </row>
    <row r="165" customFormat="false" ht="23.85" hidden="false" customHeight="false" outlineLevel="0" collapsed="false">
      <c r="A165" s="15" t="s">
        <v>338</v>
      </c>
      <c r="B165" s="16" t="n">
        <v>164</v>
      </c>
      <c r="C165" s="17" t="n">
        <v>3</v>
      </c>
      <c r="D165" s="18" t="s">
        <v>150</v>
      </c>
      <c r="E165" s="18" t="s">
        <v>1881</v>
      </c>
      <c r="F165" s="19" t="s">
        <v>1882</v>
      </c>
      <c r="G165" s="18" t="s">
        <v>1883</v>
      </c>
      <c r="H165" s="18"/>
      <c r="I165" s="18" t="s">
        <v>338</v>
      </c>
      <c r="J165" s="18" t="s">
        <v>1883</v>
      </c>
      <c r="K165" s="18"/>
      <c r="L165" s="18"/>
      <c r="M165" s="18" t="s">
        <v>1884</v>
      </c>
      <c r="N165" s="18" t="s">
        <v>1885</v>
      </c>
      <c r="O165" s="18" t="s">
        <v>1886</v>
      </c>
      <c r="P165" s="18" t="s">
        <v>112</v>
      </c>
      <c r="Q165" s="18" t="s">
        <v>1887</v>
      </c>
      <c r="R165" s="18" t="s">
        <v>305</v>
      </c>
      <c r="S165" s="18" t="s">
        <v>115</v>
      </c>
      <c r="T165" s="18" t="s">
        <v>115</v>
      </c>
      <c r="U165" s="18" t="s">
        <v>1888</v>
      </c>
      <c r="V165" s="18" t="s">
        <v>1889</v>
      </c>
      <c r="W165" s="18"/>
      <c r="X165" s="18"/>
      <c r="Y165" s="18" t="s">
        <v>1890</v>
      </c>
      <c r="Z165" s="19" t="s">
        <v>118</v>
      </c>
      <c r="AA165" s="19" t="s">
        <v>119</v>
      </c>
      <c r="AB165" s="18" t="s">
        <v>120</v>
      </c>
      <c r="AC165" s="20" t="s">
        <v>121</v>
      </c>
      <c r="AD165" s="21"/>
      <c r="AE165" s="20"/>
      <c r="AF165" s="20"/>
      <c r="AG165" s="20"/>
      <c r="AH165" s="21" t="str">
        <f aca="false">IF(AD165="","",WORKDAY(AD165,5))</f>
        <v/>
      </c>
      <c r="AI165" s="20"/>
      <c r="AJ165" s="20"/>
    </row>
    <row r="166" customFormat="false" ht="23.85" hidden="false" customHeight="false" outlineLevel="0" collapsed="false">
      <c r="A166" s="15" t="s">
        <v>338</v>
      </c>
      <c r="B166" s="16" t="n">
        <v>165</v>
      </c>
      <c r="C166" s="17" t="n">
        <v>3</v>
      </c>
      <c r="D166" s="18" t="s">
        <v>101</v>
      </c>
      <c r="E166" s="18" t="s">
        <v>1891</v>
      </c>
      <c r="F166" s="18" t="s">
        <v>167</v>
      </c>
      <c r="G166" s="18" t="s">
        <v>338</v>
      </c>
      <c r="H166" s="18"/>
      <c r="I166" s="18" t="s">
        <v>338</v>
      </c>
      <c r="J166" s="18"/>
      <c r="K166" s="18"/>
      <c r="L166" s="18"/>
      <c r="M166" s="18" t="s">
        <v>1030</v>
      </c>
      <c r="N166" s="18" t="s">
        <v>1892</v>
      </c>
      <c r="O166" s="18" t="s">
        <v>413</v>
      </c>
      <c r="P166" s="18" t="s">
        <v>112</v>
      </c>
      <c r="Q166" s="18" t="s">
        <v>195</v>
      </c>
      <c r="R166" s="18" t="s">
        <v>305</v>
      </c>
      <c r="S166" s="18" t="s">
        <v>115</v>
      </c>
      <c r="T166" s="18" t="s">
        <v>115</v>
      </c>
      <c r="U166" s="18"/>
      <c r="V166" s="18" t="s">
        <v>1893</v>
      </c>
      <c r="W166" s="18"/>
      <c r="X166" s="18"/>
      <c r="Y166" s="18" t="s">
        <v>1042</v>
      </c>
      <c r="Z166" s="19" t="s">
        <v>118</v>
      </c>
      <c r="AA166" s="19" t="s">
        <v>119</v>
      </c>
      <c r="AB166" s="18" t="s">
        <v>120</v>
      </c>
      <c r="AC166" s="20" t="s">
        <v>121</v>
      </c>
      <c r="AD166" s="21"/>
      <c r="AE166" s="20"/>
      <c r="AF166" s="20"/>
      <c r="AG166" s="20"/>
      <c r="AH166" s="21" t="str">
        <f aca="false">IF(AD166="","",WORKDAY(AD166,5))</f>
        <v/>
      </c>
      <c r="AI166" s="20"/>
      <c r="AJ166" s="20"/>
    </row>
    <row r="167" customFormat="false" ht="23.85" hidden="false" customHeight="false" outlineLevel="0" collapsed="false">
      <c r="A167" s="15" t="s">
        <v>338</v>
      </c>
      <c r="B167" s="16" t="n">
        <v>166</v>
      </c>
      <c r="C167" s="17" t="n">
        <v>3</v>
      </c>
      <c r="D167" s="18" t="s">
        <v>101</v>
      </c>
      <c r="E167" s="18" t="s">
        <v>1894</v>
      </c>
      <c r="F167" s="19" t="s">
        <v>1895</v>
      </c>
      <c r="G167" s="18" t="s">
        <v>1896</v>
      </c>
      <c r="H167" s="18"/>
      <c r="I167" s="18" t="s">
        <v>338</v>
      </c>
      <c r="J167" s="18"/>
      <c r="K167" s="18" t="s">
        <v>1897</v>
      </c>
      <c r="L167" s="18" t="s">
        <v>1898</v>
      </c>
      <c r="M167" s="18" t="s">
        <v>1638</v>
      </c>
      <c r="N167" s="18" t="s">
        <v>1899</v>
      </c>
      <c r="O167" s="18" t="s">
        <v>1900</v>
      </c>
      <c r="P167" s="18" t="s">
        <v>112</v>
      </c>
      <c r="Q167" s="18" t="s">
        <v>1901</v>
      </c>
      <c r="R167" s="18" t="s">
        <v>305</v>
      </c>
      <c r="S167" s="18" t="s">
        <v>115</v>
      </c>
      <c r="T167" s="18" t="s">
        <v>115</v>
      </c>
      <c r="U167" s="18"/>
      <c r="V167" s="18" t="s">
        <v>1902</v>
      </c>
      <c r="W167" s="18"/>
      <c r="X167" s="18" t="s">
        <v>1903</v>
      </c>
      <c r="Y167" s="18" t="s">
        <v>1042</v>
      </c>
      <c r="Z167" s="19" t="s">
        <v>118</v>
      </c>
      <c r="AA167" s="19" t="s">
        <v>119</v>
      </c>
      <c r="AB167" s="18" t="s">
        <v>149</v>
      </c>
      <c r="AC167" s="20" t="s">
        <v>121</v>
      </c>
      <c r="AD167" s="21"/>
      <c r="AE167" s="20"/>
      <c r="AF167" s="20"/>
      <c r="AG167" s="20"/>
      <c r="AH167" s="21" t="str">
        <f aca="false">IF(AD167="","",WORKDAY(AD167,5))</f>
        <v/>
      </c>
      <c r="AI167" s="20"/>
      <c r="AJ167" s="20"/>
    </row>
    <row r="168" customFormat="false" ht="35.05" hidden="false" customHeight="false" outlineLevel="0" collapsed="false">
      <c r="A168" s="15" t="s">
        <v>338</v>
      </c>
      <c r="B168" s="16" t="n">
        <v>167</v>
      </c>
      <c r="C168" s="17" t="n">
        <v>3</v>
      </c>
      <c r="D168" s="18" t="s">
        <v>442</v>
      </c>
      <c r="E168" s="18" t="s">
        <v>1904</v>
      </c>
      <c r="F168" s="19" t="s">
        <v>1905</v>
      </c>
      <c r="G168" s="18" t="s">
        <v>1906</v>
      </c>
      <c r="H168" s="18"/>
      <c r="I168" s="18" t="s">
        <v>338</v>
      </c>
      <c r="J168" s="18" t="s">
        <v>1907</v>
      </c>
      <c r="K168" s="18"/>
      <c r="L168" s="18"/>
      <c r="M168" s="18" t="s">
        <v>1908</v>
      </c>
      <c r="N168" s="18" t="s">
        <v>1909</v>
      </c>
      <c r="O168" s="18" t="s">
        <v>449</v>
      </c>
      <c r="P168" s="18" t="s">
        <v>112</v>
      </c>
      <c r="Q168" s="18" t="s">
        <v>1910</v>
      </c>
      <c r="R168" s="18" t="s">
        <v>305</v>
      </c>
      <c r="S168" s="18" t="s">
        <v>115</v>
      </c>
      <c r="T168" s="18" t="s">
        <v>115</v>
      </c>
      <c r="U168" s="18" t="s">
        <v>1911</v>
      </c>
      <c r="V168" s="18" t="s">
        <v>1912</v>
      </c>
      <c r="W168" s="18"/>
      <c r="X168" s="18" t="s">
        <v>1913</v>
      </c>
      <c r="Y168" s="18" t="s">
        <v>1458</v>
      </c>
      <c r="Z168" s="19" t="s">
        <v>118</v>
      </c>
      <c r="AA168" s="19" t="s">
        <v>119</v>
      </c>
      <c r="AB168" s="18" t="s">
        <v>120</v>
      </c>
      <c r="AC168" s="20" t="s">
        <v>121</v>
      </c>
      <c r="AD168" s="21"/>
      <c r="AE168" s="20"/>
      <c r="AF168" s="20"/>
      <c r="AG168" s="20"/>
      <c r="AH168" s="21" t="str">
        <f aca="false">IF(AD168="","",WORKDAY(AD168,5))</f>
        <v/>
      </c>
      <c r="AI168" s="20"/>
      <c r="AJ168" s="20"/>
    </row>
    <row r="169" customFormat="false" ht="23.85" hidden="false" customHeight="false" outlineLevel="0" collapsed="false">
      <c r="A169" s="15" t="s">
        <v>338</v>
      </c>
      <c r="B169" s="16" t="n">
        <v>168</v>
      </c>
      <c r="C169" s="17" t="n">
        <v>3</v>
      </c>
      <c r="D169" s="18" t="s">
        <v>442</v>
      </c>
      <c r="E169" s="18" t="s">
        <v>1914</v>
      </c>
      <c r="F169" s="19" t="s">
        <v>1915</v>
      </c>
      <c r="G169" s="18" t="s">
        <v>1916</v>
      </c>
      <c r="H169" s="18"/>
      <c r="I169" s="18" t="s">
        <v>338</v>
      </c>
      <c r="J169" s="18" t="s">
        <v>1917</v>
      </c>
      <c r="K169" s="18"/>
      <c r="L169" s="18"/>
      <c r="M169" s="18" t="s">
        <v>398</v>
      </c>
      <c r="N169" s="18" t="s">
        <v>1918</v>
      </c>
      <c r="O169" s="18" t="s">
        <v>1919</v>
      </c>
      <c r="P169" s="18" t="s">
        <v>276</v>
      </c>
      <c r="Q169" s="18" t="s">
        <v>1920</v>
      </c>
      <c r="R169" s="18" t="s">
        <v>305</v>
      </c>
      <c r="S169" s="18" t="s">
        <v>115</v>
      </c>
      <c r="T169" s="18" t="s">
        <v>115</v>
      </c>
      <c r="U169" s="18"/>
      <c r="V169" s="18" t="s">
        <v>1921</v>
      </c>
      <c r="W169" s="18" t="s">
        <v>1922</v>
      </c>
      <c r="X169" s="18"/>
      <c r="Y169" s="18" t="s">
        <v>282</v>
      </c>
      <c r="Z169" s="19" t="s">
        <v>118</v>
      </c>
      <c r="AA169" s="19" t="s">
        <v>119</v>
      </c>
      <c r="AB169" s="18" t="s">
        <v>120</v>
      </c>
      <c r="AC169" s="20" t="s">
        <v>121</v>
      </c>
      <c r="AD169" s="21"/>
      <c r="AE169" s="20"/>
      <c r="AF169" s="20"/>
      <c r="AG169" s="20"/>
      <c r="AH169" s="21" t="str">
        <f aca="false">IF(AD169="","",WORKDAY(AD169,5))</f>
        <v/>
      </c>
      <c r="AI169" s="20"/>
      <c r="AJ169" s="20"/>
    </row>
    <row r="170" customFormat="false" ht="35.05" hidden="false" customHeight="false" outlineLevel="0" collapsed="false">
      <c r="A170" s="15" t="s">
        <v>338</v>
      </c>
      <c r="B170" s="16" t="n">
        <v>169</v>
      </c>
      <c r="C170" s="17" t="n">
        <v>3</v>
      </c>
      <c r="D170" s="18" t="s">
        <v>248</v>
      </c>
      <c r="E170" s="18" t="s">
        <v>1923</v>
      </c>
      <c r="F170" s="19" t="s">
        <v>1924</v>
      </c>
      <c r="G170" s="18" t="s">
        <v>1925</v>
      </c>
      <c r="H170" s="18"/>
      <c r="I170" s="18" t="s">
        <v>338</v>
      </c>
      <c r="J170" s="18" t="s">
        <v>1926</v>
      </c>
      <c r="K170" s="18"/>
      <c r="L170" s="18"/>
      <c r="M170" s="18" t="s">
        <v>1927</v>
      </c>
      <c r="N170" s="18" t="s">
        <v>1928</v>
      </c>
      <c r="O170" s="18" t="s">
        <v>1929</v>
      </c>
      <c r="P170" s="18" t="s">
        <v>1930</v>
      </c>
      <c r="Q170" s="18" t="s">
        <v>1931</v>
      </c>
      <c r="R170" s="18" t="s">
        <v>305</v>
      </c>
      <c r="S170" s="18" t="s">
        <v>115</v>
      </c>
      <c r="T170" s="18" t="s">
        <v>115</v>
      </c>
      <c r="U170" s="18"/>
      <c r="V170" s="18" t="s">
        <v>1932</v>
      </c>
      <c r="W170" s="18" t="s">
        <v>1933</v>
      </c>
      <c r="X170" s="18"/>
      <c r="Y170" s="18" t="s">
        <v>1934</v>
      </c>
      <c r="Z170" s="19" t="s">
        <v>118</v>
      </c>
      <c r="AA170" s="19" t="s">
        <v>119</v>
      </c>
      <c r="AB170" s="18" t="s">
        <v>120</v>
      </c>
      <c r="AC170" s="20" t="s">
        <v>121</v>
      </c>
      <c r="AD170" s="21"/>
      <c r="AE170" s="20"/>
      <c r="AF170" s="20"/>
      <c r="AG170" s="20"/>
      <c r="AH170" s="21" t="str">
        <f aca="false">IF(AD170="","",WORKDAY(AD170,5))</f>
        <v/>
      </c>
      <c r="AI170" s="20"/>
      <c r="AJ170" s="20"/>
    </row>
    <row r="171" customFormat="false" ht="23.85" hidden="false" customHeight="false" outlineLevel="0" collapsed="false">
      <c r="A171" s="15" t="s">
        <v>338</v>
      </c>
      <c r="B171" s="16" t="n">
        <v>170</v>
      </c>
      <c r="C171" s="17" t="n">
        <v>3</v>
      </c>
      <c r="D171" s="18" t="s">
        <v>248</v>
      </c>
      <c r="E171" s="18" t="s">
        <v>1935</v>
      </c>
      <c r="F171" s="18" t="s">
        <v>167</v>
      </c>
      <c r="G171" s="18" t="s">
        <v>338</v>
      </c>
      <c r="H171" s="18"/>
      <c r="I171" s="18" t="s">
        <v>338</v>
      </c>
      <c r="J171" s="18"/>
      <c r="K171" s="18"/>
      <c r="L171" s="18"/>
      <c r="M171" s="18" t="s">
        <v>1936</v>
      </c>
      <c r="N171" s="18" t="s">
        <v>1937</v>
      </c>
      <c r="O171" s="18" t="s">
        <v>252</v>
      </c>
      <c r="P171" s="18" t="s">
        <v>112</v>
      </c>
      <c r="Q171" s="18" t="s">
        <v>567</v>
      </c>
      <c r="R171" s="18" t="s">
        <v>305</v>
      </c>
      <c r="S171" s="18" t="s">
        <v>115</v>
      </c>
      <c r="T171" s="18" t="s">
        <v>115</v>
      </c>
      <c r="U171" s="18"/>
      <c r="V171" s="18" t="s">
        <v>1938</v>
      </c>
      <c r="W171" s="18" t="s">
        <v>1939</v>
      </c>
      <c r="X171" s="18"/>
      <c r="Y171" s="18" t="s">
        <v>1418</v>
      </c>
      <c r="Z171" s="19" t="s">
        <v>118</v>
      </c>
      <c r="AA171" s="19" t="s">
        <v>119</v>
      </c>
      <c r="AB171" s="18" t="s">
        <v>120</v>
      </c>
      <c r="AC171" s="20" t="s">
        <v>121</v>
      </c>
      <c r="AD171" s="21"/>
      <c r="AE171" s="20"/>
      <c r="AF171" s="20"/>
      <c r="AG171" s="20"/>
      <c r="AH171" s="21" t="str">
        <f aca="false">IF(AD171="","",WORKDAY(AD171,5))</f>
        <v/>
      </c>
      <c r="AI171" s="20"/>
      <c r="AJ171" s="20"/>
    </row>
    <row r="172" customFormat="false" ht="23.85" hidden="false" customHeight="false" outlineLevel="0" collapsed="false">
      <c r="A172" s="15" t="s">
        <v>338</v>
      </c>
      <c r="B172" s="16" t="n">
        <v>171</v>
      </c>
      <c r="C172" s="17" t="n">
        <v>3</v>
      </c>
      <c r="D172" s="18" t="s">
        <v>236</v>
      </c>
      <c r="E172" s="18" t="s">
        <v>1940</v>
      </c>
      <c r="F172" s="19" t="s">
        <v>1941</v>
      </c>
      <c r="G172" s="18" t="s">
        <v>1942</v>
      </c>
      <c r="H172" s="18"/>
      <c r="I172" s="18" t="s">
        <v>338</v>
      </c>
      <c r="J172" s="18" t="s">
        <v>1943</v>
      </c>
      <c r="K172" s="18" t="s">
        <v>1944</v>
      </c>
      <c r="L172" s="18"/>
      <c r="M172" s="18" t="s">
        <v>157</v>
      </c>
      <c r="N172" s="18" t="s">
        <v>1945</v>
      </c>
      <c r="O172" s="18" t="s">
        <v>1946</v>
      </c>
      <c r="P172" s="18" t="s">
        <v>112</v>
      </c>
      <c r="Q172" s="18" t="s">
        <v>1947</v>
      </c>
      <c r="R172" s="18" t="s">
        <v>305</v>
      </c>
      <c r="S172" s="18" t="s">
        <v>115</v>
      </c>
      <c r="T172" s="18" t="s">
        <v>115</v>
      </c>
      <c r="U172" s="18"/>
      <c r="V172" s="18" t="s">
        <v>1948</v>
      </c>
      <c r="W172" s="18"/>
      <c r="X172" s="18" t="s">
        <v>1949</v>
      </c>
      <c r="Y172" s="18" t="s">
        <v>1950</v>
      </c>
      <c r="Z172" s="19" t="s">
        <v>118</v>
      </c>
      <c r="AA172" s="19" t="s">
        <v>119</v>
      </c>
      <c r="AB172" s="18" t="s">
        <v>149</v>
      </c>
      <c r="AC172" s="20" t="s">
        <v>121</v>
      </c>
      <c r="AD172" s="21"/>
      <c r="AE172" s="20"/>
      <c r="AF172" s="20"/>
      <c r="AG172" s="20"/>
      <c r="AH172" s="21" t="str">
        <f aca="false">IF(AD172="","",WORKDAY(AD172,5))</f>
        <v/>
      </c>
      <c r="AI172" s="20"/>
      <c r="AJ172" s="20"/>
    </row>
    <row r="173" customFormat="false" ht="23.85" hidden="false" customHeight="false" outlineLevel="0" collapsed="false">
      <c r="A173" s="15" t="s">
        <v>338</v>
      </c>
      <c r="B173" s="16" t="n">
        <v>172</v>
      </c>
      <c r="C173" s="17" t="n">
        <v>3</v>
      </c>
      <c r="D173" s="18" t="s">
        <v>236</v>
      </c>
      <c r="E173" s="18" t="s">
        <v>1951</v>
      </c>
      <c r="F173" s="19" t="s">
        <v>1952</v>
      </c>
      <c r="G173" s="18" t="s">
        <v>1953</v>
      </c>
      <c r="H173" s="18" t="s">
        <v>257</v>
      </c>
      <c r="I173" s="18" t="s">
        <v>338</v>
      </c>
      <c r="J173" s="18" t="s">
        <v>1954</v>
      </c>
      <c r="K173" s="18" t="s">
        <v>1955</v>
      </c>
      <c r="L173" s="18"/>
      <c r="M173" s="18" t="s">
        <v>109</v>
      </c>
      <c r="N173" s="18" t="s">
        <v>1956</v>
      </c>
      <c r="O173" s="18" t="s">
        <v>1957</v>
      </c>
      <c r="P173" s="18" t="s">
        <v>1958</v>
      </c>
      <c r="Q173" s="18" t="s">
        <v>1530</v>
      </c>
      <c r="R173" s="18" t="s">
        <v>305</v>
      </c>
      <c r="S173" s="18" t="s">
        <v>115</v>
      </c>
      <c r="T173" s="18" t="s">
        <v>115</v>
      </c>
      <c r="U173" s="18"/>
      <c r="V173" s="18" t="s">
        <v>1959</v>
      </c>
      <c r="W173" s="18" t="s">
        <v>1960</v>
      </c>
      <c r="X173" s="18"/>
      <c r="Y173" s="18" t="s">
        <v>1961</v>
      </c>
      <c r="Z173" s="19" t="s">
        <v>118</v>
      </c>
      <c r="AA173" s="19" t="s">
        <v>119</v>
      </c>
      <c r="AB173" s="18" t="s">
        <v>149</v>
      </c>
      <c r="AC173" s="20" t="s">
        <v>121</v>
      </c>
      <c r="AD173" s="21"/>
      <c r="AE173" s="20"/>
      <c r="AF173" s="20"/>
      <c r="AG173" s="20"/>
      <c r="AH173" s="21" t="str">
        <f aca="false">IF(AD173="","",WORKDAY(AD173,5))</f>
        <v/>
      </c>
      <c r="AI173" s="20"/>
      <c r="AJ173" s="20"/>
    </row>
    <row r="174" customFormat="false" ht="35.05" hidden="false" customHeight="false" outlineLevel="0" collapsed="false">
      <c r="A174" s="15" t="s">
        <v>338</v>
      </c>
      <c r="B174" s="16" t="n">
        <v>173</v>
      </c>
      <c r="C174" s="17" t="n">
        <v>3</v>
      </c>
      <c r="D174" s="18" t="s">
        <v>236</v>
      </c>
      <c r="E174" s="18" t="s">
        <v>1962</v>
      </c>
      <c r="F174" s="19" t="s">
        <v>1963</v>
      </c>
      <c r="G174" s="18" t="s">
        <v>1964</v>
      </c>
      <c r="H174" s="18"/>
      <c r="I174" s="18" t="s">
        <v>338</v>
      </c>
      <c r="J174" s="18" t="s">
        <v>1965</v>
      </c>
      <c r="K174" s="18"/>
      <c r="L174" s="18"/>
      <c r="M174" s="18" t="s">
        <v>1966</v>
      </c>
      <c r="N174" s="18" t="s">
        <v>1967</v>
      </c>
      <c r="O174" s="18" t="s">
        <v>1968</v>
      </c>
      <c r="P174" s="18" t="s">
        <v>1969</v>
      </c>
      <c r="Q174" s="18" t="s">
        <v>1970</v>
      </c>
      <c r="R174" s="18" t="s">
        <v>305</v>
      </c>
      <c r="S174" s="18" t="s">
        <v>115</v>
      </c>
      <c r="T174" s="18" t="s">
        <v>115</v>
      </c>
      <c r="U174" s="18"/>
      <c r="V174" s="18" t="s">
        <v>1971</v>
      </c>
      <c r="W174" s="18" t="s">
        <v>1972</v>
      </c>
      <c r="X174" s="18"/>
      <c r="Y174" s="18" t="s">
        <v>165</v>
      </c>
      <c r="Z174" s="19" t="s">
        <v>118</v>
      </c>
      <c r="AA174" s="19" t="s">
        <v>119</v>
      </c>
      <c r="AB174" s="18" t="s">
        <v>149</v>
      </c>
      <c r="AC174" s="20" t="s">
        <v>121</v>
      </c>
      <c r="AD174" s="21"/>
      <c r="AE174" s="20"/>
      <c r="AF174" s="20"/>
      <c r="AG174" s="20"/>
      <c r="AH174" s="21" t="str">
        <f aca="false">IF(AD174="","",WORKDAY(AD174,5))</f>
        <v/>
      </c>
      <c r="AI174" s="20"/>
      <c r="AJ174" s="20"/>
    </row>
    <row r="175" customFormat="false" ht="23.85" hidden="false" customHeight="false" outlineLevel="0" collapsed="false">
      <c r="A175" s="15" t="s">
        <v>338</v>
      </c>
      <c r="B175" s="16" t="n">
        <v>174</v>
      </c>
      <c r="C175" s="17" t="n">
        <v>2</v>
      </c>
      <c r="D175" s="18" t="s">
        <v>122</v>
      </c>
      <c r="E175" s="18" t="s">
        <v>1973</v>
      </c>
      <c r="F175" s="19" t="s">
        <v>1974</v>
      </c>
      <c r="G175" s="18" t="s">
        <v>1975</v>
      </c>
      <c r="H175" s="18"/>
      <c r="I175" s="18" t="s">
        <v>338</v>
      </c>
      <c r="J175" s="18" t="s">
        <v>1976</v>
      </c>
      <c r="K175" s="18"/>
      <c r="L175" s="18"/>
      <c r="M175" s="18" t="s">
        <v>1977</v>
      </c>
      <c r="N175" s="18" t="s">
        <v>1978</v>
      </c>
      <c r="O175" s="18" t="s">
        <v>1979</v>
      </c>
      <c r="P175" s="18" t="s">
        <v>1980</v>
      </c>
      <c r="Q175" s="18" t="s">
        <v>1981</v>
      </c>
      <c r="R175" s="18" t="s">
        <v>305</v>
      </c>
      <c r="S175" s="18" t="s">
        <v>115</v>
      </c>
      <c r="T175" s="18" t="s">
        <v>115</v>
      </c>
      <c r="U175" s="18"/>
      <c r="V175" s="18" t="s">
        <v>1982</v>
      </c>
      <c r="W175" s="18" t="s">
        <v>1983</v>
      </c>
      <c r="X175" s="18" t="s">
        <v>1984</v>
      </c>
      <c r="Y175" s="18" t="s">
        <v>165</v>
      </c>
      <c r="Z175" s="19" t="s">
        <v>118</v>
      </c>
      <c r="AA175" s="19" t="s">
        <v>119</v>
      </c>
      <c r="AB175" s="18" t="s">
        <v>149</v>
      </c>
      <c r="AC175" s="20" t="s">
        <v>121</v>
      </c>
      <c r="AD175" s="21"/>
      <c r="AE175" s="20"/>
      <c r="AF175" s="20"/>
      <c r="AG175" s="20"/>
      <c r="AH175" s="21" t="str">
        <f aca="false">IF(AD175="","",WORKDAY(AD175,5))</f>
        <v/>
      </c>
      <c r="AI175" s="20"/>
      <c r="AJ175" s="20"/>
    </row>
    <row r="176" customFormat="false" ht="23.85" hidden="false" customHeight="false" outlineLevel="0" collapsed="false">
      <c r="A176" s="15" t="s">
        <v>338</v>
      </c>
      <c r="B176" s="16" t="n">
        <v>175</v>
      </c>
      <c r="C176" s="17" t="n">
        <v>2</v>
      </c>
      <c r="D176" s="18" t="s">
        <v>122</v>
      </c>
      <c r="E176" s="18" t="s">
        <v>1985</v>
      </c>
      <c r="F176" s="19" t="s">
        <v>1986</v>
      </c>
      <c r="G176" s="18" t="s">
        <v>1987</v>
      </c>
      <c r="H176" s="18"/>
      <c r="I176" s="18" t="s">
        <v>338</v>
      </c>
      <c r="J176" s="18" t="s">
        <v>1988</v>
      </c>
      <c r="K176" s="18" t="s">
        <v>1989</v>
      </c>
      <c r="L176" s="18"/>
      <c r="M176" s="18" t="s">
        <v>1977</v>
      </c>
      <c r="N176" s="18" t="s">
        <v>1990</v>
      </c>
      <c r="O176" s="18" t="s">
        <v>1979</v>
      </c>
      <c r="P176" s="18" t="s">
        <v>112</v>
      </c>
      <c r="Q176" s="18" t="s">
        <v>1530</v>
      </c>
      <c r="R176" s="18" t="s">
        <v>305</v>
      </c>
      <c r="S176" s="18" t="s">
        <v>115</v>
      </c>
      <c r="T176" s="18" t="s">
        <v>115</v>
      </c>
      <c r="U176" s="18"/>
      <c r="V176" s="18" t="s">
        <v>1991</v>
      </c>
      <c r="W176" s="18" t="s">
        <v>1992</v>
      </c>
      <c r="X176" s="18"/>
      <c r="Y176" s="18" t="s">
        <v>1993</v>
      </c>
      <c r="Z176" s="19" t="s">
        <v>118</v>
      </c>
      <c r="AA176" s="19" t="s">
        <v>119</v>
      </c>
      <c r="AB176" s="18" t="s">
        <v>149</v>
      </c>
      <c r="AC176" s="20" t="s">
        <v>121</v>
      </c>
      <c r="AD176" s="21"/>
      <c r="AE176" s="20"/>
      <c r="AF176" s="20"/>
      <c r="AG176" s="20"/>
      <c r="AH176" s="21" t="str">
        <f aca="false">IF(AD176="","",WORKDAY(AD176,5))</f>
        <v/>
      </c>
      <c r="AI176" s="20"/>
      <c r="AJ176" s="20"/>
    </row>
    <row r="177" customFormat="false" ht="23.85" hidden="false" customHeight="false" outlineLevel="0" collapsed="false">
      <c r="A177" s="15" t="s">
        <v>338</v>
      </c>
      <c r="B177" s="16" t="n">
        <v>176</v>
      </c>
      <c r="C177" s="17" t="n">
        <v>2</v>
      </c>
      <c r="D177" s="18" t="s">
        <v>122</v>
      </c>
      <c r="E177" s="18" t="s">
        <v>1994</v>
      </c>
      <c r="F177" s="19" t="s">
        <v>1995</v>
      </c>
      <c r="G177" s="18" t="s">
        <v>1854</v>
      </c>
      <c r="H177" s="18"/>
      <c r="I177" s="18" t="s">
        <v>338</v>
      </c>
      <c r="J177" s="18" t="s">
        <v>1996</v>
      </c>
      <c r="K177" s="18"/>
      <c r="L177" s="18"/>
      <c r="M177" s="18" t="s">
        <v>564</v>
      </c>
      <c r="N177" s="18" t="s">
        <v>1997</v>
      </c>
      <c r="O177" s="18" t="s">
        <v>358</v>
      </c>
      <c r="P177" s="18" t="s">
        <v>112</v>
      </c>
      <c r="Q177" s="18" t="s">
        <v>195</v>
      </c>
      <c r="R177" s="18" t="s">
        <v>305</v>
      </c>
      <c r="S177" s="18" t="s">
        <v>115</v>
      </c>
      <c r="T177" s="18" t="s">
        <v>115</v>
      </c>
      <c r="U177" s="18"/>
      <c r="V177" s="18" t="s">
        <v>1998</v>
      </c>
      <c r="W177" s="18"/>
      <c r="X177" s="18"/>
      <c r="Y177" s="18" t="s">
        <v>186</v>
      </c>
      <c r="Z177" s="19" t="s">
        <v>118</v>
      </c>
      <c r="AA177" s="19" t="s">
        <v>119</v>
      </c>
      <c r="AB177" s="18" t="s">
        <v>149</v>
      </c>
      <c r="AC177" s="20" t="s">
        <v>121</v>
      </c>
      <c r="AD177" s="21"/>
      <c r="AE177" s="20"/>
      <c r="AF177" s="20"/>
      <c r="AG177" s="20"/>
      <c r="AH177" s="21" t="str">
        <f aca="false">IF(AD177="","",WORKDAY(AD177,5))</f>
        <v/>
      </c>
      <c r="AI177" s="20"/>
      <c r="AJ177" s="20"/>
    </row>
    <row r="178" customFormat="false" ht="23.85" hidden="false" customHeight="false" outlineLevel="0" collapsed="false">
      <c r="A178" s="15" t="s">
        <v>338</v>
      </c>
      <c r="B178" s="16" t="n">
        <v>177</v>
      </c>
      <c r="C178" s="17" t="n">
        <v>2</v>
      </c>
      <c r="D178" s="18" t="s">
        <v>122</v>
      </c>
      <c r="E178" s="18" t="s">
        <v>1999</v>
      </c>
      <c r="F178" s="19" t="s">
        <v>2000</v>
      </c>
      <c r="G178" s="18" t="s">
        <v>1854</v>
      </c>
      <c r="H178" s="18"/>
      <c r="I178" s="18" t="s">
        <v>338</v>
      </c>
      <c r="J178" s="18" t="s">
        <v>2001</v>
      </c>
      <c r="K178" s="18"/>
      <c r="L178" s="18"/>
      <c r="M178" s="18" t="s">
        <v>564</v>
      </c>
      <c r="N178" s="18" t="s">
        <v>2002</v>
      </c>
      <c r="O178" s="18" t="s">
        <v>358</v>
      </c>
      <c r="P178" s="18" t="s">
        <v>112</v>
      </c>
      <c r="Q178" s="18" t="s">
        <v>195</v>
      </c>
      <c r="R178" s="18" t="s">
        <v>305</v>
      </c>
      <c r="S178" s="18" t="s">
        <v>115</v>
      </c>
      <c r="T178" s="18" t="s">
        <v>115</v>
      </c>
      <c r="U178" s="18"/>
      <c r="V178" s="18" t="s">
        <v>2003</v>
      </c>
      <c r="W178" s="18"/>
      <c r="X178" s="18"/>
      <c r="Y178" s="18" t="s">
        <v>2004</v>
      </c>
      <c r="Z178" s="19" t="s">
        <v>118</v>
      </c>
      <c r="AA178" s="19" t="s">
        <v>119</v>
      </c>
      <c r="AB178" s="18" t="s">
        <v>149</v>
      </c>
      <c r="AC178" s="20" t="s">
        <v>121</v>
      </c>
      <c r="AD178" s="21"/>
      <c r="AE178" s="20"/>
      <c r="AF178" s="20"/>
      <c r="AG178" s="20"/>
      <c r="AH178" s="21" t="str">
        <f aca="false">IF(AD178="","",WORKDAY(AD178,5))</f>
        <v/>
      </c>
      <c r="AI178" s="20"/>
      <c r="AJ178" s="20"/>
    </row>
    <row r="179" customFormat="false" ht="23.85" hidden="false" customHeight="false" outlineLevel="0" collapsed="false">
      <c r="A179" s="15" t="s">
        <v>338</v>
      </c>
      <c r="B179" s="16" t="n">
        <v>178</v>
      </c>
      <c r="C179" s="17" t="n">
        <v>2</v>
      </c>
      <c r="D179" s="18" t="s">
        <v>122</v>
      </c>
      <c r="E179" s="18" t="s">
        <v>2005</v>
      </c>
      <c r="F179" s="19" t="s">
        <v>2006</v>
      </c>
      <c r="G179" s="18" t="s">
        <v>1854</v>
      </c>
      <c r="H179" s="18"/>
      <c r="I179" s="18" t="s">
        <v>338</v>
      </c>
      <c r="J179" s="18" t="s">
        <v>2007</v>
      </c>
      <c r="K179" s="18"/>
      <c r="L179" s="18"/>
      <c r="M179" s="18" t="s">
        <v>2008</v>
      </c>
      <c r="N179" s="18" t="s">
        <v>2009</v>
      </c>
      <c r="O179" s="18" t="s">
        <v>2010</v>
      </c>
      <c r="P179" s="18" t="s">
        <v>112</v>
      </c>
      <c r="Q179" s="18" t="s">
        <v>2011</v>
      </c>
      <c r="R179" s="18" t="s">
        <v>305</v>
      </c>
      <c r="S179" s="18" t="s">
        <v>115</v>
      </c>
      <c r="T179" s="18" t="s">
        <v>115</v>
      </c>
      <c r="U179" s="18"/>
      <c r="V179" s="18" t="s">
        <v>655</v>
      </c>
      <c r="W179" s="18"/>
      <c r="X179" s="18"/>
      <c r="Y179" s="18" t="s">
        <v>2012</v>
      </c>
      <c r="Z179" s="19" t="s">
        <v>118</v>
      </c>
      <c r="AA179" s="19" t="s">
        <v>119</v>
      </c>
      <c r="AB179" s="18" t="s">
        <v>149</v>
      </c>
      <c r="AC179" s="20" t="s">
        <v>121</v>
      </c>
      <c r="AD179" s="21"/>
      <c r="AE179" s="20"/>
      <c r="AF179" s="20"/>
      <c r="AG179" s="20"/>
      <c r="AH179" s="21" t="str">
        <f aca="false">IF(AD179="","",WORKDAY(AD179,5))</f>
        <v/>
      </c>
      <c r="AI179" s="20"/>
      <c r="AJ179" s="20"/>
    </row>
    <row r="180" customFormat="false" ht="23.85" hidden="false" customHeight="false" outlineLevel="0" collapsed="false">
      <c r="A180" s="15" t="s">
        <v>338</v>
      </c>
      <c r="B180" s="16" t="n">
        <v>179</v>
      </c>
      <c r="C180" s="17" t="n">
        <v>2</v>
      </c>
      <c r="D180" s="18" t="s">
        <v>122</v>
      </c>
      <c r="E180" s="18" t="s">
        <v>2013</v>
      </c>
      <c r="F180" s="19" t="s">
        <v>2014</v>
      </c>
      <c r="G180" s="18" t="s">
        <v>1854</v>
      </c>
      <c r="H180" s="18"/>
      <c r="I180" s="18" t="s">
        <v>338</v>
      </c>
      <c r="J180" s="18" t="s">
        <v>1854</v>
      </c>
      <c r="K180" s="18"/>
      <c r="L180" s="18"/>
      <c r="M180" s="18" t="s">
        <v>2015</v>
      </c>
      <c r="N180" s="18" t="s">
        <v>2016</v>
      </c>
      <c r="O180" s="18" t="s">
        <v>1056</v>
      </c>
      <c r="P180" s="18" t="s">
        <v>112</v>
      </c>
      <c r="Q180" s="18"/>
      <c r="R180" s="18" t="s">
        <v>305</v>
      </c>
      <c r="S180" s="18" t="s">
        <v>115</v>
      </c>
      <c r="T180" s="18" t="s">
        <v>115</v>
      </c>
      <c r="U180" s="18"/>
      <c r="V180" s="18" t="s">
        <v>2017</v>
      </c>
      <c r="W180" s="18" t="s">
        <v>938</v>
      </c>
      <c r="X180" s="18" t="s">
        <v>2018</v>
      </c>
      <c r="Y180" s="18" t="s">
        <v>1066</v>
      </c>
      <c r="Z180" s="19" t="s">
        <v>118</v>
      </c>
      <c r="AA180" s="19" t="s">
        <v>119</v>
      </c>
      <c r="AB180" s="18" t="s">
        <v>149</v>
      </c>
      <c r="AC180" s="20" t="s">
        <v>121</v>
      </c>
      <c r="AD180" s="21"/>
      <c r="AE180" s="20"/>
      <c r="AF180" s="20"/>
      <c r="AG180" s="20"/>
      <c r="AH180" s="21" t="str">
        <f aca="false">IF(AD180="","",WORKDAY(AD180,5))</f>
        <v/>
      </c>
      <c r="AI180" s="20"/>
      <c r="AJ180" s="20"/>
    </row>
    <row r="181" customFormat="false" ht="23.85" hidden="false" customHeight="false" outlineLevel="0" collapsed="false">
      <c r="A181" s="15" t="s">
        <v>338</v>
      </c>
      <c r="B181" s="16" t="n">
        <v>180</v>
      </c>
      <c r="C181" s="17" t="n">
        <v>2</v>
      </c>
      <c r="D181" s="18" t="s">
        <v>767</v>
      </c>
      <c r="E181" s="18" t="s">
        <v>2019</v>
      </c>
      <c r="F181" s="19" t="s">
        <v>2020</v>
      </c>
      <c r="G181" s="18" t="s">
        <v>338</v>
      </c>
      <c r="H181" s="18"/>
      <c r="I181" s="18" t="s">
        <v>338</v>
      </c>
      <c r="J181" s="18"/>
      <c r="K181" s="18"/>
      <c r="L181" s="18"/>
      <c r="M181" s="18" t="s">
        <v>2021</v>
      </c>
      <c r="N181" s="18" t="s">
        <v>2022</v>
      </c>
      <c r="O181" s="18" t="s">
        <v>2023</v>
      </c>
      <c r="P181" s="18" t="s">
        <v>2024</v>
      </c>
      <c r="Q181" s="18" t="s">
        <v>195</v>
      </c>
      <c r="R181" s="18" t="s">
        <v>305</v>
      </c>
      <c r="S181" s="18" t="s">
        <v>115</v>
      </c>
      <c r="T181" s="18" t="s">
        <v>115</v>
      </c>
      <c r="U181" s="18"/>
      <c r="V181" s="18" t="s">
        <v>2025</v>
      </c>
      <c r="W181" s="18" t="s">
        <v>2026</v>
      </c>
      <c r="X181" s="18"/>
      <c r="Y181" s="18" t="s">
        <v>2027</v>
      </c>
      <c r="Z181" s="19" t="s">
        <v>118</v>
      </c>
      <c r="AA181" s="19" t="s">
        <v>119</v>
      </c>
      <c r="AB181" s="18" t="s">
        <v>149</v>
      </c>
      <c r="AC181" s="20" t="s">
        <v>121</v>
      </c>
      <c r="AD181" s="21"/>
      <c r="AE181" s="20"/>
      <c r="AF181" s="20"/>
      <c r="AG181" s="20"/>
      <c r="AH181" s="21" t="str">
        <f aca="false">IF(AD181="","",WORKDAY(AD181,5))</f>
        <v/>
      </c>
      <c r="AI181" s="20"/>
      <c r="AJ181" s="20"/>
    </row>
    <row r="182" customFormat="false" ht="23.85" hidden="false" customHeight="false" outlineLevel="0" collapsed="false">
      <c r="A182" s="15" t="s">
        <v>338</v>
      </c>
      <c r="B182" s="16" t="n">
        <v>181</v>
      </c>
      <c r="C182" s="17" t="n">
        <v>2</v>
      </c>
      <c r="D182" s="18" t="s">
        <v>379</v>
      </c>
      <c r="E182" s="18" t="s">
        <v>2028</v>
      </c>
      <c r="F182" s="18" t="s">
        <v>167</v>
      </c>
      <c r="G182" s="18" t="s">
        <v>1657</v>
      </c>
      <c r="H182" s="18"/>
      <c r="I182" s="18" t="s">
        <v>338</v>
      </c>
      <c r="J182" s="18"/>
      <c r="K182" s="18"/>
      <c r="L182" s="18"/>
      <c r="M182" s="18" t="s">
        <v>2029</v>
      </c>
      <c r="N182" s="18" t="s">
        <v>2030</v>
      </c>
      <c r="O182" s="18" t="s">
        <v>2031</v>
      </c>
      <c r="P182" s="18" t="s">
        <v>112</v>
      </c>
      <c r="Q182" s="18" t="s">
        <v>2032</v>
      </c>
      <c r="R182" s="18" t="s">
        <v>305</v>
      </c>
      <c r="S182" s="18" t="s">
        <v>115</v>
      </c>
      <c r="T182" s="18" t="s">
        <v>115</v>
      </c>
      <c r="U182" s="18"/>
      <c r="V182" s="18" t="s">
        <v>2033</v>
      </c>
      <c r="W182" s="18"/>
      <c r="X182" s="18" t="s">
        <v>2034</v>
      </c>
      <c r="Y182" s="18" t="s">
        <v>1418</v>
      </c>
      <c r="Z182" s="19" t="s">
        <v>118</v>
      </c>
      <c r="AA182" s="19" t="s">
        <v>119</v>
      </c>
      <c r="AB182" s="18" t="s">
        <v>149</v>
      </c>
      <c r="AC182" s="20" t="s">
        <v>121</v>
      </c>
      <c r="AD182" s="21"/>
      <c r="AE182" s="20"/>
      <c r="AF182" s="20"/>
      <c r="AG182" s="20"/>
      <c r="AH182" s="21" t="str">
        <f aca="false">IF(AD182="","",WORKDAY(AD182,5))</f>
        <v/>
      </c>
      <c r="AI182" s="20"/>
      <c r="AJ182" s="20"/>
    </row>
    <row r="183" customFormat="false" ht="23.85" hidden="false" customHeight="false" outlineLevel="0" collapsed="false">
      <c r="A183" s="15" t="s">
        <v>338</v>
      </c>
      <c r="B183" s="16" t="n">
        <v>182</v>
      </c>
      <c r="C183" s="17" t="n">
        <v>2</v>
      </c>
      <c r="D183" s="18" t="s">
        <v>379</v>
      </c>
      <c r="E183" s="18" t="s">
        <v>2035</v>
      </c>
      <c r="F183" s="19" t="s">
        <v>2036</v>
      </c>
      <c r="G183" s="18"/>
      <c r="H183" s="18"/>
      <c r="I183" s="18" t="s">
        <v>338</v>
      </c>
      <c r="J183" s="18"/>
      <c r="K183" s="18"/>
      <c r="L183" s="18"/>
      <c r="M183" s="18" t="s">
        <v>2037</v>
      </c>
      <c r="N183" s="18" t="s">
        <v>2038</v>
      </c>
      <c r="O183" s="18" t="s">
        <v>2039</v>
      </c>
      <c r="P183" s="18" t="s">
        <v>112</v>
      </c>
      <c r="Q183" s="18" t="s">
        <v>330</v>
      </c>
      <c r="R183" s="18" t="s">
        <v>305</v>
      </c>
      <c r="S183" s="18" t="s">
        <v>115</v>
      </c>
      <c r="T183" s="18" t="s">
        <v>115</v>
      </c>
      <c r="U183" s="18"/>
      <c r="V183" s="18" t="s">
        <v>2040</v>
      </c>
      <c r="W183" s="18"/>
      <c r="X183" s="18" t="s">
        <v>2041</v>
      </c>
      <c r="Y183" s="18" t="s">
        <v>1066</v>
      </c>
      <c r="Z183" s="19" t="s">
        <v>118</v>
      </c>
      <c r="AA183" s="19" t="s">
        <v>119</v>
      </c>
      <c r="AB183" s="18" t="s">
        <v>120</v>
      </c>
      <c r="AC183" s="20" t="s">
        <v>121</v>
      </c>
      <c r="AD183" s="21"/>
      <c r="AE183" s="20"/>
      <c r="AF183" s="20"/>
      <c r="AG183" s="20"/>
      <c r="AH183" s="21" t="str">
        <f aca="false">IF(AD183="","",WORKDAY(AD183,5))</f>
        <v/>
      </c>
      <c r="AI183" s="20"/>
      <c r="AJ183" s="20"/>
    </row>
    <row r="184" customFormat="false" ht="23.85" hidden="false" customHeight="false" outlineLevel="0" collapsed="false">
      <c r="A184" s="15" t="s">
        <v>338</v>
      </c>
      <c r="B184" s="16" t="n">
        <v>183</v>
      </c>
      <c r="C184" s="17" t="n">
        <v>2</v>
      </c>
      <c r="D184" s="18" t="s">
        <v>379</v>
      </c>
      <c r="E184" s="18" t="s">
        <v>2042</v>
      </c>
      <c r="F184" s="19" t="s">
        <v>2043</v>
      </c>
      <c r="G184" s="18" t="s">
        <v>2044</v>
      </c>
      <c r="H184" s="18"/>
      <c r="I184" s="18" t="s">
        <v>338</v>
      </c>
      <c r="J184" s="18"/>
      <c r="K184" s="18"/>
      <c r="L184" s="18"/>
      <c r="M184" s="18" t="s">
        <v>205</v>
      </c>
      <c r="N184" s="18" t="s">
        <v>2045</v>
      </c>
      <c r="O184" s="18" t="s">
        <v>2046</v>
      </c>
      <c r="P184" s="18" t="s">
        <v>112</v>
      </c>
      <c r="Q184" s="18" t="s">
        <v>2047</v>
      </c>
      <c r="R184" s="18" t="s">
        <v>2048</v>
      </c>
      <c r="S184" s="18" t="s">
        <v>115</v>
      </c>
      <c r="T184" s="18" t="s">
        <v>115</v>
      </c>
      <c r="U184" s="18"/>
      <c r="V184" s="18" t="s">
        <v>2049</v>
      </c>
      <c r="W184" s="18" t="s">
        <v>2050</v>
      </c>
      <c r="X184" s="18"/>
      <c r="Y184" s="18" t="s">
        <v>175</v>
      </c>
      <c r="Z184" s="19" t="s">
        <v>118</v>
      </c>
      <c r="AA184" s="19" t="s">
        <v>119</v>
      </c>
      <c r="AB184" s="18" t="s">
        <v>149</v>
      </c>
      <c r="AC184" s="20" t="s">
        <v>121</v>
      </c>
      <c r="AD184" s="21"/>
      <c r="AE184" s="20"/>
      <c r="AF184" s="20"/>
      <c r="AG184" s="20"/>
      <c r="AH184" s="21" t="str">
        <f aca="false">IF(AD184="","",WORKDAY(AD184,5))</f>
        <v/>
      </c>
      <c r="AI184" s="20"/>
      <c r="AJ184" s="20"/>
    </row>
    <row r="185" customFormat="false" ht="35.05" hidden="false" customHeight="false" outlineLevel="0" collapsed="false">
      <c r="A185" s="15" t="s">
        <v>338</v>
      </c>
      <c r="B185" s="16" t="n">
        <v>184</v>
      </c>
      <c r="C185" s="17" t="n">
        <v>2</v>
      </c>
      <c r="D185" s="18" t="s">
        <v>379</v>
      </c>
      <c r="E185" s="18" t="s">
        <v>2051</v>
      </c>
      <c r="F185" s="19" t="s">
        <v>2052</v>
      </c>
      <c r="G185" s="18" t="s">
        <v>2053</v>
      </c>
      <c r="H185" s="18"/>
      <c r="I185" s="18" t="s">
        <v>338</v>
      </c>
      <c r="J185" s="18"/>
      <c r="K185" s="18"/>
      <c r="L185" s="18"/>
      <c r="M185" s="18" t="s">
        <v>2054</v>
      </c>
      <c r="N185" s="18" t="s">
        <v>2055</v>
      </c>
      <c r="O185" s="18" t="s">
        <v>2056</v>
      </c>
      <c r="P185" s="18" t="s">
        <v>2057</v>
      </c>
      <c r="Q185" s="18" t="s">
        <v>1530</v>
      </c>
      <c r="R185" s="18" t="s">
        <v>305</v>
      </c>
      <c r="S185" s="18" t="s">
        <v>115</v>
      </c>
      <c r="T185" s="18" t="s">
        <v>115</v>
      </c>
      <c r="U185" s="18"/>
      <c r="V185" s="18" t="s">
        <v>2058</v>
      </c>
      <c r="W185" s="18"/>
      <c r="X185" s="18"/>
      <c r="Y185" s="18" t="s">
        <v>2059</v>
      </c>
      <c r="Z185" s="19" t="s">
        <v>118</v>
      </c>
      <c r="AA185" s="19" t="s">
        <v>119</v>
      </c>
      <c r="AB185" s="18" t="s">
        <v>149</v>
      </c>
      <c r="AC185" s="20" t="s">
        <v>121</v>
      </c>
      <c r="AD185" s="21"/>
      <c r="AE185" s="20"/>
      <c r="AF185" s="20"/>
      <c r="AG185" s="20"/>
      <c r="AH185" s="21" t="str">
        <f aca="false">IF(AD185="","",WORKDAY(AD185,5))</f>
        <v/>
      </c>
      <c r="AI185" s="20"/>
      <c r="AJ185" s="20"/>
    </row>
    <row r="186" customFormat="false" ht="46.25" hidden="false" customHeight="false" outlineLevel="0" collapsed="false">
      <c r="A186" s="15" t="s">
        <v>338</v>
      </c>
      <c r="B186" s="16" t="n">
        <v>185</v>
      </c>
      <c r="C186" s="17" t="n">
        <v>1</v>
      </c>
      <c r="D186" s="18" t="s">
        <v>122</v>
      </c>
      <c r="E186" s="18" t="s">
        <v>2060</v>
      </c>
      <c r="F186" s="19" t="s">
        <v>2061</v>
      </c>
      <c r="G186" s="18" t="s">
        <v>2062</v>
      </c>
      <c r="H186" s="18"/>
      <c r="I186" s="18" t="s">
        <v>338</v>
      </c>
      <c r="J186" s="18" t="s">
        <v>2063</v>
      </c>
      <c r="K186" s="18"/>
      <c r="L186" s="18"/>
      <c r="M186" s="18" t="s">
        <v>564</v>
      </c>
      <c r="N186" s="18" t="s">
        <v>2064</v>
      </c>
      <c r="O186" s="18" t="s">
        <v>358</v>
      </c>
      <c r="P186" s="18" t="s">
        <v>112</v>
      </c>
      <c r="Q186" s="18" t="s">
        <v>195</v>
      </c>
      <c r="R186" s="18" t="s">
        <v>2065</v>
      </c>
      <c r="S186" s="18" t="s">
        <v>115</v>
      </c>
      <c r="T186" s="18" t="s">
        <v>115</v>
      </c>
      <c r="U186" s="18"/>
      <c r="V186" s="18" t="s">
        <v>2066</v>
      </c>
      <c r="W186" s="18"/>
      <c r="X186" s="18" t="s">
        <v>2067</v>
      </c>
      <c r="Y186" s="18" t="s">
        <v>2068</v>
      </c>
      <c r="Z186" s="19" t="s">
        <v>118</v>
      </c>
      <c r="AA186" s="19" t="s">
        <v>119</v>
      </c>
      <c r="AB186" s="18" t="s">
        <v>149</v>
      </c>
      <c r="AC186" s="20" t="s">
        <v>121</v>
      </c>
      <c r="AD186" s="21"/>
      <c r="AE186" s="20"/>
      <c r="AF186" s="20"/>
      <c r="AG186" s="20"/>
      <c r="AH186" s="21" t="str">
        <f aca="false">IF(AD186="","",WORKDAY(AD186,5))</f>
        <v/>
      </c>
      <c r="AI186" s="20"/>
      <c r="AJ186" s="20"/>
    </row>
    <row r="187" customFormat="false" ht="35.05" hidden="false" customHeight="false" outlineLevel="0" collapsed="false">
      <c r="A187" s="15" t="s">
        <v>338</v>
      </c>
      <c r="B187" s="16" t="n">
        <v>186</v>
      </c>
      <c r="C187" s="17" t="n">
        <v>1</v>
      </c>
      <c r="D187" s="18" t="s">
        <v>364</v>
      </c>
      <c r="E187" s="18" t="s">
        <v>2069</v>
      </c>
      <c r="F187" s="18" t="s">
        <v>167</v>
      </c>
      <c r="G187" s="18" t="s">
        <v>2070</v>
      </c>
      <c r="H187" s="18"/>
      <c r="I187" s="18" t="s">
        <v>338</v>
      </c>
      <c r="J187" s="18" t="s">
        <v>2071</v>
      </c>
      <c r="K187" s="18"/>
      <c r="L187" s="18"/>
      <c r="M187" s="18" t="s">
        <v>157</v>
      </c>
      <c r="N187" s="18" t="s">
        <v>2072</v>
      </c>
      <c r="O187" s="18" t="s">
        <v>2073</v>
      </c>
      <c r="P187" s="18"/>
      <c r="Q187" s="18"/>
      <c r="R187" s="18" t="s">
        <v>305</v>
      </c>
      <c r="S187" s="18" t="s">
        <v>115</v>
      </c>
      <c r="T187" s="18" t="s">
        <v>115</v>
      </c>
      <c r="U187" s="18"/>
      <c r="V187" s="18" t="s">
        <v>2074</v>
      </c>
      <c r="W187" s="18"/>
      <c r="X187" s="18" t="s">
        <v>2075</v>
      </c>
      <c r="Y187" s="18" t="s">
        <v>175</v>
      </c>
      <c r="Z187" s="19" t="s">
        <v>118</v>
      </c>
      <c r="AA187" s="19" t="s">
        <v>119</v>
      </c>
      <c r="AB187" s="18" t="s">
        <v>120</v>
      </c>
      <c r="AC187" s="20" t="s">
        <v>121</v>
      </c>
      <c r="AD187" s="21"/>
      <c r="AE187" s="20"/>
      <c r="AF187" s="20"/>
      <c r="AG187" s="20"/>
      <c r="AH187" s="21" t="str">
        <f aca="false">IF(AD187="","",WORKDAY(AD187,5))</f>
        <v/>
      </c>
      <c r="AI187" s="20"/>
      <c r="AJ187" s="20"/>
    </row>
    <row r="188" customFormat="false" ht="23.85" hidden="false" customHeight="false" outlineLevel="0" collapsed="false">
      <c r="A188" s="23" t="s">
        <v>2076</v>
      </c>
      <c r="B188" s="24" t="n">
        <v>187</v>
      </c>
      <c r="C188" s="10" t="n">
        <v>3</v>
      </c>
      <c r="D188" s="11" t="s">
        <v>122</v>
      </c>
      <c r="E188" s="11" t="s">
        <v>2077</v>
      </c>
      <c r="F188" s="12" t="s">
        <v>2078</v>
      </c>
      <c r="G188" s="11"/>
      <c r="H188" s="11"/>
      <c r="I188" s="11" t="s">
        <v>2079</v>
      </c>
      <c r="J188" s="11"/>
      <c r="K188" s="11"/>
      <c r="L188" s="11" t="s">
        <v>127</v>
      </c>
      <c r="M188" s="11" t="s">
        <v>2080</v>
      </c>
      <c r="N188" s="11" t="s">
        <v>2081</v>
      </c>
      <c r="O188" s="11" t="s">
        <v>2082</v>
      </c>
      <c r="P188" s="11" t="s">
        <v>112</v>
      </c>
      <c r="Q188" s="11" t="s">
        <v>2083</v>
      </c>
      <c r="R188" s="11" t="s">
        <v>114</v>
      </c>
      <c r="S188" s="11" t="s">
        <v>2084</v>
      </c>
      <c r="T188" s="11" t="s">
        <v>305</v>
      </c>
      <c r="U188" s="11"/>
      <c r="V188" s="11" t="s">
        <v>2085</v>
      </c>
      <c r="W188" s="11" t="s">
        <v>2086</v>
      </c>
      <c r="X188" s="11" t="s">
        <v>2087</v>
      </c>
      <c r="Y188" s="11" t="s">
        <v>2088</v>
      </c>
      <c r="Z188" s="12" t="s">
        <v>118</v>
      </c>
      <c r="AA188" s="12" t="s">
        <v>119</v>
      </c>
      <c r="AB188" s="11" t="s">
        <v>120</v>
      </c>
      <c r="AC188" s="13" t="s">
        <v>121</v>
      </c>
      <c r="AD188" s="14"/>
      <c r="AE188" s="13"/>
      <c r="AF188" s="13"/>
      <c r="AG188" s="13"/>
      <c r="AH188" s="14" t="str">
        <f aca="false">IF(AD188="","",WORKDAY(AD188,5))</f>
        <v/>
      </c>
      <c r="AI188" s="13"/>
      <c r="AJ188" s="13"/>
    </row>
    <row r="189" customFormat="false" ht="35.05" hidden="false" customHeight="false" outlineLevel="0" collapsed="false">
      <c r="A189" s="26" t="s">
        <v>2076</v>
      </c>
      <c r="B189" s="27" t="n">
        <v>188</v>
      </c>
      <c r="C189" s="17" t="n">
        <v>2</v>
      </c>
      <c r="D189" s="18" t="s">
        <v>296</v>
      </c>
      <c r="E189" s="18" t="s">
        <v>2089</v>
      </c>
      <c r="F189" s="19" t="s">
        <v>2090</v>
      </c>
      <c r="G189" s="18"/>
      <c r="H189" s="18" t="s">
        <v>338</v>
      </c>
      <c r="I189" s="18" t="s">
        <v>2079</v>
      </c>
      <c r="J189" s="18"/>
      <c r="K189" s="18"/>
      <c r="L189" s="18"/>
      <c r="M189" s="18" t="s">
        <v>2091</v>
      </c>
      <c r="N189" s="18" t="s">
        <v>2092</v>
      </c>
      <c r="O189" s="18" t="s">
        <v>315</v>
      </c>
      <c r="P189" s="18" t="s">
        <v>2093</v>
      </c>
      <c r="Q189" s="18" t="s">
        <v>2094</v>
      </c>
      <c r="R189" s="18" t="s">
        <v>305</v>
      </c>
      <c r="S189" s="18" t="s">
        <v>319</v>
      </c>
      <c r="T189" s="18" t="s">
        <v>320</v>
      </c>
      <c r="U189" s="18"/>
      <c r="V189" s="18" t="s">
        <v>2095</v>
      </c>
      <c r="W189" s="18" t="s">
        <v>2096</v>
      </c>
      <c r="X189" s="18"/>
      <c r="Y189" s="18" t="s">
        <v>2097</v>
      </c>
      <c r="Z189" s="19" t="s">
        <v>118</v>
      </c>
      <c r="AA189" s="19" t="s">
        <v>119</v>
      </c>
      <c r="AB189" s="18" t="s">
        <v>120</v>
      </c>
      <c r="AC189" s="20" t="s">
        <v>121</v>
      </c>
      <c r="AD189" s="21"/>
      <c r="AE189" s="20"/>
      <c r="AF189" s="20"/>
      <c r="AG189" s="20"/>
      <c r="AH189" s="21" t="str">
        <f aca="false">IF(AD189="","",WORKDAY(AD189,5))</f>
        <v/>
      </c>
      <c r="AI189" s="20"/>
      <c r="AJ189" s="20"/>
    </row>
    <row r="190" customFormat="false" ht="35.05" hidden="false" customHeight="false" outlineLevel="0" collapsed="false">
      <c r="A190" s="26" t="s">
        <v>2076</v>
      </c>
      <c r="B190" s="27" t="n">
        <v>189</v>
      </c>
      <c r="C190" s="17" t="n">
        <v>1</v>
      </c>
      <c r="D190" s="18" t="s">
        <v>296</v>
      </c>
      <c r="E190" s="18" t="s">
        <v>2098</v>
      </c>
      <c r="F190" s="19" t="s">
        <v>2099</v>
      </c>
      <c r="G190" s="18"/>
      <c r="H190" s="18"/>
      <c r="I190" s="18" t="s">
        <v>2079</v>
      </c>
      <c r="J190" s="18"/>
      <c r="K190" s="18"/>
      <c r="L190" s="18"/>
      <c r="M190" s="18" t="s">
        <v>2100</v>
      </c>
      <c r="N190" s="18" t="s">
        <v>2101</v>
      </c>
      <c r="O190" s="18" t="s">
        <v>302</v>
      </c>
      <c r="P190" s="18" t="s">
        <v>2102</v>
      </c>
      <c r="Q190" s="18" t="s">
        <v>304</v>
      </c>
      <c r="R190" s="18" t="s">
        <v>305</v>
      </c>
      <c r="S190" s="18" t="s">
        <v>115</v>
      </c>
      <c r="T190" s="18" t="s">
        <v>115</v>
      </c>
      <c r="U190" s="18"/>
      <c r="V190" s="18" t="s">
        <v>2103</v>
      </c>
      <c r="W190" s="18" t="s">
        <v>2104</v>
      </c>
      <c r="X190" s="18" t="s">
        <v>2105</v>
      </c>
      <c r="Y190" s="18" t="s">
        <v>2106</v>
      </c>
      <c r="Z190" s="19" t="s">
        <v>118</v>
      </c>
      <c r="AA190" s="19" t="s">
        <v>119</v>
      </c>
      <c r="AB190" s="18" t="s">
        <v>149</v>
      </c>
      <c r="AC190" s="20" t="s">
        <v>121</v>
      </c>
      <c r="AD190" s="21"/>
      <c r="AE190" s="20"/>
      <c r="AF190" s="20"/>
      <c r="AG190" s="20"/>
      <c r="AH190" s="21" t="str">
        <f aca="false">IF(AD190="","",WORKDAY(AD190,5))</f>
        <v/>
      </c>
      <c r="AI190" s="20"/>
      <c r="AJ190" s="20"/>
    </row>
  </sheetData>
  <autoFilter ref="A1:AJ190"/>
  <conditionalFormatting sqref="C2:C190">
    <cfRule type="cellIs" priority="2" operator="equal" aboveAverage="0" equalAverage="0" bottom="0" percent="0" rank="0" text="" dxfId="14">
      <formula>5</formula>
    </cfRule>
    <cfRule type="cellIs" priority="3" operator="equal" aboveAverage="0" equalAverage="0" bottom="0" percent="0" rank="0" text="" dxfId="15">
      <formula>4</formula>
    </cfRule>
    <cfRule type="cellIs" priority="4" operator="equal" aboveAverage="0" equalAverage="0" bottom="0" percent="0" rank="0" text="" dxfId="16">
      <formula>1</formula>
    </cfRule>
  </conditionalFormatting>
  <conditionalFormatting sqref="AH2:AH190">
    <cfRule type="expression" priority="5" aboveAverage="0" equalAverage="0" bottom="0" percent="0" rank="0" text="" dxfId="17">
      <formula>AND(AH2&lt;&gt;"",AH2&lt;=TODAY(),OR(AC2="Contacted",AC2="Follow-up sent"))</formula>
    </cfRule>
  </conditionalFormatting>
  <conditionalFormatting sqref="X2:X190">
    <cfRule type="expression" priority="6" aboveAverage="0" equalAverage="0" bottom="0" percent="0" rank="0" text="" dxfId="18">
      <formula>OR(ISNUMBER(SEARCH("RED FLAG",X2)),ISNUMBER(SEARCH("NOT SUITABLE",W2)))</formula>
    </cfRule>
  </conditionalFormatting>
  <conditionalFormatting sqref="S2:S190">
    <cfRule type="expression" priority="7" aboveAverage="0" equalAverage="0" bottom="0" percent="0" rank="0" text="" dxfId="19">
      <formula>ISNUMBER(SEARCH("Yes",S2))</formula>
    </cfRule>
    <cfRule type="expression" priority="8" aboveAverage="0" equalAverage="0" bottom="0" percent="0" rank="0" text="" dxfId="20">
      <formula>ISNUMBER(SEARCH("estrict",S2))</formula>
    </cfRule>
  </conditionalFormatting>
  <dataValidations count="4">
    <dataValidation allowBlank="true" errorStyle="stop" operator="between" showDropDown="false" showErrorMessage="false" showInputMessage="false" sqref="AC2:AC190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E2:AE190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I2:AI190" type="list">
      <formula1>"Yes,No,Pending"</formula1>
      <formula2>0</formula2>
    </dataValidation>
    <dataValidation allowBlank="true" errorStyle="stop" operator="greaterThan" showDropDown="false" showErrorMessage="false" showInputMessage="false" sqref="AD2:AD190" type="date">
      <formula1>DATE(2020,1,1)</formula1>
      <formula2>0</formula2>
    </dataValidation>
  </dataValidations>
  <hyperlinks>
    <hyperlink ref="F2" r:id="rId1" display="https://www.flamingo.be/en/for-companies"/>
    <hyperlink ref="Z2" r:id="rId2" display="Source link"/>
    <hyperlink ref="AA2" r:id="rId3" display="Search LinkedIn"/>
    <hyperlink ref="F3" r:id="rId4" display="https://www.baekhobeauty.com"/>
    <hyperlink ref="Z3" r:id="rId5" display="Source link"/>
    <hyperlink ref="AA3" r:id="rId6" display="Search LinkedIn"/>
    <hyperlink ref="F4" r:id="rId7" display="https://www.beautylux.be"/>
    <hyperlink ref="Z4" r:id="rId8" display="Source link"/>
    <hyperlink ref="AA4" r:id="rId9" display="Search LinkedIn"/>
    <hyperlink ref="F5" r:id="rId10" display="https://galico.be"/>
    <hyperlink ref="Z5" r:id="rId11" display="Source link"/>
    <hyperlink ref="AA5" r:id="rId12" display="Search LinkedIn"/>
    <hyperlink ref="Z6" r:id="rId13" display="Source link"/>
    <hyperlink ref="AA6" r:id="rId14" display="Search LinkedIn"/>
    <hyperlink ref="F7" r:id="rId15" display="https://www.eurocosmetic.be"/>
    <hyperlink ref="Z7" r:id="rId16" display="Source link"/>
    <hyperlink ref="AA7" r:id="rId17" display="Search LinkedIn"/>
    <hyperlink ref="F8" r:id="rId18" display="https://bulmedica.bg/en/main/iventas-2/"/>
    <hyperlink ref="Z8" r:id="rId19" display="Source link"/>
    <hyperlink ref="AA8" r:id="rId20" display="Search LinkedIn"/>
    <hyperlink ref="F9" r:id="rId21" display="https://www.bjutip.com"/>
    <hyperlink ref="Z9" r:id="rId22" display="Source link"/>
    <hyperlink ref="AA9" r:id="rId23" display="Search LinkedIn"/>
    <hyperlink ref="F10" r:id="rId24" display="http://www.tommicz.eu"/>
    <hyperlink ref="Z10" r:id="rId25" display="Source link"/>
    <hyperlink ref="AA10" r:id="rId26" display="Search LinkedIn"/>
    <hyperlink ref="F11" r:id="rId27" display="https://samohyl.cz/?lang=en"/>
    <hyperlink ref="Z11" r:id="rId28" display="Source link"/>
    <hyperlink ref="AA11" r:id="rId29" display="Search LinkedIn"/>
    <hyperlink ref="Z12" r:id="rId30" display="Source link"/>
    <hyperlink ref="AA12" r:id="rId31" display="Search LinkedIn"/>
    <hyperlink ref="Z13" r:id="rId32" display="Source link"/>
    <hyperlink ref="AA13" r:id="rId33" display="Search LinkedIn"/>
    <hyperlink ref="F14" r:id="rId34" display="https://en.zolux.com"/>
    <hyperlink ref="Z14" r:id="rId35" display="Source link"/>
    <hyperlink ref="AA14" r:id="rId36" display="Search LinkedIn"/>
    <hyperlink ref="F15" r:id="rId37" display="https://exaclair.com/about_exaclair.php"/>
    <hyperlink ref="Z15" r:id="rId38" display="Source link"/>
    <hyperlink ref="AA15" r:id="rId39" display="Search LinkedIn"/>
    <hyperlink ref="Z16" r:id="rId40" display="Source link"/>
    <hyperlink ref="AA16" r:id="rId41" display="Search LinkedIn"/>
    <hyperlink ref="F17" r:id="rId42" display="https://www.ankorstore.com"/>
    <hyperlink ref="Z17" r:id="rId43" display="Source link"/>
    <hyperlink ref="AA17" r:id="rId44" display="Search LinkedIn"/>
    <hyperlink ref="F18" r:id="rId45" display="https://www.stocklear.com"/>
    <hyperlink ref="Z18" r:id="rId46" display="Source link"/>
    <hyperlink ref="AA18" r:id="rId47" display="Search LinkedIn"/>
    <hyperlink ref="F19" r:id="rId48" display="https://www.cspcosmetics.com"/>
    <hyperlink ref="Z19" r:id="rId49" display="Source link"/>
    <hyperlink ref="AA19" r:id="rId50" display="Search LinkedIn"/>
    <hyperlink ref="F20" r:id="rId51" display="https://www.trixie.de"/>
    <hyperlink ref="Z20" r:id="rId52" display="Source link"/>
    <hyperlink ref="AA20" r:id="rId53" display="Search LinkedIn"/>
    <hyperlink ref="F21" r:id="rId54" display="https://www.cosnova.com"/>
    <hyperlink ref="Z21" r:id="rId55" display="Source link"/>
    <hyperlink ref="AA21" r:id="rId56" display="Search LinkedIn"/>
    <hyperlink ref="F22" r:id="rId57" display="https://www.kwb.eu"/>
    <hyperlink ref="Z22" r:id="rId58" display="Source link"/>
    <hyperlink ref="AA22" r:id="rId59" display="Search LinkedIn"/>
    <hyperlink ref="F23" r:id="rId60" display="https://www.beurer.com/uk/facts/"/>
    <hyperlink ref="Z23" r:id="rId61" display="Source link"/>
    <hyperlink ref="AA23" r:id="rId62" display="Search LinkedIn"/>
    <hyperlink ref="F24" r:id="rId63" display="https://www.westmark.de"/>
    <hyperlink ref="Z24" r:id="rId64" display="Source link"/>
    <hyperlink ref="AA24" r:id="rId65" display="Search LinkedIn"/>
    <hyperlink ref="F25" r:id="rId66" display="https://www.kerbl.com"/>
    <hyperlink ref="Z25" r:id="rId67" display="Source link"/>
    <hyperlink ref="AA25" r:id="rId68" display="Search LinkedIn"/>
    <hyperlink ref="F26" r:id="rId69" display="https://www.hunter.de"/>
    <hyperlink ref="Z26" r:id="rId70" display="Source link"/>
    <hyperlink ref="AA26" r:id="rId71" display="Search LinkedIn"/>
    <hyperlink ref="F27" r:id="rId72" display="https://www.nobby.de"/>
    <hyperlink ref="Z27" r:id="rId73" display="Source link"/>
    <hyperlink ref="AA27" r:id="rId74" display="Search LinkedIn"/>
    <hyperlink ref="F28" r:id="rId75" display="https://sportimport.de"/>
    <hyperlink ref="Z28" r:id="rId76" display="Source link"/>
    <hyperlink ref="AA28" r:id="rId77" display="Search LinkedIn"/>
    <hyperlink ref="F29" r:id="rId78" display="https://depesche.com"/>
    <hyperlink ref="Z29" r:id="rId79" display="Source link"/>
    <hyperlink ref="AA29" r:id="rId80" display="Search LinkedIn"/>
    <hyperlink ref="F30" r:id="rId81" display="https://www.goki.eu"/>
    <hyperlink ref="Z30" r:id="rId82" display="Source link"/>
    <hyperlink ref="AA30" r:id="rId83" display="Search LinkedIn"/>
    <hyperlink ref="F31" r:id="rId84" display="https://www.vedes-gruppe.de"/>
    <hyperlink ref="Z31" r:id="rId85" display="Source link"/>
    <hyperlink ref="AA31" r:id="rId86" display="Search LinkedIn"/>
    <hyperlink ref="F32" r:id="rId87" display="https://b2b.small-foot.de/en/"/>
    <hyperlink ref="Z32" r:id="rId88" display="Source link"/>
    <hyperlink ref="AA32" r:id="rId89" display="Search LinkedIn"/>
    <hyperlink ref="F33" r:id="rId90" display="https://www.zentrada.eu"/>
    <hyperlink ref="Z33" r:id="rId91" display="Source link"/>
    <hyperlink ref="AA33" r:id="rId92" display="Search LinkedIn"/>
    <hyperlink ref="F34" r:id="rId93" display="https://www.2e-vertrieb.de"/>
    <hyperlink ref="Z34" r:id="rId94" display="Source link"/>
    <hyperlink ref="AA34" r:id="rId95" display="Search LinkedIn"/>
    <hyperlink ref="F35" r:id="rId96" display="https://www.mambaby.com"/>
    <hyperlink ref="Z35" r:id="rId97" display="Source link"/>
    <hyperlink ref="AA35" r:id="rId98" display="Search LinkedIn"/>
    <hyperlink ref="F36" r:id="rId99" display="https://www.reer.de"/>
    <hyperlink ref="Z36" r:id="rId100" display="Source link"/>
    <hyperlink ref="AA36" r:id="rId101" display="Search LinkedIn"/>
    <hyperlink ref="F37" r:id="rId102" display="https://www.wolfcraft.com"/>
    <hyperlink ref="Z37" r:id="rId103" display="Source link"/>
    <hyperlink ref="AA37" r:id="rId104" display="Search LinkedIn"/>
    <hyperlink ref="Z38" r:id="rId105" display="Source link"/>
    <hyperlink ref="AA38" r:id="rId106" display="Search LinkedIn"/>
    <hyperlink ref="F39" r:id="rId107" display="https://www.medisana.de"/>
    <hyperlink ref="Z39" r:id="rId108" display="Source link"/>
    <hyperlink ref="AA39" r:id="rId109" display="Search LinkedIn"/>
    <hyperlink ref="F40" r:id="rId110" display="https://www.leifheit.com"/>
    <hyperlink ref="Z40" r:id="rId111" display="Source link"/>
    <hyperlink ref="AA40" r:id="rId112" display="Search LinkedIn"/>
    <hyperlink ref="F41" r:id="rId113" display="https://www.ifa-berlin.com/exhibitors/wolfsohn"/>
    <hyperlink ref="Z41" r:id="rId114" display="Source link"/>
    <hyperlink ref="AA41" r:id="rId115" display="Search LinkedIn"/>
    <hyperlink ref="F42" r:id="rId116" display="https://www.portapet.de"/>
    <hyperlink ref="Z42" r:id="rId117" display="Source link"/>
    <hyperlink ref="AA42" r:id="rId118" display="Search LinkedIn"/>
    <hyperlink ref="Z43" r:id="rId119" display="Source link"/>
    <hyperlink ref="AA43" r:id="rId120" display="Search LinkedIn"/>
    <hyperlink ref="F44" r:id="rId121" display="https://www.provenexpert.com/acecamp-gmbh/"/>
    <hyperlink ref="Z44" r:id="rId122" display="Source link"/>
    <hyperlink ref="AA44" r:id="rId123" display="Search LinkedIn"/>
    <hyperlink ref="F45" r:id="rId124" display="https://www.hudora.de"/>
    <hyperlink ref="Z45" r:id="rId125" display="Source link"/>
    <hyperlink ref="AA45" r:id="rId126" display="Search LinkedIn"/>
    <hyperlink ref="Z46" r:id="rId127" display="Source link"/>
    <hyperlink ref="AA46" r:id="rId128" display="Search LinkedIn"/>
    <hyperlink ref="Z47" r:id="rId129" display="Source link"/>
    <hyperlink ref="AA47" r:id="rId130" display="Search LinkedIn"/>
    <hyperlink ref="Z48" r:id="rId131" display="Source link"/>
    <hyperlink ref="AA48" r:id="rId132" display="Search LinkedIn"/>
    <hyperlink ref="F49" r:id="rId133" display="https://www.odoo.com/ar/customers/ihtct-gmbh-6263453"/>
    <hyperlink ref="Z49" r:id="rId134" display="Source link"/>
    <hyperlink ref="AA49" r:id="rId135" display="Search LinkedIn"/>
    <hyperlink ref="Z50" r:id="rId136" display="Source link"/>
    <hyperlink ref="AA50" r:id="rId137" display="Search LinkedIn"/>
    <hyperlink ref="F51" r:id="rId138" display="https://www.irishbeauty.ie/Xpert-Professional-expand-Olaplex-distribution.html"/>
    <hyperlink ref="Z51" r:id="rId139" display="Source link"/>
    <hyperlink ref="AA51" r:id="rId140" display="Search LinkedIn"/>
    <hyperlink ref="F52" r:id="rId141" display="https://croci-group.com"/>
    <hyperlink ref="Z52" r:id="rId142" display="Source link"/>
    <hyperlink ref="AA52" r:id="rId143" display="Search LinkedIn"/>
    <hyperlink ref="F53" r:id="rId144" display="https://www.brandsdistribution.com"/>
    <hyperlink ref="Z53" r:id="rId145" display="Source link"/>
    <hyperlink ref="AA53" r:id="rId146" display="Search LinkedIn"/>
    <hyperlink ref="F54" r:id="rId147" display="https://www.profumeriepep.it"/>
    <hyperlink ref="Z54" r:id="rId148" display="Source link"/>
    <hyperlink ref="AA54" r:id="rId149" display="Search LinkedIn"/>
    <hyperlink ref="F55" r:id="rId150" display="https://www.italianmoda.com/italy-FASHION%2DACCESSORIES%5FPerfumes%5FCosmetics"/>
    <hyperlink ref="Z55" r:id="rId151" display="Source link"/>
    <hyperlink ref="AA55" r:id="rId152" display="Search LinkedIn"/>
    <hyperlink ref="Z56" r:id="rId153" display="Source link"/>
    <hyperlink ref="AA56" r:id="rId154" display="Search LinkedIn"/>
    <hyperlink ref="F57" r:id="rId155" display="https://linkedin.com/company/do-ho"/>
    <hyperlink ref="Z57" r:id="rId156" display="Source link"/>
    <hyperlink ref="AA57" r:id="rId157" display="Search LinkedIn"/>
    <hyperlink ref="F58" r:id="rId158" display="https://difrax.com/en/pages/about-us"/>
    <hyperlink ref="Z58" r:id="rId159" display="Source link"/>
    <hyperlink ref="AA58" r:id="rId160" display="Search LinkedIn"/>
    <hyperlink ref="F59" r:id="rId161" display="https://www.westcoastsupplygroup.com"/>
    <hyperlink ref="Z59" r:id="rId162" display="Source link"/>
    <hyperlink ref="AA59" r:id="rId163" display="Search LinkedIn"/>
    <hyperlink ref="F60" r:id="rId164" display="https://www.naskorsports.com"/>
    <hyperlink ref="Z60" r:id="rId165" display="Source link"/>
    <hyperlink ref="AA60" r:id="rId166" display="Search LinkedIn"/>
    <hyperlink ref="F61" r:id="rId167" display="https://parallelbroker.com"/>
    <hyperlink ref="Z61" r:id="rId168" display="Source link"/>
    <hyperlink ref="AA61" r:id="rId169" display="Search LinkedIn"/>
    <hyperlink ref="F62" r:id="rId170" display="https://www.koopmanint.com/en/"/>
    <hyperlink ref="Z62" r:id="rId171" display="Source link"/>
    <hyperlink ref="AA62" r:id="rId172" display="Search LinkedIn"/>
    <hyperlink ref="F63" r:id="rId173" display="https://epngames.com"/>
    <hyperlink ref="Z63" r:id="rId174" display="Source link"/>
    <hyperlink ref="AA63" r:id="rId175" display="Search LinkedIn"/>
    <hyperlink ref="F64" r:id="rId176" display="https://www.beautetrade.com/suppliers/ah-beauty-bv-107939/"/>
    <hyperlink ref="Z64" r:id="rId177" display="Source link"/>
    <hyperlink ref="AA64" r:id="rId178" display="Search LinkedIn"/>
    <hyperlink ref="F65" r:id="rId179" display="https://beautinow.com/wholesale-perfume-supplier-europe/"/>
    <hyperlink ref="Z65" r:id="rId180" display="Source link"/>
    <hyperlink ref="AA65" r:id="rId181" display="Search LinkedIn"/>
    <hyperlink ref="F66" r:id="rId182" display="https://www.brabantia.com/uk/offices"/>
    <hyperlink ref="Z66" r:id="rId183" display="Source link"/>
    <hyperlink ref="AA66" r:id="rId184" display="Search LinkedIn"/>
    <hyperlink ref="F67" r:id="rId185" display="https://www.vidaxl.com"/>
    <hyperlink ref="Z67" r:id="rId186" display="Source link"/>
    <hyperlink ref="AA67" r:id="rId187" display="Search LinkedIn"/>
    <hyperlink ref="F68" r:id="rId188" display="https://www.beeztees.nl"/>
    <hyperlink ref="Z68" r:id="rId189" display="Source link"/>
    <hyperlink ref="AA68" r:id="rId190" display="Search LinkedIn"/>
    <hyperlink ref="F69" r:id="rId191" display="https://www.vandermeerrotterdam.nl"/>
    <hyperlink ref="Z69" r:id="rId192" display="Source link"/>
    <hyperlink ref="AA69" r:id="rId193" display="Search LinkedIn"/>
    <hyperlink ref="F70" r:id="rId194" display="https://www.decathlon.nl/mp/seller/nrg-fitness-bv/14f44405-4091-46fe-a1eb-7c464a2aad45"/>
    <hyperlink ref="Z70" r:id="rId195" display="Source link"/>
    <hyperlink ref="AA70" r:id="rId196" display="Search LinkedIn"/>
    <hyperlink ref="F71" r:id="rId197" display="https://www.also.com/ec/cms5/en_2420/2420/index.jsp"/>
    <hyperlink ref="Z71" r:id="rId198" display="Source link"/>
    <hyperlink ref="AA71" r:id="rId199" display="Search LinkedIn"/>
    <hyperlink ref="F72" r:id="rId200" display="https://wisepim.com/suppliers/complies"/>
    <hyperlink ref="Z72" r:id="rId201" display="Source link"/>
    <hyperlink ref="AA72" r:id="rId202" display="Search LinkedIn"/>
    <hyperlink ref="F73" r:id="rId203" display="https://www.spectrontoys.com"/>
    <hyperlink ref="Z73" r:id="rId204" display="Source link"/>
    <hyperlink ref="AA73" r:id="rId205" display="Search LinkedIn"/>
    <hyperlink ref="Z74" r:id="rId206" display="Source link"/>
    <hyperlink ref="AA74" r:id="rId207" display="Search LinkedIn"/>
    <hyperlink ref="F75" r:id="rId208" display="https://www.groothandelbeauty.nl"/>
    <hyperlink ref="Z75" r:id="rId209" display="Source link"/>
    <hyperlink ref="AA75" r:id="rId210" display="Search LinkedIn"/>
    <hyperlink ref="Z76" r:id="rId211" display="Source link"/>
    <hyperlink ref="AA76" r:id="rId212" display="Search LinkedIn"/>
    <hyperlink ref="F77" r:id="rId213" display="https://elegancewholesale.co.nl"/>
    <hyperlink ref="Z77" r:id="rId214" display="Source link"/>
    <hyperlink ref="AA77" r:id="rId215" display="Search LinkedIn"/>
    <hyperlink ref="F78" r:id="rId216" display="https://www.makro.nl"/>
    <hyperlink ref="Z78" r:id="rId217" display="Source link"/>
    <hyperlink ref="AA78" r:id="rId218" display="Search LinkedIn"/>
    <hyperlink ref="F79" r:id="rId219" display="https://www.topbrands.nl"/>
    <hyperlink ref="Z79" r:id="rId220" display="Source link"/>
    <hyperlink ref="AA79" r:id="rId221" display="Search LinkedIn"/>
    <hyperlink ref="F80" r:id="rId222" display="https://www.cosmeticapartijen.nl"/>
    <hyperlink ref="Z80" r:id="rId223" display="Source link"/>
    <hyperlink ref="AA80" r:id="rId224" display="Search LinkedIn"/>
    <hyperlink ref="F81" r:id="rId225" display="https://w-pharma-europe3.odoo.com"/>
    <hyperlink ref="Z81" r:id="rId226" display="Source link"/>
    <hyperlink ref="AA81" r:id="rId227" display="Search LinkedIn"/>
    <hyperlink ref="F82" r:id="rId228" display="https://www.papillonpetproducts.com"/>
    <hyperlink ref="Z82" r:id="rId229" display="Source link"/>
    <hyperlink ref="AA82" r:id="rId230" display="Search LinkedIn"/>
    <hyperlink ref="F83" r:id="rId231" display="https://iaapa.org/partners/marketplace/bellus-toys-bv"/>
    <hyperlink ref="Z83" r:id="rId232" display="Source link"/>
    <hyperlink ref="AA83" r:id="rId233" display="Search LinkedIn"/>
    <hyperlink ref="F84" r:id="rId234" display="https://www.channeldistribution.nl"/>
    <hyperlink ref="Z84" r:id="rId235" display="Source link"/>
    <hyperlink ref="AA84" r:id="rId236" display="Search LinkedIn"/>
    <hyperlink ref="F85" r:id="rId237" display="https://www.beautetrade.com/products/global-wholesale-distributor-of-cosmetics-skincare-fragrances/75837"/>
    <hyperlink ref="Z85" r:id="rId238" display="Source link"/>
    <hyperlink ref="AA85" r:id="rId239" display="Search LinkedIn"/>
    <hyperlink ref="F86" r:id="rId240" display="https://www.beautetrade.com/suppliers/europe-pharma-group-bv-83659/"/>
    <hyperlink ref="Z86" r:id="rId241" display="Source link"/>
    <hyperlink ref="AA86" r:id="rId242" display="Search LinkedIn"/>
    <hyperlink ref="F87" r:id="rId243" display="https://canpolbabies.com/gb_EN/about-us"/>
    <hyperlink ref="Z87" r:id="rId244" display="Source link"/>
    <hyperlink ref="AA87" r:id="rId245" display="Search LinkedIn"/>
    <hyperlink ref="F88" r:id="rId246" display="https://www.eveline.com.pl"/>
    <hyperlink ref="Z88" r:id="rId247" display="Source link"/>
    <hyperlink ref="AA88" r:id="rId248" display="Search LinkedIn"/>
    <hyperlink ref="F89" r:id="rId249" display="https://www.gtx-group.com/en/about-the-company/"/>
    <hyperlink ref="Z89" r:id="rId250" display="Source link"/>
    <hyperlink ref="AA89" r:id="rId251" display="Search LinkedIn"/>
    <hyperlink ref="Z90" r:id="rId252" display="Source link"/>
    <hyperlink ref="AA90" r:id="rId253" display="Search LinkedIn"/>
    <hyperlink ref="Z91" r:id="rId254" display="Source link"/>
    <hyperlink ref="AA91" r:id="rId255" display="Search LinkedIn"/>
    <hyperlink ref="Z92" r:id="rId256" display="Source link"/>
    <hyperlink ref="AA92" r:id="rId257" display="Search LinkedIn"/>
    <hyperlink ref="F93" r:id="rId258" display="https://www.ziaja.com"/>
    <hyperlink ref="Z93" r:id="rId259" display="Source link"/>
    <hyperlink ref="AA93" r:id="rId260" display="Search LinkedIn"/>
    <hyperlink ref="F94" r:id="rId261" display="https://www.dedra.pl"/>
    <hyperlink ref="Z94" r:id="rId262" display="Source link"/>
    <hyperlink ref="AA94" r:id="rId263" display="Search LinkedIn"/>
    <hyperlink ref="F95" r:id="rId264" display="https://logo-tools.pl"/>
    <hyperlink ref="Z95" r:id="rId265" display="Source link"/>
    <hyperlink ref="AA95" r:id="rId266" display="Search LinkedIn"/>
    <hyperlink ref="Z96" r:id="rId267" display="Source link"/>
    <hyperlink ref="AA96" r:id="rId268" display="Search LinkedIn"/>
    <hyperlink ref="Z97" r:id="rId269" display="Source link"/>
    <hyperlink ref="AA97" r:id="rId270" display="Search LinkedIn"/>
    <hyperlink ref="F98" r:id="rId271" display="https://www.trade.gov.pl/en/?p=51061"/>
    <hyperlink ref="Z98" r:id="rId272" display="Source link"/>
    <hyperlink ref="AA98" r:id="rId273" display="Search LinkedIn"/>
    <hyperlink ref="F99" r:id="rId274" display="https://www.decathlon.pl/mp/seller/bacha-sport/4aef1923-5ee8-4c39-8d70-d4fa38144749"/>
    <hyperlink ref="Z99" r:id="rId275" display="Source link"/>
    <hyperlink ref="AA99" r:id="rId276" display="Search LinkedIn"/>
    <hyperlink ref="F100" r:id="rId277" display="https://www.spokey.pl"/>
    <hyperlink ref="Z100" r:id="rId278" display="Source link"/>
    <hyperlink ref="AA100" r:id="rId279" display="Search LinkedIn"/>
    <hyperlink ref="F101" r:id="rId280" display="http://www.interdruk.com.pl"/>
    <hyperlink ref="Z101" r:id="rId281" display="Source link"/>
    <hyperlink ref="AA101" r:id="rId282" display="Search LinkedIn"/>
    <hyperlink ref="F102" r:id="rId283" display="https://tmtoys.pl"/>
    <hyperlink ref="Z102" r:id="rId284" display="Source link"/>
    <hyperlink ref="AA102" r:id="rId285" display="Search LinkedIn"/>
    <hyperlink ref="Z103" r:id="rId286" display="Source link"/>
    <hyperlink ref="AA103" r:id="rId287" display="Search LinkedIn"/>
    <hyperlink ref="Z104" r:id="rId288" display="Source link"/>
    <hyperlink ref="AA104" r:id="rId289" display="Search LinkedIn"/>
    <hyperlink ref="Z105" r:id="rId290" display="Source link"/>
    <hyperlink ref="AA105" r:id="rId291" display="Search LinkedIn"/>
    <hyperlink ref="F106" r:id="rId292" display="https://hurtowniakarm.pl"/>
    <hyperlink ref="Z106" r:id="rId293" display="Source link"/>
    <hyperlink ref="AA106" r:id="rId294" display="Search LinkedIn"/>
    <hyperlink ref="F107" r:id="rId295" display="https://e-hurtowniasportowa.pl"/>
    <hyperlink ref="Z107" r:id="rId296" display="Source link"/>
    <hyperlink ref="AA107" r:id="rId297" display="Search LinkedIn"/>
    <hyperlink ref="F108" r:id="rId298" display="https://extrabiuro.pl"/>
    <hyperlink ref="Z108" r:id="rId299" display="Source link"/>
    <hyperlink ref="AA108" r:id="rId300" display="Search LinkedIn"/>
    <hyperlink ref="F109" r:id="rId301" display="https://ikonka.pl"/>
    <hyperlink ref="Z109" r:id="rId302" display="Source link"/>
    <hyperlink ref="AA109" r:id="rId303" display="Search LinkedIn"/>
    <hyperlink ref="F110" r:id="rId304" display="https://merkandi.com"/>
    <hyperlink ref="Z110" r:id="rId305" display="Source link"/>
    <hyperlink ref="AA110" r:id="rId306" display="Search LinkedIn"/>
    <hyperlink ref="F111" r:id="rId307" display="http://www.dromader.com.pl"/>
    <hyperlink ref="Z111" r:id="rId308" display="Source link"/>
    <hyperlink ref="AA111" r:id="rId309" display="Search LinkedIn"/>
    <hyperlink ref="F112" r:id="rId310" display="https://qudobeauty.com"/>
    <hyperlink ref="Z112" r:id="rId311" display="Source link"/>
    <hyperlink ref="AA112" r:id="rId312" display="Search LinkedIn"/>
    <hyperlink ref="F113" r:id="rId313" display="https://www.bigbuy.eu"/>
    <hyperlink ref="Z113" r:id="rId314" display="Source link"/>
    <hyperlink ref="AA113" r:id="rId315" display="Search LinkedIn"/>
    <hyperlink ref="F114" r:id="rId316" display="https://www.manomano.es/vendedor-2206963"/>
    <hyperlink ref="Z114" r:id="rId317" display="Source link"/>
    <hyperlink ref="AA114" r:id="rId318" display="Search LinkedIn"/>
    <hyperlink ref="F115" r:id="rId319" display="https://www.orientfragance.com"/>
    <hyperlink ref="Z115" r:id="rId320" display="Source link"/>
    <hyperlink ref="AA115" r:id="rId321" display="Search LinkedIn"/>
    <hyperlink ref="F116" r:id="rId322" display="https://www.arquivet.com"/>
    <hyperlink ref="Z116" r:id="rId323" display="Source link"/>
    <hyperlink ref="AA116" r:id="rId324" display="Search LinkedIn"/>
    <hyperlink ref="F117" r:id="rId325" display="https://www.cspapeleria.com"/>
    <hyperlink ref="Z117" r:id="rId326" display="Source link"/>
    <hyperlink ref="AA117" r:id="rId327" display="Search LinkedIn"/>
    <hyperlink ref="Z118" r:id="rId328" display="Source link"/>
    <hyperlink ref="AA118" r:id="rId329" display="Search LinkedIn"/>
    <hyperlink ref="Z119" r:id="rId330" display="Source link"/>
    <hyperlink ref="AA119" r:id="rId331" display="Search LinkedIn"/>
    <hyperlink ref="F120" r:id="rId332" display="https://www.bizak.es"/>
    <hyperlink ref="Z120" r:id="rId333" display="Source link"/>
    <hyperlink ref="AA120" r:id="rId334" display="Search LinkedIn"/>
    <hyperlink ref="Z121" r:id="rId335" display="Source link"/>
    <hyperlink ref="AA121" r:id="rId336" display="Search LinkedIn"/>
    <hyperlink ref="Z122" r:id="rId337" display="Source link"/>
    <hyperlink ref="AA122" r:id="rId338" display="Search LinkedIn"/>
    <hyperlink ref="F123" r:id="rId339" display="https://www.qogita.com"/>
    <hyperlink ref="Z123" r:id="rId340" display="Source link"/>
    <hyperlink ref="AA123" r:id="rId341" display="Search LinkedIn"/>
    <hyperlink ref="F124" r:id="rId342" display="https://www.babybase.co.uk"/>
    <hyperlink ref="Z124" r:id="rId343" display="Source link"/>
    <hyperlink ref="AA124" r:id="rId344" display="Search LinkedIn"/>
    <hyperlink ref="F125" r:id="rId345" display="https://www.toolbank.com"/>
    <hyperlink ref="Z125" r:id="rId346" display="Source link"/>
    <hyperlink ref="AA125" r:id="rId347" display="Search LinkedIn"/>
    <hyperlink ref="F126" r:id="rId348" display="https://www.knights-fragrances.co.uk"/>
    <hyperlink ref="Z126" r:id="rId349" display="Source link"/>
    <hyperlink ref="AA126" r:id="rId350" display="Search LinkedIn"/>
    <hyperlink ref="F127" r:id="rId351" display="https://www.starperfumes.com"/>
    <hyperlink ref="Z127" r:id="rId352" display="Source link"/>
    <hyperlink ref="AA127" r:id="rId353" display="Search LinkedIn"/>
    <hyperlink ref="F128" r:id="rId354" display="https://www.harrisonsdirect.co.uk"/>
    <hyperlink ref="Z128" r:id="rId355" display="Source link"/>
    <hyperlink ref="AA128" r:id="rId356" display="Search LinkedIn"/>
    <hyperlink ref="F129" r:id="rId357" display="https://www.rkwltd.com"/>
    <hyperlink ref="Z129" r:id="rId358" display="Source link"/>
    <hyperlink ref="AA129" r:id="rId359" display="Search LinkedIn"/>
    <hyperlink ref="F130" r:id="rId360" display="https://www.abgee.co.uk"/>
    <hyperlink ref="Z130" r:id="rId361" display="Source link"/>
    <hyperlink ref="AA130" r:id="rId362" display="Search LinkedIn"/>
    <hyperlink ref="F131" r:id="rId363" display="https://www.nda-toys.com"/>
    <hyperlink ref="Z131" r:id="rId364" display="Source link"/>
    <hyperlink ref="AA131" r:id="rId365" display="Search LinkedIn"/>
    <hyperlink ref="F132" r:id="rId366" display="https://www.wind-designs.com"/>
    <hyperlink ref="Z132" r:id="rId367" display="Source link"/>
    <hyperlink ref="AA132" r:id="rId368" display="Search LinkedIn"/>
    <hyperlink ref="F133" r:id="rId369" display="https://www.drapertools.com"/>
    <hyperlink ref="Z133" r:id="rId370" display="Source link"/>
    <hyperlink ref="AA133" r:id="rId371" display="Search LinkedIn"/>
    <hyperlink ref="F134" r:id="rId372" display="https://www.affinityfragrances.com"/>
    <hyperlink ref="Z134" r:id="rId373" display="Source link"/>
    <hyperlink ref="AA134" r:id="rId374" display="Search LinkedIn"/>
    <hyperlink ref="F135" r:id="rId375" display="https://www.shaneel.com/shaneel-enterprises"/>
    <hyperlink ref="Z135" r:id="rId376" display="Source link"/>
    <hyperlink ref="AA135" r:id="rId377" display="Search LinkedIn"/>
    <hyperlink ref="F136" r:id="rId378" display="https://www.booker.co.uk"/>
    <hyperlink ref="Z136" r:id="rId379" display="Source link"/>
    <hyperlink ref="AA136" r:id="rId380" display="Search LinkedIn"/>
    <hyperlink ref="F137" r:id="rId381" display="https://www.proteinbargainwholesale.co.uk"/>
    <hyperlink ref="Z137" r:id="rId382" display="Source link"/>
    <hyperlink ref="AA137" r:id="rId383" display="Search LinkedIn"/>
    <hyperlink ref="F138" r:id="rId384" display="https://www.reliancemedical.co.uk"/>
    <hyperlink ref="Z138" r:id="rId385" display="Source link"/>
    <hyperlink ref="AA138" r:id="rId386" display="Search LinkedIn"/>
    <hyperlink ref="F139" r:id="rId387" display="https://www.epeinternational.com"/>
    <hyperlink ref="Z139" r:id="rId388" display="Source link"/>
    <hyperlink ref="AA139" r:id="rId389" display="Search LinkedIn"/>
    <hyperlink ref="F140" r:id="rId390" display="https://www.petproducts.co.uk"/>
    <hyperlink ref="Z140" r:id="rId391" display="Source link"/>
    <hyperlink ref="AA140" r:id="rId392" display="Search LinkedIn"/>
    <hyperlink ref="F141" r:id="rId393" display="https://www.gymkituk.com"/>
    <hyperlink ref="Z141" r:id="rId394" display="Source link"/>
    <hyperlink ref="AA141" r:id="rId395" display="Search LinkedIn"/>
    <hyperlink ref="F142" r:id="rId396" display="https://supplier-directory.betterretailing.com/suppliers/galaxy-wholesalers/"/>
    <hyperlink ref="Z142" r:id="rId397" display="Source link"/>
    <hyperlink ref="AA142" r:id="rId398" display="Search LinkedIn"/>
    <hyperlink ref="Z143" r:id="rId399" display="Source link"/>
    <hyperlink ref="AA143" r:id="rId400" display="Search LinkedIn"/>
    <hyperlink ref="F144" r:id="rId401" display="https://www.johnadams.co.uk"/>
    <hyperlink ref="Z144" r:id="rId402" display="Source link"/>
    <hyperlink ref="AA144" r:id="rId403" display="Search LinkedIn"/>
    <hyperlink ref="Z145" r:id="rId404" display="Source link"/>
    <hyperlink ref="AA145" r:id="rId405" display="Search LinkedIn"/>
    <hyperlink ref="F146" r:id="rId406" display="https://www.peterkin.co.uk"/>
    <hyperlink ref="Z146" r:id="rId407" display="Source link"/>
    <hyperlink ref="AA146" r:id="rId408" display="Search LinkedIn"/>
    <hyperlink ref="F147" r:id="rId409" display="https://www.babybrandsdirect.co.uk"/>
    <hyperlink ref="Z147" r:id="rId410" display="Source link"/>
    <hyperlink ref="AA147" r:id="rId411" display="Search LinkedIn"/>
    <hyperlink ref="F148" r:id="rId412" display="https://www.wholesalebabyproducts.co.uk"/>
    <hyperlink ref="Z148" r:id="rId413" display="Source link"/>
    <hyperlink ref="AA148" r:id="rId414" display="Search LinkedIn"/>
    <hyperlink ref="F149" r:id="rId415" display="https://bosch-pt.com/uk_bssdealer/uk/en/start/bss_acct/dealers_list/campbell_miller.htm"/>
    <hyperlink ref="Z149" r:id="rId416" display="Source link"/>
    <hyperlink ref="AA149" r:id="rId417" display="Search LinkedIn"/>
    <hyperlink ref="F150" r:id="rId418" display="https://www.ebay.com/str/toolstek"/>
    <hyperlink ref="Z150" r:id="rId419" display="Source link"/>
    <hyperlink ref="AA150" r:id="rId420" display="Search LinkedIn"/>
    <hyperlink ref="F151" r:id="rId421" display="https://www.agencedeparfumerie.co.uk"/>
    <hyperlink ref="Z151" r:id="rId422" display="Source link"/>
    <hyperlink ref="AA151" r:id="rId423" display="Search LinkedIn"/>
    <hyperlink ref="F152" r:id="rId424" display="https://www.bestwaywholesale.co.uk"/>
    <hyperlink ref="Z152" r:id="rId425" display="Source link"/>
    <hyperlink ref="AA152" r:id="rId426" display="Search LinkedIn"/>
    <hyperlink ref="F153" r:id="rId427" display="https://www.costco.co.uk"/>
    <hyperlink ref="Z153" r:id="rId428" display="Source link"/>
    <hyperlink ref="AA153" r:id="rId429" display="Search LinkedIn"/>
    <hyperlink ref="F154" r:id="rId430" display="https://www.dkwholesale.com"/>
    <hyperlink ref="Z154" r:id="rId431" display="Source link"/>
    <hyperlink ref="AA154" r:id="rId432" display="Search LinkedIn"/>
    <hyperlink ref="F155" r:id="rId433" display="https://www.dhamecha.com"/>
    <hyperlink ref="Z155" r:id="rId434" display="Source link"/>
    <hyperlink ref="AA155" r:id="rId435" display="Search LinkedIn"/>
    <hyperlink ref="F156" r:id="rId436" display="https://www.hancocks.co.uk"/>
    <hyperlink ref="Z156" r:id="rId437" display="Source link"/>
    <hyperlink ref="AA156" r:id="rId438" display="Search LinkedIn"/>
    <hyperlink ref="F157" r:id="rId439" display="https://www.parfetts.co.uk"/>
    <hyperlink ref="Z157" r:id="rId440" display="Source link"/>
    <hyperlink ref="AA157" r:id="rId441" display="Search LinkedIn"/>
    <hyperlink ref="F158" r:id="rId442" display="https://www.clfdistribution.com"/>
    <hyperlink ref="Z158" r:id="rId443" display="Source link"/>
    <hyperlink ref="AA158" r:id="rId444" display="Search LinkedIn"/>
    <hyperlink ref="Z159" r:id="rId445" display="Source link"/>
    <hyperlink ref="AA159" r:id="rId446" display="Search LinkedIn"/>
    <hyperlink ref="F160" r:id="rId447" display="https://www.predatornutrition.com"/>
    <hyperlink ref="Z160" r:id="rId448" display="Source link"/>
    <hyperlink ref="AA160" r:id="rId449" display="Search LinkedIn"/>
    <hyperlink ref="Z161" r:id="rId450" display="Source link"/>
    <hyperlink ref="AA161" r:id="rId451" display="Search LinkedIn"/>
    <hyperlink ref="Z162" r:id="rId452" display="Source link"/>
    <hyperlink ref="AA162" r:id="rId453" display="Search LinkedIn"/>
    <hyperlink ref="F163" r:id="rId454" display="https://www.connect-distribution.co.uk"/>
    <hyperlink ref="Z163" r:id="rId455" display="Source link"/>
    <hyperlink ref="AA163" r:id="rId456" display="Search LinkedIn"/>
    <hyperlink ref="F164" r:id="rId457" display="https://hauswares.co.uk"/>
    <hyperlink ref="Z164" r:id="rId458" display="Source link"/>
    <hyperlink ref="AA164" r:id="rId459" display="Search LinkedIn"/>
    <hyperlink ref="F165" r:id="rId460" display="https://www.great.gov.uk/international/buy-from-the-uk/find-a-supplier/supplier/07179010"/>
    <hyperlink ref="Z165" r:id="rId461" display="Source link"/>
    <hyperlink ref="AA165" r:id="rId462" display="Search LinkedIn"/>
    <hyperlink ref="Z166" r:id="rId463" display="Source link"/>
    <hyperlink ref="AA166" r:id="rId464" display="Search LinkedIn"/>
    <hyperlink ref="F167" r:id="rId465" display="https://www.pawsproducts.com"/>
    <hyperlink ref="Z167" r:id="rId466" display="Source link"/>
    <hyperlink ref="AA167" r:id="rId467" display="Search LinkedIn"/>
    <hyperlink ref="F168" r:id="rId468" display="https://hykew-hykehamwholesale.dc02.gob2b.com"/>
    <hyperlink ref="Z168" r:id="rId469" display="Source link"/>
    <hyperlink ref="AA168" r:id="rId470" display="Search LinkedIn"/>
    <hyperlink ref="F169" r:id="rId471" display="https://www.vango.co.uk"/>
    <hyperlink ref="Z169" r:id="rId472" display="Source link"/>
    <hyperlink ref="AA169" r:id="rId473" display="Search LinkedIn"/>
    <hyperlink ref="F170" r:id="rId474" display="https://supplier-directory.betterretailing.com/?p=1293"/>
    <hyperlink ref="Z170" r:id="rId475" display="Source link"/>
    <hyperlink ref="AA170" r:id="rId476" display="Search LinkedIn"/>
    <hyperlink ref="Z171" r:id="rId477" display="Source link"/>
    <hyperlink ref="AA171" r:id="rId478" display="Search LinkedIn"/>
    <hyperlink ref="F172" r:id="rId479" display="https://www.character-online.com"/>
    <hyperlink ref="Z172" r:id="rId480" display="Source link"/>
    <hyperlink ref="AA172" r:id="rId481" display="Search LinkedIn"/>
    <hyperlink ref="F173" r:id="rId482" display="https://gb.keycraftglobal.com"/>
    <hyperlink ref="Z173" r:id="rId483" display="Source link"/>
    <hyperlink ref="AA173" r:id="rId484" display="Search LinkedIn"/>
    <hyperlink ref="F174" r:id="rId485" display="https://www.puckator.co.uk"/>
    <hyperlink ref="Z174" r:id="rId486" display="Source link"/>
    <hyperlink ref="AA174" r:id="rId487" display="Search LinkedIn"/>
    <hyperlink ref="F175" r:id="rId488" display="https://www.astonandfincher.co.uk"/>
    <hyperlink ref="Z175" r:id="rId489" display="Source link"/>
    <hyperlink ref="AA175" r:id="rId490" display="Search LinkedIn"/>
    <hyperlink ref="F176" r:id="rId491" display="https://www.capitalhairandbeauty.co.uk"/>
    <hyperlink ref="Z176" r:id="rId492" display="Source link"/>
    <hyperlink ref="AA176" r:id="rId493" display="Search LinkedIn"/>
    <hyperlink ref="F177" r:id="rId494" display="https://www.cherrycosmetics.co.uk"/>
    <hyperlink ref="Z177" r:id="rId495" display="Source link"/>
    <hyperlink ref="AA177" r:id="rId496" display="Search LinkedIn"/>
    <hyperlink ref="F178" r:id="rId497" display="https://www.exquisitecosmetics.co.uk"/>
    <hyperlink ref="Z178" r:id="rId498" display="Source link"/>
    <hyperlink ref="AA178" r:id="rId499" display="Search LinkedIn"/>
    <hyperlink ref="F179" r:id="rId500" display="https://www.lookinstyle.co.uk"/>
    <hyperlink ref="Z179" r:id="rId501" display="Source link"/>
    <hyperlink ref="AA179" r:id="rId502" display="Search LinkedIn"/>
    <hyperlink ref="F180" r:id="rId503" display="https://www.beautetrade.com/suppliers/ludonex-ltd-108314/"/>
    <hyperlink ref="Z180" r:id="rId504" display="Source link"/>
    <hyperlink ref="AA180" r:id="rId505" display="Search LinkedIn"/>
    <hyperlink ref="F181" r:id="rId506" display="https://www.wholesaleclearance.co.uk"/>
    <hyperlink ref="Z181" r:id="rId507" display="Source link"/>
    <hyperlink ref="AA181" r:id="rId508" display="Search LinkedIn"/>
    <hyperlink ref="Z182" r:id="rId509" display="Source link"/>
    <hyperlink ref="AA182" r:id="rId510" display="Search LinkedIn"/>
    <hyperlink ref="F183" r:id="rId511" display="https://b2brazil.com/hotsite/karysrolltd"/>
    <hyperlink ref="Z183" r:id="rId512" display="Source link"/>
    <hyperlink ref="AA183" r:id="rId513" display="Search LinkedIn"/>
    <hyperlink ref="F184" r:id="rId514" display="https://www.kinetic4health.co.uk"/>
    <hyperlink ref="Z184" r:id="rId515" display="Source link"/>
    <hyperlink ref="AA184" r:id="rId516" display="Search LinkedIn"/>
    <hyperlink ref="F185" r:id="rId517" display="https://www.suma.coop"/>
    <hyperlink ref="Z185" r:id="rId518" display="Source link"/>
    <hyperlink ref="AA185" r:id="rId519" display="Search LinkedIn"/>
    <hyperlink ref="F186" r:id="rId520" display="https://www.shure-cosmetics.co.uk"/>
    <hyperlink ref="Z186" r:id="rId521" display="Source link"/>
    <hyperlink ref="AA186" r:id="rId522" display="Search LinkedIn"/>
    <hyperlink ref="Z187" r:id="rId523" display="Source link"/>
    <hyperlink ref="AA187" r:id="rId524" display="Search LinkedIn"/>
    <hyperlink ref="F188" r:id="rId525" display="https://symphonya.eu"/>
    <hyperlink ref="Z188" r:id="rId526" display="Source link"/>
    <hyperlink ref="AA188" r:id="rId527" display="Search LinkedIn"/>
    <hyperlink ref="F189" r:id="rId528" display="https://bstock.com/amazoneu/about/"/>
    <hyperlink ref="Z189" r:id="rId529" display="Source link"/>
    <hyperlink ref="AA189" r:id="rId530" display="Search LinkedIn"/>
    <hyperlink ref="F190" r:id="rId531" display="https://www.faire.com"/>
    <hyperlink ref="Z190" r:id="rId532" display="Source link"/>
    <hyperlink ref="AA190" r:id="rId533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3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65</v>
      </c>
      <c r="B1" s="6" t="s">
        <v>66</v>
      </c>
      <c r="C1" s="6" t="s">
        <v>69</v>
      </c>
      <c r="D1" s="6" t="s">
        <v>68</v>
      </c>
      <c r="E1" s="6" t="s">
        <v>2107</v>
      </c>
      <c r="F1" s="6" t="s">
        <v>2108</v>
      </c>
      <c r="G1" s="7" t="s">
        <v>2109</v>
      </c>
      <c r="H1" s="7" t="s">
        <v>2110</v>
      </c>
      <c r="I1" s="7" t="s">
        <v>2111</v>
      </c>
      <c r="J1" s="7" t="s">
        <v>2112</v>
      </c>
      <c r="K1" s="7" t="s">
        <v>2113</v>
      </c>
      <c r="L1" s="7" t="s">
        <v>2114</v>
      </c>
      <c r="M1" s="7" t="s">
        <v>2115</v>
      </c>
      <c r="N1" s="7" t="s">
        <v>2116</v>
      </c>
    </row>
    <row r="2" customFormat="false" ht="15" hidden="false" customHeight="false" outlineLevel="0" collapsed="false">
      <c r="A2" s="28" t="str">
        <f aca="false">Suppliers!A2</f>
        <v>Belgium</v>
      </c>
      <c r="B2" s="28" t="n">
        <f aca="false">Suppliers!B2</f>
        <v>1</v>
      </c>
      <c r="C2" s="28" t="str">
        <f aca="false">Suppliers!E2</f>
        <v>Flamingo Pet Products NV</v>
      </c>
      <c r="D2" s="28" t="str">
        <f aca="false">Suppliers!D2</f>
        <v>Pet Supplies</v>
      </c>
      <c r="E2" s="29" t="s">
        <v>2117</v>
      </c>
      <c r="F2" s="29" t="s">
        <v>2118</v>
      </c>
      <c r="G2" s="20"/>
      <c r="H2" s="20"/>
      <c r="I2" s="20"/>
      <c r="J2" s="21"/>
      <c r="K2" s="20"/>
      <c r="L2" s="21"/>
      <c r="M2" s="20"/>
      <c r="N2" s="20"/>
    </row>
    <row r="3" customFormat="false" ht="15" hidden="false" customHeight="false" outlineLevel="0" collapsed="false">
      <c r="A3" s="28" t="str">
        <f aca="false">Suppliers!A3</f>
        <v>Belgium</v>
      </c>
      <c r="B3" s="28" t="n">
        <f aca="false">Suppliers!B3</f>
        <v>2</v>
      </c>
      <c r="C3" s="28" t="str">
        <f aca="false">Suppliers!E3</f>
        <v>Baekho Beauty</v>
      </c>
      <c r="D3" s="28" t="str">
        <f aca="false">Suppliers!D3</f>
        <v>Beauty</v>
      </c>
      <c r="E3" s="29" t="s">
        <v>2117</v>
      </c>
      <c r="F3" s="29" t="s">
        <v>2118</v>
      </c>
      <c r="G3" s="20"/>
      <c r="H3" s="20"/>
      <c r="I3" s="20"/>
      <c r="J3" s="21"/>
      <c r="K3" s="20"/>
      <c r="L3" s="21"/>
      <c r="M3" s="20"/>
      <c r="N3" s="20"/>
    </row>
    <row r="4" customFormat="false" ht="15" hidden="false" customHeight="false" outlineLevel="0" collapsed="false">
      <c r="A4" s="28" t="str">
        <f aca="false">Suppliers!A4</f>
        <v>Belgium</v>
      </c>
      <c r="B4" s="28" t="n">
        <f aca="false">Suppliers!B4</f>
        <v>3</v>
      </c>
      <c r="C4" s="28" t="str">
        <f aca="false">Suppliers!E4</f>
        <v>Beautylux</v>
      </c>
      <c r="D4" s="28" t="str">
        <f aca="false">Suppliers!D4</f>
        <v>Fragrance</v>
      </c>
      <c r="E4" s="29" t="s">
        <v>2117</v>
      </c>
      <c r="F4" s="29" t="s">
        <v>2118</v>
      </c>
      <c r="G4" s="20"/>
      <c r="H4" s="20"/>
      <c r="I4" s="20"/>
      <c r="J4" s="21"/>
      <c r="K4" s="20"/>
      <c r="L4" s="21"/>
      <c r="M4" s="20"/>
      <c r="N4" s="20"/>
    </row>
    <row r="5" customFormat="false" ht="15" hidden="false" customHeight="false" outlineLevel="0" collapsed="false">
      <c r="A5" s="28" t="str">
        <f aca="false">Suppliers!A5</f>
        <v>Belgium</v>
      </c>
      <c r="B5" s="28" t="n">
        <f aca="false">Suppliers!B5</f>
        <v>4</v>
      </c>
      <c r="C5" s="28" t="str">
        <f aca="false">Suppliers!E5</f>
        <v>Galico NV</v>
      </c>
      <c r="D5" s="28" t="str">
        <f aca="false">Suppliers!D5</f>
        <v>Home &amp; Kitchen</v>
      </c>
      <c r="E5" s="29" t="s">
        <v>2117</v>
      </c>
      <c r="F5" s="29" t="s">
        <v>2118</v>
      </c>
      <c r="G5" s="20"/>
      <c r="H5" s="20"/>
      <c r="I5" s="20"/>
      <c r="J5" s="21"/>
      <c r="K5" s="20"/>
      <c r="L5" s="21"/>
      <c r="M5" s="20"/>
      <c r="N5" s="20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Laroy Group (Duvo+)</v>
      </c>
      <c r="D6" s="28" t="str">
        <f aca="false">Suppliers!D6</f>
        <v>Pet Supplies</v>
      </c>
      <c r="E6" s="29" t="s">
        <v>2117</v>
      </c>
      <c r="F6" s="29" t="s">
        <v>2118</v>
      </c>
      <c r="G6" s="20"/>
      <c r="H6" s="20"/>
      <c r="I6" s="20"/>
      <c r="J6" s="21"/>
      <c r="K6" s="20"/>
      <c r="L6" s="21"/>
      <c r="M6" s="20"/>
      <c r="N6" s="20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Euro Cosmetic</v>
      </c>
      <c r="D7" s="28" t="str">
        <f aca="false">Suppliers!D7</f>
        <v>Beauty</v>
      </c>
      <c r="E7" s="29" t="s">
        <v>2117</v>
      </c>
      <c r="F7" s="29" t="s">
        <v>2118</v>
      </c>
      <c r="G7" s="20"/>
      <c r="H7" s="20"/>
      <c r="I7" s="20"/>
      <c r="J7" s="21"/>
      <c r="K7" s="20"/>
      <c r="L7" s="21"/>
      <c r="M7" s="20"/>
      <c r="N7" s="20"/>
    </row>
    <row r="8" customFormat="false" ht="15" hidden="false" customHeight="false" outlineLevel="0" collapsed="false">
      <c r="A8" s="28" t="str">
        <f aca="false">Suppliers!A8</f>
        <v>Bulgaria</v>
      </c>
      <c r="B8" s="28" t="n">
        <f aca="false">Suppliers!B8</f>
        <v>7</v>
      </c>
      <c r="C8" s="28" t="str">
        <f aca="false">Suppliers!E8</f>
        <v>Iventas</v>
      </c>
      <c r="D8" s="28" t="str">
        <f aca="false">Suppliers!D8</f>
        <v>Baby Products</v>
      </c>
      <c r="E8" s="29" t="s">
        <v>2117</v>
      </c>
      <c r="F8" s="29" t="s">
        <v>2118</v>
      </c>
      <c r="G8" s="20"/>
      <c r="H8" s="20"/>
      <c r="I8" s="20"/>
      <c r="J8" s="21"/>
      <c r="K8" s="20"/>
      <c r="L8" s="21"/>
      <c r="M8" s="20"/>
      <c r="N8" s="20"/>
    </row>
    <row r="9" customFormat="false" ht="15" hidden="false" customHeight="false" outlineLevel="0" collapsed="false">
      <c r="A9" s="28" t="str">
        <f aca="false">Suppliers!A9</f>
        <v>Czech Republic</v>
      </c>
      <c r="B9" s="28" t="n">
        <f aca="false">Suppliers!B9</f>
        <v>8</v>
      </c>
      <c r="C9" s="28" t="str">
        <f aca="false">Suppliers!E9</f>
        <v>BJUTIP a.s.</v>
      </c>
      <c r="D9" s="28" t="str">
        <f aca="false">Suppliers!D9</f>
        <v>Fragrance</v>
      </c>
      <c r="E9" s="29" t="s">
        <v>2117</v>
      </c>
      <c r="F9" s="29" t="s">
        <v>2118</v>
      </c>
      <c r="G9" s="20"/>
      <c r="H9" s="20"/>
      <c r="I9" s="20"/>
      <c r="J9" s="21"/>
      <c r="K9" s="20"/>
      <c r="L9" s="21"/>
      <c r="M9" s="20"/>
      <c r="N9" s="20"/>
    </row>
    <row r="10" customFormat="false" ht="15" hidden="false" customHeight="false" outlineLevel="0" collapsed="false">
      <c r="A10" s="28" t="str">
        <f aca="false">Suppliers!A10</f>
        <v>Czech Republic</v>
      </c>
      <c r="B10" s="28" t="n">
        <f aca="false">Suppliers!B10</f>
        <v>9</v>
      </c>
      <c r="C10" s="28" t="str">
        <f aca="false">Suppliers!E10</f>
        <v>Tommi CZ s.r.o. (Tommiland B2B)</v>
      </c>
      <c r="D10" s="28" t="str">
        <f aca="false">Suppliers!D10</f>
        <v>Pet Supplies</v>
      </c>
      <c r="E10" s="29" t="s">
        <v>2117</v>
      </c>
      <c r="F10" s="29" t="s">
        <v>2118</v>
      </c>
      <c r="G10" s="20"/>
      <c r="H10" s="20"/>
      <c r="I10" s="20"/>
      <c r="J10" s="21"/>
      <c r="K10" s="20"/>
      <c r="L10" s="21"/>
      <c r="M10" s="20"/>
      <c r="N10" s="20"/>
    </row>
    <row r="11" customFormat="false" ht="15" hidden="false" customHeight="false" outlineLevel="0" collapsed="false">
      <c r="A11" s="28" t="str">
        <f aca="false">Suppliers!A11</f>
        <v>Czech Republic</v>
      </c>
      <c r="B11" s="28" t="n">
        <f aca="false">Suppliers!B11</f>
        <v>10</v>
      </c>
      <c r="C11" s="28" t="str">
        <f aca="false">Suppliers!E11</f>
        <v>Samohýl Group</v>
      </c>
      <c r="D11" s="28" t="str">
        <f aca="false">Suppliers!D11</f>
        <v>Pet Supplies</v>
      </c>
      <c r="E11" s="29" t="s">
        <v>2117</v>
      </c>
      <c r="F11" s="29" t="s">
        <v>2118</v>
      </c>
      <c r="G11" s="20"/>
      <c r="H11" s="20"/>
      <c r="I11" s="20"/>
      <c r="J11" s="21"/>
      <c r="K11" s="20"/>
      <c r="L11" s="21"/>
      <c r="M11" s="20"/>
      <c r="N11" s="20"/>
    </row>
    <row r="12" customFormat="false" ht="15" hidden="false" customHeight="false" outlineLevel="0" collapsed="false">
      <c r="A12" s="28" t="str">
        <f aca="false">Suppliers!A12</f>
        <v>Czech Republic</v>
      </c>
      <c r="B12" s="28" t="n">
        <f aca="false">Suppliers!B12</f>
        <v>11</v>
      </c>
      <c r="C12" s="28" t="str">
        <f aca="false">Suppliers!E12</f>
        <v>Teddies s.r.o.</v>
      </c>
      <c r="D12" s="28" t="str">
        <f aca="false">Suppliers!D12</f>
        <v>Toys &amp; Games</v>
      </c>
      <c r="E12" s="29" t="s">
        <v>2117</v>
      </c>
      <c r="F12" s="29" t="s">
        <v>2118</v>
      </c>
      <c r="G12" s="20"/>
      <c r="H12" s="20"/>
      <c r="I12" s="20"/>
      <c r="J12" s="21"/>
      <c r="K12" s="20"/>
      <c r="L12" s="21"/>
      <c r="M12" s="20"/>
      <c r="N12" s="20"/>
    </row>
    <row r="13" customFormat="false" ht="15" hidden="false" customHeight="false" outlineLevel="0" collapsed="false">
      <c r="A13" s="28" t="str">
        <f aca="false">Suppliers!A13</f>
        <v>Denmark</v>
      </c>
      <c r="B13" s="28" t="n">
        <f aca="false">Suppliers!B13</f>
        <v>12</v>
      </c>
      <c r="C13" s="28" t="str">
        <f aca="false">Suppliers!E13</f>
        <v>Creativ Company A/S</v>
      </c>
      <c r="D13" s="28" t="str">
        <f aca="false">Suppliers!D13</f>
        <v>Stationery &amp; Office</v>
      </c>
      <c r="E13" s="29" t="s">
        <v>2117</v>
      </c>
      <c r="F13" s="29" t="s">
        <v>2118</v>
      </c>
      <c r="G13" s="20"/>
      <c r="H13" s="20"/>
      <c r="I13" s="20"/>
      <c r="J13" s="21"/>
      <c r="K13" s="20"/>
      <c r="L13" s="21"/>
      <c r="M13" s="20"/>
      <c r="N13" s="20"/>
    </row>
    <row r="14" customFormat="false" ht="15" hidden="false" customHeight="false" outlineLevel="0" collapsed="false">
      <c r="A14" s="28" t="str">
        <f aca="false">Suppliers!A14</f>
        <v>France</v>
      </c>
      <c r="B14" s="28" t="n">
        <f aca="false">Suppliers!B14</f>
        <v>13</v>
      </c>
      <c r="C14" s="28" t="str">
        <f aca="false">Suppliers!E14</f>
        <v>Zolux SAS</v>
      </c>
      <c r="D14" s="28" t="str">
        <f aca="false">Suppliers!D14</f>
        <v>Pet Supplies</v>
      </c>
      <c r="E14" s="29" t="s">
        <v>2117</v>
      </c>
      <c r="F14" s="29" t="s">
        <v>2118</v>
      </c>
      <c r="G14" s="20"/>
      <c r="H14" s="20"/>
      <c r="I14" s="20"/>
      <c r="J14" s="21"/>
      <c r="K14" s="20"/>
      <c r="L14" s="21"/>
      <c r="M14" s="20"/>
      <c r="N14" s="20"/>
    </row>
    <row r="15" customFormat="false" ht="23.85" hidden="false" customHeight="false" outlineLevel="0" collapsed="false">
      <c r="A15" s="28" t="str">
        <f aca="false">Suppliers!A15</f>
        <v>France</v>
      </c>
      <c r="B15" s="28" t="n">
        <f aca="false">Suppliers!B15</f>
        <v>14</v>
      </c>
      <c r="C15" s="28" t="str">
        <f aca="false">Suppliers!E15</f>
        <v>Exacompta Clairefontaine (ExaClair Ltd UK)</v>
      </c>
      <c r="D15" s="28" t="str">
        <f aca="false">Suppliers!D15</f>
        <v>Stationery &amp; Office</v>
      </c>
      <c r="E15" s="29" t="s">
        <v>2117</v>
      </c>
      <c r="F15" s="29" t="s">
        <v>2118</v>
      </c>
      <c r="G15" s="20"/>
      <c r="H15" s="20"/>
      <c r="I15" s="20"/>
      <c r="J15" s="21"/>
      <c r="K15" s="20"/>
      <c r="L15" s="21"/>
      <c r="M15" s="20"/>
      <c r="N15" s="20"/>
    </row>
    <row r="16" customFormat="false" ht="15" hidden="false" customHeight="false" outlineLevel="0" collapsed="false">
      <c r="A16" s="28" t="str">
        <f aca="false">Suppliers!A16</f>
        <v>France</v>
      </c>
      <c r="B16" s="28" t="n">
        <f aca="false">Suppliers!B16</f>
        <v>15</v>
      </c>
      <c r="C16" s="28" t="str">
        <f aca="false">Suppliers!E16</f>
        <v>WDK Groupe Partner</v>
      </c>
      <c r="D16" s="28" t="str">
        <f aca="false">Suppliers!D16</f>
        <v>Toys &amp; Games</v>
      </c>
      <c r="E16" s="29" t="s">
        <v>2117</v>
      </c>
      <c r="F16" s="29" t="s">
        <v>2118</v>
      </c>
      <c r="G16" s="20"/>
      <c r="H16" s="20"/>
      <c r="I16" s="20"/>
      <c r="J16" s="21"/>
      <c r="K16" s="20"/>
      <c r="L16" s="21"/>
      <c r="M16" s="20"/>
      <c r="N16" s="20"/>
    </row>
    <row r="17" customFormat="false" ht="15" hidden="false" customHeight="false" outlineLevel="0" collapsed="false">
      <c r="A17" s="28" t="str">
        <f aca="false">Suppliers!A17</f>
        <v>France</v>
      </c>
      <c r="B17" s="28" t="n">
        <f aca="false">Suppliers!B17</f>
        <v>16</v>
      </c>
      <c r="C17" s="28" t="str">
        <f aca="false">Suppliers!E17</f>
        <v>Ankorstore</v>
      </c>
      <c r="D17" s="28" t="str">
        <f aca="false">Suppliers!D17</f>
        <v>B2B Marketplace</v>
      </c>
      <c r="E17" s="29" t="s">
        <v>2117</v>
      </c>
      <c r="F17" s="29" t="s">
        <v>2118</v>
      </c>
      <c r="G17" s="20"/>
      <c r="H17" s="20"/>
      <c r="I17" s="20"/>
      <c r="J17" s="21"/>
      <c r="K17" s="20"/>
      <c r="L17" s="21"/>
      <c r="M17" s="20"/>
      <c r="N17" s="20"/>
    </row>
    <row r="18" customFormat="false" ht="15" hidden="false" customHeight="false" outlineLevel="0" collapsed="false">
      <c r="A18" s="28" t="str">
        <f aca="false">Suppliers!A18</f>
        <v>France</v>
      </c>
      <c r="B18" s="28" t="n">
        <f aca="false">Suppliers!B18</f>
        <v>17</v>
      </c>
      <c r="C18" s="28" t="str">
        <f aca="false">Suppliers!E18</f>
        <v>Stocklear</v>
      </c>
      <c r="D18" s="28" t="str">
        <f aca="false">Suppliers!D18</f>
        <v>B2B Marketplace</v>
      </c>
      <c r="E18" s="29" t="s">
        <v>2117</v>
      </c>
      <c r="F18" s="29" t="s">
        <v>2118</v>
      </c>
      <c r="G18" s="20"/>
      <c r="H18" s="20"/>
      <c r="I18" s="20"/>
      <c r="J18" s="21"/>
      <c r="K18" s="20"/>
      <c r="L18" s="21"/>
      <c r="M18" s="20"/>
      <c r="N18" s="20"/>
    </row>
    <row r="19" customFormat="false" ht="15" hidden="false" customHeight="false" outlineLevel="0" collapsed="false">
      <c r="A19" s="28" t="str">
        <f aca="false">Suppliers!A19</f>
        <v>France</v>
      </c>
      <c r="B19" s="28" t="n">
        <f aca="false">Suppliers!B19</f>
        <v>18</v>
      </c>
      <c r="C19" s="28" t="str">
        <f aca="false">Suppliers!E19</f>
        <v>CSP Cosmetics</v>
      </c>
      <c r="D19" s="28" t="str">
        <f aca="false">Suppliers!D19</f>
        <v>Beauty</v>
      </c>
      <c r="E19" s="29" t="s">
        <v>2117</v>
      </c>
      <c r="F19" s="29" t="s">
        <v>2118</v>
      </c>
      <c r="G19" s="20"/>
      <c r="H19" s="20"/>
      <c r="I19" s="20"/>
      <c r="J19" s="21"/>
      <c r="K19" s="20"/>
      <c r="L19" s="21"/>
      <c r="M19" s="20"/>
      <c r="N19" s="20"/>
    </row>
    <row r="20" customFormat="false" ht="23.85" hidden="false" customHeight="false" outlineLevel="0" collapsed="false">
      <c r="A20" s="28" t="str">
        <f aca="false">Suppliers!A20</f>
        <v>Germany</v>
      </c>
      <c r="B20" s="28" t="n">
        <f aca="false">Suppliers!B20</f>
        <v>19</v>
      </c>
      <c r="C20" s="28" t="str">
        <f aca="false">Suppliers!E20</f>
        <v>TRIXIE Heimtierbedarf (incl. Trixie UK Pet Product Ltd)</v>
      </c>
      <c r="D20" s="28" t="str">
        <f aca="false">Suppliers!D20</f>
        <v>Pet Supplies</v>
      </c>
      <c r="E20" s="29" t="s">
        <v>2117</v>
      </c>
      <c r="F20" s="29" t="s">
        <v>2118</v>
      </c>
      <c r="G20" s="20"/>
      <c r="H20" s="20"/>
      <c r="I20" s="20"/>
      <c r="J20" s="21"/>
      <c r="K20" s="20"/>
      <c r="L20" s="21"/>
      <c r="M20" s="20"/>
      <c r="N20" s="20"/>
    </row>
    <row r="21" customFormat="false" ht="15" hidden="false" customHeight="false" outlineLevel="0" collapsed="false">
      <c r="A21" s="28" t="str">
        <f aca="false">Suppliers!A21</f>
        <v>Germany</v>
      </c>
      <c r="B21" s="28" t="n">
        <f aca="false">Suppliers!B21</f>
        <v>20</v>
      </c>
      <c r="C21" s="28" t="str">
        <f aca="false">Suppliers!E21</f>
        <v>cosnova GmbH (essence, CATRICE)</v>
      </c>
      <c r="D21" s="28" t="str">
        <f aca="false">Suppliers!D21</f>
        <v>Beauty</v>
      </c>
      <c r="E21" s="29" t="s">
        <v>2117</v>
      </c>
      <c r="F21" s="29" t="s">
        <v>2118</v>
      </c>
      <c r="G21" s="20"/>
      <c r="H21" s="20"/>
      <c r="I21" s="20"/>
      <c r="J21" s="21"/>
      <c r="K21" s="20"/>
      <c r="L21" s="21"/>
      <c r="M21" s="20"/>
      <c r="N21" s="20"/>
    </row>
    <row r="22" customFormat="false" ht="15" hidden="false" customHeight="false" outlineLevel="0" collapsed="false">
      <c r="A22" s="28" t="str">
        <f aca="false">Suppliers!A22</f>
        <v>Germany</v>
      </c>
      <c r="B22" s="28" t="n">
        <f aca="false">Suppliers!B22</f>
        <v>21</v>
      </c>
      <c r="C22" s="28" t="str">
        <f aca="false">Suppliers!E22</f>
        <v>kwb Germany GmbH (Einhell group)</v>
      </c>
      <c r="D22" s="28" t="str">
        <f aca="false">Suppliers!D22</f>
        <v>DIY &amp; Tools</v>
      </c>
      <c r="E22" s="29" t="s">
        <v>2117</v>
      </c>
      <c r="F22" s="29" t="s">
        <v>2118</v>
      </c>
      <c r="G22" s="20"/>
      <c r="H22" s="20"/>
      <c r="I22" s="20"/>
      <c r="J22" s="21"/>
      <c r="K22" s="20"/>
      <c r="L22" s="21"/>
      <c r="M22" s="20"/>
      <c r="N22" s="20"/>
    </row>
    <row r="23" customFormat="false" ht="23.85" hidden="false" customHeight="false" outlineLevel="0" collapsed="false">
      <c r="A23" s="28" t="str">
        <f aca="false">Suppliers!A23</f>
        <v>Germany</v>
      </c>
      <c r="B23" s="28" t="n">
        <f aca="false">Suppliers!B23</f>
        <v>22</v>
      </c>
      <c r="C23" s="28" t="str">
        <f aca="false">Suppliers!E23</f>
        <v>Beurer GmbH (Beurer UK Ltd)</v>
      </c>
      <c r="D23" s="28" t="str">
        <f aca="false">Suppliers!D23</f>
        <v>Health &amp; Personal Care</v>
      </c>
      <c r="E23" s="29" t="s">
        <v>2117</v>
      </c>
      <c r="F23" s="29" t="s">
        <v>2118</v>
      </c>
      <c r="G23" s="20"/>
      <c r="H23" s="20"/>
      <c r="I23" s="20"/>
      <c r="J23" s="21"/>
      <c r="K23" s="20"/>
      <c r="L23" s="21"/>
      <c r="M23" s="20"/>
      <c r="N23" s="20"/>
    </row>
    <row r="24" customFormat="false" ht="15" hidden="false" customHeight="false" outlineLevel="0" collapsed="false">
      <c r="A24" s="28" t="str">
        <f aca="false">Suppliers!A24</f>
        <v>Germany</v>
      </c>
      <c r="B24" s="28" t="n">
        <f aca="false">Suppliers!B24</f>
        <v>23</v>
      </c>
      <c r="C24" s="28" t="str">
        <f aca="false">Suppliers!E24</f>
        <v>Westmark GmbH</v>
      </c>
      <c r="D24" s="28" t="str">
        <f aca="false">Suppliers!D24</f>
        <v>Home &amp; Kitchen</v>
      </c>
      <c r="E24" s="29" t="s">
        <v>2117</v>
      </c>
      <c r="F24" s="29" t="s">
        <v>2118</v>
      </c>
      <c r="G24" s="20"/>
      <c r="H24" s="20"/>
      <c r="I24" s="20"/>
      <c r="J24" s="21"/>
      <c r="K24" s="20"/>
      <c r="L24" s="21"/>
      <c r="M24" s="20"/>
      <c r="N24" s="20"/>
    </row>
    <row r="25" customFormat="false" ht="15" hidden="false" customHeight="false" outlineLevel="0" collapsed="false">
      <c r="A25" s="28" t="str">
        <f aca="false">Suppliers!A25</f>
        <v>Germany</v>
      </c>
      <c r="B25" s="28" t="n">
        <f aca="false">Suppliers!B25</f>
        <v>24</v>
      </c>
      <c r="C25" s="28" t="str">
        <f aca="false">Suppliers!E25</f>
        <v>Albert Kerbl GmbH</v>
      </c>
      <c r="D25" s="28" t="str">
        <f aca="false">Suppliers!D25</f>
        <v>Pet Supplies</v>
      </c>
      <c r="E25" s="29" t="s">
        <v>2117</v>
      </c>
      <c r="F25" s="29" t="s">
        <v>2118</v>
      </c>
      <c r="G25" s="20"/>
      <c r="H25" s="20"/>
      <c r="I25" s="20"/>
      <c r="J25" s="21"/>
      <c r="K25" s="20"/>
      <c r="L25" s="21"/>
      <c r="M25" s="20"/>
      <c r="N25" s="20"/>
    </row>
    <row r="26" customFormat="false" ht="15" hidden="false" customHeight="false" outlineLevel="0" collapsed="false">
      <c r="A26" s="28" t="str">
        <f aca="false">Suppliers!A26</f>
        <v>Germany</v>
      </c>
      <c r="B26" s="28" t="n">
        <f aca="false">Suppliers!B26</f>
        <v>25</v>
      </c>
      <c r="C26" s="28" t="str">
        <f aca="false">Suppliers!E26</f>
        <v>HUNTER International GmbH</v>
      </c>
      <c r="D26" s="28" t="str">
        <f aca="false">Suppliers!D26</f>
        <v>Pet Supplies</v>
      </c>
      <c r="E26" s="29" t="s">
        <v>2117</v>
      </c>
      <c r="F26" s="29" t="s">
        <v>2118</v>
      </c>
      <c r="G26" s="20"/>
      <c r="H26" s="20"/>
      <c r="I26" s="20"/>
      <c r="J26" s="21"/>
      <c r="K26" s="20"/>
      <c r="L26" s="21"/>
      <c r="M26" s="20"/>
      <c r="N26" s="20"/>
    </row>
    <row r="27" customFormat="false" ht="15" hidden="false" customHeight="false" outlineLevel="0" collapsed="false">
      <c r="A27" s="28" t="str">
        <f aca="false">Suppliers!A27</f>
        <v>Germany</v>
      </c>
      <c r="B27" s="28" t="n">
        <f aca="false">Suppliers!B27</f>
        <v>26</v>
      </c>
      <c r="C27" s="28" t="str">
        <f aca="false">Suppliers!E27</f>
        <v>Nobby Pet Shop GmbH</v>
      </c>
      <c r="D27" s="28" t="str">
        <f aca="false">Suppliers!D27</f>
        <v>Pet Supplies</v>
      </c>
      <c r="E27" s="29" t="s">
        <v>2117</v>
      </c>
      <c r="F27" s="29" t="s">
        <v>2118</v>
      </c>
      <c r="G27" s="20"/>
      <c r="H27" s="20"/>
      <c r="I27" s="20"/>
      <c r="J27" s="21"/>
      <c r="K27" s="20"/>
      <c r="L27" s="21"/>
      <c r="M27" s="20"/>
      <c r="N27" s="20"/>
    </row>
    <row r="28" customFormat="false" ht="15" hidden="false" customHeight="false" outlineLevel="0" collapsed="false">
      <c r="A28" s="28" t="str">
        <f aca="false">Suppliers!A28</f>
        <v>Germany</v>
      </c>
      <c r="B28" s="28" t="n">
        <f aca="false">Suppliers!B28</f>
        <v>27</v>
      </c>
      <c r="C28" s="28" t="str">
        <f aca="false">Suppliers!E28</f>
        <v>Sport Import GmbH</v>
      </c>
      <c r="D28" s="28" t="str">
        <f aca="false">Suppliers!D28</f>
        <v>Sports &amp; Outdoors</v>
      </c>
      <c r="E28" s="29" t="s">
        <v>2117</v>
      </c>
      <c r="F28" s="29" t="s">
        <v>2118</v>
      </c>
      <c r="G28" s="20"/>
      <c r="H28" s="20"/>
      <c r="I28" s="20"/>
      <c r="J28" s="21"/>
      <c r="K28" s="20"/>
      <c r="L28" s="21"/>
      <c r="M28" s="20"/>
      <c r="N28" s="20"/>
    </row>
    <row r="29" customFormat="false" ht="15" hidden="false" customHeight="false" outlineLevel="0" collapsed="false">
      <c r="A29" s="28" t="str">
        <f aca="false">Suppliers!A29</f>
        <v>Germany</v>
      </c>
      <c r="B29" s="28" t="n">
        <f aca="false">Suppliers!B29</f>
        <v>28</v>
      </c>
      <c r="C29" s="28" t="str">
        <f aca="false">Suppliers!E29</f>
        <v>Depesche Vertrieb GmbH &amp; Co. KG</v>
      </c>
      <c r="D29" s="28" t="str">
        <f aca="false">Suppliers!D29</f>
        <v>Toys &amp; Games</v>
      </c>
      <c r="E29" s="29" t="s">
        <v>2117</v>
      </c>
      <c r="F29" s="29" t="s">
        <v>2118</v>
      </c>
      <c r="G29" s="20"/>
      <c r="H29" s="20"/>
      <c r="I29" s="20"/>
      <c r="J29" s="21"/>
      <c r="K29" s="20"/>
      <c r="L29" s="21"/>
      <c r="M29" s="20"/>
      <c r="N29" s="20"/>
    </row>
    <row r="30" customFormat="false" ht="23.85" hidden="false" customHeight="false" outlineLevel="0" collapsed="false">
      <c r="A30" s="28" t="str">
        <f aca="false">Suppliers!A30</f>
        <v>Germany</v>
      </c>
      <c r="B30" s="28" t="n">
        <f aca="false">Suppliers!B30</f>
        <v>29</v>
      </c>
      <c r="C30" s="28" t="str">
        <f aca="false">Suppliers!E30</f>
        <v>Gollnest &amp; Kiesel GmbH &amp; Co. KG (goki)</v>
      </c>
      <c r="D30" s="28" t="str">
        <f aca="false">Suppliers!D30</f>
        <v>Toys &amp; Games</v>
      </c>
      <c r="E30" s="29" t="s">
        <v>2117</v>
      </c>
      <c r="F30" s="29" t="s">
        <v>2118</v>
      </c>
      <c r="G30" s="20"/>
      <c r="H30" s="20"/>
      <c r="I30" s="20"/>
      <c r="J30" s="21"/>
      <c r="K30" s="20"/>
      <c r="L30" s="21"/>
      <c r="M30" s="20"/>
      <c r="N30" s="20"/>
    </row>
    <row r="31" customFormat="false" ht="15" hidden="false" customHeight="false" outlineLevel="0" collapsed="false">
      <c r="A31" s="28" t="str">
        <f aca="false">Suppliers!A31</f>
        <v>Germany</v>
      </c>
      <c r="B31" s="28" t="n">
        <f aca="false">Suppliers!B31</f>
        <v>30</v>
      </c>
      <c r="C31" s="28" t="str">
        <f aca="false">Suppliers!E31</f>
        <v>VEDES Großhandel GmbH</v>
      </c>
      <c r="D31" s="28" t="str">
        <f aca="false">Suppliers!D31</f>
        <v>Toys &amp; Games</v>
      </c>
      <c r="E31" s="29" t="s">
        <v>2117</v>
      </c>
      <c r="F31" s="29" t="s">
        <v>2118</v>
      </c>
      <c r="G31" s="20"/>
      <c r="H31" s="20"/>
      <c r="I31" s="20"/>
      <c r="J31" s="21"/>
      <c r="K31" s="20"/>
      <c r="L31" s="21"/>
      <c r="M31" s="20"/>
      <c r="N31" s="20"/>
    </row>
    <row r="32" customFormat="false" ht="23.85" hidden="false" customHeight="false" outlineLevel="0" collapsed="false">
      <c r="A32" s="28" t="str">
        <f aca="false">Suppliers!A32</f>
        <v>Germany</v>
      </c>
      <c r="B32" s="28" t="n">
        <f aca="false">Suppliers!B32</f>
        <v>31</v>
      </c>
      <c r="C32" s="28" t="str">
        <f aca="false">Suppliers!E32</f>
        <v>small foot GmbH &amp; Co. KG (formerly Legler)</v>
      </c>
      <c r="D32" s="28" t="str">
        <f aca="false">Suppliers!D32</f>
        <v>Toys &amp; Games</v>
      </c>
      <c r="E32" s="29" t="s">
        <v>2117</v>
      </c>
      <c r="F32" s="29" t="s">
        <v>2118</v>
      </c>
      <c r="G32" s="20"/>
      <c r="H32" s="20"/>
      <c r="I32" s="20"/>
      <c r="J32" s="21"/>
      <c r="K32" s="20"/>
      <c r="L32" s="21"/>
      <c r="M32" s="20"/>
      <c r="N32" s="20"/>
    </row>
    <row r="33" customFormat="false" ht="15" hidden="false" customHeight="false" outlineLevel="0" collapsed="false">
      <c r="A33" s="28" t="str">
        <f aca="false">Suppliers!A33</f>
        <v>Germany</v>
      </c>
      <c r="B33" s="28" t="n">
        <f aca="false">Suppliers!B33</f>
        <v>32</v>
      </c>
      <c r="C33" s="28" t="str">
        <f aca="false">Suppliers!E33</f>
        <v>zentrada</v>
      </c>
      <c r="D33" s="28" t="str">
        <f aca="false">Suppliers!D33</f>
        <v>B2B Marketplace</v>
      </c>
      <c r="E33" s="29" t="s">
        <v>2117</v>
      </c>
      <c r="F33" s="29" t="s">
        <v>2118</v>
      </c>
      <c r="G33" s="20"/>
      <c r="H33" s="20"/>
      <c r="I33" s="20"/>
      <c r="J33" s="21"/>
      <c r="K33" s="20"/>
      <c r="L33" s="21"/>
      <c r="M33" s="20"/>
      <c r="N33" s="20"/>
    </row>
    <row r="34" customFormat="false" ht="15" hidden="false" customHeight="false" outlineLevel="0" collapsed="false">
      <c r="A34" s="28" t="str">
        <f aca="false">Suppliers!A34</f>
        <v>Germany</v>
      </c>
      <c r="B34" s="28" t="n">
        <f aca="false">Suppliers!B34</f>
        <v>33</v>
      </c>
      <c r="C34" s="28" t="str">
        <f aca="false">Suppliers!E34</f>
        <v>2E Vertriebs-GmbH (Simple Parenting)</v>
      </c>
      <c r="D34" s="28" t="str">
        <f aca="false">Suppliers!D34</f>
        <v>Baby Products</v>
      </c>
      <c r="E34" s="29" t="s">
        <v>2117</v>
      </c>
      <c r="F34" s="29" t="s">
        <v>2118</v>
      </c>
      <c r="G34" s="20"/>
      <c r="H34" s="20"/>
      <c r="I34" s="20"/>
      <c r="J34" s="21"/>
      <c r="K34" s="20"/>
      <c r="L34" s="21"/>
      <c r="M34" s="20"/>
      <c r="N34" s="20"/>
    </row>
    <row r="35" customFormat="false" ht="15" hidden="false" customHeight="false" outlineLevel="0" collapsed="false">
      <c r="A35" s="28" t="str">
        <f aca="false">Suppliers!A35</f>
        <v>Germany</v>
      </c>
      <c r="B35" s="28" t="n">
        <f aca="false">Suppliers!B35</f>
        <v>34</v>
      </c>
      <c r="C35" s="28" t="str">
        <f aca="false">Suppliers!E35</f>
        <v>MAM Babyartikel GmbH</v>
      </c>
      <c r="D35" s="28" t="str">
        <f aca="false">Suppliers!D35</f>
        <v>Baby Products</v>
      </c>
      <c r="E35" s="29" t="s">
        <v>2117</v>
      </c>
      <c r="F35" s="29" t="s">
        <v>2118</v>
      </c>
      <c r="G35" s="20"/>
      <c r="H35" s="20"/>
      <c r="I35" s="20"/>
      <c r="J35" s="21"/>
      <c r="K35" s="20"/>
      <c r="L35" s="21"/>
      <c r="M35" s="20"/>
      <c r="N35" s="20"/>
    </row>
    <row r="36" customFormat="false" ht="15" hidden="false" customHeight="false" outlineLevel="0" collapsed="false">
      <c r="A36" s="28" t="str">
        <f aca="false">Suppliers!A36</f>
        <v>Germany</v>
      </c>
      <c r="B36" s="28" t="n">
        <f aca="false">Suppliers!B36</f>
        <v>35</v>
      </c>
      <c r="C36" s="28" t="str">
        <f aca="false">Suppliers!E36</f>
        <v>reer GmbH</v>
      </c>
      <c r="D36" s="28" t="str">
        <f aca="false">Suppliers!D36</f>
        <v>Baby Products</v>
      </c>
      <c r="E36" s="29" t="s">
        <v>2117</v>
      </c>
      <c r="F36" s="29" t="s">
        <v>2118</v>
      </c>
      <c r="G36" s="20"/>
      <c r="H36" s="20"/>
      <c r="I36" s="20"/>
      <c r="J36" s="21"/>
      <c r="K36" s="20"/>
      <c r="L36" s="21"/>
      <c r="M36" s="20"/>
      <c r="N36" s="20"/>
    </row>
    <row r="37" customFormat="false" ht="15" hidden="false" customHeight="false" outlineLevel="0" collapsed="false">
      <c r="A37" s="28" t="str">
        <f aca="false">Suppliers!A37</f>
        <v>Germany</v>
      </c>
      <c r="B37" s="28" t="n">
        <f aca="false">Suppliers!B37</f>
        <v>36</v>
      </c>
      <c r="C37" s="28" t="str">
        <f aca="false">Suppliers!E37</f>
        <v>wolfcraft GmbH</v>
      </c>
      <c r="D37" s="28" t="str">
        <f aca="false">Suppliers!D37</f>
        <v>DIY &amp; Tools</v>
      </c>
      <c r="E37" s="29" t="s">
        <v>2117</v>
      </c>
      <c r="F37" s="29" t="s">
        <v>2118</v>
      </c>
      <c r="G37" s="20"/>
      <c r="H37" s="20"/>
      <c r="I37" s="20"/>
      <c r="J37" s="21"/>
      <c r="K37" s="20"/>
      <c r="L37" s="21"/>
      <c r="M37" s="20"/>
      <c r="N37" s="20"/>
    </row>
    <row r="38" customFormat="false" ht="23.85" hidden="false" customHeight="false" outlineLevel="0" collapsed="false">
      <c r="A38" s="28" t="str">
        <f aca="false">Suppliers!A38</f>
        <v>Germany</v>
      </c>
      <c r="B38" s="28" t="n">
        <f aca="false">Suppliers!B38</f>
        <v>37</v>
      </c>
      <c r="C38" s="28" t="str">
        <f aca="false">Suppliers!E38</f>
        <v>Emporium Handels &amp; Vertriebs GmbH (B&amp;S Group)</v>
      </c>
      <c r="D38" s="28" t="str">
        <f aca="false">Suppliers!D38</f>
        <v>Fragrance</v>
      </c>
      <c r="E38" s="29" t="s">
        <v>2117</v>
      </c>
      <c r="F38" s="29" t="s">
        <v>2118</v>
      </c>
      <c r="G38" s="20"/>
      <c r="H38" s="20"/>
      <c r="I38" s="20"/>
      <c r="J38" s="21"/>
      <c r="K38" s="20"/>
      <c r="L38" s="21"/>
      <c r="M38" s="20"/>
      <c r="N38" s="20"/>
    </row>
    <row r="39" customFormat="false" ht="23.85" hidden="false" customHeight="false" outlineLevel="0" collapsed="false">
      <c r="A39" s="28" t="str">
        <f aca="false">Suppliers!A39</f>
        <v>Germany</v>
      </c>
      <c r="B39" s="28" t="n">
        <f aca="false">Suppliers!B39</f>
        <v>38</v>
      </c>
      <c r="C39" s="28" t="str">
        <f aca="false">Suppliers!E39</f>
        <v>MEDISANA AG</v>
      </c>
      <c r="D39" s="28" t="str">
        <f aca="false">Suppliers!D39</f>
        <v>Health &amp; Personal Care</v>
      </c>
      <c r="E39" s="29" t="s">
        <v>2117</v>
      </c>
      <c r="F39" s="29" t="s">
        <v>2118</v>
      </c>
      <c r="G39" s="20"/>
      <c r="H39" s="20"/>
      <c r="I39" s="20"/>
      <c r="J39" s="21"/>
      <c r="K39" s="20"/>
      <c r="L39" s="21"/>
      <c r="M39" s="20"/>
      <c r="N39" s="20"/>
    </row>
    <row r="40" customFormat="false" ht="15" hidden="false" customHeight="false" outlineLevel="0" collapsed="false">
      <c r="A40" s="28" t="str">
        <f aca="false">Suppliers!A40</f>
        <v>Germany</v>
      </c>
      <c r="B40" s="28" t="n">
        <f aca="false">Suppliers!B40</f>
        <v>39</v>
      </c>
      <c r="C40" s="28" t="str">
        <f aca="false">Suppliers!E40</f>
        <v>Leifheit AG</v>
      </c>
      <c r="D40" s="28" t="str">
        <f aca="false">Suppliers!D40</f>
        <v>Home &amp; Kitchen</v>
      </c>
      <c r="E40" s="29" t="s">
        <v>2117</v>
      </c>
      <c r="F40" s="29" t="s">
        <v>2118</v>
      </c>
      <c r="G40" s="20"/>
      <c r="H40" s="20"/>
      <c r="I40" s="20"/>
      <c r="J40" s="21"/>
      <c r="K40" s="20"/>
      <c r="L40" s="21"/>
      <c r="M40" s="20"/>
      <c r="N40" s="20"/>
    </row>
    <row r="41" customFormat="false" ht="15" hidden="false" customHeight="false" outlineLevel="0" collapsed="false">
      <c r="A41" s="28" t="str">
        <f aca="false">Suppliers!A41</f>
        <v>Germany</v>
      </c>
      <c r="B41" s="28" t="n">
        <f aca="false">Suppliers!B41</f>
        <v>40</v>
      </c>
      <c r="C41" s="28" t="str">
        <f aca="false">Suppliers!E41</f>
        <v>Wolfsohn</v>
      </c>
      <c r="D41" s="28" t="str">
        <f aca="false">Suppliers!D41</f>
        <v>Home &amp; Kitchen</v>
      </c>
      <c r="E41" s="29" t="s">
        <v>2117</v>
      </c>
      <c r="F41" s="29" t="s">
        <v>2118</v>
      </c>
      <c r="G41" s="20"/>
      <c r="H41" s="20"/>
      <c r="I41" s="20"/>
      <c r="J41" s="21"/>
      <c r="K41" s="20"/>
      <c r="L41" s="21"/>
      <c r="M41" s="20"/>
      <c r="N41" s="20"/>
    </row>
    <row r="42" customFormat="false" ht="23.85" hidden="false" customHeight="false" outlineLevel="0" collapsed="false">
      <c r="A42" s="28" t="str">
        <f aca="false">Suppliers!A42</f>
        <v>Germany</v>
      </c>
      <c r="B42" s="28" t="n">
        <f aca="false">Suppliers!B42</f>
        <v>41</v>
      </c>
      <c r="C42" s="28" t="str">
        <f aca="false">Suppliers!E42</f>
        <v>Schulze Heimtierbedarf GmbH (Porta Pet)</v>
      </c>
      <c r="D42" s="28" t="str">
        <f aca="false">Suppliers!D42</f>
        <v>Pet Supplies</v>
      </c>
      <c r="E42" s="29" t="s">
        <v>2117</v>
      </c>
      <c r="F42" s="29" t="s">
        <v>2118</v>
      </c>
      <c r="G42" s="20"/>
      <c r="H42" s="20"/>
      <c r="I42" s="20"/>
      <c r="J42" s="21"/>
      <c r="K42" s="20"/>
      <c r="L42" s="21"/>
      <c r="M42" s="20"/>
      <c r="N42" s="20"/>
    </row>
    <row r="43" customFormat="false" ht="15" hidden="false" customHeight="false" outlineLevel="0" collapsed="false">
      <c r="A43" s="28" t="str">
        <f aca="false">Suppliers!A43</f>
        <v>Germany</v>
      </c>
      <c r="B43" s="28" t="n">
        <f aca="false">Suppliers!B43</f>
        <v>42</v>
      </c>
      <c r="C43" s="28" t="str">
        <f aca="false">Suppliers!E43</f>
        <v>Absolut Bikes GmbH</v>
      </c>
      <c r="D43" s="28" t="str">
        <f aca="false">Suppliers!D43</f>
        <v>Sports &amp; Outdoors</v>
      </c>
      <c r="E43" s="29" t="s">
        <v>2117</v>
      </c>
      <c r="F43" s="29" t="s">
        <v>2118</v>
      </c>
      <c r="G43" s="20"/>
      <c r="H43" s="20"/>
      <c r="I43" s="20"/>
      <c r="J43" s="21"/>
      <c r="K43" s="20"/>
      <c r="L43" s="21"/>
      <c r="M43" s="20"/>
      <c r="N43" s="20"/>
    </row>
    <row r="44" customFormat="false" ht="15" hidden="false" customHeight="false" outlineLevel="0" collapsed="false">
      <c r="A44" s="28" t="str">
        <f aca="false">Suppliers!A44</f>
        <v>Germany</v>
      </c>
      <c r="B44" s="28" t="n">
        <f aca="false">Suppliers!B44</f>
        <v>43</v>
      </c>
      <c r="C44" s="28" t="str">
        <f aca="false">Suppliers!E44</f>
        <v>AceCamp GmbH</v>
      </c>
      <c r="D44" s="28" t="str">
        <f aca="false">Suppliers!D44</f>
        <v>Sports &amp; Outdoors</v>
      </c>
      <c r="E44" s="29" t="s">
        <v>2117</v>
      </c>
      <c r="F44" s="29" t="s">
        <v>2118</v>
      </c>
      <c r="G44" s="20"/>
      <c r="H44" s="20"/>
      <c r="I44" s="20"/>
      <c r="J44" s="21"/>
      <c r="K44" s="20"/>
      <c r="L44" s="21"/>
      <c r="M44" s="20"/>
      <c r="N44" s="20"/>
    </row>
    <row r="45" customFormat="false" ht="15" hidden="false" customHeight="false" outlineLevel="0" collapsed="false">
      <c r="A45" s="28" t="str">
        <f aca="false">Suppliers!A45</f>
        <v>Germany</v>
      </c>
      <c r="B45" s="28" t="n">
        <f aca="false">Suppliers!B45</f>
        <v>44</v>
      </c>
      <c r="C45" s="28" t="str">
        <f aca="false">Suppliers!E45</f>
        <v>HUDORA GmbH</v>
      </c>
      <c r="D45" s="28" t="str">
        <f aca="false">Suppliers!D45</f>
        <v>Sports &amp; Outdoors</v>
      </c>
      <c r="E45" s="29" t="s">
        <v>2117</v>
      </c>
      <c r="F45" s="29" t="s">
        <v>2118</v>
      </c>
      <c r="G45" s="20"/>
      <c r="H45" s="20"/>
      <c r="I45" s="20"/>
      <c r="J45" s="21"/>
      <c r="K45" s="20"/>
      <c r="L45" s="21"/>
      <c r="M45" s="20"/>
      <c r="N45" s="20"/>
    </row>
    <row r="46" customFormat="false" ht="15" hidden="false" customHeight="false" outlineLevel="0" collapsed="false">
      <c r="A46" s="28" t="str">
        <f aca="false">Suppliers!A46</f>
        <v>Germany</v>
      </c>
      <c r="B46" s="28" t="n">
        <f aca="false">Suppliers!B46</f>
        <v>45</v>
      </c>
      <c r="C46" s="28" t="str">
        <f aca="false">Suppliers!E46</f>
        <v>German Formula Express</v>
      </c>
      <c r="D46" s="28" t="str">
        <f aca="false">Suppliers!D46</f>
        <v>Baby Products</v>
      </c>
      <c r="E46" s="29" t="s">
        <v>2117</v>
      </c>
      <c r="F46" s="29" t="s">
        <v>2118</v>
      </c>
      <c r="G46" s="20"/>
      <c r="H46" s="20"/>
      <c r="I46" s="20"/>
      <c r="J46" s="21"/>
      <c r="K46" s="20"/>
      <c r="L46" s="21"/>
      <c r="M46" s="20"/>
      <c r="N46" s="20"/>
    </row>
    <row r="47" customFormat="false" ht="15" hidden="false" customHeight="false" outlineLevel="0" collapsed="false">
      <c r="A47" s="28" t="str">
        <f aca="false">Suppliers!A47</f>
        <v>Germany</v>
      </c>
      <c r="B47" s="28" t="n">
        <f aca="false">Suppliers!B47</f>
        <v>46</v>
      </c>
      <c r="C47" s="28" t="str">
        <f aca="false">Suppliers!E47</f>
        <v>Global Beauty Brands</v>
      </c>
      <c r="D47" s="28" t="str">
        <f aca="false">Suppliers!D47</f>
        <v>Beauty</v>
      </c>
      <c r="E47" s="29" t="s">
        <v>2117</v>
      </c>
      <c r="F47" s="29" t="s">
        <v>2118</v>
      </c>
      <c r="G47" s="20"/>
      <c r="H47" s="20"/>
      <c r="I47" s="20"/>
      <c r="J47" s="21"/>
      <c r="K47" s="20"/>
      <c r="L47" s="21"/>
      <c r="M47" s="20"/>
      <c r="N47" s="20"/>
    </row>
    <row r="48" customFormat="false" ht="15" hidden="false" customHeight="false" outlineLevel="0" collapsed="false">
      <c r="A48" s="28" t="str">
        <f aca="false">Suppliers!A48</f>
        <v>Germany</v>
      </c>
      <c r="B48" s="28" t="n">
        <f aca="false">Suppliers!B48</f>
        <v>47</v>
      </c>
      <c r="C48" s="28" t="str">
        <f aca="false">Suppliers!E48</f>
        <v>NOBILIS Group GmbH</v>
      </c>
      <c r="D48" s="28" t="str">
        <f aca="false">Suppliers!D48</f>
        <v>Fragrance</v>
      </c>
      <c r="E48" s="29" t="s">
        <v>2117</v>
      </c>
      <c r="F48" s="29" t="s">
        <v>2118</v>
      </c>
      <c r="G48" s="20"/>
      <c r="H48" s="20"/>
      <c r="I48" s="20"/>
      <c r="J48" s="21"/>
      <c r="K48" s="20"/>
      <c r="L48" s="21"/>
      <c r="M48" s="20"/>
      <c r="N48" s="20"/>
    </row>
    <row r="49" customFormat="false" ht="23.85" hidden="false" customHeight="false" outlineLevel="0" collapsed="false">
      <c r="A49" s="28" t="str">
        <f aca="false">Suppliers!A49</f>
        <v>Germany</v>
      </c>
      <c r="B49" s="28" t="n">
        <f aca="false">Suppliers!B49</f>
        <v>48</v>
      </c>
      <c r="C49" s="28" t="str">
        <f aca="false">Suppliers!E49</f>
        <v>IHTCT GmbH</v>
      </c>
      <c r="D49" s="28" t="str">
        <f aca="false">Suppliers!D49</f>
        <v>Health &amp; Personal Care</v>
      </c>
      <c r="E49" s="29" t="s">
        <v>2117</v>
      </c>
      <c r="F49" s="29" t="s">
        <v>2118</v>
      </c>
      <c r="G49" s="20"/>
      <c r="H49" s="20"/>
      <c r="I49" s="20"/>
      <c r="J49" s="21"/>
      <c r="K49" s="20"/>
      <c r="L49" s="21"/>
      <c r="M49" s="20"/>
      <c r="N49" s="20"/>
    </row>
    <row r="50" customFormat="false" ht="15" hidden="false" customHeight="false" outlineLevel="0" collapsed="false">
      <c r="A50" s="28" t="str">
        <f aca="false">Suppliers!A50</f>
        <v>Germany</v>
      </c>
      <c r="B50" s="28" t="n">
        <f aca="false">Suppliers!B50</f>
        <v>49</v>
      </c>
      <c r="C50" s="28" t="str">
        <f aca="false">Suppliers!E50</f>
        <v>Landahl &amp; Baumann Spielwaren GmbH</v>
      </c>
      <c r="D50" s="28" t="str">
        <f aca="false">Suppliers!D50</f>
        <v>Toys &amp; Games</v>
      </c>
      <c r="E50" s="29" t="s">
        <v>2117</v>
      </c>
      <c r="F50" s="29" t="s">
        <v>2118</v>
      </c>
      <c r="G50" s="20"/>
      <c r="H50" s="20"/>
      <c r="I50" s="20"/>
      <c r="J50" s="21"/>
      <c r="K50" s="20"/>
      <c r="L50" s="21"/>
      <c r="M50" s="20"/>
      <c r="N50" s="20"/>
    </row>
    <row r="51" customFormat="false" ht="15" hidden="false" customHeight="false" outlineLevel="0" collapsed="false">
      <c r="A51" s="28" t="str">
        <f aca="false">Suppliers!A51</f>
        <v>Ireland</v>
      </c>
      <c r="B51" s="28" t="n">
        <f aca="false">Suppliers!B51</f>
        <v>50</v>
      </c>
      <c r="C51" s="28" t="str">
        <f aca="false">Suppliers!E51</f>
        <v>Xpert Professional</v>
      </c>
      <c r="D51" s="28" t="str">
        <f aca="false">Suppliers!D51</f>
        <v>Beauty</v>
      </c>
      <c r="E51" s="29" t="s">
        <v>2117</v>
      </c>
      <c r="F51" s="29" t="s">
        <v>2118</v>
      </c>
      <c r="G51" s="20"/>
      <c r="H51" s="20"/>
      <c r="I51" s="20"/>
      <c r="J51" s="21"/>
      <c r="K51" s="20"/>
      <c r="L51" s="21"/>
      <c r="M51" s="20"/>
      <c r="N51" s="20"/>
    </row>
    <row r="52" customFormat="false" ht="15" hidden="false" customHeight="false" outlineLevel="0" collapsed="false">
      <c r="A52" s="28" t="str">
        <f aca="false">Suppliers!A52</f>
        <v>Italy</v>
      </c>
      <c r="B52" s="28" t="n">
        <f aca="false">Suppliers!B52</f>
        <v>51</v>
      </c>
      <c r="C52" s="28" t="str">
        <f aca="false">Suppliers!E52</f>
        <v>Camon &amp; Croci Pet Group S.p.A.</v>
      </c>
      <c r="D52" s="28" t="str">
        <f aca="false">Suppliers!D52</f>
        <v>Pet Supplies</v>
      </c>
      <c r="E52" s="29" t="s">
        <v>2117</v>
      </c>
      <c r="F52" s="29" t="s">
        <v>2118</v>
      </c>
      <c r="G52" s="20"/>
      <c r="H52" s="20"/>
      <c r="I52" s="20"/>
      <c r="J52" s="21"/>
      <c r="K52" s="20"/>
      <c r="L52" s="21"/>
      <c r="M52" s="20"/>
      <c r="N52" s="20"/>
    </row>
    <row r="53" customFormat="false" ht="15" hidden="false" customHeight="false" outlineLevel="0" collapsed="false">
      <c r="A53" s="28" t="str">
        <f aca="false">Suppliers!A53</f>
        <v>Italy</v>
      </c>
      <c r="B53" s="28" t="n">
        <f aca="false">Suppliers!B53</f>
        <v>52</v>
      </c>
      <c r="C53" s="28" t="str">
        <f aca="false">Suppliers!E53</f>
        <v>Brandsdistribution</v>
      </c>
      <c r="D53" s="28" t="str">
        <f aca="false">Suppliers!D53</f>
        <v>B2B Marketplace</v>
      </c>
      <c r="E53" s="29" t="s">
        <v>2117</v>
      </c>
      <c r="F53" s="29" t="s">
        <v>2118</v>
      </c>
      <c r="G53" s="20"/>
      <c r="H53" s="20"/>
      <c r="I53" s="20"/>
      <c r="J53" s="21"/>
      <c r="K53" s="20"/>
      <c r="L53" s="21"/>
      <c r="M53" s="20"/>
      <c r="N53" s="20"/>
    </row>
    <row r="54" customFormat="false" ht="15" hidden="false" customHeight="false" outlineLevel="0" collapsed="false">
      <c r="A54" s="28" t="str">
        <f aca="false">Suppliers!A54</f>
        <v>Italy</v>
      </c>
      <c r="B54" s="28" t="n">
        <f aca="false">Suppliers!B54</f>
        <v>53</v>
      </c>
      <c r="C54" s="28" t="str">
        <f aca="false">Suppliers!E54</f>
        <v>Profumerie P &amp; P Srl</v>
      </c>
      <c r="D54" s="28" t="str">
        <f aca="false">Suppliers!D54</f>
        <v>Fragrance</v>
      </c>
      <c r="E54" s="29" t="s">
        <v>2117</v>
      </c>
      <c r="F54" s="29" t="s">
        <v>2118</v>
      </c>
      <c r="G54" s="20"/>
      <c r="H54" s="20"/>
      <c r="I54" s="20"/>
      <c r="J54" s="21"/>
      <c r="K54" s="20"/>
      <c r="L54" s="21"/>
      <c r="M54" s="20"/>
      <c r="N54" s="20"/>
    </row>
    <row r="55" customFormat="false" ht="15" hidden="false" customHeight="false" outlineLevel="0" collapsed="false">
      <c r="A55" s="28" t="str">
        <f aca="false">Suppliers!A55</f>
        <v>Italy</v>
      </c>
      <c r="B55" s="28" t="n">
        <f aca="false">Suppliers!B55</f>
        <v>54</v>
      </c>
      <c r="C55" s="28" t="str">
        <f aca="false">Suppliers!E55</f>
        <v>The Italian Factory</v>
      </c>
      <c r="D55" s="28" t="str">
        <f aca="false">Suppliers!D55</f>
        <v>Fragrance</v>
      </c>
      <c r="E55" s="29" t="s">
        <v>2117</v>
      </c>
      <c r="F55" s="29" t="s">
        <v>2118</v>
      </c>
      <c r="G55" s="20"/>
      <c r="H55" s="20"/>
      <c r="I55" s="20"/>
      <c r="J55" s="21"/>
      <c r="K55" s="20"/>
      <c r="L55" s="21"/>
      <c r="M55" s="20"/>
      <c r="N55" s="20"/>
    </row>
    <row r="56" customFormat="false" ht="15" hidden="false" customHeight="false" outlineLevel="0" collapsed="false">
      <c r="A56" s="28" t="str">
        <f aca="false">Suppliers!A56</f>
        <v>Italy</v>
      </c>
      <c r="B56" s="28" t="n">
        <f aca="false">Suppliers!B56</f>
        <v>55</v>
      </c>
      <c r="C56" s="28" t="str">
        <f aca="false">Suppliers!E56</f>
        <v>Joy Toy SpA</v>
      </c>
      <c r="D56" s="28" t="str">
        <f aca="false">Suppliers!D56</f>
        <v>Toys &amp; Games</v>
      </c>
      <c r="E56" s="29" t="s">
        <v>2117</v>
      </c>
      <c r="F56" s="29" t="s">
        <v>2118</v>
      </c>
      <c r="G56" s="20"/>
      <c r="H56" s="20"/>
      <c r="I56" s="20"/>
      <c r="J56" s="21"/>
      <c r="K56" s="20"/>
      <c r="L56" s="21"/>
      <c r="M56" s="20"/>
      <c r="N56" s="20"/>
    </row>
    <row r="57" customFormat="false" ht="15" hidden="false" customHeight="false" outlineLevel="0" collapsed="false">
      <c r="A57" s="28" t="str">
        <f aca="false">Suppliers!A57</f>
        <v>Lithuania</v>
      </c>
      <c r="B57" s="28" t="n">
        <f aca="false">Suppliers!B57</f>
        <v>56</v>
      </c>
      <c r="C57" s="28" t="str">
        <f aca="false">Suppliers!E57</f>
        <v>Doho</v>
      </c>
      <c r="D57" s="28" t="str">
        <f aca="false">Suppliers!D57</f>
        <v>DIY &amp; Tools</v>
      </c>
      <c r="E57" s="29" t="s">
        <v>2117</v>
      </c>
      <c r="F57" s="29" t="s">
        <v>2118</v>
      </c>
      <c r="G57" s="20"/>
      <c r="H57" s="20"/>
      <c r="I57" s="20"/>
      <c r="J57" s="21"/>
      <c r="K57" s="20"/>
      <c r="L57" s="21"/>
      <c r="M57" s="20"/>
      <c r="N57" s="20"/>
    </row>
    <row r="58" customFormat="false" ht="15" hidden="false" customHeight="false" outlineLevel="0" collapsed="false">
      <c r="A58" s="28" t="str">
        <f aca="false">Suppliers!A58</f>
        <v>Netherlands</v>
      </c>
      <c r="B58" s="28" t="n">
        <f aca="false">Suppliers!B58</f>
        <v>57</v>
      </c>
      <c r="C58" s="28" t="str">
        <f aca="false">Suppliers!E58</f>
        <v>Difrax B.V.</v>
      </c>
      <c r="D58" s="28" t="str">
        <f aca="false">Suppliers!D58</f>
        <v>Baby Products</v>
      </c>
      <c r="E58" s="29" t="s">
        <v>2117</v>
      </c>
      <c r="F58" s="29" t="s">
        <v>2118</v>
      </c>
      <c r="G58" s="20"/>
      <c r="H58" s="20"/>
      <c r="I58" s="20"/>
      <c r="J58" s="21"/>
      <c r="K58" s="20"/>
      <c r="L58" s="21"/>
      <c r="M58" s="20"/>
      <c r="N58" s="20"/>
    </row>
    <row r="59" customFormat="false" ht="23.85" hidden="false" customHeight="false" outlineLevel="0" collapsed="false">
      <c r="A59" s="28" t="str">
        <f aca="false">Suppliers!A59</f>
        <v>Netherlands</v>
      </c>
      <c r="B59" s="28" t="n">
        <f aca="false">Suppliers!B59</f>
        <v>58</v>
      </c>
      <c r="C59" s="28" t="str">
        <f aca="false">Suppliers!E59</f>
        <v>West Coast Supply Group</v>
      </c>
      <c r="D59" s="28" t="str">
        <f aca="false">Suppliers!D59</f>
        <v>General Wholesale / FMCG</v>
      </c>
      <c r="E59" s="29" t="s">
        <v>2117</v>
      </c>
      <c r="F59" s="29" t="s">
        <v>2118</v>
      </c>
      <c r="G59" s="20"/>
      <c r="H59" s="20"/>
      <c r="I59" s="20"/>
      <c r="J59" s="21"/>
      <c r="K59" s="20"/>
      <c r="L59" s="21"/>
      <c r="M59" s="20"/>
      <c r="N59" s="20"/>
    </row>
    <row r="60" customFormat="false" ht="23.85" hidden="false" customHeight="false" outlineLevel="0" collapsed="false">
      <c r="A60" s="28" t="str">
        <f aca="false">Suppliers!A60</f>
        <v>Netherlands</v>
      </c>
      <c r="B60" s="28" t="n">
        <f aca="false">Suppliers!B60</f>
        <v>59</v>
      </c>
      <c r="C60" s="28" t="str">
        <f aca="false">Suppliers!E60</f>
        <v>NaskorSports B.V.</v>
      </c>
      <c r="D60" s="28" t="str">
        <f aca="false">Suppliers!D60</f>
        <v>Health &amp; Personal Care</v>
      </c>
      <c r="E60" s="29" t="s">
        <v>2117</v>
      </c>
      <c r="F60" s="29" t="s">
        <v>2118</v>
      </c>
      <c r="G60" s="20"/>
      <c r="H60" s="20"/>
      <c r="I60" s="20"/>
      <c r="J60" s="21"/>
      <c r="K60" s="20"/>
      <c r="L60" s="21"/>
      <c r="M60" s="20"/>
      <c r="N60" s="20"/>
    </row>
    <row r="61" customFormat="false" ht="23.85" hidden="false" customHeight="false" outlineLevel="0" collapsed="false">
      <c r="A61" s="28" t="str">
        <f aca="false">Suppliers!A61</f>
        <v>Netherlands</v>
      </c>
      <c r="B61" s="28" t="n">
        <f aca="false">Suppliers!B61</f>
        <v>60</v>
      </c>
      <c r="C61" s="28" t="str">
        <f aca="false">Suppliers!E61</f>
        <v>Parallel B.V. (ParallelBroker)</v>
      </c>
      <c r="D61" s="28" t="str">
        <f aca="false">Suppliers!D61</f>
        <v>Health &amp; Personal Care</v>
      </c>
      <c r="E61" s="29" t="s">
        <v>2117</v>
      </c>
      <c r="F61" s="29" t="s">
        <v>2118</v>
      </c>
      <c r="G61" s="20"/>
      <c r="H61" s="20"/>
      <c r="I61" s="20"/>
      <c r="J61" s="21"/>
      <c r="K61" s="20"/>
      <c r="L61" s="21"/>
      <c r="M61" s="20"/>
      <c r="N61" s="20"/>
    </row>
    <row r="62" customFormat="false" ht="15" hidden="false" customHeight="false" outlineLevel="0" collapsed="false">
      <c r="A62" s="28" t="str">
        <f aca="false">Suppliers!A62</f>
        <v>Netherlands</v>
      </c>
      <c r="B62" s="28" t="n">
        <f aca="false">Suppliers!B62</f>
        <v>61</v>
      </c>
      <c r="C62" s="28" t="str">
        <f aca="false">Suppliers!E62</f>
        <v>Koopman International B.V.</v>
      </c>
      <c r="D62" s="28" t="str">
        <f aca="false">Suppliers!D62</f>
        <v>Home &amp; Kitchen</v>
      </c>
      <c r="E62" s="29" t="s">
        <v>2117</v>
      </c>
      <c r="F62" s="29" t="s">
        <v>2118</v>
      </c>
      <c r="G62" s="20"/>
      <c r="H62" s="20"/>
      <c r="I62" s="20"/>
      <c r="J62" s="21"/>
      <c r="K62" s="20"/>
      <c r="L62" s="21"/>
      <c r="M62" s="20"/>
      <c r="N62" s="20"/>
    </row>
    <row r="63" customFormat="false" ht="23.85" hidden="false" customHeight="false" outlineLevel="0" collapsed="false">
      <c r="A63" s="28" t="str">
        <f aca="false">Suppliers!A63</f>
        <v>Netherlands</v>
      </c>
      <c r="B63" s="28" t="n">
        <f aca="false">Suppliers!B63</f>
        <v>62</v>
      </c>
      <c r="C63" s="28" t="str">
        <f aca="false">Suppliers!E63</f>
        <v>European Player Network (EPN) - Asmodee</v>
      </c>
      <c r="D63" s="28" t="str">
        <f aca="false">Suppliers!D63</f>
        <v>Toys &amp; Games</v>
      </c>
      <c r="E63" s="29" t="s">
        <v>2117</v>
      </c>
      <c r="F63" s="29" t="s">
        <v>2118</v>
      </c>
      <c r="G63" s="20"/>
      <c r="H63" s="20"/>
      <c r="I63" s="20"/>
      <c r="J63" s="21"/>
      <c r="K63" s="20"/>
      <c r="L63" s="21"/>
      <c r="M63" s="20"/>
      <c r="N63" s="20"/>
    </row>
    <row r="64" customFormat="false" ht="15" hidden="false" customHeight="false" outlineLevel="0" collapsed="false">
      <c r="A64" s="28" t="str">
        <f aca="false">Suppliers!A64</f>
        <v>Netherlands</v>
      </c>
      <c r="B64" s="28" t="n">
        <f aca="false">Suppliers!B64</f>
        <v>63</v>
      </c>
      <c r="C64" s="28" t="str">
        <f aca="false">Suppliers!E64</f>
        <v>AH Beauté BV</v>
      </c>
      <c r="D64" s="28" t="str">
        <f aca="false">Suppliers!D64</f>
        <v>Beauty</v>
      </c>
      <c r="E64" s="29" t="s">
        <v>2117</v>
      </c>
      <c r="F64" s="29" t="s">
        <v>2118</v>
      </c>
      <c r="G64" s="20"/>
      <c r="H64" s="20"/>
      <c r="I64" s="20"/>
      <c r="J64" s="21"/>
      <c r="K64" s="20"/>
      <c r="L64" s="21"/>
      <c r="M64" s="20"/>
      <c r="N64" s="20"/>
    </row>
    <row r="65" customFormat="false" ht="15" hidden="false" customHeight="false" outlineLevel="0" collapsed="false">
      <c r="A65" s="28" t="str">
        <f aca="false">Suppliers!A65</f>
        <v>Netherlands</v>
      </c>
      <c r="B65" s="28" t="n">
        <f aca="false">Suppliers!B65</f>
        <v>64</v>
      </c>
      <c r="C65" s="28" t="str">
        <f aca="false">Suppliers!E65</f>
        <v>Beautinow B.V.</v>
      </c>
      <c r="D65" s="28" t="str">
        <f aca="false">Suppliers!D65</f>
        <v>Fragrance</v>
      </c>
      <c r="E65" s="29" t="s">
        <v>2117</v>
      </c>
      <c r="F65" s="29" t="s">
        <v>2118</v>
      </c>
      <c r="G65" s="20"/>
      <c r="H65" s="20"/>
      <c r="I65" s="20"/>
      <c r="J65" s="21"/>
      <c r="K65" s="20"/>
      <c r="L65" s="21"/>
      <c r="M65" s="20"/>
      <c r="N65" s="20"/>
    </row>
    <row r="66" customFormat="false" ht="15" hidden="false" customHeight="false" outlineLevel="0" collapsed="false">
      <c r="A66" s="28" t="str">
        <f aca="false">Suppliers!A66</f>
        <v>Netherlands</v>
      </c>
      <c r="B66" s="28" t="n">
        <f aca="false">Suppliers!B66</f>
        <v>65</v>
      </c>
      <c r="C66" s="28" t="str">
        <f aca="false">Suppliers!E66</f>
        <v>Brabantia Export BV</v>
      </c>
      <c r="D66" s="28" t="str">
        <f aca="false">Suppliers!D66</f>
        <v>Home &amp; Kitchen</v>
      </c>
      <c r="E66" s="29" t="s">
        <v>2117</v>
      </c>
      <c r="F66" s="29" t="s">
        <v>2118</v>
      </c>
      <c r="G66" s="20"/>
      <c r="H66" s="20"/>
      <c r="I66" s="20"/>
      <c r="J66" s="21"/>
      <c r="K66" s="20"/>
      <c r="L66" s="21"/>
      <c r="M66" s="20"/>
      <c r="N66" s="20"/>
    </row>
    <row r="67" customFormat="false" ht="15" hidden="false" customHeight="false" outlineLevel="0" collapsed="false">
      <c r="A67" s="28" t="str">
        <f aca="false">Suppliers!A67</f>
        <v>Netherlands</v>
      </c>
      <c r="B67" s="28" t="n">
        <f aca="false">Suppliers!B67</f>
        <v>66</v>
      </c>
      <c r="C67" s="28" t="str">
        <f aca="false">Suppliers!E67</f>
        <v>vidaXL / dropshippingXL</v>
      </c>
      <c r="D67" s="28" t="str">
        <f aca="false">Suppliers!D67</f>
        <v>Home &amp; Kitchen</v>
      </c>
      <c r="E67" s="29" t="s">
        <v>2117</v>
      </c>
      <c r="F67" s="29" t="s">
        <v>2118</v>
      </c>
      <c r="G67" s="20"/>
      <c r="H67" s="20"/>
      <c r="I67" s="20"/>
      <c r="J67" s="21"/>
      <c r="K67" s="20"/>
      <c r="L67" s="21"/>
      <c r="M67" s="20"/>
      <c r="N67" s="20"/>
    </row>
    <row r="68" customFormat="false" ht="15" hidden="false" customHeight="false" outlineLevel="0" collapsed="false">
      <c r="A68" s="28" t="str">
        <f aca="false">Suppliers!A68</f>
        <v>Netherlands</v>
      </c>
      <c r="B68" s="28" t="n">
        <f aca="false">Suppliers!B68</f>
        <v>67</v>
      </c>
      <c r="C68" s="28" t="str">
        <f aca="false">Suppliers!E68</f>
        <v>Beeztees</v>
      </c>
      <c r="D68" s="28" t="str">
        <f aca="false">Suppliers!D68</f>
        <v>Pet Supplies</v>
      </c>
      <c r="E68" s="29" t="s">
        <v>2117</v>
      </c>
      <c r="F68" s="29" t="s">
        <v>2118</v>
      </c>
      <c r="G68" s="20"/>
      <c r="H68" s="20"/>
      <c r="I68" s="20"/>
      <c r="J68" s="21"/>
      <c r="K68" s="20"/>
      <c r="L68" s="21"/>
      <c r="M68" s="20"/>
      <c r="N68" s="20"/>
    </row>
    <row r="69" customFormat="false" ht="23.85" hidden="false" customHeight="false" outlineLevel="0" collapsed="false">
      <c r="A69" s="28" t="str">
        <f aca="false">Suppliers!A69</f>
        <v>Netherlands</v>
      </c>
      <c r="B69" s="28" t="n">
        <f aca="false">Suppliers!B69</f>
        <v>68</v>
      </c>
      <c r="C69" s="28" t="str">
        <f aca="false">Suppliers!E69</f>
        <v>Van der Meer Groothandel in Dierbenodigdheden B.V.</v>
      </c>
      <c r="D69" s="28" t="str">
        <f aca="false">Suppliers!D69</f>
        <v>Pet Supplies</v>
      </c>
      <c r="E69" s="29" t="s">
        <v>2117</v>
      </c>
      <c r="F69" s="29" t="s">
        <v>2118</v>
      </c>
      <c r="G69" s="20"/>
      <c r="H69" s="20"/>
      <c r="I69" s="20"/>
      <c r="J69" s="21"/>
      <c r="K69" s="20"/>
      <c r="L69" s="21"/>
      <c r="M69" s="20"/>
      <c r="N69" s="20"/>
    </row>
    <row r="70" customFormat="false" ht="15" hidden="false" customHeight="false" outlineLevel="0" collapsed="false">
      <c r="A70" s="28" t="str">
        <f aca="false">Suppliers!A70</f>
        <v>Netherlands</v>
      </c>
      <c r="B70" s="28" t="n">
        <f aca="false">Suppliers!B70</f>
        <v>69</v>
      </c>
      <c r="C70" s="28" t="str">
        <f aca="false">Suppliers!E70</f>
        <v>NRG Fitness B.V.</v>
      </c>
      <c r="D70" s="28" t="str">
        <f aca="false">Suppliers!D70</f>
        <v>Sports &amp; Outdoors</v>
      </c>
      <c r="E70" s="29" t="s">
        <v>2117</v>
      </c>
      <c r="F70" s="29" t="s">
        <v>2118</v>
      </c>
      <c r="G70" s="20"/>
      <c r="H70" s="20"/>
      <c r="I70" s="20"/>
      <c r="J70" s="21"/>
      <c r="K70" s="20"/>
      <c r="L70" s="21"/>
      <c r="M70" s="20"/>
      <c r="N70" s="20"/>
    </row>
    <row r="71" customFormat="false" ht="15" hidden="false" customHeight="false" outlineLevel="0" collapsed="false">
      <c r="A71" s="28" t="str">
        <f aca="false">Suppliers!A71</f>
        <v>Netherlands</v>
      </c>
      <c r="B71" s="28" t="n">
        <f aca="false">Suppliers!B71</f>
        <v>70</v>
      </c>
      <c r="C71" s="28" t="str">
        <f aca="false">Suppliers!E71</f>
        <v>ALSO Nederland</v>
      </c>
      <c r="D71" s="28" t="str">
        <f aca="false">Suppliers!D71</f>
        <v>Stationery &amp; Office</v>
      </c>
      <c r="E71" s="29" t="s">
        <v>2117</v>
      </c>
      <c r="F71" s="29" t="s">
        <v>2118</v>
      </c>
      <c r="G71" s="20"/>
      <c r="H71" s="20"/>
      <c r="I71" s="20"/>
      <c r="J71" s="21"/>
      <c r="K71" s="20"/>
      <c r="L71" s="21"/>
      <c r="M71" s="20"/>
      <c r="N71" s="20"/>
    </row>
    <row r="72" customFormat="false" ht="15" hidden="false" customHeight="false" outlineLevel="0" collapsed="false">
      <c r="A72" s="28" t="str">
        <f aca="false">Suppliers!A72</f>
        <v>Netherlands</v>
      </c>
      <c r="B72" s="28" t="n">
        <f aca="false">Suppliers!B72</f>
        <v>71</v>
      </c>
      <c r="C72" s="28" t="str">
        <f aca="false">Suppliers!E72</f>
        <v>Complies BV</v>
      </c>
      <c r="D72" s="28" t="str">
        <f aca="false">Suppliers!D72</f>
        <v>Stationery &amp; Office</v>
      </c>
      <c r="E72" s="29" t="s">
        <v>2117</v>
      </c>
      <c r="F72" s="29" t="s">
        <v>2118</v>
      </c>
      <c r="G72" s="20"/>
      <c r="H72" s="20"/>
      <c r="I72" s="20"/>
      <c r="J72" s="21"/>
      <c r="K72" s="20"/>
      <c r="L72" s="21"/>
      <c r="M72" s="20"/>
      <c r="N72" s="20"/>
    </row>
    <row r="73" customFormat="false" ht="15" hidden="false" customHeight="false" outlineLevel="0" collapsed="false">
      <c r="A73" s="28" t="str">
        <f aca="false">Suppliers!A73</f>
        <v>Netherlands</v>
      </c>
      <c r="B73" s="28" t="n">
        <f aca="false">Suppliers!B73</f>
        <v>72</v>
      </c>
      <c r="C73" s="28" t="str">
        <f aca="false">Suppliers!E73</f>
        <v>Spectron The Toy Company</v>
      </c>
      <c r="D73" s="28" t="str">
        <f aca="false">Suppliers!D73</f>
        <v>Toys &amp; Games</v>
      </c>
      <c r="E73" s="29" t="s">
        <v>2117</v>
      </c>
      <c r="F73" s="29" t="s">
        <v>2118</v>
      </c>
      <c r="G73" s="20"/>
      <c r="H73" s="20"/>
      <c r="I73" s="20"/>
      <c r="J73" s="21"/>
      <c r="K73" s="20"/>
      <c r="L73" s="21"/>
      <c r="M73" s="20"/>
      <c r="N73" s="20"/>
    </row>
    <row r="74" customFormat="false" ht="15" hidden="false" customHeight="false" outlineLevel="0" collapsed="false">
      <c r="A74" s="28" t="str">
        <f aca="false">Suppliers!A74</f>
        <v>Netherlands</v>
      </c>
      <c r="B74" s="28" t="n">
        <f aca="false">Suppliers!B74</f>
        <v>73</v>
      </c>
      <c r="C74" s="28" t="str">
        <f aca="false">Suppliers!E74</f>
        <v>Toi-Toys</v>
      </c>
      <c r="D74" s="28" t="str">
        <f aca="false">Suppliers!D74</f>
        <v>Toys &amp; Games</v>
      </c>
      <c r="E74" s="29" t="s">
        <v>2117</v>
      </c>
      <c r="F74" s="29" t="s">
        <v>2118</v>
      </c>
      <c r="G74" s="20"/>
      <c r="H74" s="20"/>
      <c r="I74" s="20"/>
      <c r="J74" s="21"/>
      <c r="K74" s="20"/>
      <c r="L74" s="21"/>
      <c r="M74" s="20"/>
      <c r="N74" s="20"/>
    </row>
    <row r="75" customFormat="false" ht="15" hidden="false" customHeight="false" outlineLevel="0" collapsed="false">
      <c r="A75" s="28" t="str">
        <f aca="false">Suppliers!A75</f>
        <v>Netherlands</v>
      </c>
      <c r="B75" s="28" t="n">
        <f aca="false">Suppliers!B75</f>
        <v>74</v>
      </c>
      <c r="C75" s="28" t="str">
        <f aca="false">Suppliers!E75</f>
        <v>Groothandel Beauty</v>
      </c>
      <c r="D75" s="28" t="str">
        <f aca="false">Suppliers!D75</f>
        <v>Beauty</v>
      </c>
      <c r="E75" s="29" t="s">
        <v>2117</v>
      </c>
      <c r="F75" s="29" t="s">
        <v>2118</v>
      </c>
      <c r="G75" s="20"/>
      <c r="H75" s="20"/>
      <c r="I75" s="20"/>
      <c r="J75" s="21"/>
      <c r="K75" s="20"/>
      <c r="L75" s="21"/>
      <c r="M75" s="20"/>
      <c r="N75" s="20"/>
    </row>
    <row r="76" customFormat="false" ht="15" hidden="false" customHeight="false" outlineLevel="0" collapsed="false">
      <c r="A76" s="28" t="str">
        <f aca="false">Suppliers!A76</f>
        <v>Netherlands</v>
      </c>
      <c r="B76" s="28" t="n">
        <f aca="false">Suppliers!B76</f>
        <v>75</v>
      </c>
      <c r="C76" s="28" t="str">
        <f aca="false">Suppliers!E76</f>
        <v>B&amp;S Group (B&amp;S Beauty)</v>
      </c>
      <c r="D76" s="28" t="str">
        <f aca="false">Suppliers!D76</f>
        <v>Fragrance</v>
      </c>
      <c r="E76" s="29" t="s">
        <v>2117</v>
      </c>
      <c r="F76" s="29" t="s">
        <v>2118</v>
      </c>
      <c r="G76" s="20"/>
      <c r="H76" s="20"/>
      <c r="I76" s="20"/>
      <c r="J76" s="21"/>
      <c r="K76" s="20"/>
      <c r="L76" s="21"/>
      <c r="M76" s="20"/>
      <c r="N76" s="20"/>
    </row>
    <row r="77" customFormat="false" ht="15" hidden="false" customHeight="false" outlineLevel="0" collapsed="false">
      <c r="A77" s="28" t="str">
        <f aca="false">Suppliers!A77</f>
        <v>Netherlands</v>
      </c>
      <c r="B77" s="28" t="n">
        <f aca="false">Suppliers!B77</f>
        <v>76</v>
      </c>
      <c r="C77" s="28" t="str">
        <f aca="false">Suppliers!E77</f>
        <v>EleganceWholesale</v>
      </c>
      <c r="D77" s="28" t="str">
        <f aca="false">Suppliers!D77</f>
        <v>Fragrance</v>
      </c>
      <c r="E77" s="29" t="s">
        <v>2117</v>
      </c>
      <c r="F77" s="29" t="s">
        <v>2118</v>
      </c>
      <c r="G77" s="20"/>
      <c r="H77" s="20"/>
      <c r="I77" s="20"/>
      <c r="J77" s="21"/>
      <c r="K77" s="20"/>
      <c r="L77" s="21"/>
      <c r="M77" s="20"/>
      <c r="N77" s="20"/>
    </row>
    <row r="78" customFormat="false" ht="23.85" hidden="false" customHeight="false" outlineLevel="0" collapsed="false">
      <c r="A78" s="28" t="str">
        <f aca="false">Suppliers!A78</f>
        <v>Netherlands</v>
      </c>
      <c r="B78" s="28" t="n">
        <f aca="false">Suppliers!B78</f>
        <v>77</v>
      </c>
      <c r="C78" s="28" t="str">
        <f aca="false">Suppliers!E78</f>
        <v>METRO / Makro (EU cash &amp; carry)</v>
      </c>
      <c r="D78" s="28" t="str">
        <f aca="false">Suppliers!D78</f>
        <v>General Wholesale / FMCG</v>
      </c>
      <c r="E78" s="29" t="s">
        <v>2117</v>
      </c>
      <c r="F78" s="29" t="s">
        <v>2118</v>
      </c>
      <c r="G78" s="20"/>
      <c r="H78" s="20"/>
      <c r="I78" s="20"/>
      <c r="J78" s="21"/>
      <c r="K78" s="20"/>
      <c r="L78" s="21"/>
      <c r="M78" s="20"/>
      <c r="N78" s="20"/>
    </row>
    <row r="79" customFormat="false" ht="23.85" hidden="false" customHeight="false" outlineLevel="0" collapsed="false">
      <c r="A79" s="28" t="str">
        <f aca="false">Suppliers!A79</f>
        <v>Netherlands</v>
      </c>
      <c r="B79" s="28" t="n">
        <f aca="false">Suppliers!B79</f>
        <v>78</v>
      </c>
      <c r="C79" s="28" t="str">
        <f aca="false">Suppliers!E79</f>
        <v>Topbrands</v>
      </c>
      <c r="D79" s="28" t="str">
        <f aca="false">Suppliers!D79</f>
        <v>Health &amp; Personal Care</v>
      </c>
      <c r="E79" s="29" t="s">
        <v>2117</v>
      </c>
      <c r="F79" s="29" t="s">
        <v>2118</v>
      </c>
      <c r="G79" s="20"/>
      <c r="H79" s="20"/>
      <c r="I79" s="20"/>
      <c r="J79" s="21"/>
      <c r="K79" s="20"/>
      <c r="L79" s="21"/>
      <c r="M79" s="20"/>
      <c r="N79" s="20"/>
    </row>
    <row r="80" customFormat="false" ht="23.85" hidden="false" customHeight="false" outlineLevel="0" collapsed="false">
      <c r="A80" s="28" t="str">
        <f aca="false">Suppliers!A80</f>
        <v>Netherlands</v>
      </c>
      <c r="B80" s="28" t="n">
        <f aca="false">Suppliers!B80</f>
        <v>79</v>
      </c>
      <c r="C80" s="28" t="str">
        <f aca="false">Suppliers!E80</f>
        <v>Van der Tang Trading (cosmeticapartijen.nl)</v>
      </c>
      <c r="D80" s="28" t="str">
        <f aca="false">Suppliers!D80</f>
        <v>Health &amp; Personal Care</v>
      </c>
      <c r="E80" s="29" t="s">
        <v>2117</v>
      </c>
      <c r="F80" s="29" t="s">
        <v>2118</v>
      </c>
      <c r="G80" s="20"/>
      <c r="H80" s="20"/>
      <c r="I80" s="20"/>
      <c r="J80" s="21"/>
      <c r="K80" s="20"/>
      <c r="L80" s="21"/>
      <c r="M80" s="20"/>
      <c r="N80" s="20"/>
    </row>
    <row r="81" customFormat="false" ht="23.85" hidden="false" customHeight="false" outlineLevel="0" collapsed="false">
      <c r="A81" s="28" t="str">
        <f aca="false">Suppliers!A81</f>
        <v>Netherlands</v>
      </c>
      <c r="B81" s="28" t="n">
        <f aca="false">Suppliers!B81</f>
        <v>80</v>
      </c>
      <c r="C81" s="28" t="str">
        <f aca="false">Suppliers!E81</f>
        <v>W Pharma Europe</v>
      </c>
      <c r="D81" s="28" t="str">
        <f aca="false">Suppliers!D81</f>
        <v>Health &amp; Personal Care</v>
      </c>
      <c r="E81" s="29" t="s">
        <v>2117</v>
      </c>
      <c r="F81" s="29" t="s">
        <v>2118</v>
      </c>
      <c r="G81" s="20"/>
      <c r="H81" s="20"/>
      <c r="I81" s="20"/>
      <c r="J81" s="21"/>
      <c r="K81" s="20"/>
      <c r="L81" s="21"/>
      <c r="M81" s="20"/>
      <c r="N81" s="20"/>
    </row>
    <row r="82" customFormat="false" ht="15" hidden="false" customHeight="false" outlineLevel="0" collapsed="false">
      <c r="A82" s="28" t="str">
        <f aca="false">Suppliers!A82</f>
        <v>Netherlands</v>
      </c>
      <c r="B82" s="28" t="n">
        <f aca="false">Suppliers!B82</f>
        <v>81</v>
      </c>
      <c r="C82" s="28" t="str">
        <f aca="false">Suppliers!E82</f>
        <v>Papillon Pet Products B.V.</v>
      </c>
      <c r="D82" s="28" t="str">
        <f aca="false">Suppliers!D82</f>
        <v>Pet Supplies</v>
      </c>
      <c r="E82" s="29" t="s">
        <v>2117</v>
      </c>
      <c r="F82" s="29" t="s">
        <v>2118</v>
      </c>
      <c r="G82" s="20"/>
      <c r="H82" s="20"/>
      <c r="I82" s="20"/>
      <c r="J82" s="21"/>
      <c r="K82" s="20"/>
      <c r="L82" s="21"/>
      <c r="M82" s="20"/>
      <c r="N82" s="20"/>
    </row>
    <row r="83" customFormat="false" ht="15" hidden="false" customHeight="false" outlineLevel="0" collapsed="false">
      <c r="A83" s="28" t="str">
        <f aca="false">Suppliers!A83</f>
        <v>Netherlands</v>
      </c>
      <c r="B83" s="28" t="n">
        <f aca="false">Suppliers!B83</f>
        <v>82</v>
      </c>
      <c r="C83" s="28" t="str">
        <f aca="false">Suppliers!E83</f>
        <v>Bellus Toys B.V.</v>
      </c>
      <c r="D83" s="28" t="str">
        <f aca="false">Suppliers!D83</f>
        <v>Toys &amp; Games</v>
      </c>
      <c r="E83" s="29" t="s">
        <v>2117</v>
      </c>
      <c r="F83" s="29" t="s">
        <v>2118</v>
      </c>
      <c r="G83" s="20"/>
      <c r="H83" s="20"/>
      <c r="I83" s="20"/>
      <c r="J83" s="21"/>
      <c r="K83" s="20"/>
      <c r="L83" s="21"/>
      <c r="M83" s="20"/>
      <c r="N83" s="20"/>
    </row>
    <row r="84" customFormat="false" ht="15" hidden="false" customHeight="false" outlineLevel="0" collapsed="false">
      <c r="A84" s="28" t="str">
        <f aca="false">Suppliers!A84</f>
        <v>Netherlands</v>
      </c>
      <c r="B84" s="28" t="n">
        <f aca="false">Suppliers!B84</f>
        <v>83</v>
      </c>
      <c r="C84" s="28" t="str">
        <f aca="false">Suppliers!E84</f>
        <v>Channel Distribution B.V.</v>
      </c>
      <c r="D84" s="28" t="str">
        <f aca="false">Suppliers!D84</f>
        <v>Toys &amp; Games</v>
      </c>
      <c r="E84" s="29" t="s">
        <v>2117</v>
      </c>
      <c r="F84" s="29" t="s">
        <v>2118</v>
      </c>
      <c r="G84" s="20"/>
      <c r="H84" s="20"/>
      <c r="I84" s="20"/>
      <c r="J84" s="21"/>
      <c r="K84" s="20"/>
      <c r="L84" s="21"/>
      <c r="M84" s="20"/>
      <c r="N84" s="20"/>
    </row>
    <row r="85" customFormat="false" ht="15" hidden="false" customHeight="false" outlineLevel="0" collapsed="false">
      <c r="A85" s="28" t="str">
        <f aca="false">Suppliers!A85</f>
        <v>Netherlands</v>
      </c>
      <c r="B85" s="28" t="n">
        <f aca="false">Suppliers!B85</f>
        <v>84</v>
      </c>
      <c r="C85" s="28" t="str">
        <f aca="false">Suppliers!E85</f>
        <v>Join Stadskanaal B.V.</v>
      </c>
      <c r="D85" s="28" t="str">
        <f aca="false">Suppliers!D85</f>
        <v>Fragrance</v>
      </c>
      <c r="E85" s="29" t="s">
        <v>2117</v>
      </c>
      <c r="F85" s="29" t="s">
        <v>2118</v>
      </c>
      <c r="G85" s="20"/>
      <c r="H85" s="20"/>
      <c r="I85" s="20"/>
      <c r="J85" s="21"/>
      <c r="K85" s="20"/>
      <c r="L85" s="21"/>
      <c r="M85" s="20"/>
      <c r="N85" s="20"/>
    </row>
    <row r="86" customFormat="false" ht="23.85" hidden="false" customHeight="false" outlineLevel="0" collapsed="false">
      <c r="A86" s="28" t="str">
        <f aca="false">Suppliers!A86</f>
        <v>Netherlands</v>
      </c>
      <c r="B86" s="28" t="n">
        <f aca="false">Suppliers!B86</f>
        <v>85</v>
      </c>
      <c r="C86" s="28" t="str">
        <f aca="false">Suppliers!E86</f>
        <v>Europe Pharma Group B.V.</v>
      </c>
      <c r="D86" s="28" t="str">
        <f aca="false">Suppliers!D86</f>
        <v>Health &amp; Personal Care</v>
      </c>
      <c r="E86" s="29" t="s">
        <v>2117</v>
      </c>
      <c r="F86" s="29" t="s">
        <v>2118</v>
      </c>
      <c r="G86" s="20"/>
      <c r="H86" s="20"/>
      <c r="I86" s="20"/>
      <c r="J86" s="21"/>
      <c r="K86" s="20"/>
      <c r="L86" s="21"/>
      <c r="M86" s="20"/>
      <c r="N86" s="20"/>
    </row>
    <row r="87" customFormat="false" ht="23.85" hidden="false" customHeight="false" outlineLevel="0" collapsed="false">
      <c r="A87" s="28" t="str">
        <f aca="false">Suppliers!A87</f>
        <v>Poland</v>
      </c>
      <c r="B87" s="28" t="n">
        <f aca="false">Suppliers!B87</f>
        <v>86</v>
      </c>
      <c r="C87" s="28" t="str">
        <f aca="false">Suppliers!E87</f>
        <v>Canpol Sp. z o.o. (Canpol babies, LOVI, Difrax)</v>
      </c>
      <c r="D87" s="28" t="str">
        <f aca="false">Suppliers!D87</f>
        <v>Baby Products</v>
      </c>
      <c r="E87" s="29" t="s">
        <v>2117</v>
      </c>
      <c r="F87" s="29" t="s">
        <v>2118</v>
      </c>
      <c r="G87" s="20"/>
      <c r="H87" s="20"/>
      <c r="I87" s="20"/>
      <c r="J87" s="21"/>
      <c r="K87" s="20"/>
      <c r="L87" s="21"/>
      <c r="M87" s="20"/>
      <c r="N87" s="20"/>
    </row>
    <row r="88" customFormat="false" ht="15" hidden="false" customHeight="false" outlineLevel="0" collapsed="false">
      <c r="A88" s="28" t="str">
        <f aca="false">Suppliers!A88</f>
        <v>Poland</v>
      </c>
      <c r="B88" s="28" t="n">
        <f aca="false">Suppliers!B88</f>
        <v>87</v>
      </c>
      <c r="C88" s="28" t="str">
        <f aca="false">Suppliers!E88</f>
        <v>Eveline Cosmetics</v>
      </c>
      <c r="D88" s="28" t="str">
        <f aca="false">Suppliers!D88</f>
        <v>Beauty</v>
      </c>
      <c r="E88" s="29" t="s">
        <v>2117</v>
      </c>
      <c r="F88" s="29" t="s">
        <v>2118</v>
      </c>
      <c r="G88" s="20"/>
      <c r="H88" s="20"/>
      <c r="I88" s="20"/>
      <c r="J88" s="21"/>
      <c r="K88" s="20"/>
      <c r="L88" s="21"/>
      <c r="M88" s="20"/>
      <c r="N88" s="20"/>
    </row>
    <row r="89" customFormat="false" ht="23.85" hidden="false" customHeight="false" outlineLevel="0" collapsed="false">
      <c r="A89" s="28" t="str">
        <f aca="false">Suppliers!A89</f>
        <v>Poland</v>
      </c>
      <c r="B89" s="28" t="n">
        <f aca="false">Suppliers!B89</f>
        <v>88</v>
      </c>
      <c r="C89" s="28" t="str">
        <f aca="false">Suppliers!E89</f>
        <v>GTX Poland Sp. z o.o. Sp. k. (formerly Grupa Topex)</v>
      </c>
      <c r="D89" s="28" t="str">
        <f aca="false">Suppliers!D89</f>
        <v>DIY &amp; Tools</v>
      </c>
      <c r="E89" s="29" t="s">
        <v>2117</v>
      </c>
      <c r="F89" s="29" t="s">
        <v>2118</v>
      </c>
      <c r="G89" s="20"/>
      <c r="H89" s="20"/>
      <c r="I89" s="20"/>
      <c r="J89" s="21"/>
      <c r="K89" s="20"/>
      <c r="L89" s="21"/>
      <c r="M89" s="20"/>
      <c r="N89" s="20"/>
    </row>
    <row r="90" customFormat="false" ht="23.85" hidden="false" customHeight="false" outlineLevel="0" collapsed="false">
      <c r="A90" s="28" t="str">
        <f aca="false">Suppliers!A90</f>
        <v>Poland</v>
      </c>
      <c r="B90" s="28" t="n">
        <f aca="false">Suppliers!B90</f>
        <v>89</v>
      </c>
      <c r="C90" s="28" t="str">
        <f aca="false">Suppliers!E90</f>
        <v>Olivit Sp. z o.o.</v>
      </c>
      <c r="D90" s="28" t="str">
        <f aca="false">Suppliers!D90</f>
        <v>Health &amp; Personal Care</v>
      </c>
      <c r="E90" s="29" t="s">
        <v>2117</v>
      </c>
      <c r="F90" s="29" t="s">
        <v>2118</v>
      </c>
      <c r="G90" s="20"/>
      <c r="H90" s="20"/>
      <c r="I90" s="20"/>
      <c r="J90" s="21"/>
      <c r="K90" s="20"/>
      <c r="L90" s="21"/>
      <c r="M90" s="20"/>
      <c r="N90" s="20"/>
    </row>
    <row r="91" customFormat="false" ht="15" hidden="false" customHeight="false" outlineLevel="0" collapsed="false">
      <c r="A91" s="28" t="str">
        <f aca="false">Suppliers!A91</f>
        <v>Poland</v>
      </c>
      <c r="B91" s="28" t="n">
        <f aca="false">Suppliers!B91</f>
        <v>90</v>
      </c>
      <c r="C91" s="28" t="str">
        <f aca="false">Suppliers!E91</f>
        <v>BabyOno</v>
      </c>
      <c r="D91" s="28" t="str">
        <f aca="false">Suppliers!D91</f>
        <v>Baby Products</v>
      </c>
      <c r="E91" s="29" t="s">
        <v>2117</v>
      </c>
      <c r="F91" s="29" t="s">
        <v>2118</v>
      </c>
      <c r="G91" s="20"/>
      <c r="H91" s="20"/>
      <c r="I91" s="20"/>
      <c r="J91" s="21"/>
      <c r="K91" s="20"/>
      <c r="L91" s="21"/>
      <c r="M91" s="20"/>
      <c r="N91" s="20"/>
    </row>
    <row r="92" customFormat="false" ht="15" hidden="false" customHeight="false" outlineLevel="0" collapsed="false">
      <c r="A92" s="28" t="str">
        <f aca="false">Suppliers!A92</f>
        <v>Poland</v>
      </c>
      <c r="B92" s="28" t="n">
        <f aca="false">Suppliers!B92</f>
        <v>91</v>
      </c>
      <c r="C92" s="28" t="str">
        <f aca="false">Suppliers!E92</f>
        <v>Davi (Hurtownia Davi)</v>
      </c>
      <c r="D92" s="28" t="str">
        <f aca="false">Suppliers!D92</f>
        <v>Beauty</v>
      </c>
      <c r="E92" s="29" t="s">
        <v>2117</v>
      </c>
      <c r="F92" s="29" t="s">
        <v>2118</v>
      </c>
      <c r="G92" s="20"/>
      <c r="H92" s="20"/>
      <c r="I92" s="20"/>
      <c r="J92" s="21"/>
      <c r="K92" s="20"/>
      <c r="L92" s="21"/>
      <c r="M92" s="20"/>
      <c r="N92" s="20"/>
    </row>
    <row r="93" customFormat="false" ht="15" hidden="false" customHeight="false" outlineLevel="0" collapsed="false">
      <c r="A93" s="28" t="str">
        <f aca="false">Suppliers!A93</f>
        <v>Poland</v>
      </c>
      <c r="B93" s="28" t="n">
        <f aca="false">Suppliers!B93</f>
        <v>92</v>
      </c>
      <c r="C93" s="28" t="str">
        <f aca="false">Suppliers!E93</f>
        <v>Ziaja Ltd</v>
      </c>
      <c r="D93" s="28" t="str">
        <f aca="false">Suppliers!D93</f>
        <v>Beauty</v>
      </c>
      <c r="E93" s="29" t="s">
        <v>2117</v>
      </c>
      <c r="F93" s="29" t="s">
        <v>2118</v>
      </c>
      <c r="G93" s="20"/>
      <c r="H93" s="20"/>
      <c r="I93" s="20"/>
      <c r="J93" s="21"/>
      <c r="K93" s="20"/>
      <c r="L93" s="21"/>
      <c r="M93" s="20"/>
      <c r="N93" s="20"/>
    </row>
    <row r="94" customFormat="false" ht="15" hidden="false" customHeight="false" outlineLevel="0" collapsed="false">
      <c r="A94" s="28" t="str">
        <f aca="false">Suppliers!A94</f>
        <v>Poland</v>
      </c>
      <c r="B94" s="28" t="n">
        <f aca="false">Suppliers!B94</f>
        <v>93</v>
      </c>
      <c r="C94" s="28" t="str">
        <f aca="false">Suppliers!E94</f>
        <v>Dedra Exim Sp. z o.o.</v>
      </c>
      <c r="D94" s="28" t="str">
        <f aca="false">Suppliers!D94</f>
        <v>DIY &amp; Tools</v>
      </c>
      <c r="E94" s="29" t="s">
        <v>2117</v>
      </c>
      <c r="F94" s="29" t="s">
        <v>2118</v>
      </c>
      <c r="G94" s="20"/>
      <c r="H94" s="20"/>
      <c r="I94" s="20"/>
      <c r="J94" s="21"/>
      <c r="K94" s="20"/>
      <c r="L94" s="21"/>
      <c r="M94" s="20"/>
      <c r="N94" s="20"/>
    </row>
    <row r="95" customFormat="false" ht="15" hidden="false" customHeight="false" outlineLevel="0" collapsed="false">
      <c r="A95" s="28" t="str">
        <f aca="false">Suppliers!A95</f>
        <v>Poland</v>
      </c>
      <c r="B95" s="28" t="n">
        <f aca="false">Suppliers!B95</f>
        <v>94</v>
      </c>
      <c r="C95" s="28" t="str">
        <f aca="false">Suppliers!E95</f>
        <v>Logo-Tools Sp. z o.o.</v>
      </c>
      <c r="D95" s="28" t="str">
        <f aca="false">Suppliers!D95</f>
        <v>DIY &amp; Tools</v>
      </c>
      <c r="E95" s="29" t="s">
        <v>2117</v>
      </c>
      <c r="F95" s="29" t="s">
        <v>2118</v>
      </c>
      <c r="G95" s="20"/>
      <c r="H95" s="20"/>
      <c r="I95" s="20"/>
      <c r="J95" s="21"/>
      <c r="K95" s="20"/>
      <c r="L95" s="21"/>
      <c r="M95" s="20"/>
      <c r="N95" s="20"/>
    </row>
    <row r="96" customFormat="false" ht="15" hidden="false" customHeight="false" outlineLevel="0" collapsed="false">
      <c r="A96" s="28" t="str">
        <f aca="false">Suppliers!A96</f>
        <v>Poland</v>
      </c>
      <c r="B96" s="28" t="n">
        <f aca="false">Suppliers!B96</f>
        <v>95</v>
      </c>
      <c r="C96" s="28" t="str">
        <f aca="false">Suppliers!E96</f>
        <v>MisterM Plus Sp. z o.o. Sp.k.</v>
      </c>
      <c r="D96" s="28" t="str">
        <f aca="false">Suppliers!D96</f>
        <v>Fragrance</v>
      </c>
      <c r="E96" s="29" t="s">
        <v>2117</v>
      </c>
      <c r="F96" s="29" t="s">
        <v>2118</v>
      </c>
      <c r="G96" s="20"/>
      <c r="H96" s="20"/>
      <c r="I96" s="20"/>
      <c r="J96" s="21"/>
      <c r="K96" s="20"/>
      <c r="L96" s="21"/>
      <c r="M96" s="20"/>
      <c r="N96" s="20"/>
    </row>
    <row r="97" customFormat="false" ht="15" hidden="false" customHeight="false" outlineLevel="0" collapsed="false">
      <c r="A97" s="28" t="str">
        <f aca="false">Suppliers!A97</f>
        <v>Poland</v>
      </c>
      <c r="B97" s="28" t="n">
        <f aca="false">Suppliers!B97</f>
        <v>96</v>
      </c>
      <c r="C97" s="28" t="str">
        <f aca="false">Suppliers!E97</f>
        <v>Parfum Company Sp. z o.o. S.K.A.</v>
      </c>
      <c r="D97" s="28" t="str">
        <f aca="false">Suppliers!D97</f>
        <v>Fragrance</v>
      </c>
      <c r="E97" s="29" t="s">
        <v>2117</v>
      </c>
      <c r="F97" s="29" t="s">
        <v>2118</v>
      </c>
      <c r="G97" s="20"/>
      <c r="H97" s="20"/>
      <c r="I97" s="20"/>
      <c r="J97" s="21"/>
      <c r="K97" s="20"/>
      <c r="L97" s="21"/>
      <c r="M97" s="20"/>
      <c r="N97" s="20"/>
    </row>
    <row r="98" customFormat="false" ht="23.85" hidden="false" customHeight="false" outlineLevel="0" collapsed="false">
      <c r="A98" s="28" t="str">
        <f aca="false">Suppliers!A98</f>
        <v>Poland</v>
      </c>
      <c r="B98" s="28" t="n">
        <f aca="false">Suppliers!B98</f>
        <v>97</v>
      </c>
      <c r="C98" s="28" t="str">
        <f aca="false">Suppliers!E98</f>
        <v>ZIP Wieczorek Sp. z o.o.</v>
      </c>
      <c r="D98" s="28" t="str">
        <f aca="false">Suppliers!D98</f>
        <v>Health &amp; Personal Care</v>
      </c>
      <c r="E98" s="29" t="s">
        <v>2117</v>
      </c>
      <c r="F98" s="29" t="s">
        <v>2118</v>
      </c>
      <c r="G98" s="20"/>
      <c r="H98" s="20"/>
      <c r="I98" s="20"/>
      <c r="J98" s="21"/>
      <c r="K98" s="20"/>
      <c r="L98" s="21"/>
      <c r="M98" s="20"/>
      <c r="N98" s="20"/>
    </row>
    <row r="99" customFormat="false" ht="15" hidden="false" customHeight="false" outlineLevel="0" collapsed="false">
      <c r="A99" s="28" t="str">
        <f aca="false">Suppliers!A99</f>
        <v>Poland</v>
      </c>
      <c r="B99" s="28" t="n">
        <f aca="false">Suppliers!B99</f>
        <v>98</v>
      </c>
      <c r="C99" s="28" t="str">
        <f aca="false">Suppliers!E99</f>
        <v>Bacha Sport Sp. z o.o.</v>
      </c>
      <c r="D99" s="28" t="str">
        <f aca="false">Suppliers!D99</f>
        <v>Sports &amp; Outdoors</v>
      </c>
      <c r="E99" s="29" t="s">
        <v>2117</v>
      </c>
      <c r="F99" s="29" t="s">
        <v>2118</v>
      </c>
      <c r="G99" s="20"/>
      <c r="H99" s="20"/>
      <c r="I99" s="20"/>
      <c r="J99" s="21"/>
      <c r="K99" s="20"/>
      <c r="L99" s="21"/>
      <c r="M99" s="20"/>
      <c r="N99" s="20"/>
    </row>
    <row r="100" customFormat="false" ht="15" hidden="false" customHeight="false" outlineLevel="0" collapsed="false">
      <c r="A100" s="28" t="str">
        <f aca="false">Suppliers!A100</f>
        <v>Poland</v>
      </c>
      <c r="B100" s="28" t="n">
        <f aca="false">Suppliers!B100</f>
        <v>99</v>
      </c>
      <c r="C100" s="28" t="str">
        <f aca="false">Suppliers!E100</f>
        <v>Spokey Sp. z o.o.</v>
      </c>
      <c r="D100" s="28" t="str">
        <f aca="false">Suppliers!D100</f>
        <v>Sports &amp; Outdoors</v>
      </c>
      <c r="E100" s="29" t="s">
        <v>2117</v>
      </c>
      <c r="F100" s="29" t="s">
        <v>2118</v>
      </c>
      <c r="G100" s="20"/>
      <c r="H100" s="20"/>
      <c r="I100" s="20"/>
      <c r="J100" s="21"/>
      <c r="K100" s="20"/>
      <c r="L100" s="21"/>
      <c r="M100" s="20"/>
      <c r="N100" s="20"/>
    </row>
    <row r="101" customFormat="false" ht="15" hidden="false" customHeight="false" outlineLevel="0" collapsed="false">
      <c r="A101" s="28" t="str">
        <f aca="false">Suppliers!A101</f>
        <v>Poland</v>
      </c>
      <c r="B101" s="28" t="n">
        <f aca="false">Suppliers!B101</f>
        <v>100</v>
      </c>
      <c r="C101" s="28" t="str">
        <f aca="false">Suppliers!E101</f>
        <v>Interdruk S.A.</v>
      </c>
      <c r="D101" s="28" t="str">
        <f aca="false">Suppliers!D101</f>
        <v>Stationery &amp; Office</v>
      </c>
      <c r="E101" s="29" t="s">
        <v>2117</v>
      </c>
      <c r="F101" s="29" t="s">
        <v>2118</v>
      </c>
      <c r="G101" s="20"/>
      <c r="H101" s="20"/>
      <c r="I101" s="20"/>
      <c r="J101" s="21"/>
      <c r="K101" s="20"/>
      <c r="L101" s="21"/>
      <c r="M101" s="20"/>
      <c r="N101" s="20"/>
    </row>
    <row r="102" customFormat="false" ht="15" hidden="false" customHeight="false" outlineLevel="0" collapsed="false">
      <c r="A102" s="28" t="str">
        <f aca="false">Suppliers!A102</f>
        <v>Poland</v>
      </c>
      <c r="B102" s="28" t="n">
        <f aca="false">Suppliers!B102</f>
        <v>101</v>
      </c>
      <c r="C102" s="28" t="str">
        <f aca="false">Suppliers!E102</f>
        <v>TM Toys Sp. z o.o.</v>
      </c>
      <c r="D102" s="28" t="str">
        <f aca="false">Suppliers!D102</f>
        <v>Toys &amp; Games</v>
      </c>
      <c r="E102" s="29" t="s">
        <v>2117</v>
      </c>
      <c r="F102" s="29" t="s">
        <v>2118</v>
      </c>
      <c r="G102" s="20"/>
      <c r="H102" s="20"/>
      <c r="I102" s="20"/>
      <c r="J102" s="21"/>
      <c r="K102" s="20"/>
      <c r="L102" s="21"/>
      <c r="M102" s="20"/>
      <c r="N102" s="20"/>
    </row>
    <row r="103" customFormat="false" ht="15" hidden="false" customHeight="false" outlineLevel="0" collapsed="false">
      <c r="A103" s="28" t="str">
        <f aca="false">Suppliers!A103</f>
        <v>Poland</v>
      </c>
      <c r="B103" s="28" t="n">
        <f aca="false">Suppliers!B103</f>
        <v>102</v>
      </c>
      <c r="C103" s="28" t="str">
        <f aca="false">Suppliers!E103</f>
        <v>YAMANN Sp. z o.o.</v>
      </c>
      <c r="D103" s="28" t="str">
        <f aca="false">Suppliers!D103</f>
        <v>Toys &amp; Games</v>
      </c>
      <c r="E103" s="29" t="s">
        <v>2117</v>
      </c>
      <c r="F103" s="29" t="s">
        <v>2118</v>
      </c>
      <c r="G103" s="20"/>
      <c r="H103" s="20"/>
      <c r="I103" s="20"/>
      <c r="J103" s="21"/>
      <c r="K103" s="20"/>
      <c r="L103" s="21"/>
      <c r="M103" s="20"/>
      <c r="N103" s="20"/>
    </row>
    <row r="104" customFormat="false" ht="15" hidden="false" customHeight="false" outlineLevel="0" collapsed="false">
      <c r="A104" s="28" t="str">
        <f aca="false">Suppliers!A104</f>
        <v>Poland</v>
      </c>
      <c r="B104" s="28" t="n">
        <f aca="false">Suppliers!B104</f>
        <v>103</v>
      </c>
      <c r="C104" s="28" t="str">
        <f aca="false">Suppliers!E104</f>
        <v>Alpex-Tools</v>
      </c>
      <c r="D104" s="28" t="str">
        <f aca="false">Suppliers!D104</f>
        <v>DIY &amp; Tools</v>
      </c>
      <c r="E104" s="29" t="s">
        <v>2117</v>
      </c>
      <c r="F104" s="29" t="s">
        <v>2118</v>
      </c>
      <c r="G104" s="20"/>
      <c r="H104" s="20"/>
      <c r="I104" s="20"/>
      <c r="J104" s="21"/>
      <c r="K104" s="20"/>
      <c r="L104" s="21"/>
      <c r="M104" s="20"/>
      <c r="N104" s="20"/>
    </row>
    <row r="105" customFormat="false" ht="23.85" hidden="false" customHeight="false" outlineLevel="0" collapsed="false">
      <c r="A105" s="28" t="str">
        <f aca="false">Suppliers!A105</f>
        <v>Poland</v>
      </c>
      <c r="B105" s="28" t="n">
        <f aca="false">Suppliers!B105</f>
        <v>104</v>
      </c>
      <c r="C105" s="28" t="str">
        <f aca="false">Suppliers!E105</f>
        <v>Profimed</v>
      </c>
      <c r="D105" s="28" t="str">
        <f aca="false">Suppliers!D105</f>
        <v>Health &amp; Personal Care</v>
      </c>
      <c r="E105" s="29" t="s">
        <v>2117</v>
      </c>
      <c r="F105" s="29" t="s">
        <v>2118</v>
      </c>
      <c r="G105" s="20"/>
      <c r="H105" s="20"/>
      <c r="I105" s="20"/>
      <c r="J105" s="21"/>
      <c r="K105" s="20"/>
      <c r="L105" s="21"/>
      <c r="M105" s="20"/>
      <c r="N105" s="20"/>
    </row>
    <row r="106" customFormat="false" ht="15" hidden="false" customHeight="false" outlineLevel="0" collapsed="false">
      <c r="A106" s="28" t="str">
        <f aca="false">Suppliers!A106</f>
        <v>Poland</v>
      </c>
      <c r="B106" s="28" t="n">
        <f aca="false">Suppliers!B106</f>
        <v>105</v>
      </c>
      <c r="C106" s="28" t="str">
        <f aca="false">Suppliers!E106</f>
        <v>Hurtowniakarm.pl</v>
      </c>
      <c r="D106" s="28" t="str">
        <f aca="false">Suppliers!D106</f>
        <v>Pet Supplies</v>
      </c>
      <c r="E106" s="29" t="s">
        <v>2117</v>
      </c>
      <c r="F106" s="29" t="s">
        <v>2118</v>
      </c>
      <c r="G106" s="20"/>
      <c r="H106" s="20"/>
      <c r="I106" s="20"/>
      <c r="J106" s="21"/>
      <c r="K106" s="20"/>
      <c r="L106" s="21"/>
      <c r="M106" s="20"/>
      <c r="N106" s="20"/>
    </row>
    <row r="107" customFormat="false" ht="15" hidden="false" customHeight="false" outlineLevel="0" collapsed="false">
      <c r="A107" s="28" t="str">
        <f aca="false">Suppliers!A107</f>
        <v>Poland</v>
      </c>
      <c r="B107" s="28" t="n">
        <f aca="false">Suppliers!B107</f>
        <v>106</v>
      </c>
      <c r="C107" s="28" t="str">
        <f aca="false">Suppliers!E107</f>
        <v>Marba-Sport (e-hurtowniasportowa.pl)</v>
      </c>
      <c r="D107" s="28" t="str">
        <f aca="false">Suppliers!D107</f>
        <v>Sports &amp; Outdoors</v>
      </c>
      <c r="E107" s="29" t="s">
        <v>2117</v>
      </c>
      <c r="F107" s="29" t="s">
        <v>2118</v>
      </c>
      <c r="G107" s="20"/>
      <c r="H107" s="20"/>
      <c r="I107" s="20"/>
      <c r="J107" s="21"/>
      <c r="K107" s="20"/>
      <c r="L107" s="21"/>
      <c r="M107" s="20"/>
      <c r="N107" s="20"/>
    </row>
    <row r="108" customFormat="false" ht="15" hidden="false" customHeight="false" outlineLevel="0" collapsed="false">
      <c r="A108" s="28" t="str">
        <f aca="false">Suppliers!A108</f>
        <v>Poland</v>
      </c>
      <c r="B108" s="28" t="n">
        <f aca="false">Suppliers!B108</f>
        <v>107</v>
      </c>
      <c r="C108" s="28" t="str">
        <f aca="false">Suppliers!E108</f>
        <v>Extrabiuro.pl</v>
      </c>
      <c r="D108" s="28" t="str">
        <f aca="false">Suppliers!D108</f>
        <v>Stationery &amp; Office</v>
      </c>
      <c r="E108" s="29" t="s">
        <v>2117</v>
      </c>
      <c r="F108" s="29" t="s">
        <v>2118</v>
      </c>
      <c r="G108" s="20"/>
      <c r="H108" s="20"/>
      <c r="I108" s="20"/>
      <c r="J108" s="21"/>
      <c r="K108" s="20"/>
      <c r="L108" s="21"/>
      <c r="M108" s="20"/>
      <c r="N108" s="20"/>
    </row>
    <row r="109" customFormat="false" ht="15" hidden="false" customHeight="false" outlineLevel="0" collapsed="false">
      <c r="A109" s="28" t="str">
        <f aca="false">Suppliers!A109</f>
        <v>Poland</v>
      </c>
      <c r="B109" s="28" t="n">
        <f aca="false">Suppliers!B109</f>
        <v>108</v>
      </c>
      <c r="C109" s="28" t="str">
        <f aca="false">Suppliers!E109</f>
        <v>Hurtownia Ikonka</v>
      </c>
      <c r="D109" s="28" t="str">
        <f aca="false">Suppliers!D109</f>
        <v>Toys &amp; Games</v>
      </c>
      <c r="E109" s="29" t="s">
        <v>2117</v>
      </c>
      <c r="F109" s="29" t="s">
        <v>2118</v>
      </c>
      <c r="G109" s="20"/>
      <c r="H109" s="20"/>
      <c r="I109" s="20"/>
      <c r="J109" s="21"/>
      <c r="K109" s="20"/>
      <c r="L109" s="21"/>
      <c r="M109" s="20"/>
      <c r="N109" s="20"/>
    </row>
    <row r="110" customFormat="false" ht="15" hidden="false" customHeight="false" outlineLevel="0" collapsed="false">
      <c r="A110" s="28" t="str">
        <f aca="false">Suppliers!A110</f>
        <v>Poland</v>
      </c>
      <c r="B110" s="28" t="n">
        <f aca="false">Suppliers!B110</f>
        <v>109</v>
      </c>
      <c r="C110" s="28" t="str">
        <f aca="false">Suppliers!E110</f>
        <v>Merkandi</v>
      </c>
      <c r="D110" s="28" t="str">
        <f aca="false">Suppliers!D110</f>
        <v>B2B Marketplace</v>
      </c>
      <c r="E110" s="29" t="s">
        <v>2117</v>
      </c>
      <c r="F110" s="29" t="s">
        <v>2118</v>
      </c>
      <c r="G110" s="20"/>
      <c r="H110" s="20"/>
      <c r="I110" s="20"/>
      <c r="J110" s="21"/>
      <c r="K110" s="20"/>
      <c r="L110" s="21"/>
      <c r="M110" s="20"/>
      <c r="N110" s="20"/>
    </row>
    <row r="111" customFormat="false" ht="15" hidden="false" customHeight="false" outlineLevel="0" collapsed="false">
      <c r="A111" s="28" t="str">
        <f aca="false">Suppliers!A111</f>
        <v>Poland</v>
      </c>
      <c r="B111" s="28" t="n">
        <f aca="false">Suppliers!B111</f>
        <v>110</v>
      </c>
      <c r="C111" s="28" t="str">
        <f aca="false">Suppliers!E111</f>
        <v>Filip i S-ka Dromader Sp. j.</v>
      </c>
      <c r="D111" s="28" t="str">
        <f aca="false">Suppliers!D111</f>
        <v>Toys &amp; Games</v>
      </c>
      <c r="E111" s="29" t="s">
        <v>2117</v>
      </c>
      <c r="F111" s="29" t="s">
        <v>2118</v>
      </c>
      <c r="G111" s="20"/>
      <c r="H111" s="20"/>
      <c r="I111" s="20"/>
      <c r="J111" s="21"/>
      <c r="K111" s="20"/>
      <c r="L111" s="21"/>
      <c r="M111" s="20"/>
      <c r="N111" s="20"/>
    </row>
    <row r="112" customFormat="false" ht="15" hidden="false" customHeight="false" outlineLevel="0" collapsed="false">
      <c r="A112" s="28" t="str">
        <f aca="false">Suppliers!A112</f>
        <v>Romania</v>
      </c>
      <c r="B112" s="28" t="n">
        <f aca="false">Suppliers!B112</f>
        <v>111</v>
      </c>
      <c r="C112" s="28" t="str">
        <f aca="false">Suppliers!E112</f>
        <v>QudoBeauty</v>
      </c>
      <c r="D112" s="28" t="str">
        <f aca="false">Suppliers!D112</f>
        <v>Beauty</v>
      </c>
      <c r="E112" s="29" t="s">
        <v>2117</v>
      </c>
      <c r="F112" s="29" t="s">
        <v>2118</v>
      </c>
      <c r="G112" s="20"/>
      <c r="H112" s="20"/>
      <c r="I112" s="20"/>
      <c r="J112" s="21"/>
      <c r="K112" s="20"/>
      <c r="L112" s="21"/>
      <c r="M112" s="20"/>
      <c r="N112" s="20"/>
    </row>
    <row r="113" customFormat="false" ht="15" hidden="false" customHeight="false" outlineLevel="0" collapsed="false">
      <c r="A113" s="28" t="str">
        <f aca="false">Suppliers!A113</f>
        <v>Spain</v>
      </c>
      <c r="B113" s="28" t="n">
        <f aca="false">Suppliers!B113</f>
        <v>112</v>
      </c>
      <c r="C113" s="28" t="str">
        <f aca="false">Suppliers!E113</f>
        <v>BigBuy</v>
      </c>
      <c r="D113" s="28" t="str">
        <f aca="false">Suppliers!D113</f>
        <v>B2B Marketplace</v>
      </c>
      <c r="E113" s="29" t="s">
        <v>2117</v>
      </c>
      <c r="F113" s="29" t="s">
        <v>2118</v>
      </c>
      <c r="G113" s="20"/>
      <c r="H113" s="20"/>
      <c r="I113" s="20"/>
      <c r="J113" s="21"/>
      <c r="K113" s="20"/>
      <c r="L113" s="21"/>
      <c r="M113" s="20"/>
      <c r="N113" s="20"/>
    </row>
    <row r="114" customFormat="false" ht="15" hidden="false" customHeight="false" outlineLevel="0" collapsed="false">
      <c r="A114" s="28" t="str">
        <f aca="false">Suppliers!A114</f>
        <v>Spain</v>
      </c>
      <c r="B114" s="28" t="n">
        <f aca="false">Suppliers!B114</f>
        <v>113</v>
      </c>
      <c r="C114" s="28" t="str">
        <f aca="false">Suppliers!E114</f>
        <v>Patner Iberia SL (European Tools)</v>
      </c>
      <c r="D114" s="28" t="str">
        <f aca="false">Suppliers!D114</f>
        <v>DIY &amp; Tools</v>
      </c>
      <c r="E114" s="29" t="s">
        <v>2117</v>
      </c>
      <c r="F114" s="29" t="s">
        <v>2118</v>
      </c>
      <c r="G114" s="20"/>
      <c r="H114" s="20"/>
      <c r="I114" s="20"/>
      <c r="J114" s="21"/>
      <c r="K114" s="20"/>
      <c r="L114" s="21"/>
      <c r="M114" s="20"/>
      <c r="N114" s="20"/>
    </row>
    <row r="115" customFormat="false" ht="15" hidden="false" customHeight="false" outlineLevel="0" collapsed="false">
      <c r="A115" s="28" t="str">
        <f aca="false">Suppliers!A115</f>
        <v>Spain</v>
      </c>
      <c r="B115" s="28" t="n">
        <f aca="false">Suppliers!B115</f>
        <v>114</v>
      </c>
      <c r="C115" s="28" t="str">
        <f aca="false">Suppliers!E115</f>
        <v>OrientFragance</v>
      </c>
      <c r="D115" s="28" t="str">
        <f aca="false">Suppliers!D115</f>
        <v>Fragrance</v>
      </c>
      <c r="E115" s="29" t="s">
        <v>2117</v>
      </c>
      <c r="F115" s="29" t="s">
        <v>2118</v>
      </c>
      <c r="G115" s="20"/>
      <c r="H115" s="20"/>
      <c r="I115" s="20"/>
      <c r="J115" s="21"/>
      <c r="K115" s="20"/>
      <c r="L115" s="21"/>
      <c r="M115" s="20"/>
      <c r="N115" s="20"/>
    </row>
    <row r="116" customFormat="false" ht="15" hidden="false" customHeight="false" outlineLevel="0" collapsed="false">
      <c r="A116" s="28" t="str">
        <f aca="false">Suppliers!A116</f>
        <v>Spain</v>
      </c>
      <c r="B116" s="28" t="n">
        <f aca="false">Suppliers!B116</f>
        <v>115</v>
      </c>
      <c r="C116" s="28" t="str">
        <f aca="false">Suppliers!E116</f>
        <v>Arquivet SLU</v>
      </c>
      <c r="D116" s="28" t="str">
        <f aca="false">Suppliers!D116</f>
        <v>Pet Supplies</v>
      </c>
      <c r="E116" s="29" t="s">
        <v>2117</v>
      </c>
      <c r="F116" s="29" t="s">
        <v>2118</v>
      </c>
      <c r="G116" s="20"/>
      <c r="H116" s="20"/>
      <c r="I116" s="20"/>
      <c r="J116" s="21"/>
      <c r="K116" s="20"/>
      <c r="L116" s="21"/>
      <c r="M116" s="20"/>
      <c r="N116" s="20"/>
    </row>
    <row r="117" customFormat="false" ht="23.85" hidden="false" customHeight="false" outlineLevel="0" collapsed="false">
      <c r="A117" s="28" t="str">
        <f aca="false">Suppliers!A117</f>
        <v>Spain</v>
      </c>
      <c r="B117" s="28" t="n">
        <f aca="false">Suppliers!B117</f>
        <v>116</v>
      </c>
      <c r="C117" s="28" t="str">
        <f aca="false">Suppliers!E117</f>
        <v>CSP - Comercial del Sur de Papelería (Liderpapel)</v>
      </c>
      <c r="D117" s="28" t="str">
        <f aca="false">Suppliers!D117</f>
        <v>Stationery &amp; Office</v>
      </c>
      <c r="E117" s="29" t="s">
        <v>2117</v>
      </c>
      <c r="F117" s="29" t="s">
        <v>2118</v>
      </c>
      <c r="G117" s="20"/>
      <c r="H117" s="20"/>
      <c r="I117" s="20"/>
      <c r="J117" s="21"/>
      <c r="K117" s="20"/>
      <c r="L117" s="21"/>
      <c r="M117" s="20"/>
      <c r="N117" s="20"/>
    </row>
    <row r="118" customFormat="false" ht="15" hidden="false" customHeight="false" outlineLevel="0" collapsed="false">
      <c r="A118" s="28" t="str">
        <f aca="false">Suppliers!A118</f>
        <v>Spain</v>
      </c>
      <c r="B118" s="28" t="n">
        <f aca="false">Suppliers!B118</f>
        <v>117</v>
      </c>
      <c r="C118" s="28" t="str">
        <f aca="false">Suppliers!E118</f>
        <v>Smart Baby Brands</v>
      </c>
      <c r="D118" s="28" t="str">
        <f aca="false">Suppliers!D118</f>
        <v>Baby Products</v>
      </c>
      <c r="E118" s="29" t="s">
        <v>2117</v>
      </c>
      <c r="F118" s="29" t="s">
        <v>2118</v>
      </c>
      <c r="G118" s="20"/>
      <c r="H118" s="20"/>
      <c r="I118" s="20"/>
      <c r="J118" s="21"/>
      <c r="K118" s="20"/>
      <c r="L118" s="21"/>
      <c r="M118" s="20"/>
      <c r="N118" s="20"/>
    </row>
    <row r="119" customFormat="false" ht="15" hidden="false" customHeight="false" outlineLevel="0" collapsed="false">
      <c r="A119" s="28" t="str">
        <f aca="false">Suppliers!A119</f>
        <v>Spain</v>
      </c>
      <c r="B119" s="28" t="n">
        <f aca="false">Suppliers!B119</f>
        <v>118</v>
      </c>
      <c r="C119" s="28" t="str">
        <f aca="false">Suppliers!E119</f>
        <v>Tata Batata</v>
      </c>
      <c r="D119" s="28" t="str">
        <f aca="false">Suppliers!D119</f>
        <v>Baby Products</v>
      </c>
      <c r="E119" s="29" t="s">
        <v>2117</v>
      </c>
      <c r="F119" s="29" t="s">
        <v>2118</v>
      </c>
      <c r="G119" s="20"/>
      <c r="H119" s="20"/>
      <c r="I119" s="20"/>
      <c r="J119" s="21"/>
      <c r="K119" s="20"/>
      <c r="L119" s="21"/>
      <c r="M119" s="20"/>
      <c r="N119" s="20"/>
    </row>
    <row r="120" customFormat="false" ht="15" hidden="false" customHeight="false" outlineLevel="0" collapsed="false">
      <c r="A120" s="28" t="str">
        <f aca="false">Suppliers!A120</f>
        <v>Spain</v>
      </c>
      <c r="B120" s="28" t="n">
        <f aca="false">Suppliers!B120</f>
        <v>119</v>
      </c>
      <c r="C120" s="28" t="str">
        <f aca="false">Suppliers!E120</f>
        <v>Bizak S.A.</v>
      </c>
      <c r="D120" s="28" t="str">
        <f aca="false">Suppliers!D120</f>
        <v>Toys &amp; Games</v>
      </c>
      <c r="E120" s="29" t="s">
        <v>2117</v>
      </c>
      <c r="F120" s="29" t="s">
        <v>2118</v>
      </c>
      <c r="G120" s="20"/>
      <c r="H120" s="20"/>
      <c r="I120" s="20"/>
      <c r="J120" s="21"/>
      <c r="K120" s="20"/>
      <c r="L120" s="21"/>
      <c r="M120" s="20"/>
      <c r="N120" s="20"/>
    </row>
    <row r="121" customFormat="false" ht="15" hidden="false" customHeight="false" outlineLevel="0" collapsed="false">
      <c r="A121" s="28" t="str">
        <f aca="false">Suppliers!A121</f>
        <v>Spain</v>
      </c>
      <c r="B121" s="28" t="n">
        <f aca="false">Suppliers!B121</f>
        <v>120</v>
      </c>
      <c r="C121" s="28" t="str">
        <f aca="false">Suppliers!E121</f>
        <v>Nomaco Spain</v>
      </c>
      <c r="D121" s="28" t="str">
        <f aca="false">Suppliers!D121</f>
        <v>Toys &amp; Games</v>
      </c>
      <c r="E121" s="29" t="s">
        <v>2117</v>
      </c>
      <c r="F121" s="29" t="s">
        <v>2118</v>
      </c>
      <c r="G121" s="20"/>
      <c r="H121" s="20"/>
      <c r="I121" s="20"/>
      <c r="J121" s="21"/>
      <c r="K121" s="20"/>
      <c r="L121" s="21"/>
      <c r="M121" s="20"/>
      <c r="N121" s="20"/>
    </row>
    <row r="122" customFormat="false" ht="15" hidden="false" customHeight="false" outlineLevel="0" collapsed="false">
      <c r="A122" s="28" t="str">
        <f aca="false">Suppliers!A122</f>
        <v>Switzerland</v>
      </c>
      <c r="B122" s="28" t="n">
        <f aca="false">Suppliers!B122</f>
        <v>121</v>
      </c>
      <c r="C122" s="28" t="str">
        <f aca="false">Suppliers!E122</f>
        <v>Carletto AG (Carletto Deutschland)</v>
      </c>
      <c r="D122" s="28" t="str">
        <f aca="false">Suppliers!D122</f>
        <v>Toys &amp; Games</v>
      </c>
      <c r="E122" s="29" t="s">
        <v>2117</v>
      </c>
      <c r="F122" s="29" t="s">
        <v>2118</v>
      </c>
      <c r="G122" s="20"/>
      <c r="H122" s="20"/>
      <c r="I122" s="20"/>
      <c r="J122" s="21"/>
      <c r="K122" s="20"/>
      <c r="L122" s="21"/>
      <c r="M122" s="20"/>
      <c r="N122" s="20"/>
    </row>
    <row r="123" customFormat="false" ht="15" hidden="false" customHeight="false" outlineLevel="0" collapsed="false">
      <c r="A123" s="28" t="str">
        <f aca="false">Suppliers!A123</f>
        <v>UK</v>
      </c>
      <c r="B123" s="28" t="n">
        <f aca="false">Suppliers!B123</f>
        <v>122</v>
      </c>
      <c r="C123" s="28" t="str">
        <f aca="false">Suppliers!E123</f>
        <v>Qogita</v>
      </c>
      <c r="D123" s="28" t="str">
        <f aca="false">Suppliers!D123</f>
        <v>B2B Marketplace</v>
      </c>
      <c r="E123" s="29" t="s">
        <v>2117</v>
      </c>
      <c r="F123" s="29" t="s">
        <v>2118</v>
      </c>
      <c r="G123" s="20"/>
      <c r="H123" s="20"/>
      <c r="I123" s="20"/>
      <c r="J123" s="21"/>
      <c r="K123" s="20"/>
      <c r="L123" s="21"/>
      <c r="M123" s="20"/>
      <c r="N123" s="20"/>
    </row>
    <row r="124" customFormat="false" ht="15" hidden="false" customHeight="false" outlineLevel="0" collapsed="false">
      <c r="A124" s="28" t="str">
        <f aca="false">Suppliers!A124</f>
        <v>UK</v>
      </c>
      <c r="B124" s="28" t="n">
        <f aca="false">Suppliers!B124</f>
        <v>123</v>
      </c>
      <c r="C124" s="28" t="str">
        <f aca="false">Suppliers!E124</f>
        <v>Babybase Ltd</v>
      </c>
      <c r="D124" s="28" t="str">
        <f aca="false">Suppliers!D124</f>
        <v>Baby Products</v>
      </c>
      <c r="E124" s="29" t="s">
        <v>2117</v>
      </c>
      <c r="F124" s="29" t="s">
        <v>2118</v>
      </c>
      <c r="G124" s="20"/>
      <c r="H124" s="20"/>
      <c r="I124" s="20"/>
      <c r="J124" s="21"/>
      <c r="K124" s="20"/>
      <c r="L124" s="21"/>
      <c r="M124" s="20"/>
      <c r="N124" s="20"/>
    </row>
    <row r="125" customFormat="false" ht="15" hidden="false" customHeight="false" outlineLevel="0" collapsed="false">
      <c r="A125" s="28" t="str">
        <f aca="false">Suppliers!A125</f>
        <v>UK</v>
      </c>
      <c r="B125" s="28" t="n">
        <f aca="false">Suppliers!B125</f>
        <v>124</v>
      </c>
      <c r="C125" s="28" t="str">
        <f aca="false">Suppliers!E125</f>
        <v>Toolbank Ltd</v>
      </c>
      <c r="D125" s="28" t="str">
        <f aca="false">Suppliers!D125</f>
        <v>DIY &amp; Tools</v>
      </c>
      <c r="E125" s="29" t="s">
        <v>2117</v>
      </c>
      <c r="F125" s="29" t="s">
        <v>2118</v>
      </c>
      <c r="G125" s="20"/>
      <c r="H125" s="20"/>
      <c r="I125" s="20"/>
      <c r="J125" s="21"/>
      <c r="K125" s="20"/>
      <c r="L125" s="21"/>
      <c r="M125" s="20"/>
      <c r="N125" s="20"/>
    </row>
    <row r="126" customFormat="false" ht="15" hidden="false" customHeight="false" outlineLevel="0" collapsed="false">
      <c r="A126" s="28" t="str">
        <f aca="false">Suppliers!A126</f>
        <v>UK</v>
      </c>
      <c r="B126" s="28" t="n">
        <f aca="false">Suppliers!B126</f>
        <v>125</v>
      </c>
      <c r="C126" s="28" t="str">
        <f aca="false">Suppliers!E126</f>
        <v>Knights Fragrances</v>
      </c>
      <c r="D126" s="28" t="str">
        <f aca="false">Suppliers!D126</f>
        <v>Fragrance</v>
      </c>
      <c r="E126" s="29" t="s">
        <v>2117</v>
      </c>
      <c r="F126" s="29" t="s">
        <v>2118</v>
      </c>
      <c r="G126" s="20"/>
      <c r="H126" s="20"/>
      <c r="I126" s="20"/>
      <c r="J126" s="21"/>
      <c r="K126" s="20"/>
      <c r="L126" s="21"/>
      <c r="M126" s="20"/>
      <c r="N126" s="20"/>
    </row>
    <row r="127" customFormat="false" ht="23.85" hidden="false" customHeight="false" outlineLevel="0" collapsed="false">
      <c r="A127" s="28" t="str">
        <f aca="false">Suppliers!A127</f>
        <v>UK</v>
      </c>
      <c r="B127" s="28" t="n">
        <f aca="false">Suppliers!B127</f>
        <v>126</v>
      </c>
      <c r="C127" s="28" t="str">
        <f aca="false">Suppliers!E127</f>
        <v>Star Perfumes (Star Global Trading Ltd)</v>
      </c>
      <c r="D127" s="28" t="str">
        <f aca="false">Suppliers!D127</f>
        <v>Fragrance</v>
      </c>
      <c r="E127" s="29" t="s">
        <v>2117</v>
      </c>
      <c r="F127" s="29" t="s">
        <v>2118</v>
      </c>
      <c r="G127" s="20"/>
      <c r="H127" s="20"/>
      <c r="I127" s="20"/>
      <c r="J127" s="21"/>
      <c r="K127" s="20"/>
      <c r="L127" s="21"/>
      <c r="M127" s="20"/>
      <c r="N127" s="20"/>
    </row>
    <row r="128" customFormat="false" ht="23.85" hidden="false" customHeight="false" outlineLevel="0" collapsed="false">
      <c r="A128" s="28" t="str">
        <f aca="false">Suppliers!A128</f>
        <v>UK</v>
      </c>
      <c r="B128" s="28" t="n">
        <f aca="false">Suppliers!B128</f>
        <v>127</v>
      </c>
      <c r="C128" s="28" t="str">
        <f aca="false">Suppliers!E128</f>
        <v>Harrisons Direct (Albert Harrison &amp; Co Ltd)</v>
      </c>
      <c r="D128" s="28" t="str">
        <f aca="false">Suppliers!D128</f>
        <v>Health &amp; Personal Care</v>
      </c>
      <c r="E128" s="29" t="s">
        <v>2117</v>
      </c>
      <c r="F128" s="29" t="s">
        <v>2118</v>
      </c>
      <c r="G128" s="20"/>
      <c r="H128" s="20"/>
      <c r="I128" s="20"/>
      <c r="J128" s="21"/>
      <c r="K128" s="20"/>
      <c r="L128" s="21"/>
      <c r="M128" s="20"/>
      <c r="N128" s="20"/>
    </row>
    <row r="129" customFormat="false" ht="15" hidden="false" customHeight="false" outlineLevel="0" collapsed="false">
      <c r="A129" s="28" t="str">
        <f aca="false">Suppliers!A129</f>
        <v>UK</v>
      </c>
      <c r="B129" s="28" t="n">
        <f aca="false">Suppliers!B129</f>
        <v>128</v>
      </c>
      <c r="C129" s="28" t="str">
        <f aca="false">Suppliers!E129</f>
        <v>RKW Ltd (Sutton Venture Group)</v>
      </c>
      <c r="D129" s="28" t="str">
        <f aca="false">Suppliers!D129</f>
        <v>Home &amp; Kitchen</v>
      </c>
      <c r="E129" s="29" t="s">
        <v>2117</v>
      </c>
      <c r="F129" s="29" t="s">
        <v>2118</v>
      </c>
      <c r="G129" s="20"/>
      <c r="H129" s="20"/>
      <c r="I129" s="20"/>
      <c r="J129" s="21"/>
      <c r="K129" s="20"/>
      <c r="L129" s="21"/>
      <c r="M129" s="20"/>
      <c r="N129" s="20"/>
    </row>
    <row r="130" customFormat="false" ht="15" hidden="false" customHeight="false" outlineLevel="0" collapsed="false">
      <c r="A130" s="28" t="str">
        <f aca="false">Suppliers!A130</f>
        <v>UK</v>
      </c>
      <c r="B130" s="28" t="n">
        <f aca="false">Suppliers!B130</f>
        <v>129</v>
      </c>
      <c r="C130" s="28" t="str">
        <f aca="false">Suppliers!E130</f>
        <v>A.B. Gee of Ripley Ltd</v>
      </c>
      <c r="D130" s="28" t="str">
        <f aca="false">Suppliers!D130</f>
        <v>Toys &amp; Games</v>
      </c>
      <c r="E130" s="29" t="s">
        <v>2117</v>
      </c>
      <c r="F130" s="29" t="s">
        <v>2118</v>
      </c>
      <c r="G130" s="20"/>
      <c r="H130" s="20"/>
      <c r="I130" s="20"/>
      <c r="J130" s="21"/>
      <c r="K130" s="20"/>
      <c r="L130" s="21"/>
      <c r="M130" s="20"/>
      <c r="N130" s="20"/>
    </row>
    <row r="131" customFormat="false" ht="15" hidden="false" customHeight="false" outlineLevel="0" collapsed="false">
      <c r="A131" s="28" t="str">
        <f aca="false">Suppliers!A131</f>
        <v>UK</v>
      </c>
      <c r="B131" s="28" t="n">
        <f aca="false">Suppliers!B131</f>
        <v>130</v>
      </c>
      <c r="C131" s="28" t="str">
        <f aca="false">Suppliers!E131</f>
        <v>NDA Toys</v>
      </c>
      <c r="D131" s="28" t="str">
        <f aca="false">Suppliers!D131</f>
        <v>Toys &amp; Games</v>
      </c>
      <c r="E131" s="29" t="s">
        <v>2117</v>
      </c>
      <c r="F131" s="29" t="s">
        <v>2118</v>
      </c>
      <c r="G131" s="20"/>
      <c r="H131" s="20"/>
      <c r="I131" s="20"/>
      <c r="J131" s="21"/>
      <c r="K131" s="20"/>
      <c r="L131" s="21"/>
      <c r="M131" s="20"/>
      <c r="N131" s="20"/>
    </row>
    <row r="132" customFormat="false" ht="15" hidden="false" customHeight="false" outlineLevel="0" collapsed="false">
      <c r="A132" s="28" t="str">
        <f aca="false">Suppliers!A132</f>
        <v>UK</v>
      </c>
      <c r="B132" s="28" t="n">
        <f aca="false">Suppliers!B132</f>
        <v>131</v>
      </c>
      <c r="C132" s="28" t="str">
        <f aca="false">Suppliers!E132</f>
        <v>Wind Designs Ltd</v>
      </c>
      <c r="D132" s="28" t="str">
        <f aca="false">Suppliers!D132</f>
        <v>Toys &amp; Games</v>
      </c>
      <c r="E132" s="29" t="s">
        <v>2117</v>
      </c>
      <c r="F132" s="29" t="s">
        <v>2118</v>
      </c>
      <c r="G132" s="20"/>
      <c r="H132" s="20"/>
      <c r="I132" s="20"/>
      <c r="J132" s="21"/>
      <c r="K132" s="20"/>
      <c r="L132" s="21"/>
      <c r="M132" s="20"/>
      <c r="N132" s="20"/>
    </row>
    <row r="133" customFormat="false" ht="15" hidden="false" customHeight="false" outlineLevel="0" collapsed="false">
      <c r="A133" s="28" t="str">
        <f aca="false">Suppliers!A133</f>
        <v>UK</v>
      </c>
      <c r="B133" s="28" t="n">
        <f aca="false">Suppliers!B133</f>
        <v>132</v>
      </c>
      <c r="C133" s="28" t="str">
        <f aca="false">Suppliers!E133</f>
        <v>Draper Tools</v>
      </c>
      <c r="D133" s="28" t="str">
        <f aca="false">Suppliers!D133</f>
        <v>DIY &amp; Tools</v>
      </c>
      <c r="E133" s="29" t="s">
        <v>2117</v>
      </c>
      <c r="F133" s="29" t="s">
        <v>2118</v>
      </c>
      <c r="G133" s="20"/>
      <c r="H133" s="20"/>
      <c r="I133" s="20"/>
      <c r="J133" s="21"/>
      <c r="K133" s="20"/>
      <c r="L133" s="21"/>
      <c r="M133" s="20"/>
      <c r="N133" s="20"/>
    </row>
    <row r="134" customFormat="false" ht="15" hidden="false" customHeight="false" outlineLevel="0" collapsed="false">
      <c r="A134" s="28" t="str">
        <f aca="false">Suppliers!A134</f>
        <v>UK</v>
      </c>
      <c r="B134" s="28" t="n">
        <f aca="false">Suppliers!B134</f>
        <v>133</v>
      </c>
      <c r="C134" s="28" t="str">
        <f aca="false">Suppliers!E134</f>
        <v>Affinity Fragrances</v>
      </c>
      <c r="D134" s="28" t="str">
        <f aca="false">Suppliers!D134</f>
        <v>Fragrance</v>
      </c>
      <c r="E134" s="29" t="s">
        <v>2117</v>
      </c>
      <c r="F134" s="29" t="s">
        <v>2118</v>
      </c>
      <c r="G134" s="20"/>
      <c r="H134" s="20"/>
      <c r="I134" s="20"/>
      <c r="J134" s="21"/>
      <c r="K134" s="20"/>
      <c r="L134" s="21"/>
      <c r="M134" s="20"/>
      <c r="N134" s="20"/>
    </row>
    <row r="135" customFormat="false" ht="23.85" hidden="false" customHeight="false" outlineLevel="0" collapsed="false">
      <c r="A135" s="28" t="str">
        <f aca="false">Suppliers!A135</f>
        <v>UK</v>
      </c>
      <c r="B135" s="28" t="n">
        <f aca="false">Suppliers!B135</f>
        <v>134</v>
      </c>
      <c r="C135" s="28" t="str">
        <f aca="false">Suppliers!E135</f>
        <v>Shaneel Group (Shaneel Enterprises Ltd)</v>
      </c>
      <c r="D135" s="28" t="str">
        <f aca="false">Suppliers!D135</f>
        <v>Fragrance</v>
      </c>
      <c r="E135" s="29" t="s">
        <v>2117</v>
      </c>
      <c r="F135" s="29" t="s">
        <v>2118</v>
      </c>
      <c r="G135" s="20"/>
      <c r="H135" s="20"/>
      <c r="I135" s="20"/>
      <c r="J135" s="21"/>
      <c r="K135" s="20"/>
      <c r="L135" s="21"/>
      <c r="M135" s="20"/>
      <c r="N135" s="20"/>
    </row>
    <row r="136" customFormat="false" ht="23.85" hidden="false" customHeight="false" outlineLevel="0" collapsed="false">
      <c r="A136" s="28" t="str">
        <f aca="false">Suppliers!A136</f>
        <v>UK</v>
      </c>
      <c r="B136" s="28" t="n">
        <f aca="false">Suppliers!B136</f>
        <v>135</v>
      </c>
      <c r="C136" s="28" t="str">
        <f aca="false">Suppliers!E136</f>
        <v>Booker Wholesale (incl. Makro UK)</v>
      </c>
      <c r="D136" s="28" t="str">
        <f aca="false">Suppliers!D136</f>
        <v>General Wholesale / FMCG</v>
      </c>
      <c r="E136" s="29" t="s">
        <v>2117</v>
      </c>
      <c r="F136" s="29" t="s">
        <v>2118</v>
      </c>
      <c r="G136" s="20"/>
      <c r="H136" s="20"/>
      <c r="I136" s="20"/>
      <c r="J136" s="21"/>
      <c r="K136" s="20"/>
      <c r="L136" s="21"/>
      <c r="M136" s="20"/>
      <c r="N136" s="20"/>
    </row>
    <row r="137" customFormat="false" ht="23.85" hidden="false" customHeight="false" outlineLevel="0" collapsed="false">
      <c r="A137" s="28" t="str">
        <f aca="false">Suppliers!A137</f>
        <v>UK</v>
      </c>
      <c r="B137" s="28" t="n">
        <f aca="false">Suppliers!B137</f>
        <v>136</v>
      </c>
      <c r="C137" s="28" t="str">
        <f aca="false">Suppliers!E137</f>
        <v>PB Wholesale (Protein Bargain Wholesale)</v>
      </c>
      <c r="D137" s="28" t="str">
        <f aca="false">Suppliers!D137</f>
        <v>Health &amp; Personal Care</v>
      </c>
      <c r="E137" s="29" t="s">
        <v>2117</v>
      </c>
      <c r="F137" s="29" t="s">
        <v>2118</v>
      </c>
      <c r="G137" s="20"/>
      <c r="H137" s="20"/>
      <c r="I137" s="20"/>
      <c r="J137" s="21"/>
      <c r="K137" s="20"/>
      <c r="L137" s="21"/>
      <c r="M137" s="20"/>
      <c r="N137" s="20"/>
    </row>
    <row r="138" customFormat="false" ht="23.85" hidden="false" customHeight="false" outlineLevel="0" collapsed="false">
      <c r="A138" s="28" t="str">
        <f aca="false">Suppliers!A138</f>
        <v>UK</v>
      </c>
      <c r="B138" s="28" t="n">
        <f aca="false">Suppliers!B138</f>
        <v>137</v>
      </c>
      <c r="C138" s="28" t="str">
        <f aca="false">Suppliers!E138</f>
        <v>Reliance Medical Ltd</v>
      </c>
      <c r="D138" s="28" t="str">
        <f aca="false">Suppliers!D138</f>
        <v>Health &amp; Personal Care</v>
      </c>
      <c r="E138" s="29" t="s">
        <v>2117</v>
      </c>
      <c r="F138" s="29" t="s">
        <v>2118</v>
      </c>
      <c r="G138" s="20"/>
      <c r="H138" s="20"/>
      <c r="I138" s="20"/>
      <c r="J138" s="21"/>
      <c r="K138" s="20"/>
      <c r="L138" s="21"/>
      <c r="M138" s="20"/>
      <c r="N138" s="20"/>
    </row>
    <row r="139" customFormat="false" ht="15" hidden="false" customHeight="false" outlineLevel="0" collapsed="false">
      <c r="A139" s="28" t="str">
        <f aca="false">Suppliers!A139</f>
        <v>UK</v>
      </c>
      <c r="B139" s="28" t="n">
        <f aca="false">Suppliers!B139</f>
        <v>138</v>
      </c>
      <c r="C139" s="28" t="str">
        <f aca="false">Suppliers!E139</f>
        <v>EPE International Ltd</v>
      </c>
      <c r="D139" s="28" t="str">
        <f aca="false">Suppliers!D139</f>
        <v>Home &amp; Kitchen</v>
      </c>
      <c r="E139" s="29" t="s">
        <v>2117</v>
      </c>
      <c r="F139" s="29" t="s">
        <v>2118</v>
      </c>
      <c r="G139" s="20"/>
      <c r="H139" s="20"/>
      <c r="I139" s="20"/>
      <c r="J139" s="21"/>
      <c r="K139" s="20"/>
      <c r="L139" s="21"/>
      <c r="M139" s="20"/>
      <c r="N139" s="20"/>
    </row>
    <row r="140" customFormat="false" ht="15" hidden="false" customHeight="false" outlineLevel="0" collapsed="false">
      <c r="A140" s="28" t="str">
        <f aca="false">Suppliers!A140</f>
        <v>UK</v>
      </c>
      <c r="B140" s="28" t="n">
        <f aca="false">Suppliers!B140</f>
        <v>139</v>
      </c>
      <c r="C140" s="28" t="str">
        <f aca="false">Suppliers!E140</f>
        <v>Pedigree Wholesale</v>
      </c>
      <c r="D140" s="28" t="str">
        <f aca="false">Suppliers!D140</f>
        <v>Pet Supplies</v>
      </c>
      <c r="E140" s="29" t="s">
        <v>2117</v>
      </c>
      <c r="F140" s="29" t="s">
        <v>2118</v>
      </c>
      <c r="G140" s="20"/>
      <c r="H140" s="20"/>
      <c r="I140" s="20"/>
      <c r="J140" s="21"/>
      <c r="K140" s="20"/>
      <c r="L140" s="21"/>
      <c r="M140" s="20"/>
      <c r="N140" s="20"/>
    </row>
    <row r="141" customFormat="false" ht="15" hidden="false" customHeight="false" outlineLevel="0" collapsed="false">
      <c r="A141" s="28" t="str">
        <f aca="false">Suppliers!A141</f>
        <v>UK</v>
      </c>
      <c r="B141" s="28" t="n">
        <f aca="false">Suppliers!B141</f>
        <v>140</v>
      </c>
      <c r="C141" s="28" t="str">
        <f aca="false">Suppliers!E141</f>
        <v>Gymkit UK</v>
      </c>
      <c r="D141" s="28" t="str">
        <f aca="false">Suppliers!D141</f>
        <v>Sports &amp; Outdoors</v>
      </c>
      <c r="E141" s="29" t="s">
        <v>2117</v>
      </c>
      <c r="F141" s="29" t="s">
        <v>2118</v>
      </c>
      <c r="G141" s="20"/>
      <c r="H141" s="20"/>
      <c r="I141" s="20"/>
      <c r="J141" s="21"/>
      <c r="K141" s="20"/>
      <c r="L141" s="21"/>
      <c r="M141" s="20"/>
      <c r="N141" s="20"/>
    </row>
    <row r="142" customFormat="false" ht="15" hidden="false" customHeight="false" outlineLevel="0" collapsed="false">
      <c r="A142" s="28" t="str">
        <f aca="false">Suppliers!A142</f>
        <v>UK</v>
      </c>
      <c r="B142" s="28" t="n">
        <f aca="false">Suppliers!B142</f>
        <v>141</v>
      </c>
      <c r="C142" s="28" t="str">
        <f aca="false">Suppliers!E142</f>
        <v>Galaxy Wholesalers Ltd</v>
      </c>
      <c r="D142" s="28" t="str">
        <f aca="false">Suppliers!D142</f>
        <v>Stationery &amp; Office</v>
      </c>
      <c r="E142" s="29" t="s">
        <v>2117</v>
      </c>
      <c r="F142" s="29" t="s">
        <v>2118</v>
      </c>
      <c r="G142" s="20"/>
      <c r="H142" s="20"/>
      <c r="I142" s="20"/>
      <c r="J142" s="21"/>
      <c r="K142" s="20"/>
      <c r="L142" s="21"/>
      <c r="M142" s="20"/>
      <c r="N142" s="20"/>
    </row>
    <row r="143" customFormat="false" ht="15" hidden="false" customHeight="false" outlineLevel="0" collapsed="false">
      <c r="A143" s="28" t="str">
        <f aca="false">Suppliers!A143</f>
        <v>UK</v>
      </c>
      <c r="B143" s="28" t="n">
        <f aca="false">Suppliers!B143</f>
        <v>142</v>
      </c>
      <c r="C143" s="28" t="str">
        <f aca="false">Suppliers!E143</f>
        <v>VOW Wholesale (evo Group)</v>
      </c>
      <c r="D143" s="28" t="str">
        <f aca="false">Suppliers!D143</f>
        <v>Stationery &amp; Office</v>
      </c>
      <c r="E143" s="29" t="s">
        <v>2117</v>
      </c>
      <c r="F143" s="29" t="s">
        <v>2118</v>
      </c>
      <c r="G143" s="20"/>
      <c r="H143" s="20"/>
      <c r="I143" s="20"/>
      <c r="J143" s="21"/>
      <c r="K143" s="20"/>
      <c r="L143" s="21"/>
      <c r="M143" s="20"/>
      <c r="N143" s="20"/>
    </row>
    <row r="144" customFormat="false" ht="15" hidden="false" customHeight="false" outlineLevel="0" collapsed="false">
      <c r="A144" s="28" t="str">
        <f aca="false">Suppliers!A144</f>
        <v>UK</v>
      </c>
      <c r="B144" s="28" t="n">
        <f aca="false">Suppliers!B144</f>
        <v>143</v>
      </c>
      <c r="C144" s="28" t="str">
        <f aca="false">Suppliers!E144</f>
        <v>John Adams Leisure Ltd</v>
      </c>
      <c r="D144" s="28" t="str">
        <f aca="false">Suppliers!D144</f>
        <v>Toys &amp; Games</v>
      </c>
      <c r="E144" s="29" t="s">
        <v>2117</v>
      </c>
      <c r="F144" s="29" t="s">
        <v>2118</v>
      </c>
      <c r="G144" s="20"/>
      <c r="H144" s="20"/>
      <c r="I144" s="20"/>
      <c r="J144" s="21"/>
      <c r="K144" s="20"/>
      <c r="L144" s="21"/>
      <c r="M144" s="20"/>
      <c r="N144" s="20"/>
    </row>
    <row r="145" customFormat="false" ht="15" hidden="false" customHeight="false" outlineLevel="0" collapsed="false">
      <c r="A145" s="28" t="str">
        <f aca="false">Suppliers!A145</f>
        <v>UK</v>
      </c>
      <c r="B145" s="28" t="n">
        <f aca="false">Suppliers!B145</f>
        <v>144</v>
      </c>
      <c r="C145" s="28" t="str">
        <f aca="false">Suppliers!E145</f>
        <v>One For Fun</v>
      </c>
      <c r="D145" s="28" t="str">
        <f aca="false">Suppliers!D145</f>
        <v>Toys &amp; Games</v>
      </c>
      <c r="E145" s="29" t="s">
        <v>2117</v>
      </c>
      <c r="F145" s="29" t="s">
        <v>2118</v>
      </c>
      <c r="G145" s="20"/>
      <c r="H145" s="20"/>
      <c r="I145" s="20"/>
      <c r="J145" s="21"/>
      <c r="K145" s="20"/>
      <c r="L145" s="21"/>
      <c r="M145" s="20"/>
      <c r="N145" s="20"/>
    </row>
    <row r="146" customFormat="false" ht="15" hidden="false" customHeight="false" outlineLevel="0" collapsed="false">
      <c r="A146" s="28" t="str">
        <f aca="false">Suppliers!A146</f>
        <v>UK</v>
      </c>
      <c r="B146" s="28" t="n">
        <f aca="false">Suppliers!B146</f>
        <v>145</v>
      </c>
      <c r="C146" s="28" t="str">
        <f aca="false">Suppliers!E146</f>
        <v>Peterkin UK Ltd (John Adams group)</v>
      </c>
      <c r="D146" s="28" t="str">
        <f aca="false">Suppliers!D146</f>
        <v>Toys &amp; Games</v>
      </c>
      <c r="E146" s="29" t="s">
        <v>2117</v>
      </c>
      <c r="F146" s="29" t="s">
        <v>2118</v>
      </c>
      <c r="G146" s="20"/>
      <c r="H146" s="20"/>
      <c r="I146" s="20"/>
      <c r="J146" s="21"/>
      <c r="K146" s="20"/>
      <c r="L146" s="21"/>
      <c r="M146" s="20"/>
      <c r="N146" s="20"/>
    </row>
    <row r="147" customFormat="false" ht="15" hidden="false" customHeight="false" outlineLevel="0" collapsed="false">
      <c r="A147" s="28" t="str">
        <f aca="false">Suppliers!A147</f>
        <v>UK</v>
      </c>
      <c r="B147" s="28" t="n">
        <f aca="false">Suppliers!B147</f>
        <v>146</v>
      </c>
      <c r="C147" s="28" t="str">
        <f aca="false">Suppliers!E147</f>
        <v>Baby Brands Direct</v>
      </c>
      <c r="D147" s="28" t="str">
        <f aca="false">Suppliers!D147</f>
        <v>Baby Products</v>
      </c>
      <c r="E147" s="29" t="s">
        <v>2117</v>
      </c>
      <c r="F147" s="29" t="s">
        <v>2118</v>
      </c>
      <c r="G147" s="20"/>
      <c r="H147" s="20"/>
      <c r="I147" s="20"/>
      <c r="J147" s="21"/>
      <c r="K147" s="20"/>
      <c r="L147" s="21"/>
      <c r="M147" s="20"/>
      <c r="N147" s="20"/>
    </row>
    <row r="148" customFormat="false" ht="15" hidden="false" customHeight="false" outlineLevel="0" collapsed="false">
      <c r="A148" s="28" t="str">
        <f aca="false">Suppliers!A148</f>
        <v>UK</v>
      </c>
      <c r="B148" s="28" t="n">
        <f aca="false">Suppliers!B148</f>
        <v>147</v>
      </c>
      <c r="C148" s="28" t="str">
        <f aca="false">Suppliers!E148</f>
        <v>Wholesale Baby Products (W.B.P)</v>
      </c>
      <c r="D148" s="28" t="str">
        <f aca="false">Suppliers!D148</f>
        <v>Baby Products</v>
      </c>
      <c r="E148" s="29" t="s">
        <v>2117</v>
      </c>
      <c r="F148" s="29" t="s">
        <v>2118</v>
      </c>
      <c r="G148" s="20"/>
      <c r="H148" s="20"/>
      <c r="I148" s="20"/>
      <c r="J148" s="21"/>
      <c r="K148" s="20"/>
      <c r="L148" s="21"/>
      <c r="M148" s="20"/>
      <c r="N148" s="20"/>
    </row>
    <row r="149" customFormat="false" ht="15" hidden="false" customHeight="false" outlineLevel="0" collapsed="false">
      <c r="A149" s="28" t="str">
        <f aca="false">Suppliers!A149</f>
        <v>UK</v>
      </c>
      <c r="B149" s="28" t="n">
        <f aca="false">Suppliers!B149</f>
        <v>148</v>
      </c>
      <c r="C149" s="28" t="str">
        <f aca="false">Suppliers!E149</f>
        <v>Campbell Miller Tools</v>
      </c>
      <c r="D149" s="28" t="str">
        <f aca="false">Suppliers!D149</f>
        <v>DIY &amp; Tools</v>
      </c>
      <c r="E149" s="29" t="s">
        <v>2117</v>
      </c>
      <c r="F149" s="29" t="s">
        <v>2118</v>
      </c>
      <c r="G149" s="20"/>
      <c r="H149" s="20"/>
      <c r="I149" s="20"/>
      <c r="J149" s="21"/>
      <c r="K149" s="20"/>
      <c r="L149" s="21"/>
      <c r="M149" s="20"/>
      <c r="N149" s="20"/>
    </row>
    <row r="150" customFormat="false" ht="15" hidden="false" customHeight="false" outlineLevel="0" collapsed="false">
      <c r="A150" s="28" t="str">
        <f aca="false">Suppliers!A150</f>
        <v>UK</v>
      </c>
      <c r="B150" s="28" t="n">
        <f aca="false">Suppliers!B150</f>
        <v>149</v>
      </c>
      <c r="C150" s="28" t="str">
        <f aca="false">Suppliers!E150</f>
        <v>Toolstek (ETrader Direct Ltd)</v>
      </c>
      <c r="D150" s="28" t="str">
        <f aca="false">Suppliers!D150</f>
        <v>DIY &amp; Tools</v>
      </c>
      <c r="E150" s="29" t="s">
        <v>2117</v>
      </c>
      <c r="F150" s="29" t="s">
        <v>2118</v>
      </c>
      <c r="G150" s="20"/>
      <c r="H150" s="20"/>
      <c r="I150" s="20"/>
      <c r="J150" s="21"/>
      <c r="K150" s="20"/>
      <c r="L150" s="21"/>
      <c r="M150" s="20"/>
      <c r="N150" s="20"/>
    </row>
    <row r="151" customFormat="false" ht="15" hidden="false" customHeight="false" outlineLevel="0" collapsed="false">
      <c r="A151" s="28" t="str">
        <f aca="false">Suppliers!A151</f>
        <v>UK</v>
      </c>
      <c r="B151" s="28" t="n">
        <f aca="false">Suppliers!B151</f>
        <v>150</v>
      </c>
      <c r="C151" s="28" t="str">
        <f aca="false">Suppliers!E151</f>
        <v>Agence de Parfumerie</v>
      </c>
      <c r="D151" s="28" t="str">
        <f aca="false">Suppliers!D151</f>
        <v>Fragrance</v>
      </c>
      <c r="E151" s="29" t="s">
        <v>2117</v>
      </c>
      <c r="F151" s="29" t="s">
        <v>2118</v>
      </c>
      <c r="G151" s="20"/>
      <c r="H151" s="20"/>
      <c r="I151" s="20"/>
      <c r="J151" s="21"/>
      <c r="K151" s="20"/>
      <c r="L151" s="21"/>
      <c r="M151" s="20"/>
      <c r="N151" s="20"/>
    </row>
    <row r="152" customFormat="false" ht="23.85" hidden="false" customHeight="false" outlineLevel="0" collapsed="false">
      <c r="A152" s="28" t="str">
        <f aca="false">Suppliers!A152</f>
        <v>UK</v>
      </c>
      <c r="B152" s="28" t="n">
        <f aca="false">Suppliers!B152</f>
        <v>151</v>
      </c>
      <c r="C152" s="28" t="str">
        <f aca="false">Suppliers!E152</f>
        <v>Bestway Wholesale</v>
      </c>
      <c r="D152" s="28" t="str">
        <f aca="false">Suppliers!D152</f>
        <v>General Wholesale / FMCG</v>
      </c>
      <c r="E152" s="29" t="s">
        <v>2117</v>
      </c>
      <c r="F152" s="29" t="s">
        <v>2118</v>
      </c>
      <c r="G152" s="20"/>
      <c r="H152" s="20"/>
      <c r="I152" s="20"/>
      <c r="J152" s="21"/>
      <c r="K152" s="20"/>
      <c r="L152" s="21"/>
      <c r="M152" s="20"/>
      <c r="N152" s="20"/>
    </row>
    <row r="153" customFormat="false" ht="23.85" hidden="false" customHeight="false" outlineLevel="0" collapsed="false">
      <c r="A153" s="28" t="str">
        <f aca="false">Suppliers!A153</f>
        <v>UK</v>
      </c>
      <c r="B153" s="28" t="n">
        <f aca="false">Suppliers!B153</f>
        <v>152</v>
      </c>
      <c r="C153" s="28" t="str">
        <f aca="false">Suppliers!E153</f>
        <v>Costco UK (Business Membership)</v>
      </c>
      <c r="D153" s="28" t="str">
        <f aca="false">Suppliers!D153</f>
        <v>General Wholesale / FMCG</v>
      </c>
      <c r="E153" s="29" t="s">
        <v>2117</v>
      </c>
      <c r="F153" s="29" t="s">
        <v>2118</v>
      </c>
      <c r="G153" s="20"/>
      <c r="H153" s="20"/>
      <c r="I153" s="20"/>
      <c r="J153" s="21"/>
      <c r="K153" s="20"/>
      <c r="L153" s="21"/>
      <c r="M153" s="20"/>
      <c r="N153" s="20"/>
    </row>
    <row r="154" customFormat="false" ht="23.85" hidden="false" customHeight="false" outlineLevel="0" collapsed="false">
      <c r="A154" s="28" t="str">
        <f aca="false">Suppliers!A154</f>
        <v>UK</v>
      </c>
      <c r="B154" s="28" t="n">
        <f aca="false">Suppliers!B154</f>
        <v>153</v>
      </c>
      <c r="C154" s="28" t="str">
        <f aca="false">Suppliers!E154</f>
        <v>DK Wholesale</v>
      </c>
      <c r="D154" s="28" t="str">
        <f aca="false">Suppliers!D154</f>
        <v>General Wholesale / FMCG</v>
      </c>
      <c r="E154" s="29" t="s">
        <v>2117</v>
      </c>
      <c r="F154" s="29" t="s">
        <v>2118</v>
      </c>
      <c r="G154" s="20"/>
      <c r="H154" s="20"/>
      <c r="I154" s="20"/>
      <c r="J154" s="21"/>
      <c r="K154" s="20"/>
      <c r="L154" s="21"/>
      <c r="M154" s="20"/>
      <c r="N154" s="20"/>
    </row>
    <row r="155" customFormat="false" ht="23.85" hidden="false" customHeight="false" outlineLevel="0" collapsed="false">
      <c r="A155" s="28" t="str">
        <f aca="false">Suppliers!A155</f>
        <v>UK</v>
      </c>
      <c r="B155" s="28" t="n">
        <f aca="false">Suppliers!B155</f>
        <v>154</v>
      </c>
      <c r="C155" s="28" t="str">
        <f aca="false">Suppliers!E155</f>
        <v>Dhamecha Cash &amp; Carry</v>
      </c>
      <c r="D155" s="28" t="str">
        <f aca="false">Suppliers!D155</f>
        <v>General Wholesale / FMCG</v>
      </c>
      <c r="E155" s="29" t="s">
        <v>2117</v>
      </c>
      <c r="F155" s="29" t="s">
        <v>2118</v>
      </c>
      <c r="G155" s="20"/>
      <c r="H155" s="20"/>
      <c r="I155" s="20"/>
      <c r="J155" s="21"/>
      <c r="K155" s="20"/>
      <c r="L155" s="21"/>
      <c r="M155" s="20"/>
      <c r="N155" s="20"/>
    </row>
    <row r="156" customFormat="false" ht="23.85" hidden="false" customHeight="false" outlineLevel="0" collapsed="false">
      <c r="A156" s="28" t="str">
        <f aca="false">Suppliers!A156</f>
        <v>UK</v>
      </c>
      <c r="B156" s="28" t="n">
        <f aca="false">Suppliers!B156</f>
        <v>155</v>
      </c>
      <c r="C156" s="28" t="str">
        <f aca="false">Suppliers!E156</f>
        <v>Hancocks (World of Sweets)</v>
      </c>
      <c r="D156" s="28" t="str">
        <f aca="false">Suppliers!D156</f>
        <v>General Wholesale / FMCG</v>
      </c>
      <c r="E156" s="29" t="s">
        <v>2117</v>
      </c>
      <c r="F156" s="29" t="s">
        <v>2118</v>
      </c>
      <c r="G156" s="20"/>
      <c r="H156" s="20"/>
      <c r="I156" s="20"/>
      <c r="J156" s="21"/>
      <c r="K156" s="20"/>
      <c r="L156" s="21"/>
      <c r="M156" s="20"/>
      <c r="N156" s="20"/>
    </row>
    <row r="157" customFormat="false" ht="23.85" hidden="false" customHeight="false" outlineLevel="0" collapsed="false">
      <c r="A157" s="28" t="str">
        <f aca="false">Suppliers!A157</f>
        <v>UK</v>
      </c>
      <c r="B157" s="28" t="n">
        <f aca="false">Suppliers!B157</f>
        <v>156</v>
      </c>
      <c r="C157" s="28" t="str">
        <f aca="false">Suppliers!E157</f>
        <v>Parfetts (Parfett &amp; Sons Ltd)</v>
      </c>
      <c r="D157" s="28" t="str">
        <f aca="false">Suppliers!D157</f>
        <v>General Wholesale / FMCG</v>
      </c>
      <c r="E157" s="29" t="s">
        <v>2117</v>
      </c>
      <c r="F157" s="29" t="s">
        <v>2118</v>
      </c>
      <c r="G157" s="20"/>
      <c r="H157" s="20"/>
      <c r="I157" s="20"/>
      <c r="J157" s="21"/>
      <c r="K157" s="20"/>
      <c r="L157" s="21"/>
      <c r="M157" s="20"/>
      <c r="N157" s="20"/>
    </row>
    <row r="158" customFormat="false" ht="23.85" hidden="false" customHeight="false" outlineLevel="0" collapsed="false">
      <c r="A158" s="28" t="str">
        <f aca="false">Suppliers!A158</f>
        <v>UK</v>
      </c>
      <c r="B158" s="28" t="n">
        <f aca="false">Suppliers!B158</f>
        <v>157</v>
      </c>
      <c r="C158" s="28" t="str">
        <f aca="false">Suppliers!E158</f>
        <v>CLF Distribution</v>
      </c>
      <c r="D158" s="28" t="str">
        <f aca="false">Suppliers!D158</f>
        <v>Health &amp; Personal Care</v>
      </c>
      <c r="E158" s="29" t="s">
        <v>2117</v>
      </c>
      <c r="F158" s="29" t="s">
        <v>2118</v>
      </c>
      <c r="G158" s="20"/>
      <c r="H158" s="20"/>
      <c r="I158" s="20"/>
      <c r="J158" s="21"/>
      <c r="K158" s="20"/>
      <c r="L158" s="21"/>
      <c r="M158" s="20"/>
      <c r="N158" s="20"/>
    </row>
    <row r="159" customFormat="false" ht="23.85" hidden="false" customHeight="false" outlineLevel="0" collapsed="false">
      <c r="A159" s="28" t="str">
        <f aca="false">Suppliers!A159</f>
        <v>UK</v>
      </c>
      <c r="B159" s="28" t="n">
        <f aca="false">Suppliers!B159</f>
        <v>158</v>
      </c>
      <c r="C159" s="28" t="str">
        <f aca="false">Suppliers!E159</f>
        <v>Lexon (UK) Ltd</v>
      </c>
      <c r="D159" s="28" t="str">
        <f aca="false">Suppliers!D159</f>
        <v>Health &amp; Personal Care</v>
      </c>
      <c r="E159" s="29" t="s">
        <v>2117</v>
      </c>
      <c r="F159" s="29" t="s">
        <v>2118</v>
      </c>
      <c r="G159" s="20"/>
      <c r="H159" s="20"/>
      <c r="I159" s="20"/>
      <c r="J159" s="21"/>
      <c r="K159" s="20"/>
      <c r="L159" s="21"/>
      <c r="M159" s="20"/>
      <c r="N159" s="20"/>
    </row>
    <row r="160" customFormat="false" ht="23.85" hidden="false" customHeight="false" outlineLevel="0" collapsed="false">
      <c r="A160" s="28" t="str">
        <f aca="false">Suppliers!A160</f>
        <v>UK</v>
      </c>
      <c r="B160" s="28" t="n">
        <f aca="false">Suppliers!B160</f>
        <v>159</v>
      </c>
      <c r="C160" s="28" t="str">
        <f aca="false">Suppliers!E160</f>
        <v>Predator Nutrition (wholesale)</v>
      </c>
      <c r="D160" s="28" t="str">
        <f aca="false">Suppliers!D160</f>
        <v>Health &amp; Personal Care</v>
      </c>
      <c r="E160" s="29" t="s">
        <v>2117</v>
      </c>
      <c r="F160" s="29" t="s">
        <v>2118</v>
      </c>
      <c r="G160" s="20"/>
      <c r="H160" s="20"/>
      <c r="I160" s="20"/>
      <c r="J160" s="21"/>
      <c r="K160" s="20"/>
      <c r="L160" s="21"/>
      <c r="M160" s="20"/>
      <c r="N160" s="20"/>
    </row>
    <row r="161" customFormat="false" ht="15" hidden="false" customHeight="false" outlineLevel="0" collapsed="false">
      <c r="A161" s="28" t="str">
        <f aca="false">Suppliers!A161</f>
        <v>UK</v>
      </c>
      <c r="B161" s="28" t="n">
        <f aca="false">Suppliers!B161</f>
        <v>160</v>
      </c>
      <c r="C161" s="28" t="str">
        <f aca="false">Suppliers!E161</f>
        <v>Bluestem Group</v>
      </c>
      <c r="D161" s="28" t="str">
        <f aca="false">Suppliers!D161</f>
        <v>Home &amp; Kitchen</v>
      </c>
      <c r="E161" s="29" t="s">
        <v>2117</v>
      </c>
      <c r="F161" s="29" t="s">
        <v>2118</v>
      </c>
      <c r="G161" s="20"/>
      <c r="H161" s="20"/>
      <c r="I161" s="20"/>
      <c r="J161" s="21"/>
      <c r="K161" s="20"/>
      <c r="L161" s="21"/>
      <c r="M161" s="20"/>
      <c r="N161" s="20"/>
    </row>
    <row r="162" customFormat="false" ht="15" hidden="false" customHeight="false" outlineLevel="0" collapsed="false">
      <c r="A162" s="28" t="str">
        <f aca="false">Suppliers!A162</f>
        <v>UK</v>
      </c>
      <c r="B162" s="28" t="n">
        <f aca="false">Suppliers!B162</f>
        <v>161</v>
      </c>
      <c r="C162" s="28" t="str">
        <f aca="false">Suppliers!E162</f>
        <v>Burton McCall</v>
      </c>
      <c r="D162" s="28" t="str">
        <f aca="false">Suppliers!D162</f>
        <v>Home &amp; Kitchen</v>
      </c>
      <c r="E162" s="29" t="s">
        <v>2117</v>
      </c>
      <c r="F162" s="29" t="s">
        <v>2118</v>
      </c>
      <c r="G162" s="20"/>
      <c r="H162" s="20"/>
      <c r="I162" s="20"/>
      <c r="J162" s="21"/>
      <c r="K162" s="20"/>
      <c r="L162" s="21"/>
      <c r="M162" s="20"/>
      <c r="N162" s="20"/>
    </row>
    <row r="163" customFormat="false" ht="15" hidden="false" customHeight="false" outlineLevel="0" collapsed="false">
      <c r="A163" s="28" t="str">
        <f aca="false">Suppliers!A163</f>
        <v>UK</v>
      </c>
      <c r="B163" s="28" t="n">
        <f aca="false">Suppliers!B163</f>
        <v>162</v>
      </c>
      <c r="C163" s="28" t="str">
        <f aca="false">Suppliers!E163</f>
        <v>Connect Distribution</v>
      </c>
      <c r="D163" s="28" t="str">
        <f aca="false">Suppliers!D163</f>
        <v>Home &amp; Kitchen</v>
      </c>
      <c r="E163" s="29" t="s">
        <v>2117</v>
      </c>
      <c r="F163" s="29" t="s">
        <v>2118</v>
      </c>
      <c r="G163" s="20"/>
      <c r="H163" s="20"/>
      <c r="I163" s="20"/>
      <c r="J163" s="21"/>
      <c r="K163" s="20"/>
      <c r="L163" s="21"/>
      <c r="M163" s="20"/>
      <c r="N163" s="20"/>
    </row>
    <row r="164" customFormat="false" ht="15" hidden="false" customHeight="false" outlineLevel="0" collapsed="false">
      <c r="A164" s="28" t="str">
        <f aca="false">Suppliers!A164</f>
        <v>UK</v>
      </c>
      <c r="B164" s="28" t="n">
        <f aca="false">Suppliers!B164</f>
        <v>163</v>
      </c>
      <c r="C164" s="28" t="str">
        <f aca="false">Suppliers!E164</f>
        <v>HAUS Marketing &amp; Distribution</v>
      </c>
      <c r="D164" s="28" t="str">
        <f aca="false">Suppliers!D164</f>
        <v>Home &amp; Kitchen</v>
      </c>
      <c r="E164" s="29" t="s">
        <v>2117</v>
      </c>
      <c r="F164" s="29" t="s">
        <v>2118</v>
      </c>
      <c r="G164" s="20"/>
      <c r="H164" s="20"/>
      <c r="I164" s="20"/>
      <c r="J164" s="21"/>
      <c r="K164" s="20"/>
      <c r="L164" s="21"/>
      <c r="M164" s="20"/>
      <c r="N164" s="20"/>
    </row>
    <row r="165" customFormat="false" ht="15" hidden="false" customHeight="false" outlineLevel="0" collapsed="false">
      <c r="A165" s="28" t="str">
        <f aca="false">Suppliers!A165</f>
        <v>UK</v>
      </c>
      <c r="B165" s="28" t="n">
        <f aca="false">Suppliers!B165</f>
        <v>164</v>
      </c>
      <c r="C165" s="28" t="str">
        <f aca="false">Suppliers!E165</f>
        <v>SQ Professional Ltd</v>
      </c>
      <c r="D165" s="28" t="str">
        <f aca="false">Suppliers!D165</f>
        <v>Home &amp; Kitchen</v>
      </c>
      <c r="E165" s="29" t="s">
        <v>2117</v>
      </c>
      <c r="F165" s="29" t="s">
        <v>2118</v>
      </c>
      <c r="G165" s="20"/>
      <c r="H165" s="20"/>
      <c r="I165" s="20"/>
      <c r="J165" s="21"/>
      <c r="K165" s="20"/>
      <c r="L165" s="21"/>
      <c r="M165" s="20"/>
      <c r="N165" s="20"/>
    </row>
    <row r="166" customFormat="false" ht="15" hidden="false" customHeight="false" outlineLevel="0" collapsed="false">
      <c r="A166" s="28" t="str">
        <f aca="false">Suppliers!A166</f>
        <v>UK</v>
      </c>
      <c r="B166" s="28" t="n">
        <f aca="false">Suppliers!B166</f>
        <v>165</v>
      </c>
      <c r="C166" s="28" t="str">
        <f aca="false">Suppliers!E166</f>
        <v>PMS International</v>
      </c>
      <c r="D166" s="28" t="str">
        <f aca="false">Suppliers!D166</f>
        <v>Pet Supplies</v>
      </c>
      <c r="E166" s="29" t="s">
        <v>2117</v>
      </c>
      <c r="F166" s="29" t="s">
        <v>2118</v>
      </c>
      <c r="G166" s="20"/>
      <c r="H166" s="20"/>
      <c r="I166" s="20"/>
      <c r="J166" s="21"/>
      <c r="K166" s="20"/>
      <c r="L166" s="21"/>
      <c r="M166" s="20"/>
      <c r="N166" s="20"/>
    </row>
    <row r="167" customFormat="false" ht="15" hidden="false" customHeight="false" outlineLevel="0" collapsed="false">
      <c r="A167" s="28" t="str">
        <f aca="false">Suppliers!A167</f>
        <v>UK</v>
      </c>
      <c r="B167" s="28" t="n">
        <f aca="false">Suppliers!B167</f>
        <v>166</v>
      </c>
      <c r="C167" s="28" t="str">
        <f aca="false">Suppliers!E167</f>
        <v>Paws Products Wholesale</v>
      </c>
      <c r="D167" s="28" t="str">
        <f aca="false">Suppliers!D167</f>
        <v>Pet Supplies</v>
      </c>
      <c r="E167" s="29" t="s">
        <v>2117</v>
      </c>
      <c r="F167" s="29" t="s">
        <v>2118</v>
      </c>
      <c r="G167" s="20"/>
      <c r="H167" s="20"/>
      <c r="I167" s="20"/>
      <c r="J167" s="21"/>
      <c r="K167" s="20"/>
      <c r="L167" s="21"/>
      <c r="M167" s="20"/>
      <c r="N167" s="20"/>
    </row>
    <row r="168" customFormat="false" ht="15" hidden="false" customHeight="false" outlineLevel="0" collapsed="false">
      <c r="A168" s="28" t="str">
        <f aca="false">Suppliers!A168</f>
        <v>UK</v>
      </c>
      <c r="B168" s="28" t="n">
        <f aca="false">Suppliers!B168</f>
        <v>167</v>
      </c>
      <c r="C168" s="28" t="str">
        <f aca="false">Suppliers!E168</f>
        <v>Hykeham Wholesale Ltd</v>
      </c>
      <c r="D168" s="28" t="str">
        <f aca="false">Suppliers!D168</f>
        <v>Sports &amp; Outdoors</v>
      </c>
      <c r="E168" s="29" t="s">
        <v>2117</v>
      </c>
      <c r="F168" s="29" t="s">
        <v>2118</v>
      </c>
      <c r="G168" s="20"/>
      <c r="H168" s="20"/>
      <c r="I168" s="20"/>
      <c r="J168" s="21"/>
      <c r="K168" s="20"/>
      <c r="L168" s="21"/>
      <c r="M168" s="20"/>
      <c r="N168" s="20"/>
    </row>
    <row r="169" customFormat="false" ht="15" hidden="false" customHeight="false" outlineLevel="0" collapsed="false">
      <c r="A169" s="28" t="str">
        <f aca="false">Suppliers!A169</f>
        <v>UK</v>
      </c>
      <c r="B169" s="28" t="n">
        <f aca="false">Suppliers!B169</f>
        <v>168</v>
      </c>
      <c r="C169" s="28" t="str">
        <f aca="false">Suppliers!E169</f>
        <v>Vango (AMG Group Ltd)</v>
      </c>
      <c r="D169" s="28" t="str">
        <f aca="false">Suppliers!D169</f>
        <v>Sports &amp; Outdoors</v>
      </c>
      <c r="E169" s="29" t="s">
        <v>2117</v>
      </c>
      <c r="F169" s="29" t="s">
        <v>2118</v>
      </c>
      <c r="G169" s="20"/>
      <c r="H169" s="20"/>
      <c r="I169" s="20"/>
      <c r="J169" s="21"/>
      <c r="K169" s="20"/>
      <c r="L169" s="21"/>
      <c r="M169" s="20"/>
      <c r="N169" s="20"/>
    </row>
    <row r="170" customFormat="false" ht="15" hidden="false" customHeight="false" outlineLevel="0" collapsed="false">
      <c r="A170" s="28" t="str">
        <f aca="false">Suppliers!A170</f>
        <v>UK</v>
      </c>
      <c r="B170" s="28" t="n">
        <f aca="false">Suppliers!B170</f>
        <v>169</v>
      </c>
      <c r="C170" s="28" t="str">
        <f aca="false">Suppliers!E170</f>
        <v>The Impact Distribution Group</v>
      </c>
      <c r="D170" s="28" t="str">
        <f aca="false">Suppliers!D170</f>
        <v>Stationery &amp; Office</v>
      </c>
      <c r="E170" s="29" t="s">
        <v>2117</v>
      </c>
      <c r="F170" s="29" t="s">
        <v>2118</v>
      </c>
      <c r="G170" s="20"/>
      <c r="H170" s="20"/>
      <c r="I170" s="20"/>
      <c r="J170" s="21"/>
      <c r="K170" s="20"/>
      <c r="L170" s="21"/>
      <c r="M170" s="20"/>
      <c r="N170" s="20"/>
    </row>
    <row r="171" customFormat="false" ht="15" hidden="false" customHeight="false" outlineLevel="0" collapsed="false">
      <c r="A171" s="28" t="str">
        <f aca="false">Suppliers!A171</f>
        <v>UK</v>
      </c>
      <c r="B171" s="28" t="n">
        <f aca="false">Suppliers!B171</f>
        <v>170</v>
      </c>
      <c r="C171" s="28" t="str">
        <f aca="false">Suppliers!E171</f>
        <v>West Design Products</v>
      </c>
      <c r="D171" s="28" t="str">
        <f aca="false">Suppliers!D171</f>
        <v>Stationery &amp; Office</v>
      </c>
      <c r="E171" s="29" t="s">
        <v>2117</v>
      </c>
      <c r="F171" s="29" t="s">
        <v>2118</v>
      </c>
      <c r="G171" s="20"/>
      <c r="H171" s="20"/>
      <c r="I171" s="20"/>
      <c r="J171" s="21"/>
      <c r="K171" s="20"/>
      <c r="L171" s="21"/>
      <c r="M171" s="20"/>
      <c r="N171" s="20"/>
    </row>
    <row r="172" customFormat="false" ht="15" hidden="false" customHeight="false" outlineLevel="0" collapsed="false">
      <c r="A172" s="28" t="str">
        <f aca="false">Suppliers!A172</f>
        <v>UK</v>
      </c>
      <c r="B172" s="28" t="n">
        <f aca="false">Suppliers!B172</f>
        <v>171</v>
      </c>
      <c r="C172" s="28" t="str">
        <f aca="false">Suppliers!E172</f>
        <v>Character Options Ltd</v>
      </c>
      <c r="D172" s="28" t="str">
        <f aca="false">Suppliers!D172</f>
        <v>Toys &amp; Games</v>
      </c>
      <c r="E172" s="29" t="s">
        <v>2117</v>
      </c>
      <c r="F172" s="29" t="s">
        <v>2118</v>
      </c>
      <c r="G172" s="20"/>
      <c r="H172" s="20"/>
      <c r="I172" s="20"/>
      <c r="J172" s="21"/>
      <c r="K172" s="20"/>
      <c r="L172" s="21"/>
      <c r="M172" s="20"/>
      <c r="N172" s="20"/>
    </row>
    <row r="173" customFormat="false" ht="15" hidden="false" customHeight="false" outlineLevel="0" collapsed="false">
      <c r="A173" s="28" t="str">
        <f aca="false">Suppliers!A173</f>
        <v>UK</v>
      </c>
      <c r="B173" s="28" t="n">
        <f aca="false">Suppliers!B173</f>
        <v>172</v>
      </c>
      <c r="C173" s="28" t="str">
        <f aca="false">Suppliers!E173</f>
        <v>Keycraft</v>
      </c>
      <c r="D173" s="28" t="str">
        <f aca="false">Suppliers!D173</f>
        <v>Toys &amp; Games</v>
      </c>
      <c r="E173" s="29" t="s">
        <v>2117</v>
      </c>
      <c r="F173" s="29" t="s">
        <v>2118</v>
      </c>
      <c r="G173" s="20"/>
      <c r="H173" s="20"/>
      <c r="I173" s="20"/>
      <c r="J173" s="21"/>
      <c r="K173" s="20"/>
      <c r="L173" s="21"/>
      <c r="M173" s="20"/>
      <c r="N173" s="20"/>
    </row>
    <row r="174" customFormat="false" ht="15" hidden="false" customHeight="false" outlineLevel="0" collapsed="false">
      <c r="A174" s="28" t="str">
        <f aca="false">Suppliers!A174</f>
        <v>UK</v>
      </c>
      <c r="B174" s="28" t="n">
        <f aca="false">Suppliers!B174</f>
        <v>173</v>
      </c>
      <c r="C174" s="28" t="str">
        <f aca="false">Suppliers!E174</f>
        <v>Puckator Ltd</v>
      </c>
      <c r="D174" s="28" t="str">
        <f aca="false">Suppliers!D174</f>
        <v>Toys &amp; Games</v>
      </c>
      <c r="E174" s="29" t="s">
        <v>2117</v>
      </c>
      <c r="F174" s="29" t="s">
        <v>2118</v>
      </c>
      <c r="G174" s="20"/>
      <c r="H174" s="20"/>
      <c r="I174" s="20"/>
      <c r="J174" s="21"/>
      <c r="K174" s="20"/>
      <c r="L174" s="21"/>
      <c r="M174" s="20"/>
      <c r="N174" s="20"/>
    </row>
    <row r="175" customFormat="false" ht="15" hidden="false" customHeight="false" outlineLevel="0" collapsed="false">
      <c r="A175" s="28" t="str">
        <f aca="false">Suppliers!A175</f>
        <v>UK</v>
      </c>
      <c r="B175" s="28" t="n">
        <f aca="false">Suppliers!B175</f>
        <v>174</v>
      </c>
      <c r="C175" s="28" t="str">
        <f aca="false">Suppliers!E175</f>
        <v>Aston &amp; Fincher</v>
      </c>
      <c r="D175" s="28" t="str">
        <f aca="false">Suppliers!D175</f>
        <v>Beauty</v>
      </c>
      <c r="E175" s="29" t="s">
        <v>2117</v>
      </c>
      <c r="F175" s="29" t="s">
        <v>2118</v>
      </c>
      <c r="G175" s="20"/>
      <c r="H175" s="20"/>
      <c r="I175" s="20"/>
      <c r="J175" s="21"/>
      <c r="K175" s="20"/>
      <c r="L175" s="21"/>
      <c r="M175" s="20"/>
      <c r="N175" s="20"/>
    </row>
    <row r="176" customFormat="false" ht="15" hidden="false" customHeight="false" outlineLevel="0" collapsed="false">
      <c r="A176" s="28" t="str">
        <f aca="false">Suppliers!A176</f>
        <v>UK</v>
      </c>
      <c r="B176" s="28" t="n">
        <f aca="false">Suppliers!B176</f>
        <v>175</v>
      </c>
      <c r="C176" s="28" t="str">
        <f aca="false">Suppliers!E176</f>
        <v>Capital Hair &amp; Beauty</v>
      </c>
      <c r="D176" s="28" t="str">
        <f aca="false">Suppliers!D176</f>
        <v>Beauty</v>
      </c>
      <c r="E176" s="29" t="s">
        <v>2117</v>
      </c>
      <c r="F176" s="29" t="s">
        <v>2118</v>
      </c>
      <c r="G176" s="20"/>
      <c r="H176" s="20"/>
      <c r="I176" s="20"/>
      <c r="J176" s="21"/>
      <c r="K176" s="20"/>
      <c r="L176" s="21"/>
      <c r="M176" s="20"/>
      <c r="N176" s="20"/>
    </row>
    <row r="177" customFormat="false" ht="15" hidden="false" customHeight="false" outlineLevel="0" collapsed="false">
      <c r="A177" s="28" t="str">
        <f aca="false">Suppliers!A177</f>
        <v>UK</v>
      </c>
      <c r="B177" s="28" t="n">
        <f aca="false">Suppliers!B177</f>
        <v>176</v>
      </c>
      <c r="C177" s="28" t="str">
        <f aca="false">Suppliers!E177</f>
        <v>Cherry Cosmetics</v>
      </c>
      <c r="D177" s="28" t="str">
        <f aca="false">Suppliers!D177</f>
        <v>Beauty</v>
      </c>
      <c r="E177" s="29" t="s">
        <v>2117</v>
      </c>
      <c r="F177" s="29" t="s">
        <v>2118</v>
      </c>
      <c r="G177" s="20"/>
      <c r="H177" s="20"/>
      <c r="I177" s="20"/>
      <c r="J177" s="21"/>
      <c r="K177" s="20"/>
      <c r="L177" s="21"/>
      <c r="M177" s="20"/>
      <c r="N177" s="20"/>
    </row>
    <row r="178" customFormat="false" ht="15" hidden="false" customHeight="false" outlineLevel="0" collapsed="false">
      <c r="A178" s="28" t="str">
        <f aca="false">Suppliers!A178</f>
        <v>UK</v>
      </c>
      <c r="B178" s="28" t="n">
        <f aca="false">Suppliers!B178</f>
        <v>177</v>
      </c>
      <c r="C178" s="28" t="str">
        <f aca="false">Suppliers!E178</f>
        <v>Exquisite Cosmetics Ltd</v>
      </c>
      <c r="D178" s="28" t="str">
        <f aca="false">Suppliers!D178</f>
        <v>Beauty</v>
      </c>
      <c r="E178" s="29" t="s">
        <v>2117</v>
      </c>
      <c r="F178" s="29" t="s">
        <v>2118</v>
      </c>
      <c r="G178" s="20"/>
      <c r="H178" s="20"/>
      <c r="I178" s="20"/>
      <c r="J178" s="21"/>
      <c r="K178" s="20"/>
      <c r="L178" s="21"/>
      <c r="M178" s="20"/>
      <c r="N178" s="20"/>
    </row>
    <row r="179" customFormat="false" ht="15" hidden="false" customHeight="false" outlineLevel="0" collapsed="false">
      <c r="A179" s="28" t="str">
        <f aca="false">Suppliers!A179</f>
        <v>UK</v>
      </c>
      <c r="B179" s="28" t="n">
        <f aca="false">Suppliers!B179</f>
        <v>178</v>
      </c>
      <c r="C179" s="28" t="str">
        <f aca="false">Suppliers!E179</f>
        <v>LookinStyle</v>
      </c>
      <c r="D179" s="28" t="str">
        <f aca="false">Suppliers!D179</f>
        <v>Beauty</v>
      </c>
      <c r="E179" s="29" t="s">
        <v>2117</v>
      </c>
      <c r="F179" s="29" t="s">
        <v>2118</v>
      </c>
      <c r="G179" s="20"/>
      <c r="H179" s="20"/>
      <c r="I179" s="20"/>
      <c r="J179" s="21"/>
      <c r="K179" s="20"/>
      <c r="L179" s="21"/>
      <c r="M179" s="20"/>
      <c r="N179" s="20"/>
    </row>
    <row r="180" customFormat="false" ht="15" hidden="false" customHeight="false" outlineLevel="0" collapsed="false">
      <c r="A180" s="28" t="str">
        <f aca="false">Suppliers!A180</f>
        <v>UK</v>
      </c>
      <c r="B180" s="28" t="n">
        <f aca="false">Suppliers!B180</f>
        <v>179</v>
      </c>
      <c r="C180" s="28" t="str">
        <f aca="false">Suppliers!E180</f>
        <v>Ludonex Ltd</v>
      </c>
      <c r="D180" s="28" t="str">
        <f aca="false">Suppliers!D180</f>
        <v>Beauty</v>
      </c>
      <c r="E180" s="29" t="s">
        <v>2117</v>
      </c>
      <c r="F180" s="29" t="s">
        <v>2118</v>
      </c>
      <c r="G180" s="20"/>
      <c r="H180" s="20"/>
      <c r="I180" s="20"/>
      <c r="J180" s="21"/>
      <c r="K180" s="20"/>
      <c r="L180" s="21"/>
      <c r="M180" s="20"/>
      <c r="N180" s="20"/>
    </row>
    <row r="181" customFormat="false" ht="23.85" hidden="false" customHeight="false" outlineLevel="0" collapsed="false">
      <c r="A181" s="28" t="str">
        <f aca="false">Suppliers!A181</f>
        <v>UK</v>
      </c>
      <c r="B181" s="28" t="n">
        <f aca="false">Suppliers!B181</f>
        <v>180</v>
      </c>
      <c r="C181" s="28" t="str">
        <f aca="false">Suppliers!E181</f>
        <v>Wholesale Clearance UK</v>
      </c>
      <c r="D181" s="28" t="str">
        <f aca="false">Suppliers!D181</f>
        <v>General Wholesale / FMCG</v>
      </c>
      <c r="E181" s="29" t="s">
        <v>2117</v>
      </c>
      <c r="F181" s="29" t="s">
        <v>2118</v>
      </c>
      <c r="G181" s="20"/>
      <c r="H181" s="20"/>
      <c r="I181" s="20"/>
      <c r="J181" s="21"/>
      <c r="K181" s="20"/>
      <c r="L181" s="21"/>
      <c r="M181" s="20"/>
      <c r="N181" s="20"/>
    </row>
    <row r="182" customFormat="false" ht="23.85" hidden="false" customHeight="false" outlineLevel="0" collapsed="false">
      <c r="A182" s="28" t="str">
        <f aca="false">Suppliers!A182</f>
        <v>UK</v>
      </c>
      <c r="B182" s="28" t="n">
        <f aca="false">Suppliers!B182</f>
        <v>181</v>
      </c>
      <c r="C182" s="28" t="str">
        <f aca="false">Suppliers!E182</f>
        <v>GP Supplies</v>
      </c>
      <c r="D182" s="28" t="str">
        <f aca="false">Suppliers!D182</f>
        <v>Health &amp; Personal Care</v>
      </c>
      <c r="E182" s="29" t="s">
        <v>2117</v>
      </c>
      <c r="F182" s="29" t="s">
        <v>2118</v>
      </c>
      <c r="G182" s="20"/>
      <c r="H182" s="20"/>
      <c r="I182" s="20"/>
      <c r="J182" s="21"/>
      <c r="K182" s="20"/>
      <c r="L182" s="21"/>
      <c r="M182" s="20"/>
      <c r="N182" s="20"/>
    </row>
    <row r="183" customFormat="false" ht="23.85" hidden="false" customHeight="false" outlineLevel="0" collapsed="false">
      <c r="A183" s="28" t="str">
        <f aca="false">Suppliers!A183</f>
        <v>UK</v>
      </c>
      <c r="B183" s="28" t="n">
        <f aca="false">Suppliers!B183</f>
        <v>182</v>
      </c>
      <c r="C183" s="28" t="str">
        <f aca="false">Suppliers!E183</f>
        <v>Karysrol Ltd</v>
      </c>
      <c r="D183" s="28" t="str">
        <f aca="false">Suppliers!D183</f>
        <v>Health &amp; Personal Care</v>
      </c>
      <c r="E183" s="29" t="s">
        <v>2117</v>
      </c>
      <c r="F183" s="29" t="s">
        <v>2118</v>
      </c>
      <c r="G183" s="20"/>
      <c r="H183" s="20"/>
      <c r="I183" s="20"/>
      <c r="J183" s="21"/>
      <c r="K183" s="20"/>
      <c r="L183" s="21"/>
      <c r="M183" s="20"/>
      <c r="N183" s="20"/>
    </row>
    <row r="184" customFormat="false" ht="23.85" hidden="false" customHeight="false" outlineLevel="0" collapsed="false">
      <c r="A184" s="28" t="str">
        <f aca="false">Suppliers!A184</f>
        <v>UK</v>
      </c>
      <c r="B184" s="28" t="n">
        <f aca="false">Suppliers!B184</f>
        <v>183</v>
      </c>
      <c r="C184" s="28" t="str">
        <f aca="false">Suppliers!E184</f>
        <v>Kinetic Natural Product Distributor (Kinetic Enterprises Ltd)</v>
      </c>
      <c r="D184" s="28" t="str">
        <f aca="false">Suppliers!D184</f>
        <v>Health &amp; Personal Care</v>
      </c>
      <c r="E184" s="29" t="s">
        <v>2117</v>
      </c>
      <c r="F184" s="29" t="s">
        <v>2118</v>
      </c>
      <c r="G184" s="20"/>
      <c r="H184" s="20"/>
      <c r="I184" s="20"/>
      <c r="J184" s="21"/>
      <c r="K184" s="20"/>
      <c r="L184" s="21"/>
      <c r="M184" s="20"/>
      <c r="N184" s="20"/>
    </row>
    <row r="185" customFormat="false" ht="23.85" hidden="false" customHeight="false" outlineLevel="0" collapsed="false">
      <c r="A185" s="28" t="str">
        <f aca="false">Suppliers!A185</f>
        <v>UK</v>
      </c>
      <c r="B185" s="28" t="n">
        <f aca="false">Suppliers!B185</f>
        <v>184</v>
      </c>
      <c r="C185" s="28" t="str">
        <f aca="false">Suppliers!E185</f>
        <v>Suma Wholefoods</v>
      </c>
      <c r="D185" s="28" t="str">
        <f aca="false">Suppliers!D185</f>
        <v>Health &amp; Personal Care</v>
      </c>
      <c r="E185" s="29" t="s">
        <v>2117</v>
      </c>
      <c r="F185" s="29" t="s">
        <v>2118</v>
      </c>
      <c r="G185" s="20"/>
      <c r="H185" s="20"/>
      <c r="I185" s="20"/>
      <c r="J185" s="21"/>
      <c r="K185" s="20"/>
      <c r="L185" s="21"/>
      <c r="M185" s="20"/>
      <c r="N185" s="20"/>
    </row>
    <row r="186" customFormat="false" ht="23.85" hidden="false" customHeight="false" outlineLevel="0" collapsed="false">
      <c r="A186" s="28" t="str">
        <f aca="false">Suppliers!A186</f>
        <v>UK</v>
      </c>
      <c r="B186" s="28" t="n">
        <f aca="false">Suppliers!B186</f>
        <v>185</v>
      </c>
      <c r="C186" s="28" t="str">
        <f aca="false">Suppliers!E186</f>
        <v>Shure Cosmetics (Shure Enterprises UK Ltd)</v>
      </c>
      <c r="D186" s="28" t="str">
        <f aca="false">Suppliers!D186</f>
        <v>Beauty</v>
      </c>
      <c r="E186" s="29" t="s">
        <v>2117</v>
      </c>
      <c r="F186" s="29" t="s">
        <v>2118</v>
      </c>
      <c r="G186" s="20"/>
      <c r="H186" s="20"/>
      <c r="I186" s="20"/>
      <c r="J186" s="21"/>
      <c r="K186" s="20"/>
      <c r="L186" s="21"/>
      <c r="M186" s="20"/>
      <c r="N186" s="20"/>
    </row>
    <row r="187" customFormat="false" ht="15" hidden="false" customHeight="false" outlineLevel="0" collapsed="false">
      <c r="A187" s="28" t="str">
        <f aca="false">Suppliers!A187</f>
        <v>UK</v>
      </c>
      <c r="B187" s="28" t="n">
        <f aca="false">Suppliers!B187</f>
        <v>186</v>
      </c>
      <c r="C187" s="28" t="str">
        <f aca="false">Suppliers!E187</f>
        <v>Toolstream / Silverline Tools</v>
      </c>
      <c r="D187" s="28" t="str">
        <f aca="false">Suppliers!D187</f>
        <v>DIY &amp; Tools</v>
      </c>
      <c r="E187" s="29" t="s">
        <v>2117</v>
      </c>
      <c r="F187" s="29" t="s">
        <v>2118</v>
      </c>
      <c r="G187" s="20"/>
      <c r="H187" s="20"/>
      <c r="I187" s="20"/>
      <c r="J187" s="21"/>
      <c r="K187" s="20"/>
      <c r="L187" s="21"/>
      <c r="M187" s="20"/>
      <c r="N187" s="20"/>
    </row>
    <row r="188" customFormat="false" ht="23.85" hidden="false" customHeight="false" outlineLevel="0" collapsed="false">
      <c r="A188" s="28" t="str">
        <f aca="false">Suppliers!A188</f>
        <v>Pan-European / Online</v>
      </c>
      <c r="B188" s="28" t="n">
        <f aca="false">Suppliers!B188</f>
        <v>187</v>
      </c>
      <c r="C188" s="28" t="str">
        <f aca="false">Suppliers!E188</f>
        <v>Symphonya.eu</v>
      </c>
      <c r="D188" s="28" t="str">
        <f aca="false">Suppliers!D188</f>
        <v>Beauty</v>
      </c>
      <c r="E188" s="29" t="s">
        <v>2117</v>
      </c>
      <c r="F188" s="29" t="s">
        <v>2118</v>
      </c>
      <c r="G188" s="20"/>
      <c r="H188" s="20"/>
      <c r="I188" s="20"/>
      <c r="J188" s="21"/>
      <c r="K188" s="20"/>
      <c r="L188" s="21"/>
      <c r="M188" s="20"/>
      <c r="N188" s="20"/>
    </row>
    <row r="189" customFormat="false" ht="23.85" hidden="false" customHeight="false" outlineLevel="0" collapsed="false">
      <c r="A189" s="28" t="str">
        <f aca="false">Suppliers!A189</f>
        <v>Pan-European / Online</v>
      </c>
      <c r="B189" s="28" t="n">
        <f aca="false">Suppliers!B189</f>
        <v>188</v>
      </c>
      <c r="C189" s="28" t="str">
        <f aca="false">Suppliers!E189</f>
        <v>B-Stock - Amazon EU Liquidation Auctions</v>
      </c>
      <c r="D189" s="28" t="str">
        <f aca="false">Suppliers!D189</f>
        <v>B2B Marketplace</v>
      </c>
      <c r="E189" s="29" t="s">
        <v>2117</v>
      </c>
      <c r="F189" s="29" t="s">
        <v>2118</v>
      </c>
      <c r="G189" s="20"/>
      <c r="H189" s="20"/>
      <c r="I189" s="20"/>
      <c r="J189" s="21"/>
      <c r="K189" s="20"/>
      <c r="L189" s="21"/>
      <c r="M189" s="20"/>
      <c r="N189" s="20"/>
    </row>
    <row r="190" customFormat="false" ht="23.85" hidden="false" customHeight="false" outlineLevel="0" collapsed="false">
      <c r="A190" s="28" t="str">
        <f aca="false">Suppliers!A190</f>
        <v>Pan-European / Online</v>
      </c>
      <c r="B190" s="28" t="n">
        <f aca="false">Suppliers!B190</f>
        <v>189</v>
      </c>
      <c r="C190" s="28" t="str">
        <f aca="false">Suppliers!E190</f>
        <v>Faire</v>
      </c>
      <c r="D190" s="28" t="str">
        <f aca="false">Suppliers!D190</f>
        <v>B2B Marketplace</v>
      </c>
      <c r="E190" s="29" t="s">
        <v>2117</v>
      </c>
      <c r="F190" s="29" t="s">
        <v>2118</v>
      </c>
      <c r="G190" s="20"/>
      <c r="H190" s="20"/>
      <c r="I190" s="20"/>
      <c r="J190" s="21"/>
      <c r="K190" s="20"/>
      <c r="L190" s="21"/>
      <c r="M190" s="20"/>
      <c r="N190" s="20"/>
    </row>
  </sheetData>
  <autoFilter ref="A1:N190"/>
  <dataValidations count="1">
    <dataValidation allowBlank="true" errorStyle="stop" operator="between" showDropDown="false" showErrorMessage="false" showInputMessage="false" sqref="K2:K190 M2:M190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7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5" min="5" style="0" width="14"/>
  </cols>
  <sheetData>
    <row r="1" customFormat="false" ht="31.5" hidden="false" customHeight="true" outlineLevel="0" collapsed="false">
      <c r="A1" s="6" t="s">
        <v>65</v>
      </c>
      <c r="B1" s="6" t="s">
        <v>2119</v>
      </c>
      <c r="C1" s="6" t="s">
        <v>2120</v>
      </c>
      <c r="D1" s="6" t="s">
        <v>2121</v>
      </c>
      <c r="E1" s="6" t="s">
        <v>2122</v>
      </c>
    </row>
    <row r="2" customFormat="false" ht="15" hidden="false" customHeight="false" outlineLevel="0" collapsed="false">
      <c r="A2" s="15" t="s">
        <v>100</v>
      </c>
      <c r="B2" s="18" t="n">
        <f aca="false">COUNTIF(Suppliers!$A$2:$A$190,A2)</f>
        <v>6</v>
      </c>
      <c r="C2" s="18" t="n">
        <f aca="false">COUNTIFS(Suppliers!$A$2:$A$190,A2,Suppliers!$C$2:$C$190,"&gt;=4")</f>
        <v>1</v>
      </c>
      <c r="D2" s="18" t="s">
        <v>2123</v>
      </c>
      <c r="E2" s="29" t="s">
        <v>2124</v>
      </c>
    </row>
    <row r="3" customFormat="false" ht="15" hidden="false" customHeight="false" outlineLevel="0" collapsed="false">
      <c r="A3" s="26" t="s">
        <v>187</v>
      </c>
      <c r="B3" s="18" t="n">
        <f aca="false">COUNTIF(Suppliers!$A$2:$A$190,A3)</f>
        <v>1</v>
      </c>
      <c r="C3" s="18" t="n">
        <f aca="false">COUNTIFS(Suppliers!$A$2:$A$190,A3,Suppliers!$C$2:$C$190,"&gt;=4")</f>
        <v>0</v>
      </c>
      <c r="D3" s="18" t="s">
        <v>188</v>
      </c>
      <c r="E3" s="29" t="s">
        <v>2124</v>
      </c>
    </row>
    <row r="4" customFormat="false" ht="15" hidden="false" customHeight="false" outlineLevel="0" collapsed="false">
      <c r="A4" s="15" t="s">
        <v>198</v>
      </c>
      <c r="B4" s="18" t="n">
        <f aca="false">COUNTIF(Suppliers!$A$2:$A$190,A4)</f>
        <v>4</v>
      </c>
      <c r="C4" s="18" t="n">
        <f aca="false">COUNTIFS(Suppliers!$A$2:$A$190,A4,Suppliers!$C$2:$C$190,"&gt;=4")</f>
        <v>1</v>
      </c>
      <c r="D4" s="18" t="s">
        <v>2125</v>
      </c>
      <c r="E4" s="29" t="s">
        <v>2124</v>
      </c>
    </row>
    <row r="5" customFormat="false" ht="15" hidden="false" customHeight="false" outlineLevel="0" collapsed="false">
      <c r="A5" s="26" t="s">
        <v>247</v>
      </c>
      <c r="B5" s="18" t="n">
        <f aca="false">COUNTIF(Suppliers!$A$2:$A$190,A5)</f>
        <v>1</v>
      </c>
      <c r="C5" s="18" t="n">
        <f aca="false">COUNTIFS(Suppliers!$A$2:$A$190,A5,Suppliers!$C$2:$C$190,"&gt;=4")</f>
        <v>0</v>
      </c>
      <c r="D5" s="18" t="s">
        <v>248</v>
      </c>
      <c r="E5" s="29" t="s">
        <v>2124</v>
      </c>
    </row>
    <row r="6" customFormat="false" ht="15" hidden="false" customHeight="false" outlineLevel="0" collapsed="false">
      <c r="A6" s="15" t="s">
        <v>257</v>
      </c>
      <c r="B6" s="18" t="n">
        <f aca="false">COUNTIF(Suppliers!$A$2:$A$190,A6)</f>
        <v>6</v>
      </c>
      <c r="C6" s="18" t="n">
        <f aca="false">COUNTIFS(Suppliers!$A$2:$A$190,A6,Suppliers!$C$2:$C$190,"&gt;=4")</f>
        <v>0</v>
      </c>
      <c r="D6" s="18" t="s">
        <v>2126</v>
      </c>
      <c r="E6" s="29" t="s">
        <v>2124</v>
      </c>
    </row>
    <row r="7" customFormat="false" ht="23.85" hidden="false" customHeight="false" outlineLevel="0" collapsed="false">
      <c r="A7" s="26" t="s">
        <v>334</v>
      </c>
      <c r="B7" s="18" t="n">
        <f aca="false">COUNTIF(Suppliers!$A$2:$A$190,A7)</f>
        <v>31</v>
      </c>
      <c r="C7" s="18" t="n">
        <f aca="false">COUNTIFS(Suppliers!$A$2:$A$190,A7,Suppliers!$C$2:$C$190,"&gt;=4")</f>
        <v>13</v>
      </c>
      <c r="D7" s="18" t="s">
        <v>2127</v>
      </c>
      <c r="E7" s="29" t="s">
        <v>2124</v>
      </c>
    </row>
    <row r="8" customFormat="false" ht="15" hidden="false" customHeight="false" outlineLevel="0" collapsed="false">
      <c r="A8" s="15" t="s">
        <v>684</v>
      </c>
      <c r="B8" s="18" t="n">
        <f aca="false">COUNTIF(Suppliers!$A$2:$A$190,A8)</f>
        <v>1</v>
      </c>
      <c r="C8" s="18" t="n">
        <f aca="false">COUNTIFS(Suppliers!$A$2:$A$190,A8,Suppliers!$C$2:$C$190,"&gt;=4")</f>
        <v>0</v>
      </c>
      <c r="D8" s="18" t="s">
        <v>122</v>
      </c>
      <c r="E8" s="29" t="s">
        <v>2124</v>
      </c>
    </row>
    <row r="9" customFormat="false" ht="15" hidden="false" customHeight="false" outlineLevel="0" collapsed="false">
      <c r="A9" s="26" t="s">
        <v>696</v>
      </c>
      <c r="B9" s="18" t="n">
        <f aca="false">COUNTIF(Suppliers!$A$2:$A$190,A9)</f>
        <v>5</v>
      </c>
      <c r="C9" s="18" t="n">
        <f aca="false">COUNTIFS(Suppliers!$A$2:$A$190,A9,Suppliers!$C$2:$C$190,"&gt;=4")</f>
        <v>0</v>
      </c>
      <c r="D9" s="18" t="s">
        <v>2128</v>
      </c>
      <c r="E9" s="29" t="s">
        <v>2124</v>
      </c>
    </row>
    <row r="10" customFormat="false" ht="15" hidden="false" customHeight="false" outlineLevel="0" collapsed="false">
      <c r="A10" s="15" t="s">
        <v>746</v>
      </c>
      <c r="B10" s="18" t="n">
        <f aca="false">COUNTIF(Suppliers!$A$2:$A$190,A10)</f>
        <v>1</v>
      </c>
      <c r="C10" s="18" t="n">
        <f aca="false">COUNTIFS(Suppliers!$A$2:$A$190,A10,Suppliers!$C$2:$C$190,"&gt;=4")</f>
        <v>0</v>
      </c>
      <c r="D10" s="18" t="s">
        <v>364</v>
      </c>
      <c r="E10" s="29" t="s">
        <v>2124</v>
      </c>
    </row>
    <row r="11" customFormat="false" ht="35.05" hidden="false" customHeight="false" outlineLevel="0" collapsed="false">
      <c r="A11" s="26" t="s">
        <v>755</v>
      </c>
      <c r="B11" s="18" t="n">
        <f aca="false">COUNTIF(Suppliers!$A$2:$A$190,A11)</f>
        <v>29</v>
      </c>
      <c r="C11" s="18" t="n">
        <f aca="false">COUNTIFS(Suppliers!$A$2:$A$190,A11,Suppliers!$C$2:$C$190,"&gt;=4")</f>
        <v>6</v>
      </c>
      <c r="D11" s="18" t="s">
        <v>2129</v>
      </c>
      <c r="E11" s="29" t="s">
        <v>2124</v>
      </c>
    </row>
    <row r="12" customFormat="false" ht="23.85" hidden="false" customHeight="false" outlineLevel="0" collapsed="false">
      <c r="A12" s="15" t="s">
        <v>1067</v>
      </c>
      <c r="B12" s="18" t="n">
        <f aca="false">COUNTIF(Suppliers!$A$2:$A$190,A12)</f>
        <v>25</v>
      </c>
      <c r="C12" s="18" t="n">
        <f aca="false">COUNTIFS(Suppliers!$A$2:$A$190,A12,Suppliers!$C$2:$C$190,"&gt;=4")</f>
        <v>4</v>
      </c>
      <c r="D12" s="18" t="s">
        <v>2130</v>
      </c>
      <c r="E12" s="29" t="s">
        <v>2124</v>
      </c>
    </row>
    <row r="13" customFormat="false" ht="15" hidden="false" customHeight="false" outlineLevel="0" collapsed="false">
      <c r="A13" s="26" t="s">
        <v>1310</v>
      </c>
      <c r="B13" s="18" t="n">
        <f aca="false">COUNTIF(Suppliers!$A$2:$A$190,A13)</f>
        <v>1</v>
      </c>
      <c r="C13" s="18" t="n">
        <f aca="false">COUNTIFS(Suppliers!$A$2:$A$190,A13,Suppliers!$C$2:$C$190,"&gt;=4")</f>
        <v>1</v>
      </c>
      <c r="D13" s="18" t="s">
        <v>122</v>
      </c>
      <c r="E13" s="29" t="s">
        <v>2124</v>
      </c>
    </row>
    <row r="14" customFormat="false" ht="23.85" hidden="false" customHeight="false" outlineLevel="0" collapsed="false">
      <c r="A14" s="15" t="s">
        <v>1326</v>
      </c>
      <c r="B14" s="18" t="n">
        <f aca="false">COUNTIF(Suppliers!$A$2:$A$190,A14)</f>
        <v>9</v>
      </c>
      <c r="C14" s="18" t="n">
        <f aca="false">COUNTIFS(Suppliers!$A$2:$A$190,A14,Suppliers!$C$2:$C$190,"&gt;=4")</f>
        <v>0</v>
      </c>
      <c r="D14" s="18" t="s">
        <v>2131</v>
      </c>
      <c r="E14" s="29" t="s">
        <v>2124</v>
      </c>
    </row>
    <row r="15" customFormat="false" ht="15" hidden="false" customHeight="false" outlineLevel="0" collapsed="false">
      <c r="A15" s="26" t="s">
        <v>1419</v>
      </c>
      <c r="B15" s="18" t="n">
        <f aca="false">COUNTIF(Suppliers!$A$2:$A$190,A15)</f>
        <v>1</v>
      </c>
      <c r="C15" s="18" t="n">
        <f aca="false">COUNTIFS(Suppliers!$A$2:$A$190,A15,Suppliers!$C$2:$C$190,"&gt;=4")</f>
        <v>0</v>
      </c>
      <c r="D15" s="18" t="s">
        <v>236</v>
      </c>
      <c r="E15" s="29" t="s">
        <v>2124</v>
      </c>
    </row>
    <row r="16" customFormat="false" ht="35.05" hidden="false" customHeight="false" outlineLevel="0" collapsed="false">
      <c r="A16" s="15" t="s">
        <v>338</v>
      </c>
      <c r="B16" s="18" t="n">
        <f aca="false">COUNTIF(Suppliers!$A$2:$A$190,A16)</f>
        <v>65</v>
      </c>
      <c r="C16" s="18" t="n">
        <f aca="false">COUNTIFS(Suppliers!$A$2:$A$190,A16,Suppliers!$C$2:$C$190,"&gt;=4")</f>
        <v>24</v>
      </c>
      <c r="D16" s="18" t="s">
        <v>2132</v>
      </c>
      <c r="E16" s="29" t="s">
        <v>2124</v>
      </c>
    </row>
    <row r="17" customFormat="false" ht="12.65" hidden="false" customHeight="false" outlineLevel="0" collapsed="false">
      <c r="A17" s="26" t="s">
        <v>2076</v>
      </c>
      <c r="B17" s="18" t="n">
        <f aca="false">COUNTIF(Suppliers!$A$2:$A$190,A17)</f>
        <v>3</v>
      </c>
      <c r="C17" s="18" t="n">
        <f aca="false">COUNTIFS(Suppliers!$A$2:$A$190,A17,Suppliers!$C$2:$C$190,"&gt;=4")</f>
        <v>0</v>
      </c>
      <c r="D17" s="18" t="s">
        <v>2133</v>
      </c>
      <c r="E17" s="29" t="s">
        <v>2124</v>
      </c>
    </row>
    <row r="18" customFormat="false" ht="15" hidden="false" customHeight="false" outlineLevel="0" collapsed="false">
      <c r="A18" s="30" t="s">
        <v>2134</v>
      </c>
      <c r="B18" s="30" t="n">
        <f aca="false">SUM(B2:B17)</f>
        <v>189</v>
      </c>
      <c r="C18" s="30" t="n">
        <f aca="false">SUM(C2:C17)</f>
        <v>50</v>
      </c>
    </row>
  </sheetData>
  <hyperlinks>
    <hyperlink ref="E2" r:id="rId1" location="Suppliers!A2" display="Go to &gt;"/>
    <hyperlink ref="E3" r:id="rId2" location="Suppliers!A8" display="Go to &gt;"/>
    <hyperlink ref="E4" r:id="rId3" location="Suppliers!A9" display="Go to &gt;"/>
    <hyperlink ref="E5" r:id="rId4" location="Suppliers!A13" display="Go to &gt;"/>
    <hyperlink ref="E6" r:id="rId5" location="Suppliers!A14" display="Go to &gt;"/>
    <hyperlink ref="E7" r:id="rId6" location="Suppliers!A20" display="Go to &gt;"/>
    <hyperlink ref="E8" r:id="rId7" location="Suppliers!A51" display="Go to &gt;"/>
    <hyperlink ref="E9" r:id="rId8" location="Suppliers!A52" display="Go to &gt;"/>
    <hyperlink ref="E10" r:id="rId9" location="Suppliers!A57" display="Go to &gt;"/>
    <hyperlink ref="E11" r:id="rId10" location="Suppliers!A58" display="Go to &gt;"/>
    <hyperlink ref="E12" r:id="rId11" location="Suppliers!A87" display="Go to &gt;"/>
    <hyperlink ref="E13" r:id="rId12" location="Suppliers!A112" display="Go to &gt;"/>
    <hyperlink ref="E14" r:id="rId13" location="Suppliers!A113" display="Go to &gt;"/>
    <hyperlink ref="E15" r:id="rId14" location="Suppliers!A122" display="Go to &gt;"/>
    <hyperlink ref="E16" r:id="rId15" location="Suppliers!A123" display="Go to &gt;"/>
    <hyperlink ref="E17" r:id="rId16" location="Suppliers!A188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2135</v>
      </c>
      <c r="B1" s="6" t="s">
        <v>2136</v>
      </c>
      <c r="C1" s="6" t="s">
        <v>2120</v>
      </c>
      <c r="D1" s="6" t="s">
        <v>2137</v>
      </c>
      <c r="E1" s="6" t="s">
        <v>2138</v>
      </c>
      <c r="F1" s="6" t="s">
        <v>2139</v>
      </c>
      <c r="G1" s="6" t="s">
        <v>2140</v>
      </c>
    </row>
    <row r="2" customFormat="false" ht="61.5" hidden="false" customHeight="true" outlineLevel="0" collapsed="false">
      <c r="A2" s="31" t="s">
        <v>296</v>
      </c>
      <c r="B2" s="18" t="n">
        <f aca="false">COUNTIF(Suppliers!$D$2:$D$190,A2)</f>
        <v>9</v>
      </c>
      <c r="C2" s="18" t="n">
        <f aca="false">COUNTIFS(Suppliers!$D$2:$D$190,A2,Suppliers!$C$2:$C$190,"&gt;=4")</f>
        <v>1</v>
      </c>
      <c r="D2" s="18" t="s">
        <v>2141</v>
      </c>
      <c r="E2" s="18" t="s">
        <v>2142</v>
      </c>
      <c r="F2" s="18" t="s">
        <v>2143</v>
      </c>
      <c r="G2" s="18" t="s">
        <v>2144</v>
      </c>
    </row>
    <row r="3" customFormat="false" ht="61.5" hidden="false" customHeight="true" outlineLevel="0" collapsed="false">
      <c r="A3" s="31" t="s">
        <v>188</v>
      </c>
      <c r="B3" s="18" t="n">
        <f aca="false">COUNTIF(Suppliers!$D$2:$D$190,A3)</f>
        <v>13</v>
      </c>
      <c r="C3" s="18" t="n">
        <f aca="false">COUNTIFS(Suppliers!$D$2:$D$190,A3,Suppliers!$C$2:$C$190,"&gt;=4")</f>
        <v>3</v>
      </c>
      <c r="D3" s="18" t="s">
        <v>2145</v>
      </c>
      <c r="E3" s="18" t="s">
        <v>2146</v>
      </c>
      <c r="F3" s="18" t="s">
        <v>2147</v>
      </c>
      <c r="G3" s="18" t="s">
        <v>2148</v>
      </c>
    </row>
    <row r="4" customFormat="false" ht="61.5" hidden="false" customHeight="true" outlineLevel="0" collapsed="false">
      <c r="A4" s="31" t="s">
        <v>122</v>
      </c>
      <c r="B4" s="18" t="n">
        <f aca="false">COUNTIF(Suppliers!$D$2:$D$190,A4)</f>
        <v>20</v>
      </c>
      <c r="C4" s="18" t="n">
        <f aca="false">COUNTIFS(Suppliers!$D$2:$D$190,A4,Suppliers!$C$2:$C$190,"&gt;=4")</f>
        <v>3</v>
      </c>
      <c r="D4" s="18" t="s">
        <v>2149</v>
      </c>
      <c r="E4" s="18" t="s">
        <v>2150</v>
      </c>
      <c r="F4" s="18" t="s">
        <v>2151</v>
      </c>
      <c r="G4" s="18" t="s">
        <v>2152</v>
      </c>
    </row>
    <row r="5" customFormat="false" ht="61.5" hidden="false" customHeight="true" outlineLevel="0" collapsed="false">
      <c r="A5" s="31" t="s">
        <v>364</v>
      </c>
      <c r="B5" s="18" t="n">
        <f aca="false">COUNTIF(Suppliers!$D$2:$D$190,A5)</f>
        <v>13</v>
      </c>
      <c r="C5" s="18" t="n">
        <f aca="false">COUNTIFS(Suppliers!$D$2:$D$190,A5,Suppliers!$C$2:$C$190,"&gt;=4")</f>
        <v>4</v>
      </c>
      <c r="D5" s="18" t="s">
        <v>2153</v>
      </c>
      <c r="E5" s="18" t="s">
        <v>2154</v>
      </c>
      <c r="F5" s="18" t="s">
        <v>2155</v>
      </c>
      <c r="G5" s="18" t="s">
        <v>2156</v>
      </c>
    </row>
    <row r="6" customFormat="false" ht="61.5" hidden="false" customHeight="true" outlineLevel="0" collapsed="false">
      <c r="A6" s="31" t="s">
        <v>135</v>
      </c>
      <c r="B6" s="18" t="n">
        <f aca="false">COUNTIF(Suppliers!$D$2:$D$190,A6)</f>
        <v>18</v>
      </c>
      <c r="C6" s="18" t="n">
        <f aca="false">COUNTIFS(Suppliers!$D$2:$D$190,A6,Suppliers!$C$2:$C$190,"&gt;=4")</f>
        <v>5</v>
      </c>
      <c r="D6" s="18" t="s">
        <v>2157</v>
      </c>
      <c r="E6" s="18" t="s">
        <v>2158</v>
      </c>
      <c r="F6" s="18" t="s">
        <v>2159</v>
      </c>
      <c r="G6" s="18" t="s">
        <v>2160</v>
      </c>
    </row>
    <row r="7" customFormat="false" ht="61.5" hidden="false" customHeight="true" outlineLevel="0" collapsed="false">
      <c r="A7" s="31" t="s">
        <v>767</v>
      </c>
      <c r="B7" s="18" t="n">
        <f aca="false">COUNTIF(Suppliers!$D$2:$D$190,A7)</f>
        <v>10</v>
      </c>
      <c r="C7" s="18" t="n">
        <f aca="false">COUNTIFS(Suppliers!$D$2:$D$190,A7,Suppliers!$C$2:$C$190,"&gt;=4")</f>
        <v>2</v>
      </c>
      <c r="D7" s="18" t="s">
        <v>2161</v>
      </c>
      <c r="E7" s="18" t="s">
        <v>2162</v>
      </c>
      <c r="F7" s="18" t="s">
        <v>2163</v>
      </c>
      <c r="G7" s="18" t="s">
        <v>2164</v>
      </c>
    </row>
    <row r="8" customFormat="false" ht="61.5" hidden="false" customHeight="true" outlineLevel="0" collapsed="false">
      <c r="A8" s="31" t="s">
        <v>379</v>
      </c>
      <c r="B8" s="18" t="n">
        <f aca="false">COUNTIF(Suppliers!$D$2:$D$190,A8)</f>
        <v>22</v>
      </c>
      <c r="C8" s="18" t="n">
        <f aca="false">COUNTIFS(Suppliers!$D$2:$D$190,A8,Suppliers!$C$2:$C$190,"&gt;=4")</f>
        <v>7</v>
      </c>
      <c r="D8" s="18" t="s">
        <v>2165</v>
      </c>
      <c r="E8" s="18" t="s">
        <v>2166</v>
      </c>
      <c r="F8" s="18" t="s">
        <v>2167</v>
      </c>
      <c r="G8" s="18" t="s">
        <v>2168</v>
      </c>
    </row>
    <row r="9" customFormat="false" ht="61.5" hidden="false" customHeight="true" outlineLevel="0" collapsed="false">
      <c r="A9" s="31" t="s">
        <v>150</v>
      </c>
      <c r="B9" s="18" t="n">
        <f aca="false">COUNTIF(Suppliers!$D$2:$D$190,A9)</f>
        <v>14</v>
      </c>
      <c r="C9" s="18" t="n">
        <f aca="false">COUNTIFS(Suppliers!$D$2:$D$190,A9,Suppliers!$C$2:$C$190,"&gt;=4")</f>
        <v>4</v>
      </c>
      <c r="D9" s="18" t="s">
        <v>2169</v>
      </c>
      <c r="E9" s="18" t="s">
        <v>2170</v>
      </c>
      <c r="F9" s="18" t="s">
        <v>2171</v>
      </c>
      <c r="G9" s="18" t="s">
        <v>2172</v>
      </c>
    </row>
    <row r="10" customFormat="false" ht="61.5" hidden="false" customHeight="true" outlineLevel="0" collapsed="false">
      <c r="A10" s="31" t="s">
        <v>101</v>
      </c>
      <c r="B10" s="18" t="n">
        <f aca="false">COUNTIF(Suppliers!$D$2:$D$190,A10)</f>
        <v>19</v>
      </c>
      <c r="C10" s="18" t="n">
        <f aca="false">COUNTIFS(Suppliers!$D$2:$D$190,A10,Suppliers!$C$2:$C$190,"&gt;=4")</f>
        <v>6</v>
      </c>
      <c r="D10" s="18" t="s">
        <v>2173</v>
      </c>
      <c r="E10" s="18" t="s">
        <v>2174</v>
      </c>
      <c r="F10" s="18" t="s">
        <v>2175</v>
      </c>
      <c r="G10" s="18" t="s">
        <v>2176</v>
      </c>
    </row>
    <row r="11" customFormat="false" ht="61.5" hidden="false" customHeight="true" outlineLevel="0" collapsed="false">
      <c r="A11" s="31" t="s">
        <v>442</v>
      </c>
      <c r="B11" s="18" t="n">
        <f aca="false">COUNTIF(Suppliers!$D$2:$D$190,A11)</f>
        <v>11</v>
      </c>
      <c r="C11" s="18" t="n">
        <f aca="false">COUNTIFS(Suppliers!$D$2:$D$190,A11,Suppliers!$C$2:$C$190,"&gt;=4")</f>
        <v>2</v>
      </c>
      <c r="D11" s="18" t="s">
        <v>2177</v>
      </c>
      <c r="E11" s="18" t="s">
        <v>2178</v>
      </c>
      <c r="F11" s="18" t="s">
        <v>2179</v>
      </c>
      <c r="G11" s="18" t="s">
        <v>2180</v>
      </c>
    </row>
    <row r="12" customFormat="false" ht="61.5" hidden="false" customHeight="true" outlineLevel="0" collapsed="false">
      <c r="A12" s="31" t="s">
        <v>248</v>
      </c>
      <c r="B12" s="18" t="n">
        <f aca="false">COUNTIF(Suppliers!$D$2:$D$190,A12)</f>
        <v>11</v>
      </c>
      <c r="C12" s="18" t="n">
        <f aca="false">COUNTIFS(Suppliers!$D$2:$D$190,A12,Suppliers!$C$2:$C$190,"&gt;=4")</f>
        <v>2</v>
      </c>
      <c r="D12" s="18" t="s">
        <v>2181</v>
      </c>
      <c r="E12" s="18" t="s">
        <v>2182</v>
      </c>
      <c r="F12" s="18" t="s">
        <v>2183</v>
      </c>
      <c r="G12" s="18" t="s">
        <v>2184</v>
      </c>
    </row>
    <row r="13" customFormat="false" ht="61.5" hidden="false" customHeight="true" outlineLevel="0" collapsed="false">
      <c r="A13" s="31" t="s">
        <v>236</v>
      </c>
      <c r="B13" s="18" t="n">
        <f aca="false">COUNTIF(Suppliers!$D$2:$D$190,A13)</f>
        <v>29</v>
      </c>
      <c r="C13" s="18" t="n">
        <f aca="false">COUNTIFS(Suppliers!$D$2:$D$190,A13,Suppliers!$C$2:$C$190,"&gt;=4")</f>
        <v>11</v>
      </c>
      <c r="D13" s="18" t="s">
        <v>2185</v>
      </c>
      <c r="E13" s="18" t="s">
        <v>2186</v>
      </c>
      <c r="F13" s="18" t="s">
        <v>2187</v>
      </c>
      <c r="G13" s="18" t="s">
        <v>2188</v>
      </c>
    </row>
    <row r="15" customFormat="false" ht="15" hidden="false" customHeight="false" outlineLevel="0" collapsed="false">
      <c r="A15" s="32" t="s">
        <v>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2190</v>
      </c>
    </row>
    <row r="2" customFormat="false" ht="15" hidden="false" customHeight="false" outlineLevel="0" collapsed="false">
      <c r="A2" s="32" t="s">
        <v>2191</v>
      </c>
    </row>
    <row r="4" customFormat="false" ht="15" hidden="false" customHeight="false" outlineLevel="0" collapsed="false">
      <c r="A4" s="30" t="s">
        <v>2192</v>
      </c>
      <c r="B4" s="33" t="n">
        <v>0.85</v>
      </c>
      <c r="C4" s="34" t="s">
        <v>2193</v>
      </c>
    </row>
    <row r="5" customFormat="false" ht="15" hidden="false" customHeight="false" outlineLevel="0" collapsed="false">
      <c r="A5" s="30" t="s">
        <v>2194</v>
      </c>
      <c r="B5" s="35" t="n">
        <v>0.2</v>
      </c>
      <c r="C5" s="34" t="s">
        <v>2195</v>
      </c>
    </row>
    <row r="6" customFormat="false" ht="15" hidden="false" customHeight="false" outlineLevel="0" collapsed="false">
      <c r="A6" s="30" t="s">
        <v>2196</v>
      </c>
      <c r="B6" s="35" t="n">
        <v>0.15</v>
      </c>
      <c r="C6" s="34" t="s">
        <v>2197</v>
      </c>
    </row>
    <row r="7" customFormat="false" ht="15" hidden="false" customHeight="false" outlineLevel="0" collapsed="false">
      <c r="A7" s="30" t="s">
        <v>2198</v>
      </c>
      <c r="B7" s="35" t="n">
        <v>0.3</v>
      </c>
      <c r="C7" s="34" t="s">
        <v>2199</v>
      </c>
    </row>
    <row r="10" customFormat="false" ht="45" hidden="false" customHeight="true" outlineLevel="0" collapsed="false">
      <c r="A10" s="6" t="s">
        <v>2200</v>
      </c>
      <c r="B10" s="6" t="s">
        <v>2201</v>
      </c>
      <c r="C10" s="6" t="s">
        <v>2202</v>
      </c>
      <c r="D10" s="6" t="s">
        <v>2203</v>
      </c>
      <c r="E10" s="6" t="s">
        <v>2204</v>
      </c>
      <c r="F10" s="6" t="s">
        <v>2205</v>
      </c>
      <c r="G10" s="6" t="s">
        <v>2206</v>
      </c>
      <c r="H10" s="6" t="s">
        <v>2207</v>
      </c>
      <c r="I10" s="6" t="s">
        <v>2208</v>
      </c>
      <c r="J10" s="6" t="s">
        <v>2209</v>
      </c>
      <c r="K10" s="6" t="s">
        <v>2210</v>
      </c>
      <c r="L10" s="6" t="s">
        <v>2211</v>
      </c>
      <c r="M10" s="6" t="s">
        <v>2212</v>
      </c>
      <c r="N10" s="6" t="s">
        <v>2213</v>
      </c>
      <c r="O10" s="6" t="s">
        <v>2214</v>
      </c>
      <c r="P10" s="6" t="s">
        <v>2215</v>
      </c>
      <c r="Q10" s="6" t="s">
        <v>2216</v>
      </c>
      <c r="R10" s="6" t="s">
        <v>2217</v>
      </c>
      <c r="S10" s="6" t="s">
        <v>2218</v>
      </c>
      <c r="T10" s="6" t="s">
        <v>2219</v>
      </c>
      <c r="U10" s="6" t="s">
        <v>2220</v>
      </c>
      <c r="V10" s="6" t="s">
        <v>2221</v>
      </c>
      <c r="W10" s="6" t="s">
        <v>2222</v>
      </c>
      <c r="X10" s="6" t="s">
        <v>2223</v>
      </c>
    </row>
    <row r="11" customFormat="false" ht="15" hidden="false" customHeight="false" outlineLevel="0" collapsed="false">
      <c r="A11" s="36" t="s">
        <v>2224</v>
      </c>
      <c r="B11" s="36" t="s">
        <v>199</v>
      </c>
      <c r="C11" s="36" t="s">
        <v>2225</v>
      </c>
      <c r="D11" s="37" t="n">
        <v>12.5</v>
      </c>
      <c r="E11" s="36" t="s">
        <v>2226</v>
      </c>
      <c r="F11" s="38" t="n">
        <f aca="false">IF(D11="","",IF(E11="EUR",$B$4,1))</f>
        <v>0.85</v>
      </c>
      <c r="G11" s="39" t="n">
        <f aca="false">IF(D11="","",D11*F11)</f>
        <v>10.625</v>
      </c>
      <c r="H11" s="40" t="n">
        <v>0.6</v>
      </c>
      <c r="I11" s="41" t="n">
        <v>0</v>
      </c>
      <c r="J11" s="39" t="n">
        <f aca="false">IF(D11="","",(G11+H11)*I11)</f>
        <v>0</v>
      </c>
      <c r="K11" s="40" t="n">
        <v>0.3</v>
      </c>
      <c r="L11" s="39" t="n">
        <f aca="false">IF(D11="","",G11+H11+J11+K11)</f>
        <v>11.525</v>
      </c>
      <c r="M11" s="40" t="n">
        <v>32.99</v>
      </c>
      <c r="N11" s="42" t="n">
        <f aca="false">IF(M11="","",$B$5)</f>
        <v>0.2</v>
      </c>
      <c r="O11" s="39" t="n">
        <f aca="false">IF(M11="","",M11/(1+N11))</f>
        <v>27.4916666666667</v>
      </c>
      <c r="P11" s="42" t="n">
        <f aca="false">IF(M11="","",$B$6)</f>
        <v>0.15</v>
      </c>
      <c r="Q11" s="39" t="n">
        <f aca="false">IF(M11="","",M11*P11)</f>
        <v>4.9485</v>
      </c>
      <c r="R11" s="40" t="n">
        <v>3.4</v>
      </c>
      <c r="S11" s="40" t="n">
        <v>0.15</v>
      </c>
      <c r="T11" s="39" t="n">
        <f aca="false">IF(OR(D11="",M11=""),"",O11-L11-Q11-R11-S11)</f>
        <v>7.46816666666667</v>
      </c>
      <c r="U11" s="43" t="n">
        <f aca="false">IF(T11="","",IF(L11=0,"",T11/L11))</f>
        <v>0.647997107736804</v>
      </c>
      <c r="V11" s="43" t="n">
        <f aca="false">IF(T11="","",T11/O11)</f>
        <v>0.271652015762352</v>
      </c>
      <c r="W11" s="39" t="n">
        <f aca="false">IF(OR(D11="",M11=""),"",IF((1/(1+N11)-P11)&lt;=0,"",(L11+R11+S11)/(1/(1+N11)-P11)))</f>
        <v>22.0609756097561</v>
      </c>
      <c r="X11" s="44" t="str">
        <f aca="false">IF(U11="","",IF(U11&gt;=$B$7,"BUY","SKIP"))</f>
        <v>BUY</v>
      </c>
    </row>
    <row r="12" customFormat="false" ht="15" hidden="false" customHeight="false" outlineLevel="0" collapsed="false">
      <c r="A12" s="36" t="s">
        <v>2227</v>
      </c>
      <c r="B12" s="36" t="s">
        <v>1632</v>
      </c>
      <c r="C12" s="36" t="s">
        <v>2228</v>
      </c>
      <c r="D12" s="37" t="n">
        <v>4.2</v>
      </c>
      <c r="E12" s="36" t="s">
        <v>2229</v>
      </c>
      <c r="F12" s="38" t="n">
        <f aca="false">IF(D12="","",IF(E12="EUR",$B$4,1))</f>
        <v>1</v>
      </c>
      <c r="G12" s="39" t="n">
        <f aca="false">IF(D12="","",D12*F12)</f>
        <v>4.2</v>
      </c>
      <c r="H12" s="40" t="n">
        <v>0.25</v>
      </c>
      <c r="I12" s="41" t="n">
        <v>0</v>
      </c>
      <c r="J12" s="39" t="n">
        <f aca="false">IF(D12="","",(G12+H12)*I12)</f>
        <v>0</v>
      </c>
      <c r="K12" s="40" t="n">
        <v>0.1</v>
      </c>
      <c r="L12" s="39" t="n">
        <f aca="false">IF(D12="","",G12+H12+J12+K12)</f>
        <v>4.55</v>
      </c>
      <c r="M12" s="40" t="n">
        <v>12.99</v>
      </c>
      <c r="N12" s="42" t="n">
        <f aca="false">IF(M12="","",$B$5)</f>
        <v>0.2</v>
      </c>
      <c r="O12" s="39" t="n">
        <f aca="false">IF(M12="","",M12/(1+N12))</f>
        <v>10.825</v>
      </c>
      <c r="P12" s="42" t="n">
        <f aca="false">IF(M12="","",$B$6)</f>
        <v>0.15</v>
      </c>
      <c r="Q12" s="39" t="n">
        <f aca="false">IF(M12="","",M12*P12)</f>
        <v>1.9485</v>
      </c>
      <c r="R12" s="40" t="n">
        <v>2.9</v>
      </c>
      <c r="S12" s="40" t="n">
        <v>0.05</v>
      </c>
      <c r="T12" s="39" t="n">
        <f aca="false">IF(OR(D12="",M12=""),"",O12-L12-Q12-R12-S12)</f>
        <v>1.3765</v>
      </c>
      <c r="U12" s="43" t="n">
        <f aca="false">IF(T12="","",IF(L12=0,"",T12/L12))</f>
        <v>0.302527472527473</v>
      </c>
      <c r="V12" s="43" t="n">
        <f aca="false">IF(T12="","",T12/O12)</f>
        <v>0.12715935334873</v>
      </c>
      <c r="W12" s="39" t="n">
        <f aca="false">IF(OR(D12="",M12=""),"",IF((1/(1+N12)-P12)&lt;=0,"",(L12+R12+S12)/(1/(1+N12)-P12)))</f>
        <v>10.9756097560976</v>
      </c>
      <c r="X12" s="44" t="str">
        <f aca="false">IF(U12="","",IF(U12&gt;=$B$7,"BUY","SKIP"))</f>
        <v>BUY</v>
      </c>
    </row>
    <row r="13" customFormat="false" ht="15" hidden="false" customHeight="false" outlineLevel="0" collapsed="false">
      <c r="A13" s="36"/>
      <c r="B13" s="36"/>
      <c r="C13" s="36"/>
      <c r="D13" s="37"/>
      <c r="E13" s="36"/>
      <c r="F13" s="38" t="str">
        <f aca="false">IF(D13="","",IF(E13="EUR",$B$4,1))</f>
        <v/>
      </c>
      <c r="G13" s="39" t="str">
        <f aca="false">IF(D13="","",D13*F13)</f>
        <v/>
      </c>
      <c r="H13" s="40"/>
      <c r="I13" s="41"/>
      <c r="J13" s="39" t="str">
        <f aca="false">IF(D13="","",(G13+H13)*I13)</f>
        <v/>
      </c>
      <c r="K13" s="40"/>
      <c r="L13" s="39" t="str">
        <f aca="false">IF(D13="","",G13+H13+J13+K13)</f>
        <v/>
      </c>
      <c r="M13" s="40"/>
      <c r="N13" s="42" t="str">
        <f aca="false">IF(M13="","",$B$5)</f>
        <v/>
      </c>
      <c r="O13" s="39" t="str">
        <f aca="false">IF(M13="","",M13/(1+N13))</f>
        <v/>
      </c>
      <c r="P13" s="42" t="str">
        <f aca="false">IF(M13="","",$B$6)</f>
        <v/>
      </c>
      <c r="Q13" s="39" t="str">
        <f aca="false">IF(M13="","",M13*P13)</f>
        <v/>
      </c>
      <c r="R13" s="40"/>
      <c r="S13" s="40"/>
      <c r="T13" s="39" t="str">
        <f aca="false">IF(OR(D13="",M13=""),"",O13-L13-Q13-R13-S13)</f>
        <v/>
      </c>
      <c r="U13" s="43" t="str">
        <f aca="false">IF(T13="","",IF(L13=0,"",T13/L13))</f>
        <v/>
      </c>
      <c r="V13" s="43" t="str">
        <f aca="false">IF(T13="","",T13/O13)</f>
        <v/>
      </c>
      <c r="W13" s="39" t="str">
        <f aca="false">IF(OR(D13="",M13=""),"",IF((1/(1+N13)-P13)&lt;=0,"",(L13+R13+S13)/(1/(1+N13)-P13)))</f>
        <v/>
      </c>
      <c r="X13" s="44" t="str">
        <f aca="false">IF(U13="","",IF(U13&gt;=$B$7,"BUY","SKIP"))</f>
        <v/>
      </c>
    </row>
    <row r="14" customFormat="false" ht="15" hidden="false" customHeight="false" outlineLevel="0" collapsed="false">
      <c r="A14" s="36"/>
      <c r="B14" s="36"/>
      <c r="C14" s="36"/>
      <c r="D14" s="37"/>
      <c r="E14" s="36"/>
      <c r="F14" s="38" t="str">
        <f aca="false">IF(D14="","",IF(E14="EUR",$B$4,1))</f>
        <v/>
      </c>
      <c r="G14" s="39" t="str">
        <f aca="false">IF(D14="","",D14*F14)</f>
        <v/>
      </c>
      <c r="H14" s="40"/>
      <c r="I14" s="41"/>
      <c r="J14" s="39" t="str">
        <f aca="false">IF(D14="","",(G14+H14)*I14)</f>
        <v/>
      </c>
      <c r="K14" s="40"/>
      <c r="L14" s="39" t="str">
        <f aca="false">IF(D14="","",G14+H14+J14+K14)</f>
        <v/>
      </c>
      <c r="M14" s="40"/>
      <c r="N14" s="42" t="str">
        <f aca="false">IF(M14="","",$B$5)</f>
        <v/>
      </c>
      <c r="O14" s="39" t="str">
        <f aca="false">IF(M14="","",M14/(1+N14))</f>
        <v/>
      </c>
      <c r="P14" s="42" t="str">
        <f aca="false">IF(M14="","",$B$6)</f>
        <v/>
      </c>
      <c r="Q14" s="39" t="str">
        <f aca="false">IF(M14="","",M14*P14)</f>
        <v/>
      </c>
      <c r="R14" s="40"/>
      <c r="S14" s="40"/>
      <c r="T14" s="39" t="str">
        <f aca="false">IF(OR(D14="",M14=""),"",O14-L14-Q14-R14-S14)</f>
        <v/>
      </c>
      <c r="U14" s="43" t="str">
        <f aca="false">IF(T14="","",IF(L14=0,"",T14/L14))</f>
        <v/>
      </c>
      <c r="V14" s="43" t="str">
        <f aca="false">IF(T14="","",T14/O14)</f>
        <v/>
      </c>
      <c r="W14" s="39" t="str">
        <f aca="false">IF(OR(D14="",M14=""),"",IF((1/(1+N14)-P14)&lt;=0,"",(L14+R14+S14)/(1/(1+N14)-P14)))</f>
        <v/>
      </c>
      <c r="X14" s="44" t="str">
        <f aca="false">IF(U14="","",IF(U14&gt;=$B$7,"BUY","SKIP"))</f>
        <v/>
      </c>
    </row>
    <row r="15" customFormat="false" ht="15" hidden="false" customHeight="false" outlineLevel="0" collapsed="false">
      <c r="A15" s="36"/>
      <c r="B15" s="36"/>
      <c r="C15" s="36"/>
      <c r="D15" s="37"/>
      <c r="E15" s="36"/>
      <c r="F15" s="38" t="str">
        <f aca="false">IF(D15="","",IF(E15="EUR",$B$4,1))</f>
        <v/>
      </c>
      <c r="G15" s="39" t="str">
        <f aca="false">IF(D15="","",D15*F15)</f>
        <v/>
      </c>
      <c r="H15" s="40"/>
      <c r="I15" s="41"/>
      <c r="J15" s="39" t="str">
        <f aca="false">IF(D15="","",(G15+H15)*I15)</f>
        <v/>
      </c>
      <c r="K15" s="40"/>
      <c r="L15" s="39" t="str">
        <f aca="false">IF(D15="","",G15+H15+J15+K15)</f>
        <v/>
      </c>
      <c r="M15" s="40"/>
      <c r="N15" s="42" t="str">
        <f aca="false">IF(M15="","",$B$5)</f>
        <v/>
      </c>
      <c r="O15" s="39" t="str">
        <f aca="false">IF(M15="","",M15/(1+N15))</f>
        <v/>
      </c>
      <c r="P15" s="42" t="str">
        <f aca="false">IF(M15="","",$B$6)</f>
        <v/>
      </c>
      <c r="Q15" s="39" t="str">
        <f aca="false">IF(M15="","",M15*P15)</f>
        <v/>
      </c>
      <c r="R15" s="40"/>
      <c r="S15" s="40"/>
      <c r="T15" s="39" t="str">
        <f aca="false">IF(OR(D15="",M15=""),"",O15-L15-Q15-R15-S15)</f>
        <v/>
      </c>
      <c r="U15" s="43" t="str">
        <f aca="false">IF(T15="","",IF(L15=0,"",T15/L15))</f>
        <v/>
      </c>
      <c r="V15" s="43" t="str">
        <f aca="false">IF(T15="","",T15/O15)</f>
        <v/>
      </c>
      <c r="W15" s="39" t="str">
        <f aca="false">IF(OR(D15="",M15=""),"",IF((1/(1+N15)-P15)&lt;=0,"",(L15+R15+S15)/(1/(1+N15)-P15)))</f>
        <v/>
      </c>
      <c r="X15" s="44" t="str">
        <f aca="false">IF(U15="","",IF(U15&gt;=$B$7,"BUY","SKIP"))</f>
        <v/>
      </c>
    </row>
    <row r="16" customFormat="false" ht="15" hidden="false" customHeight="false" outlineLevel="0" collapsed="false">
      <c r="A16" s="36"/>
      <c r="B16" s="36"/>
      <c r="C16" s="36"/>
      <c r="D16" s="37"/>
      <c r="E16" s="36"/>
      <c r="F16" s="38" t="str">
        <f aca="false">IF(D16="","",IF(E16="EUR",$B$4,1))</f>
        <v/>
      </c>
      <c r="G16" s="39" t="str">
        <f aca="false">IF(D16="","",D16*F16)</f>
        <v/>
      </c>
      <c r="H16" s="40"/>
      <c r="I16" s="41"/>
      <c r="J16" s="39" t="str">
        <f aca="false">IF(D16="","",(G16+H16)*I16)</f>
        <v/>
      </c>
      <c r="K16" s="40"/>
      <c r="L16" s="39" t="str">
        <f aca="false">IF(D16="","",G16+H16+J16+K16)</f>
        <v/>
      </c>
      <c r="M16" s="40"/>
      <c r="N16" s="42" t="str">
        <f aca="false">IF(M16="","",$B$5)</f>
        <v/>
      </c>
      <c r="O16" s="39" t="str">
        <f aca="false">IF(M16="","",M16/(1+N16))</f>
        <v/>
      </c>
      <c r="P16" s="42" t="str">
        <f aca="false">IF(M16="","",$B$6)</f>
        <v/>
      </c>
      <c r="Q16" s="39" t="str">
        <f aca="false">IF(M16="","",M16*P16)</f>
        <v/>
      </c>
      <c r="R16" s="40"/>
      <c r="S16" s="40"/>
      <c r="T16" s="39" t="str">
        <f aca="false">IF(OR(D16="",M16=""),"",O16-L16-Q16-R16-S16)</f>
        <v/>
      </c>
      <c r="U16" s="43" t="str">
        <f aca="false">IF(T16="","",IF(L16=0,"",T16/L16))</f>
        <v/>
      </c>
      <c r="V16" s="43" t="str">
        <f aca="false">IF(T16="","",T16/O16)</f>
        <v/>
      </c>
      <c r="W16" s="39" t="str">
        <f aca="false">IF(OR(D16="",M16=""),"",IF((1/(1+N16)-P16)&lt;=0,"",(L16+R16+S16)/(1/(1+N16)-P16)))</f>
        <v/>
      </c>
      <c r="X16" s="44" t="str">
        <f aca="false">IF(U16="","",IF(U16&gt;=$B$7,"BUY","SKIP"))</f>
        <v/>
      </c>
    </row>
    <row r="17" customFormat="false" ht="15" hidden="false" customHeight="false" outlineLevel="0" collapsed="false">
      <c r="A17" s="36"/>
      <c r="B17" s="36"/>
      <c r="C17" s="36"/>
      <c r="D17" s="37"/>
      <c r="E17" s="36"/>
      <c r="F17" s="38" t="str">
        <f aca="false">IF(D17="","",IF(E17="EUR",$B$4,1))</f>
        <v/>
      </c>
      <c r="G17" s="39" t="str">
        <f aca="false">IF(D17="","",D17*F17)</f>
        <v/>
      </c>
      <c r="H17" s="40"/>
      <c r="I17" s="41"/>
      <c r="J17" s="39" t="str">
        <f aca="false">IF(D17="","",(G17+H17)*I17)</f>
        <v/>
      </c>
      <c r="K17" s="40"/>
      <c r="L17" s="39" t="str">
        <f aca="false">IF(D17="","",G17+H17+J17+K17)</f>
        <v/>
      </c>
      <c r="M17" s="40"/>
      <c r="N17" s="42" t="str">
        <f aca="false">IF(M17="","",$B$5)</f>
        <v/>
      </c>
      <c r="O17" s="39" t="str">
        <f aca="false">IF(M17="","",M17/(1+N17))</f>
        <v/>
      </c>
      <c r="P17" s="42" t="str">
        <f aca="false">IF(M17="","",$B$6)</f>
        <v/>
      </c>
      <c r="Q17" s="39" t="str">
        <f aca="false">IF(M17="","",M17*P17)</f>
        <v/>
      </c>
      <c r="R17" s="40"/>
      <c r="S17" s="40"/>
      <c r="T17" s="39" t="str">
        <f aca="false">IF(OR(D17="",M17=""),"",O17-L17-Q17-R17-S17)</f>
        <v/>
      </c>
      <c r="U17" s="43" t="str">
        <f aca="false">IF(T17="","",IF(L17=0,"",T17/L17))</f>
        <v/>
      </c>
      <c r="V17" s="43" t="str">
        <f aca="false">IF(T17="","",T17/O17)</f>
        <v/>
      </c>
      <c r="W17" s="39" t="str">
        <f aca="false">IF(OR(D17="",M17=""),"",IF((1/(1+N17)-P17)&lt;=0,"",(L17+R17+S17)/(1/(1+N17)-P17)))</f>
        <v/>
      </c>
      <c r="X17" s="44" t="str">
        <f aca="false">IF(U17="","",IF(U17&gt;=$B$7,"BUY","SKIP"))</f>
        <v/>
      </c>
    </row>
    <row r="18" customFormat="false" ht="15" hidden="false" customHeight="false" outlineLevel="0" collapsed="false">
      <c r="A18" s="36"/>
      <c r="B18" s="36"/>
      <c r="C18" s="36"/>
      <c r="D18" s="37"/>
      <c r="E18" s="36"/>
      <c r="F18" s="38" t="str">
        <f aca="false">IF(D18="","",IF(E18="EUR",$B$4,1))</f>
        <v/>
      </c>
      <c r="G18" s="39" t="str">
        <f aca="false">IF(D18="","",D18*F18)</f>
        <v/>
      </c>
      <c r="H18" s="40"/>
      <c r="I18" s="41"/>
      <c r="J18" s="39" t="str">
        <f aca="false">IF(D18="","",(G18+H18)*I18)</f>
        <v/>
      </c>
      <c r="K18" s="40"/>
      <c r="L18" s="39" t="str">
        <f aca="false">IF(D18="","",G18+H18+J18+K18)</f>
        <v/>
      </c>
      <c r="M18" s="40"/>
      <c r="N18" s="42" t="str">
        <f aca="false">IF(M18="","",$B$5)</f>
        <v/>
      </c>
      <c r="O18" s="39" t="str">
        <f aca="false">IF(M18="","",M18/(1+N18))</f>
        <v/>
      </c>
      <c r="P18" s="42" t="str">
        <f aca="false">IF(M18="","",$B$6)</f>
        <v/>
      </c>
      <c r="Q18" s="39" t="str">
        <f aca="false">IF(M18="","",M18*P18)</f>
        <v/>
      </c>
      <c r="R18" s="40"/>
      <c r="S18" s="40"/>
      <c r="T18" s="39" t="str">
        <f aca="false">IF(OR(D18="",M18=""),"",O18-L18-Q18-R18-S18)</f>
        <v/>
      </c>
      <c r="U18" s="43" t="str">
        <f aca="false">IF(T18="","",IF(L18=0,"",T18/L18))</f>
        <v/>
      </c>
      <c r="V18" s="43" t="str">
        <f aca="false">IF(T18="","",T18/O18)</f>
        <v/>
      </c>
      <c r="W18" s="39" t="str">
        <f aca="false">IF(OR(D18="",M18=""),"",IF((1/(1+N18)-P18)&lt;=0,"",(L18+R18+S18)/(1/(1+N18)-P18)))</f>
        <v/>
      </c>
      <c r="X18" s="44" t="str">
        <f aca="false">IF(U18="","",IF(U18&gt;=$B$7,"BUY","SKIP"))</f>
        <v/>
      </c>
    </row>
    <row r="19" customFormat="false" ht="15" hidden="false" customHeight="false" outlineLevel="0" collapsed="false">
      <c r="A19" s="36"/>
      <c r="B19" s="36"/>
      <c r="C19" s="36"/>
      <c r="D19" s="37"/>
      <c r="E19" s="36"/>
      <c r="F19" s="38" t="str">
        <f aca="false">IF(D19="","",IF(E19="EUR",$B$4,1))</f>
        <v/>
      </c>
      <c r="G19" s="39" t="str">
        <f aca="false">IF(D19="","",D19*F19)</f>
        <v/>
      </c>
      <c r="H19" s="40"/>
      <c r="I19" s="41"/>
      <c r="J19" s="39" t="str">
        <f aca="false">IF(D19="","",(G19+H19)*I19)</f>
        <v/>
      </c>
      <c r="K19" s="40"/>
      <c r="L19" s="39" t="str">
        <f aca="false">IF(D19="","",G19+H19+J19+K19)</f>
        <v/>
      </c>
      <c r="M19" s="40"/>
      <c r="N19" s="42" t="str">
        <f aca="false">IF(M19="","",$B$5)</f>
        <v/>
      </c>
      <c r="O19" s="39" t="str">
        <f aca="false">IF(M19="","",M19/(1+N19))</f>
        <v/>
      </c>
      <c r="P19" s="42" t="str">
        <f aca="false">IF(M19="","",$B$6)</f>
        <v/>
      </c>
      <c r="Q19" s="39" t="str">
        <f aca="false">IF(M19="","",M19*P19)</f>
        <v/>
      </c>
      <c r="R19" s="40"/>
      <c r="S19" s="40"/>
      <c r="T19" s="39" t="str">
        <f aca="false">IF(OR(D19="",M19=""),"",O19-L19-Q19-R19-S19)</f>
        <v/>
      </c>
      <c r="U19" s="43" t="str">
        <f aca="false">IF(T19="","",IF(L19=0,"",T19/L19))</f>
        <v/>
      </c>
      <c r="V19" s="43" t="str">
        <f aca="false">IF(T19="","",T19/O19)</f>
        <v/>
      </c>
      <c r="W19" s="39" t="str">
        <f aca="false">IF(OR(D19="",M19=""),"",IF((1/(1+N19)-P19)&lt;=0,"",(L19+R19+S19)/(1/(1+N19)-P19)))</f>
        <v/>
      </c>
      <c r="X19" s="44" t="str">
        <f aca="false">IF(U19="","",IF(U19&gt;=$B$7,"BUY","SKIP"))</f>
        <v/>
      </c>
    </row>
    <row r="20" customFormat="false" ht="15" hidden="false" customHeight="false" outlineLevel="0" collapsed="false">
      <c r="A20" s="36"/>
      <c r="B20" s="36"/>
      <c r="C20" s="36"/>
      <c r="D20" s="37"/>
      <c r="E20" s="36"/>
      <c r="F20" s="38" t="str">
        <f aca="false">IF(D20="","",IF(E20="EUR",$B$4,1))</f>
        <v/>
      </c>
      <c r="G20" s="39" t="str">
        <f aca="false">IF(D20="","",D20*F20)</f>
        <v/>
      </c>
      <c r="H20" s="40"/>
      <c r="I20" s="41"/>
      <c r="J20" s="39" t="str">
        <f aca="false">IF(D20="","",(G20+H20)*I20)</f>
        <v/>
      </c>
      <c r="K20" s="40"/>
      <c r="L20" s="39" t="str">
        <f aca="false">IF(D20="","",G20+H20+J20+K20)</f>
        <v/>
      </c>
      <c r="M20" s="40"/>
      <c r="N20" s="42" t="str">
        <f aca="false">IF(M20="","",$B$5)</f>
        <v/>
      </c>
      <c r="O20" s="39" t="str">
        <f aca="false">IF(M20="","",M20/(1+N20))</f>
        <v/>
      </c>
      <c r="P20" s="42" t="str">
        <f aca="false">IF(M20="","",$B$6)</f>
        <v/>
      </c>
      <c r="Q20" s="39" t="str">
        <f aca="false">IF(M20="","",M20*P20)</f>
        <v/>
      </c>
      <c r="R20" s="40"/>
      <c r="S20" s="40"/>
      <c r="T20" s="39" t="str">
        <f aca="false">IF(OR(D20="",M20=""),"",O20-L20-Q20-R20-S20)</f>
        <v/>
      </c>
      <c r="U20" s="43" t="str">
        <f aca="false">IF(T20="","",IF(L20=0,"",T20/L20))</f>
        <v/>
      </c>
      <c r="V20" s="43" t="str">
        <f aca="false">IF(T20="","",T20/O20)</f>
        <v/>
      </c>
      <c r="W20" s="39" t="str">
        <f aca="false">IF(OR(D20="",M20=""),"",IF((1/(1+N20)-P20)&lt;=0,"",(L20+R20+S20)/(1/(1+N20)-P20)))</f>
        <v/>
      </c>
      <c r="X20" s="44" t="str">
        <f aca="false">IF(U20="","",IF(U20&gt;=$B$7,"BUY","SKIP"))</f>
        <v/>
      </c>
    </row>
    <row r="21" customFormat="false" ht="15" hidden="false" customHeight="false" outlineLevel="0" collapsed="false">
      <c r="A21" s="36"/>
      <c r="B21" s="36"/>
      <c r="C21" s="36"/>
      <c r="D21" s="37"/>
      <c r="E21" s="36"/>
      <c r="F21" s="38" t="str">
        <f aca="false">IF(D21="","",IF(E21="EUR",$B$4,1))</f>
        <v/>
      </c>
      <c r="G21" s="39" t="str">
        <f aca="false">IF(D21="","",D21*F21)</f>
        <v/>
      </c>
      <c r="H21" s="40"/>
      <c r="I21" s="41"/>
      <c r="J21" s="39" t="str">
        <f aca="false">IF(D21="","",(G21+H21)*I21)</f>
        <v/>
      </c>
      <c r="K21" s="40"/>
      <c r="L21" s="39" t="str">
        <f aca="false">IF(D21="","",G21+H21+J21+K21)</f>
        <v/>
      </c>
      <c r="M21" s="40"/>
      <c r="N21" s="42" t="str">
        <f aca="false">IF(M21="","",$B$5)</f>
        <v/>
      </c>
      <c r="O21" s="39" t="str">
        <f aca="false">IF(M21="","",M21/(1+N21))</f>
        <v/>
      </c>
      <c r="P21" s="42" t="str">
        <f aca="false">IF(M21="","",$B$6)</f>
        <v/>
      </c>
      <c r="Q21" s="39" t="str">
        <f aca="false">IF(M21="","",M21*P21)</f>
        <v/>
      </c>
      <c r="R21" s="40"/>
      <c r="S21" s="40"/>
      <c r="T21" s="39" t="str">
        <f aca="false">IF(OR(D21="",M21=""),"",O21-L21-Q21-R21-S21)</f>
        <v/>
      </c>
      <c r="U21" s="43" t="str">
        <f aca="false">IF(T21="","",IF(L21=0,"",T21/L21))</f>
        <v/>
      </c>
      <c r="V21" s="43" t="str">
        <f aca="false">IF(T21="","",T21/O21)</f>
        <v/>
      </c>
      <c r="W21" s="39" t="str">
        <f aca="false">IF(OR(D21="",M21=""),"",IF((1/(1+N21)-P21)&lt;=0,"",(L21+R21+S21)/(1/(1+N21)-P21)))</f>
        <v/>
      </c>
      <c r="X21" s="44" t="str">
        <f aca="false">IF(U21="","",IF(U21&gt;=$B$7,"BUY","SKIP"))</f>
        <v/>
      </c>
    </row>
    <row r="22" customFormat="false" ht="15" hidden="false" customHeight="false" outlineLevel="0" collapsed="false">
      <c r="A22" s="36"/>
      <c r="B22" s="36"/>
      <c r="C22" s="36"/>
      <c r="D22" s="37"/>
      <c r="E22" s="36"/>
      <c r="F22" s="38" t="str">
        <f aca="false">IF(D22="","",IF(E22="EUR",$B$4,1))</f>
        <v/>
      </c>
      <c r="G22" s="39" t="str">
        <f aca="false">IF(D22="","",D22*F22)</f>
        <v/>
      </c>
      <c r="H22" s="40"/>
      <c r="I22" s="41"/>
      <c r="J22" s="39" t="str">
        <f aca="false">IF(D22="","",(G22+H22)*I22)</f>
        <v/>
      </c>
      <c r="K22" s="40"/>
      <c r="L22" s="39" t="str">
        <f aca="false">IF(D22="","",G22+H22+J22+K22)</f>
        <v/>
      </c>
      <c r="M22" s="40"/>
      <c r="N22" s="42" t="str">
        <f aca="false">IF(M22="","",$B$5)</f>
        <v/>
      </c>
      <c r="O22" s="39" t="str">
        <f aca="false">IF(M22="","",M22/(1+N22))</f>
        <v/>
      </c>
      <c r="P22" s="42" t="str">
        <f aca="false">IF(M22="","",$B$6)</f>
        <v/>
      </c>
      <c r="Q22" s="39" t="str">
        <f aca="false">IF(M22="","",M22*P22)</f>
        <v/>
      </c>
      <c r="R22" s="40"/>
      <c r="S22" s="40"/>
      <c r="T22" s="39" t="str">
        <f aca="false">IF(OR(D22="",M22=""),"",O22-L22-Q22-R22-S22)</f>
        <v/>
      </c>
      <c r="U22" s="43" t="str">
        <f aca="false">IF(T22="","",IF(L22=0,"",T22/L22))</f>
        <v/>
      </c>
      <c r="V22" s="43" t="str">
        <f aca="false">IF(T22="","",T22/O22)</f>
        <v/>
      </c>
      <c r="W22" s="39" t="str">
        <f aca="false">IF(OR(D22="",M22=""),"",IF((1/(1+N22)-P22)&lt;=0,"",(L22+R22+S22)/(1/(1+N22)-P22)))</f>
        <v/>
      </c>
      <c r="X22" s="44" t="str">
        <f aca="false">IF(U22="","",IF(U22&gt;=$B$7,"BUY","SKIP"))</f>
        <v/>
      </c>
    </row>
    <row r="23" customFormat="false" ht="15" hidden="false" customHeight="false" outlineLevel="0" collapsed="false">
      <c r="A23" s="36"/>
      <c r="B23" s="36"/>
      <c r="C23" s="36"/>
      <c r="D23" s="37"/>
      <c r="E23" s="36"/>
      <c r="F23" s="38" t="str">
        <f aca="false">IF(D23="","",IF(E23="EUR",$B$4,1))</f>
        <v/>
      </c>
      <c r="G23" s="39" t="str">
        <f aca="false">IF(D23="","",D23*F23)</f>
        <v/>
      </c>
      <c r="H23" s="40"/>
      <c r="I23" s="41"/>
      <c r="J23" s="39" t="str">
        <f aca="false">IF(D23="","",(G23+H23)*I23)</f>
        <v/>
      </c>
      <c r="K23" s="40"/>
      <c r="L23" s="39" t="str">
        <f aca="false">IF(D23="","",G23+H23+J23+K23)</f>
        <v/>
      </c>
      <c r="M23" s="40"/>
      <c r="N23" s="42" t="str">
        <f aca="false">IF(M23="","",$B$5)</f>
        <v/>
      </c>
      <c r="O23" s="39" t="str">
        <f aca="false">IF(M23="","",M23/(1+N23))</f>
        <v/>
      </c>
      <c r="P23" s="42" t="str">
        <f aca="false">IF(M23="","",$B$6)</f>
        <v/>
      </c>
      <c r="Q23" s="39" t="str">
        <f aca="false">IF(M23="","",M23*P23)</f>
        <v/>
      </c>
      <c r="R23" s="40"/>
      <c r="S23" s="40"/>
      <c r="T23" s="39" t="str">
        <f aca="false">IF(OR(D23="",M23=""),"",O23-L23-Q23-R23-S23)</f>
        <v/>
      </c>
      <c r="U23" s="43" t="str">
        <f aca="false">IF(T23="","",IF(L23=0,"",T23/L23))</f>
        <v/>
      </c>
      <c r="V23" s="43" t="str">
        <f aca="false">IF(T23="","",T23/O23)</f>
        <v/>
      </c>
      <c r="W23" s="39" t="str">
        <f aca="false">IF(OR(D23="",M23=""),"",IF((1/(1+N23)-P23)&lt;=0,"",(L23+R23+S23)/(1/(1+N23)-P23)))</f>
        <v/>
      </c>
      <c r="X23" s="44" t="str">
        <f aca="false">IF(U23="","",IF(U23&gt;=$B$7,"BUY","SKIP"))</f>
        <v/>
      </c>
    </row>
    <row r="24" customFormat="false" ht="15" hidden="false" customHeight="false" outlineLevel="0" collapsed="false">
      <c r="A24" s="36"/>
      <c r="B24" s="36"/>
      <c r="C24" s="36"/>
      <c r="D24" s="37"/>
      <c r="E24" s="36"/>
      <c r="F24" s="38" t="str">
        <f aca="false">IF(D24="","",IF(E24="EUR",$B$4,1))</f>
        <v/>
      </c>
      <c r="G24" s="39" t="str">
        <f aca="false">IF(D24="","",D24*F24)</f>
        <v/>
      </c>
      <c r="H24" s="40"/>
      <c r="I24" s="41"/>
      <c r="J24" s="39" t="str">
        <f aca="false">IF(D24="","",(G24+H24)*I24)</f>
        <v/>
      </c>
      <c r="K24" s="40"/>
      <c r="L24" s="39" t="str">
        <f aca="false">IF(D24="","",G24+H24+J24+K24)</f>
        <v/>
      </c>
      <c r="M24" s="40"/>
      <c r="N24" s="42" t="str">
        <f aca="false">IF(M24="","",$B$5)</f>
        <v/>
      </c>
      <c r="O24" s="39" t="str">
        <f aca="false">IF(M24="","",M24/(1+N24))</f>
        <v/>
      </c>
      <c r="P24" s="42" t="str">
        <f aca="false">IF(M24="","",$B$6)</f>
        <v/>
      </c>
      <c r="Q24" s="39" t="str">
        <f aca="false">IF(M24="","",M24*P24)</f>
        <v/>
      </c>
      <c r="R24" s="40"/>
      <c r="S24" s="40"/>
      <c r="T24" s="39" t="str">
        <f aca="false">IF(OR(D24="",M24=""),"",O24-L24-Q24-R24-S24)</f>
        <v/>
      </c>
      <c r="U24" s="43" t="str">
        <f aca="false">IF(T24="","",IF(L24=0,"",T24/L24))</f>
        <v/>
      </c>
      <c r="V24" s="43" t="str">
        <f aca="false">IF(T24="","",T24/O24)</f>
        <v/>
      </c>
      <c r="W24" s="39" t="str">
        <f aca="false">IF(OR(D24="",M24=""),"",IF((1/(1+N24)-P24)&lt;=0,"",(L24+R24+S24)/(1/(1+N24)-P24)))</f>
        <v/>
      </c>
      <c r="X24" s="44" t="str">
        <f aca="false">IF(U24="","",IF(U24&gt;=$B$7,"BUY","SKIP"))</f>
        <v/>
      </c>
    </row>
    <row r="25" customFormat="false" ht="15" hidden="false" customHeight="false" outlineLevel="0" collapsed="false">
      <c r="A25" s="36"/>
      <c r="B25" s="36"/>
      <c r="C25" s="36"/>
      <c r="D25" s="37"/>
      <c r="E25" s="36"/>
      <c r="F25" s="38" t="str">
        <f aca="false">IF(D25="","",IF(E25="EUR",$B$4,1))</f>
        <v/>
      </c>
      <c r="G25" s="39" t="str">
        <f aca="false">IF(D25="","",D25*F25)</f>
        <v/>
      </c>
      <c r="H25" s="40"/>
      <c r="I25" s="41"/>
      <c r="J25" s="39" t="str">
        <f aca="false">IF(D25="","",(G25+H25)*I25)</f>
        <v/>
      </c>
      <c r="K25" s="40"/>
      <c r="L25" s="39" t="str">
        <f aca="false">IF(D25="","",G25+H25+J25+K25)</f>
        <v/>
      </c>
      <c r="M25" s="40"/>
      <c r="N25" s="42" t="str">
        <f aca="false">IF(M25="","",$B$5)</f>
        <v/>
      </c>
      <c r="O25" s="39" t="str">
        <f aca="false">IF(M25="","",M25/(1+N25))</f>
        <v/>
      </c>
      <c r="P25" s="42" t="str">
        <f aca="false">IF(M25="","",$B$6)</f>
        <v/>
      </c>
      <c r="Q25" s="39" t="str">
        <f aca="false">IF(M25="","",M25*P25)</f>
        <v/>
      </c>
      <c r="R25" s="40"/>
      <c r="S25" s="40"/>
      <c r="T25" s="39" t="str">
        <f aca="false">IF(OR(D25="",M25=""),"",O25-L25-Q25-R25-S25)</f>
        <v/>
      </c>
      <c r="U25" s="43" t="str">
        <f aca="false">IF(T25="","",IF(L25=0,"",T25/L25))</f>
        <v/>
      </c>
      <c r="V25" s="43" t="str">
        <f aca="false">IF(T25="","",T25/O25)</f>
        <v/>
      </c>
      <c r="W25" s="39" t="str">
        <f aca="false">IF(OR(D25="",M25=""),"",IF((1/(1+N25)-P25)&lt;=0,"",(L25+R25+S25)/(1/(1+N25)-P25)))</f>
        <v/>
      </c>
      <c r="X25" s="44" t="str">
        <f aca="false">IF(U25="","",IF(U25&gt;=$B$7,"BUY","SKIP"))</f>
        <v/>
      </c>
    </row>
    <row r="26" customFormat="false" ht="15" hidden="false" customHeight="false" outlineLevel="0" collapsed="false">
      <c r="A26" s="36"/>
      <c r="B26" s="36"/>
      <c r="C26" s="36"/>
      <c r="D26" s="37"/>
      <c r="E26" s="36"/>
      <c r="F26" s="38" t="str">
        <f aca="false">IF(D26="","",IF(E26="EUR",$B$4,1))</f>
        <v/>
      </c>
      <c r="G26" s="39" t="str">
        <f aca="false">IF(D26="","",D26*F26)</f>
        <v/>
      </c>
      <c r="H26" s="40"/>
      <c r="I26" s="41"/>
      <c r="J26" s="39" t="str">
        <f aca="false">IF(D26="","",(G26+H26)*I26)</f>
        <v/>
      </c>
      <c r="K26" s="40"/>
      <c r="L26" s="39" t="str">
        <f aca="false">IF(D26="","",G26+H26+J26+K26)</f>
        <v/>
      </c>
      <c r="M26" s="40"/>
      <c r="N26" s="42" t="str">
        <f aca="false">IF(M26="","",$B$5)</f>
        <v/>
      </c>
      <c r="O26" s="39" t="str">
        <f aca="false">IF(M26="","",M26/(1+N26))</f>
        <v/>
      </c>
      <c r="P26" s="42" t="str">
        <f aca="false">IF(M26="","",$B$6)</f>
        <v/>
      </c>
      <c r="Q26" s="39" t="str">
        <f aca="false">IF(M26="","",M26*P26)</f>
        <v/>
      </c>
      <c r="R26" s="40"/>
      <c r="S26" s="40"/>
      <c r="T26" s="39" t="str">
        <f aca="false">IF(OR(D26="",M26=""),"",O26-L26-Q26-R26-S26)</f>
        <v/>
      </c>
      <c r="U26" s="43" t="str">
        <f aca="false">IF(T26="","",IF(L26=0,"",T26/L26))</f>
        <v/>
      </c>
      <c r="V26" s="43" t="str">
        <f aca="false">IF(T26="","",T26/O26)</f>
        <v/>
      </c>
      <c r="W26" s="39" t="str">
        <f aca="false">IF(OR(D26="",M26=""),"",IF((1/(1+N26)-P26)&lt;=0,"",(L26+R26+S26)/(1/(1+N26)-P26)))</f>
        <v/>
      </c>
      <c r="X26" s="44" t="str">
        <f aca="false">IF(U26="","",IF(U26&gt;=$B$7,"BUY","SKIP"))</f>
        <v/>
      </c>
    </row>
    <row r="27" customFormat="false" ht="15" hidden="false" customHeight="false" outlineLevel="0" collapsed="false">
      <c r="A27" s="36"/>
      <c r="B27" s="36"/>
      <c r="C27" s="36"/>
      <c r="D27" s="37"/>
      <c r="E27" s="36"/>
      <c r="F27" s="38" t="str">
        <f aca="false">IF(D27="","",IF(E27="EUR",$B$4,1))</f>
        <v/>
      </c>
      <c r="G27" s="39" t="str">
        <f aca="false">IF(D27="","",D27*F27)</f>
        <v/>
      </c>
      <c r="H27" s="40"/>
      <c r="I27" s="41"/>
      <c r="J27" s="39" t="str">
        <f aca="false">IF(D27="","",(G27+H27)*I27)</f>
        <v/>
      </c>
      <c r="K27" s="40"/>
      <c r="L27" s="39" t="str">
        <f aca="false">IF(D27="","",G27+H27+J27+K27)</f>
        <v/>
      </c>
      <c r="M27" s="40"/>
      <c r="N27" s="42" t="str">
        <f aca="false">IF(M27="","",$B$5)</f>
        <v/>
      </c>
      <c r="O27" s="39" t="str">
        <f aca="false">IF(M27="","",M27/(1+N27))</f>
        <v/>
      </c>
      <c r="P27" s="42" t="str">
        <f aca="false">IF(M27="","",$B$6)</f>
        <v/>
      </c>
      <c r="Q27" s="39" t="str">
        <f aca="false">IF(M27="","",M27*P27)</f>
        <v/>
      </c>
      <c r="R27" s="40"/>
      <c r="S27" s="40"/>
      <c r="T27" s="39" t="str">
        <f aca="false">IF(OR(D27="",M27=""),"",O27-L27-Q27-R27-S27)</f>
        <v/>
      </c>
      <c r="U27" s="43" t="str">
        <f aca="false">IF(T27="","",IF(L27=0,"",T27/L27))</f>
        <v/>
      </c>
      <c r="V27" s="43" t="str">
        <f aca="false">IF(T27="","",T27/O27)</f>
        <v/>
      </c>
      <c r="W27" s="39" t="str">
        <f aca="false">IF(OR(D27="",M27=""),"",IF((1/(1+N27)-P27)&lt;=0,"",(L27+R27+S27)/(1/(1+N27)-P27)))</f>
        <v/>
      </c>
      <c r="X27" s="44" t="str">
        <f aca="false">IF(U27="","",IF(U27&gt;=$B$7,"BUY","SKIP"))</f>
        <v/>
      </c>
    </row>
    <row r="28" customFormat="false" ht="15" hidden="false" customHeight="false" outlineLevel="0" collapsed="false">
      <c r="A28" s="36"/>
      <c r="B28" s="36"/>
      <c r="C28" s="36"/>
      <c r="D28" s="37"/>
      <c r="E28" s="36"/>
      <c r="F28" s="38" t="str">
        <f aca="false">IF(D28="","",IF(E28="EUR",$B$4,1))</f>
        <v/>
      </c>
      <c r="G28" s="39" t="str">
        <f aca="false">IF(D28="","",D28*F28)</f>
        <v/>
      </c>
      <c r="H28" s="40"/>
      <c r="I28" s="41"/>
      <c r="J28" s="39" t="str">
        <f aca="false">IF(D28="","",(G28+H28)*I28)</f>
        <v/>
      </c>
      <c r="K28" s="40"/>
      <c r="L28" s="39" t="str">
        <f aca="false">IF(D28="","",G28+H28+J28+K28)</f>
        <v/>
      </c>
      <c r="M28" s="40"/>
      <c r="N28" s="42" t="str">
        <f aca="false">IF(M28="","",$B$5)</f>
        <v/>
      </c>
      <c r="O28" s="39" t="str">
        <f aca="false">IF(M28="","",M28/(1+N28))</f>
        <v/>
      </c>
      <c r="P28" s="42" t="str">
        <f aca="false">IF(M28="","",$B$6)</f>
        <v/>
      </c>
      <c r="Q28" s="39" t="str">
        <f aca="false">IF(M28="","",M28*P28)</f>
        <v/>
      </c>
      <c r="R28" s="40"/>
      <c r="S28" s="40"/>
      <c r="T28" s="39" t="str">
        <f aca="false">IF(OR(D28="",M28=""),"",O28-L28-Q28-R28-S28)</f>
        <v/>
      </c>
      <c r="U28" s="43" t="str">
        <f aca="false">IF(T28="","",IF(L28=0,"",T28/L28))</f>
        <v/>
      </c>
      <c r="V28" s="43" t="str">
        <f aca="false">IF(T28="","",T28/O28)</f>
        <v/>
      </c>
      <c r="W28" s="39" t="str">
        <f aca="false">IF(OR(D28="",M28=""),"",IF((1/(1+N28)-P28)&lt;=0,"",(L28+R28+S28)/(1/(1+N28)-P28)))</f>
        <v/>
      </c>
      <c r="X28" s="44" t="str">
        <f aca="false">IF(U28="","",IF(U28&gt;=$B$7,"BUY","SKIP"))</f>
        <v/>
      </c>
    </row>
    <row r="29" customFormat="false" ht="15" hidden="false" customHeight="false" outlineLevel="0" collapsed="false">
      <c r="A29" s="36"/>
      <c r="B29" s="36"/>
      <c r="C29" s="36"/>
      <c r="D29" s="37"/>
      <c r="E29" s="36"/>
      <c r="F29" s="38" t="str">
        <f aca="false">IF(D29="","",IF(E29="EUR",$B$4,1))</f>
        <v/>
      </c>
      <c r="G29" s="39" t="str">
        <f aca="false">IF(D29="","",D29*F29)</f>
        <v/>
      </c>
      <c r="H29" s="40"/>
      <c r="I29" s="41"/>
      <c r="J29" s="39" t="str">
        <f aca="false">IF(D29="","",(G29+H29)*I29)</f>
        <v/>
      </c>
      <c r="K29" s="40"/>
      <c r="L29" s="39" t="str">
        <f aca="false">IF(D29="","",G29+H29+J29+K29)</f>
        <v/>
      </c>
      <c r="M29" s="40"/>
      <c r="N29" s="42" t="str">
        <f aca="false">IF(M29="","",$B$5)</f>
        <v/>
      </c>
      <c r="O29" s="39" t="str">
        <f aca="false">IF(M29="","",M29/(1+N29))</f>
        <v/>
      </c>
      <c r="P29" s="42" t="str">
        <f aca="false">IF(M29="","",$B$6)</f>
        <v/>
      </c>
      <c r="Q29" s="39" t="str">
        <f aca="false">IF(M29="","",M29*P29)</f>
        <v/>
      </c>
      <c r="R29" s="40"/>
      <c r="S29" s="40"/>
      <c r="T29" s="39" t="str">
        <f aca="false">IF(OR(D29="",M29=""),"",O29-L29-Q29-R29-S29)</f>
        <v/>
      </c>
      <c r="U29" s="43" t="str">
        <f aca="false">IF(T29="","",IF(L29=0,"",T29/L29))</f>
        <v/>
      </c>
      <c r="V29" s="43" t="str">
        <f aca="false">IF(T29="","",T29/O29)</f>
        <v/>
      </c>
      <c r="W29" s="39" t="str">
        <f aca="false">IF(OR(D29="",M29=""),"",IF((1/(1+N29)-P29)&lt;=0,"",(L29+R29+S29)/(1/(1+N29)-P29)))</f>
        <v/>
      </c>
      <c r="X29" s="44" t="str">
        <f aca="false">IF(U29="","",IF(U29&gt;=$B$7,"BUY","SKIP"))</f>
        <v/>
      </c>
    </row>
    <row r="30" customFormat="false" ht="15" hidden="false" customHeight="false" outlineLevel="0" collapsed="false">
      <c r="A30" s="36"/>
      <c r="B30" s="36"/>
      <c r="C30" s="36"/>
      <c r="D30" s="37"/>
      <c r="E30" s="36"/>
      <c r="F30" s="38" t="str">
        <f aca="false">IF(D30="","",IF(E30="EUR",$B$4,1))</f>
        <v/>
      </c>
      <c r="G30" s="39" t="str">
        <f aca="false">IF(D30="","",D30*F30)</f>
        <v/>
      </c>
      <c r="H30" s="40"/>
      <c r="I30" s="41"/>
      <c r="J30" s="39" t="str">
        <f aca="false">IF(D30="","",(G30+H30)*I30)</f>
        <v/>
      </c>
      <c r="K30" s="40"/>
      <c r="L30" s="39" t="str">
        <f aca="false">IF(D30="","",G30+H30+J30+K30)</f>
        <v/>
      </c>
      <c r="M30" s="40"/>
      <c r="N30" s="42" t="str">
        <f aca="false">IF(M30="","",$B$5)</f>
        <v/>
      </c>
      <c r="O30" s="39" t="str">
        <f aca="false">IF(M30="","",M30/(1+N30))</f>
        <v/>
      </c>
      <c r="P30" s="42" t="str">
        <f aca="false">IF(M30="","",$B$6)</f>
        <v/>
      </c>
      <c r="Q30" s="39" t="str">
        <f aca="false">IF(M30="","",M30*P30)</f>
        <v/>
      </c>
      <c r="R30" s="40"/>
      <c r="S30" s="40"/>
      <c r="T30" s="39" t="str">
        <f aca="false">IF(OR(D30="",M30=""),"",O30-L30-Q30-R30-S30)</f>
        <v/>
      </c>
      <c r="U30" s="43" t="str">
        <f aca="false">IF(T30="","",IF(L30=0,"",T30/L30))</f>
        <v/>
      </c>
      <c r="V30" s="43" t="str">
        <f aca="false">IF(T30="","",T30/O30)</f>
        <v/>
      </c>
      <c r="W30" s="39" t="str">
        <f aca="false">IF(OR(D30="",M30=""),"",IF((1/(1+N30)-P30)&lt;=0,"",(L30+R30+S30)/(1/(1+N30)-P30)))</f>
        <v/>
      </c>
      <c r="X30" s="44" t="str">
        <f aca="false">IF(U30="","",IF(U30&gt;=$B$7,"BUY","SKIP"))</f>
        <v/>
      </c>
    </row>
    <row r="31" customFormat="false" ht="15" hidden="false" customHeight="false" outlineLevel="0" collapsed="false">
      <c r="A31" s="36"/>
      <c r="B31" s="36"/>
      <c r="C31" s="36"/>
      <c r="D31" s="37"/>
      <c r="E31" s="36"/>
      <c r="F31" s="38" t="str">
        <f aca="false">IF(D31="","",IF(E31="EUR",$B$4,1))</f>
        <v/>
      </c>
      <c r="G31" s="39" t="str">
        <f aca="false">IF(D31="","",D31*F31)</f>
        <v/>
      </c>
      <c r="H31" s="40"/>
      <c r="I31" s="41"/>
      <c r="J31" s="39" t="str">
        <f aca="false">IF(D31="","",(G31+H31)*I31)</f>
        <v/>
      </c>
      <c r="K31" s="40"/>
      <c r="L31" s="39" t="str">
        <f aca="false">IF(D31="","",G31+H31+J31+K31)</f>
        <v/>
      </c>
      <c r="M31" s="40"/>
      <c r="N31" s="42" t="str">
        <f aca="false">IF(M31="","",$B$5)</f>
        <v/>
      </c>
      <c r="O31" s="39" t="str">
        <f aca="false">IF(M31="","",M31/(1+N31))</f>
        <v/>
      </c>
      <c r="P31" s="42" t="str">
        <f aca="false">IF(M31="","",$B$6)</f>
        <v/>
      </c>
      <c r="Q31" s="39" t="str">
        <f aca="false">IF(M31="","",M31*P31)</f>
        <v/>
      </c>
      <c r="R31" s="40"/>
      <c r="S31" s="40"/>
      <c r="T31" s="39" t="str">
        <f aca="false">IF(OR(D31="",M31=""),"",O31-L31-Q31-R31-S31)</f>
        <v/>
      </c>
      <c r="U31" s="43" t="str">
        <f aca="false">IF(T31="","",IF(L31=0,"",T31/L31))</f>
        <v/>
      </c>
      <c r="V31" s="43" t="str">
        <f aca="false">IF(T31="","",T31/O31)</f>
        <v/>
      </c>
      <c r="W31" s="39" t="str">
        <f aca="false">IF(OR(D31="",M31=""),"",IF((1/(1+N31)-P31)&lt;=0,"",(L31+R31+S31)/(1/(1+N31)-P31)))</f>
        <v/>
      </c>
      <c r="X31" s="44" t="str">
        <f aca="false">IF(U31="","",IF(U31&gt;=$B$7,"BUY","SKIP"))</f>
        <v/>
      </c>
    </row>
    <row r="32" customFormat="false" ht="15" hidden="false" customHeight="false" outlineLevel="0" collapsed="false">
      <c r="A32" s="36"/>
      <c r="B32" s="36"/>
      <c r="C32" s="36"/>
      <c r="D32" s="37"/>
      <c r="E32" s="36"/>
      <c r="F32" s="38" t="str">
        <f aca="false">IF(D32="","",IF(E32="EUR",$B$4,1))</f>
        <v/>
      </c>
      <c r="G32" s="39" t="str">
        <f aca="false">IF(D32="","",D32*F32)</f>
        <v/>
      </c>
      <c r="H32" s="40"/>
      <c r="I32" s="41"/>
      <c r="J32" s="39" t="str">
        <f aca="false">IF(D32="","",(G32+H32)*I32)</f>
        <v/>
      </c>
      <c r="K32" s="40"/>
      <c r="L32" s="39" t="str">
        <f aca="false">IF(D32="","",G32+H32+J32+K32)</f>
        <v/>
      </c>
      <c r="M32" s="40"/>
      <c r="N32" s="42" t="str">
        <f aca="false">IF(M32="","",$B$5)</f>
        <v/>
      </c>
      <c r="O32" s="39" t="str">
        <f aca="false">IF(M32="","",M32/(1+N32))</f>
        <v/>
      </c>
      <c r="P32" s="42" t="str">
        <f aca="false">IF(M32="","",$B$6)</f>
        <v/>
      </c>
      <c r="Q32" s="39" t="str">
        <f aca="false">IF(M32="","",M32*P32)</f>
        <v/>
      </c>
      <c r="R32" s="40"/>
      <c r="S32" s="40"/>
      <c r="T32" s="39" t="str">
        <f aca="false">IF(OR(D32="",M32=""),"",O32-L32-Q32-R32-S32)</f>
        <v/>
      </c>
      <c r="U32" s="43" t="str">
        <f aca="false">IF(T32="","",IF(L32=0,"",T32/L32))</f>
        <v/>
      </c>
      <c r="V32" s="43" t="str">
        <f aca="false">IF(T32="","",T32/O32)</f>
        <v/>
      </c>
      <c r="W32" s="39" t="str">
        <f aca="false">IF(OR(D32="",M32=""),"",IF((1/(1+N32)-P32)&lt;=0,"",(L32+R32+S32)/(1/(1+N32)-P32)))</f>
        <v/>
      </c>
      <c r="X32" s="44" t="str">
        <f aca="false">IF(U32="","",IF(U32&gt;=$B$7,"BUY","SKIP"))</f>
        <v/>
      </c>
    </row>
    <row r="33" customFormat="false" ht="15" hidden="false" customHeight="false" outlineLevel="0" collapsed="false">
      <c r="A33" s="36"/>
      <c r="B33" s="36"/>
      <c r="C33" s="36"/>
      <c r="D33" s="37"/>
      <c r="E33" s="36"/>
      <c r="F33" s="38" t="str">
        <f aca="false">IF(D33="","",IF(E33="EUR",$B$4,1))</f>
        <v/>
      </c>
      <c r="G33" s="39" t="str">
        <f aca="false">IF(D33="","",D33*F33)</f>
        <v/>
      </c>
      <c r="H33" s="40"/>
      <c r="I33" s="41"/>
      <c r="J33" s="39" t="str">
        <f aca="false">IF(D33="","",(G33+H33)*I33)</f>
        <v/>
      </c>
      <c r="K33" s="40"/>
      <c r="L33" s="39" t="str">
        <f aca="false">IF(D33="","",G33+H33+J33+K33)</f>
        <v/>
      </c>
      <c r="M33" s="40"/>
      <c r="N33" s="42" t="str">
        <f aca="false">IF(M33="","",$B$5)</f>
        <v/>
      </c>
      <c r="O33" s="39" t="str">
        <f aca="false">IF(M33="","",M33/(1+N33))</f>
        <v/>
      </c>
      <c r="P33" s="42" t="str">
        <f aca="false">IF(M33="","",$B$6)</f>
        <v/>
      </c>
      <c r="Q33" s="39" t="str">
        <f aca="false">IF(M33="","",M33*P33)</f>
        <v/>
      </c>
      <c r="R33" s="40"/>
      <c r="S33" s="40"/>
      <c r="T33" s="39" t="str">
        <f aca="false">IF(OR(D33="",M33=""),"",O33-L33-Q33-R33-S33)</f>
        <v/>
      </c>
      <c r="U33" s="43" t="str">
        <f aca="false">IF(T33="","",IF(L33=0,"",T33/L33))</f>
        <v/>
      </c>
      <c r="V33" s="43" t="str">
        <f aca="false">IF(T33="","",T33/O33)</f>
        <v/>
      </c>
      <c r="W33" s="39" t="str">
        <f aca="false">IF(OR(D33="",M33=""),"",IF((1/(1+N33)-P33)&lt;=0,"",(L33+R33+S33)/(1/(1+N33)-P33)))</f>
        <v/>
      </c>
      <c r="X33" s="44" t="str">
        <f aca="false">IF(U33="","",IF(U33&gt;=$B$7,"BUY","SKIP"))</f>
        <v/>
      </c>
    </row>
    <row r="34" customFormat="false" ht="15" hidden="false" customHeight="false" outlineLevel="0" collapsed="false">
      <c r="A34" s="36"/>
      <c r="B34" s="36"/>
      <c r="C34" s="36"/>
      <c r="D34" s="37"/>
      <c r="E34" s="36"/>
      <c r="F34" s="38" t="str">
        <f aca="false">IF(D34="","",IF(E34="EUR",$B$4,1))</f>
        <v/>
      </c>
      <c r="G34" s="39" t="str">
        <f aca="false">IF(D34="","",D34*F34)</f>
        <v/>
      </c>
      <c r="H34" s="40"/>
      <c r="I34" s="41"/>
      <c r="J34" s="39" t="str">
        <f aca="false">IF(D34="","",(G34+H34)*I34)</f>
        <v/>
      </c>
      <c r="K34" s="40"/>
      <c r="L34" s="39" t="str">
        <f aca="false">IF(D34="","",G34+H34+J34+K34)</f>
        <v/>
      </c>
      <c r="M34" s="40"/>
      <c r="N34" s="42" t="str">
        <f aca="false">IF(M34="","",$B$5)</f>
        <v/>
      </c>
      <c r="O34" s="39" t="str">
        <f aca="false">IF(M34="","",M34/(1+N34))</f>
        <v/>
      </c>
      <c r="P34" s="42" t="str">
        <f aca="false">IF(M34="","",$B$6)</f>
        <v/>
      </c>
      <c r="Q34" s="39" t="str">
        <f aca="false">IF(M34="","",M34*P34)</f>
        <v/>
      </c>
      <c r="R34" s="40"/>
      <c r="S34" s="40"/>
      <c r="T34" s="39" t="str">
        <f aca="false">IF(OR(D34="",M34=""),"",O34-L34-Q34-R34-S34)</f>
        <v/>
      </c>
      <c r="U34" s="43" t="str">
        <f aca="false">IF(T34="","",IF(L34=0,"",T34/L34))</f>
        <v/>
      </c>
      <c r="V34" s="43" t="str">
        <f aca="false">IF(T34="","",T34/O34)</f>
        <v/>
      </c>
      <c r="W34" s="39" t="str">
        <f aca="false">IF(OR(D34="",M34=""),"",IF((1/(1+N34)-P34)&lt;=0,"",(L34+R34+S34)/(1/(1+N34)-P34)))</f>
        <v/>
      </c>
      <c r="X34" s="44" t="str">
        <f aca="false">IF(U34="","",IF(U34&gt;=$B$7,"BUY","SKIP"))</f>
        <v/>
      </c>
    </row>
    <row r="35" customFormat="false" ht="15" hidden="false" customHeight="false" outlineLevel="0" collapsed="false">
      <c r="A35" s="36"/>
      <c r="B35" s="36"/>
      <c r="C35" s="36"/>
      <c r="D35" s="37"/>
      <c r="E35" s="36"/>
      <c r="F35" s="38" t="str">
        <f aca="false">IF(D35="","",IF(E35="EUR",$B$4,1))</f>
        <v/>
      </c>
      <c r="G35" s="39" t="str">
        <f aca="false">IF(D35="","",D35*F35)</f>
        <v/>
      </c>
      <c r="H35" s="40"/>
      <c r="I35" s="41"/>
      <c r="J35" s="39" t="str">
        <f aca="false">IF(D35="","",(G35+H35)*I35)</f>
        <v/>
      </c>
      <c r="K35" s="40"/>
      <c r="L35" s="39" t="str">
        <f aca="false">IF(D35="","",G35+H35+J35+K35)</f>
        <v/>
      </c>
      <c r="M35" s="40"/>
      <c r="N35" s="42" t="str">
        <f aca="false">IF(M35="","",$B$5)</f>
        <v/>
      </c>
      <c r="O35" s="39" t="str">
        <f aca="false">IF(M35="","",M35/(1+N35))</f>
        <v/>
      </c>
      <c r="P35" s="42" t="str">
        <f aca="false">IF(M35="","",$B$6)</f>
        <v/>
      </c>
      <c r="Q35" s="39" t="str">
        <f aca="false">IF(M35="","",M35*P35)</f>
        <v/>
      </c>
      <c r="R35" s="40"/>
      <c r="S35" s="40"/>
      <c r="T35" s="39" t="str">
        <f aca="false">IF(OR(D35="",M35=""),"",O35-L35-Q35-R35-S35)</f>
        <v/>
      </c>
      <c r="U35" s="43" t="str">
        <f aca="false">IF(T35="","",IF(L35=0,"",T35/L35))</f>
        <v/>
      </c>
      <c r="V35" s="43" t="str">
        <f aca="false">IF(T35="","",T35/O35)</f>
        <v/>
      </c>
      <c r="W35" s="39" t="str">
        <f aca="false">IF(OR(D35="",M35=""),"",IF((1/(1+N35)-P35)&lt;=0,"",(L35+R35+S35)/(1/(1+N35)-P35)))</f>
        <v/>
      </c>
      <c r="X35" s="44" t="str">
        <f aca="false">IF(U35="","",IF(U35&gt;=$B$7,"BUY","SKIP"))</f>
        <v/>
      </c>
    </row>
    <row r="36" customFormat="false" ht="15" hidden="false" customHeight="false" outlineLevel="0" collapsed="false">
      <c r="A36" s="36"/>
      <c r="B36" s="36"/>
      <c r="C36" s="36"/>
      <c r="D36" s="37"/>
      <c r="E36" s="36"/>
      <c r="F36" s="38" t="str">
        <f aca="false">IF(D36="","",IF(E36="EUR",$B$4,1))</f>
        <v/>
      </c>
      <c r="G36" s="39" t="str">
        <f aca="false">IF(D36="","",D36*F36)</f>
        <v/>
      </c>
      <c r="H36" s="40"/>
      <c r="I36" s="41"/>
      <c r="J36" s="39" t="str">
        <f aca="false">IF(D36="","",(G36+H36)*I36)</f>
        <v/>
      </c>
      <c r="K36" s="40"/>
      <c r="L36" s="39" t="str">
        <f aca="false">IF(D36="","",G36+H36+J36+K36)</f>
        <v/>
      </c>
      <c r="M36" s="40"/>
      <c r="N36" s="42" t="str">
        <f aca="false">IF(M36="","",$B$5)</f>
        <v/>
      </c>
      <c r="O36" s="39" t="str">
        <f aca="false">IF(M36="","",M36/(1+N36))</f>
        <v/>
      </c>
      <c r="P36" s="42" t="str">
        <f aca="false">IF(M36="","",$B$6)</f>
        <v/>
      </c>
      <c r="Q36" s="39" t="str">
        <f aca="false">IF(M36="","",M36*P36)</f>
        <v/>
      </c>
      <c r="R36" s="40"/>
      <c r="S36" s="40"/>
      <c r="T36" s="39" t="str">
        <f aca="false">IF(OR(D36="",M36=""),"",O36-L36-Q36-R36-S36)</f>
        <v/>
      </c>
      <c r="U36" s="43" t="str">
        <f aca="false">IF(T36="","",IF(L36=0,"",T36/L36))</f>
        <v/>
      </c>
      <c r="V36" s="43" t="str">
        <f aca="false">IF(T36="","",T36/O36)</f>
        <v/>
      </c>
      <c r="W36" s="39" t="str">
        <f aca="false">IF(OR(D36="",M36=""),"",IF((1/(1+N36)-P36)&lt;=0,"",(L36+R36+S36)/(1/(1+N36)-P36)))</f>
        <v/>
      </c>
      <c r="X36" s="44" t="str">
        <f aca="false">IF(U36="","",IF(U36&gt;=$B$7,"BUY","SKIP"))</f>
        <v/>
      </c>
    </row>
    <row r="37" customFormat="false" ht="15" hidden="false" customHeight="false" outlineLevel="0" collapsed="false">
      <c r="A37" s="36"/>
      <c r="B37" s="36"/>
      <c r="C37" s="36"/>
      <c r="D37" s="37"/>
      <c r="E37" s="36"/>
      <c r="F37" s="38" t="str">
        <f aca="false">IF(D37="","",IF(E37="EUR",$B$4,1))</f>
        <v/>
      </c>
      <c r="G37" s="39" t="str">
        <f aca="false">IF(D37="","",D37*F37)</f>
        <v/>
      </c>
      <c r="H37" s="40"/>
      <c r="I37" s="41"/>
      <c r="J37" s="39" t="str">
        <f aca="false">IF(D37="","",(G37+H37)*I37)</f>
        <v/>
      </c>
      <c r="K37" s="40"/>
      <c r="L37" s="39" t="str">
        <f aca="false">IF(D37="","",G37+H37+J37+K37)</f>
        <v/>
      </c>
      <c r="M37" s="40"/>
      <c r="N37" s="42" t="str">
        <f aca="false">IF(M37="","",$B$5)</f>
        <v/>
      </c>
      <c r="O37" s="39" t="str">
        <f aca="false">IF(M37="","",M37/(1+N37))</f>
        <v/>
      </c>
      <c r="P37" s="42" t="str">
        <f aca="false">IF(M37="","",$B$6)</f>
        <v/>
      </c>
      <c r="Q37" s="39" t="str">
        <f aca="false">IF(M37="","",M37*P37)</f>
        <v/>
      </c>
      <c r="R37" s="40"/>
      <c r="S37" s="40"/>
      <c r="T37" s="39" t="str">
        <f aca="false">IF(OR(D37="",M37=""),"",O37-L37-Q37-R37-S37)</f>
        <v/>
      </c>
      <c r="U37" s="43" t="str">
        <f aca="false">IF(T37="","",IF(L37=0,"",T37/L37))</f>
        <v/>
      </c>
      <c r="V37" s="43" t="str">
        <f aca="false">IF(T37="","",T37/O37)</f>
        <v/>
      </c>
      <c r="W37" s="39" t="str">
        <f aca="false">IF(OR(D37="",M37=""),"",IF((1/(1+N37)-P37)&lt;=0,"",(L37+R37+S37)/(1/(1+N37)-P37)))</f>
        <v/>
      </c>
      <c r="X37" s="44" t="str">
        <f aca="false">IF(U37="","",IF(U37&gt;=$B$7,"BUY","SKIP"))</f>
        <v/>
      </c>
    </row>
    <row r="38" customFormat="false" ht="15" hidden="false" customHeight="false" outlineLevel="0" collapsed="false">
      <c r="A38" s="36"/>
      <c r="B38" s="36"/>
      <c r="C38" s="36"/>
      <c r="D38" s="37"/>
      <c r="E38" s="36"/>
      <c r="F38" s="38" t="str">
        <f aca="false">IF(D38="","",IF(E38="EUR",$B$4,1))</f>
        <v/>
      </c>
      <c r="G38" s="39" t="str">
        <f aca="false">IF(D38="","",D38*F38)</f>
        <v/>
      </c>
      <c r="H38" s="40"/>
      <c r="I38" s="41"/>
      <c r="J38" s="39" t="str">
        <f aca="false">IF(D38="","",(G38+H38)*I38)</f>
        <v/>
      </c>
      <c r="K38" s="40"/>
      <c r="L38" s="39" t="str">
        <f aca="false">IF(D38="","",G38+H38+J38+K38)</f>
        <v/>
      </c>
      <c r="M38" s="40"/>
      <c r="N38" s="42" t="str">
        <f aca="false">IF(M38="","",$B$5)</f>
        <v/>
      </c>
      <c r="O38" s="39" t="str">
        <f aca="false">IF(M38="","",M38/(1+N38))</f>
        <v/>
      </c>
      <c r="P38" s="42" t="str">
        <f aca="false">IF(M38="","",$B$6)</f>
        <v/>
      </c>
      <c r="Q38" s="39" t="str">
        <f aca="false">IF(M38="","",M38*P38)</f>
        <v/>
      </c>
      <c r="R38" s="40"/>
      <c r="S38" s="40"/>
      <c r="T38" s="39" t="str">
        <f aca="false">IF(OR(D38="",M38=""),"",O38-L38-Q38-R38-S38)</f>
        <v/>
      </c>
      <c r="U38" s="43" t="str">
        <f aca="false">IF(T38="","",IF(L38=0,"",T38/L38))</f>
        <v/>
      </c>
      <c r="V38" s="43" t="str">
        <f aca="false">IF(T38="","",T38/O38)</f>
        <v/>
      </c>
      <c r="W38" s="39" t="str">
        <f aca="false">IF(OR(D38="",M38=""),"",IF((1/(1+N38)-P38)&lt;=0,"",(L38+R38+S38)/(1/(1+N38)-P38)))</f>
        <v/>
      </c>
      <c r="X38" s="44" t="str">
        <f aca="false">IF(U38="","",IF(U38&gt;=$B$7,"BUY","SKIP"))</f>
        <v/>
      </c>
    </row>
    <row r="39" customFormat="false" ht="15" hidden="false" customHeight="false" outlineLevel="0" collapsed="false">
      <c r="A39" s="36"/>
      <c r="B39" s="36"/>
      <c r="C39" s="36"/>
      <c r="D39" s="37"/>
      <c r="E39" s="36"/>
      <c r="F39" s="38" t="str">
        <f aca="false">IF(D39="","",IF(E39="EUR",$B$4,1))</f>
        <v/>
      </c>
      <c r="G39" s="39" t="str">
        <f aca="false">IF(D39="","",D39*F39)</f>
        <v/>
      </c>
      <c r="H39" s="40"/>
      <c r="I39" s="41"/>
      <c r="J39" s="39" t="str">
        <f aca="false">IF(D39="","",(G39+H39)*I39)</f>
        <v/>
      </c>
      <c r="K39" s="40"/>
      <c r="L39" s="39" t="str">
        <f aca="false">IF(D39="","",G39+H39+J39+K39)</f>
        <v/>
      </c>
      <c r="M39" s="40"/>
      <c r="N39" s="42" t="str">
        <f aca="false">IF(M39="","",$B$5)</f>
        <v/>
      </c>
      <c r="O39" s="39" t="str">
        <f aca="false">IF(M39="","",M39/(1+N39))</f>
        <v/>
      </c>
      <c r="P39" s="42" t="str">
        <f aca="false">IF(M39="","",$B$6)</f>
        <v/>
      </c>
      <c r="Q39" s="39" t="str">
        <f aca="false">IF(M39="","",M39*P39)</f>
        <v/>
      </c>
      <c r="R39" s="40"/>
      <c r="S39" s="40"/>
      <c r="T39" s="39" t="str">
        <f aca="false">IF(OR(D39="",M39=""),"",O39-L39-Q39-R39-S39)</f>
        <v/>
      </c>
      <c r="U39" s="43" t="str">
        <f aca="false">IF(T39="","",IF(L39=0,"",T39/L39))</f>
        <v/>
      </c>
      <c r="V39" s="43" t="str">
        <f aca="false">IF(T39="","",T39/O39)</f>
        <v/>
      </c>
      <c r="W39" s="39" t="str">
        <f aca="false">IF(OR(D39="",M39=""),"",IF((1/(1+N39)-P39)&lt;=0,"",(L39+R39+S39)/(1/(1+N39)-P39)))</f>
        <v/>
      </c>
      <c r="X39" s="44" t="str">
        <f aca="false">IF(U39="","",IF(U39&gt;=$B$7,"BUY","SKIP"))</f>
        <v/>
      </c>
    </row>
    <row r="40" customFormat="false" ht="15" hidden="false" customHeight="false" outlineLevel="0" collapsed="false">
      <c r="A40" s="36"/>
      <c r="B40" s="36"/>
      <c r="C40" s="36"/>
      <c r="D40" s="37"/>
      <c r="E40" s="36"/>
      <c r="F40" s="38" t="str">
        <f aca="false">IF(D40="","",IF(E40="EUR",$B$4,1))</f>
        <v/>
      </c>
      <c r="G40" s="39" t="str">
        <f aca="false">IF(D40="","",D40*F40)</f>
        <v/>
      </c>
      <c r="H40" s="40"/>
      <c r="I40" s="41"/>
      <c r="J40" s="39" t="str">
        <f aca="false">IF(D40="","",(G40+H40)*I40)</f>
        <v/>
      </c>
      <c r="K40" s="40"/>
      <c r="L40" s="39" t="str">
        <f aca="false">IF(D40="","",G40+H40+J40+K40)</f>
        <v/>
      </c>
      <c r="M40" s="40"/>
      <c r="N40" s="42" t="str">
        <f aca="false">IF(M40="","",$B$5)</f>
        <v/>
      </c>
      <c r="O40" s="39" t="str">
        <f aca="false">IF(M40="","",M40/(1+N40))</f>
        <v/>
      </c>
      <c r="P40" s="42" t="str">
        <f aca="false">IF(M40="","",$B$6)</f>
        <v/>
      </c>
      <c r="Q40" s="39" t="str">
        <f aca="false">IF(M40="","",M40*P40)</f>
        <v/>
      </c>
      <c r="R40" s="40"/>
      <c r="S40" s="40"/>
      <c r="T40" s="39" t="str">
        <f aca="false">IF(OR(D40="",M40=""),"",O40-L40-Q40-R40-S40)</f>
        <v/>
      </c>
      <c r="U40" s="43" t="str">
        <f aca="false">IF(T40="","",IF(L40=0,"",T40/L40))</f>
        <v/>
      </c>
      <c r="V40" s="43" t="str">
        <f aca="false">IF(T40="","",T40/O40)</f>
        <v/>
      </c>
      <c r="W40" s="39" t="str">
        <f aca="false">IF(OR(D40="",M40=""),"",IF((1/(1+N40)-P40)&lt;=0,"",(L40+R40+S40)/(1/(1+N40)-P40)))</f>
        <v/>
      </c>
      <c r="X40" s="44" t="str">
        <f aca="false">IF(U40="","",IF(U40&gt;=$B$7,"BUY","SKIP"))</f>
        <v/>
      </c>
    </row>
    <row r="41" customFormat="false" ht="15" hidden="false" customHeight="false" outlineLevel="0" collapsed="false">
      <c r="A41" s="36"/>
      <c r="B41" s="36"/>
      <c r="C41" s="36"/>
      <c r="D41" s="37"/>
      <c r="E41" s="36"/>
      <c r="F41" s="38" t="str">
        <f aca="false">IF(D41="","",IF(E41="EUR",$B$4,1))</f>
        <v/>
      </c>
      <c r="G41" s="39" t="str">
        <f aca="false">IF(D41="","",D41*F41)</f>
        <v/>
      </c>
      <c r="H41" s="40"/>
      <c r="I41" s="41"/>
      <c r="J41" s="39" t="str">
        <f aca="false">IF(D41="","",(G41+H41)*I41)</f>
        <v/>
      </c>
      <c r="K41" s="40"/>
      <c r="L41" s="39" t="str">
        <f aca="false">IF(D41="","",G41+H41+J41+K41)</f>
        <v/>
      </c>
      <c r="M41" s="40"/>
      <c r="N41" s="42" t="str">
        <f aca="false">IF(M41="","",$B$5)</f>
        <v/>
      </c>
      <c r="O41" s="39" t="str">
        <f aca="false">IF(M41="","",M41/(1+N41))</f>
        <v/>
      </c>
      <c r="P41" s="42" t="str">
        <f aca="false">IF(M41="","",$B$6)</f>
        <v/>
      </c>
      <c r="Q41" s="39" t="str">
        <f aca="false">IF(M41="","",M41*P41)</f>
        <v/>
      </c>
      <c r="R41" s="40"/>
      <c r="S41" s="40"/>
      <c r="T41" s="39" t="str">
        <f aca="false">IF(OR(D41="",M41=""),"",O41-L41-Q41-R41-S41)</f>
        <v/>
      </c>
      <c r="U41" s="43" t="str">
        <f aca="false">IF(T41="","",IF(L41=0,"",T41/L41))</f>
        <v/>
      </c>
      <c r="V41" s="43" t="str">
        <f aca="false">IF(T41="","",T41/O41)</f>
        <v/>
      </c>
      <c r="W41" s="39" t="str">
        <f aca="false">IF(OR(D41="",M41=""),"",IF((1/(1+N41)-P41)&lt;=0,"",(L41+R41+S41)/(1/(1+N41)-P41)))</f>
        <v/>
      </c>
      <c r="X41" s="44" t="str">
        <f aca="false">IF(U41="","",IF(U41&gt;=$B$7,"BUY","SKIP"))</f>
        <v/>
      </c>
    </row>
    <row r="42" customFormat="false" ht="15" hidden="false" customHeight="false" outlineLevel="0" collapsed="false">
      <c r="A42" s="36"/>
      <c r="B42" s="36"/>
      <c r="C42" s="36"/>
      <c r="D42" s="37"/>
      <c r="E42" s="36"/>
      <c r="F42" s="38" t="str">
        <f aca="false">IF(D42="","",IF(E42="EUR",$B$4,1))</f>
        <v/>
      </c>
      <c r="G42" s="39" t="str">
        <f aca="false">IF(D42="","",D42*F42)</f>
        <v/>
      </c>
      <c r="H42" s="40"/>
      <c r="I42" s="41"/>
      <c r="J42" s="39" t="str">
        <f aca="false">IF(D42="","",(G42+H42)*I42)</f>
        <v/>
      </c>
      <c r="K42" s="40"/>
      <c r="L42" s="39" t="str">
        <f aca="false">IF(D42="","",G42+H42+J42+K42)</f>
        <v/>
      </c>
      <c r="M42" s="40"/>
      <c r="N42" s="42" t="str">
        <f aca="false">IF(M42="","",$B$5)</f>
        <v/>
      </c>
      <c r="O42" s="39" t="str">
        <f aca="false">IF(M42="","",M42/(1+N42))</f>
        <v/>
      </c>
      <c r="P42" s="42" t="str">
        <f aca="false">IF(M42="","",$B$6)</f>
        <v/>
      </c>
      <c r="Q42" s="39" t="str">
        <f aca="false">IF(M42="","",M42*P42)</f>
        <v/>
      </c>
      <c r="R42" s="40"/>
      <c r="S42" s="40"/>
      <c r="T42" s="39" t="str">
        <f aca="false">IF(OR(D42="",M42=""),"",O42-L42-Q42-R42-S42)</f>
        <v/>
      </c>
      <c r="U42" s="43" t="str">
        <f aca="false">IF(T42="","",IF(L42=0,"",T42/L42))</f>
        <v/>
      </c>
      <c r="V42" s="43" t="str">
        <f aca="false">IF(T42="","",T42/O42)</f>
        <v/>
      </c>
      <c r="W42" s="39" t="str">
        <f aca="false">IF(OR(D42="",M42=""),"",IF((1/(1+N42)-P42)&lt;=0,"",(L42+R42+S42)/(1/(1+N42)-P42)))</f>
        <v/>
      </c>
      <c r="X42" s="44" t="str">
        <f aca="false">IF(U42="","",IF(U42&gt;=$B$7,"BUY","SKIP"))</f>
        <v/>
      </c>
    </row>
    <row r="43" customFormat="false" ht="15" hidden="false" customHeight="false" outlineLevel="0" collapsed="false">
      <c r="A43" s="36"/>
      <c r="B43" s="36"/>
      <c r="C43" s="36"/>
      <c r="D43" s="37"/>
      <c r="E43" s="36"/>
      <c r="F43" s="38" t="str">
        <f aca="false">IF(D43="","",IF(E43="EUR",$B$4,1))</f>
        <v/>
      </c>
      <c r="G43" s="39" t="str">
        <f aca="false">IF(D43="","",D43*F43)</f>
        <v/>
      </c>
      <c r="H43" s="40"/>
      <c r="I43" s="41"/>
      <c r="J43" s="39" t="str">
        <f aca="false">IF(D43="","",(G43+H43)*I43)</f>
        <v/>
      </c>
      <c r="K43" s="40"/>
      <c r="L43" s="39" t="str">
        <f aca="false">IF(D43="","",G43+H43+J43+K43)</f>
        <v/>
      </c>
      <c r="M43" s="40"/>
      <c r="N43" s="42" t="str">
        <f aca="false">IF(M43="","",$B$5)</f>
        <v/>
      </c>
      <c r="O43" s="39" t="str">
        <f aca="false">IF(M43="","",M43/(1+N43))</f>
        <v/>
      </c>
      <c r="P43" s="42" t="str">
        <f aca="false">IF(M43="","",$B$6)</f>
        <v/>
      </c>
      <c r="Q43" s="39" t="str">
        <f aca="false">IF(M43="","",M43*P43)</f>
        <v/>
      </c>
      <c r="R43" s="40"/>
      <c r="S43" s="40"/>
      <c r="T43" s="39" t="str">
        <f aca="false">IF(OR(D43="",M43=""),"",O43-L43-Q43-R43-S43)</f>
        <v/>
      </c>
      <c r="U43" s="43" t="str">
        <f aca="false">IF(T43="","",IF(L43=0,"",T43/L43))</f>
        <v/>
      </c>
      <c r="V43" s="43" t="str">
        <f aca="false">IF(T43="","",T43/O43)</f>
        <v/>
      </c>
      <c r="W43" s="39" t="str">
        <f aca="false">IF(OR(D43="",M43=""),"",IF((1/(1+N43)-P43)&lt;=0,"",(L43+R43+S43)/(1/(1+N43)-P43)))</f>
        <v/>
      </c>
      <c r="X43" s="44" t="str">
        <f aca="false">IF(U43="","",IF(U43&gt;=$B$7,"BUY","SKIP"))</f>
        <v/>
      </c>
    </row>
    <row r="44" customFormat="false" ht="15" hidden="false" customHeight="false" outlineLevel="0" collapsed="false">
      <c r="A44" s="36"/>
      <c r="B44" s="36"/>
      <c r="C44" s="36"/>
      <c r="D44" s="37"/>
      <c r="E44" s="36"/>
      <c r="F44" s="38" t="str">
        <f aca="false">IF(D44="","",IF(E44="EUR",$B$4,1))</f>
        <v/>
      </c>
      <c r="G44" s="39" t="str">
        <f aca="false">IF(D44="","",D44*F44)</f>
        <v/>
      </c>
      <c r="H44" s="40"/>
      <c r="I44" s="41"/>
      <c r="J44" s="39" t="str">
        <f aca="false">IF(D44="","",(G44+H44)*I44)</f>
        <v/>
      </c>
      <c r="K44" s="40"/>
      <c r="L44" s="39" t="str">
        <f aca="false">IF(D44="","",G44+H44+J44+K44)</f>
        <v/>
      </c>
      <c r="M44" s="40"/>
      <c r="N44" s="42" t="str">
        <f aca="false">IF(M44="","",$B$5)</f>
        <v/>
      </c>
      <c r="O44" s="39" t="str">
        <f aca="false">IF(M44="","",M44/(1+N44))</f>
        <v/>
      </c>
      <c r="P44" s="42" t="str">
        <f aca="false">IF(M44="","",$B$6)</f>
        <v/>
      </c>
      <c r="Q44" s="39" t="str">
        <f aca="false">IF(M44="","",M44*P44)</f>
        <v/>
      </c>
      <c r="R44" s="40"/>
      <c r="S44" s="40"/>
      <c r="T44" s="39" t="str">
        <f aca="false">IF(OR(D44="",M44=""),"",O44-L44-Q44-R44-S44)</f>
        <v/>
      </c>
      <c r="U44" s="43" t="str">
        <f aca="false">IF(T44="","",IF(L44=0,"",T44/L44))</f>
        <v/>
      </c>
      <c r="V44" s="43" t="str">
        <f aca="false">IF(T44="","",T44/O44)</f>
        <v/>
      </c>
      <c r="W44" s="39" t="str">
        <f aca="false">IF(OR(D44="",M44=""),"",IF((1/(1+N44)-P44)&lt;=0,"",(L44+R44+S44)/(1/(1+N44)-P44)))</f>
        <v/>
      </c>
      <c r="X44" s="44" t="str">
        <f aca="false">IF(U44="","",IF(U44&gt;=$B$7,"BUY","SKIP"))</f>
        <v/>
      </c>
    </row>
    <row r="45" customFormat="false" ht="15" hidden="false" customHeight="false" outlineLevel="0" collapsed="false">
      <c r="A45" s="36"/>
      <c r="B45" s="36"/>
      <c r="C45" s="36"/>
      <c r="D45" s="37"/>
      <c r="E45" s="36"/>
      <c r="F45" s="38" t="str">
        <f aca="false">IF(D45="","",IF(E45="EUR",$B$4,1))</f>
        <v/>
      </c>
      <c r="G45" s="39" t="str">
        <f aca="false">IF(D45="","",D45*F45)</f>
        <v/>
      </c>
      <c r="H45" s="40"/>
      <c r="I45" s="41"/>
      <c r="J45" s="39" t="str">
        <f aca="false">IF(D45="","",(G45+H45)*I45)</f>
        <v/>
      </c>
      <c r="K45" s="40"/>
      <c r="L45" s="39" t="str">
        <f aca="false">IF(D45="","",G45+H45+J45+K45)</f>
        <v/>
      </c>
      <c r="M45" s="40"/>
      <c r="N45" s="42" t="str">
        <f aca="false">IF(M45="","",$B$5)</f>
        <v/>
      </c>
      <c r="O45" s="39" t="str">
        <f aca="false">IF(M45="","",M45/(1+N45))</f>
        <v/>
      </c>
      <c r="P45" s="42" t="str">
        <f aca="false">IF(M45="","",$B$6)</f>
        <v/>
      </c>
      <c r="Q45" s="39" t="str">
        <f aca="false">IF(M45="","",M45*P45)</f>
        <v/>
      </c>
      <c r="R45" s="40"/>
      <c r="S45" s="40"/>
      <c r="T45" s="39" t="str">
        <f aca="false">IF(OR(D45="",M45=""),"",O45-L45-Q45-R45-S45)</f>
        <v/>
      </c>
      <c r="U45" s="43" t="str">
        <f aca="false">IF(T45="","",IF(L45=0,"",T45/L45))</f>
        <v/>
      </c>
      <c r="V45" s="43" t="str">
        <f aca="false">IF(T45="","",T45/O45)</f>
        <v/>
      </c>
      <c r="W45" s="39" t="str">
        <f aca="false">IF(OR(D45="",M45=""),"",IF((1/(1+N45)-P45)&lt;=0,"",(L45+R45+S45)/(1/(1+N45)-P45)))</f>
        <v/>
      </c>
      <c r="X45" s="44" t="str">
        <f aca="false">IF(U45="","",IF(U45&gt;=$B$7,"BUY","SKIP"))</f>
        <v/>
      </c>
    </row>
    <row r="46" customFormat="false" ht="15" hidden="false" customHeight="false" outlineLevel="0" collapsed="false">
      <c r="A46" s="36"/>
      <c r="B46" s="36"/>
      <c r="C46" s="36"/>
      <c r="D46" s="37"/>
      <c r="E46" s="36"/>
      <c r="F46" s="38" t="str">
        <f aca="false">IF(D46="","",IF(E46="EUR",$B$4,1))</f>
        <v/>
      </c>
      <c r="G46" s="39" t="str">
        <f aca="false">IF(D46="","",D46*F46)</f>
        <v/>
      </c>
      <c r="H46" s="40"/>
      <c r="I46" s="41"/>
      <c r="J46" s="39" t="str">
        <f aca="false">IF(D46="","",(G46+H46)*I46)</f>
        <v/>
      </c>
      <c r="K46" s="40"/>
      <c r="L46" s="39" t="str">
        <f aca="false">IF(D46="","",G46+H46+J46+K46)</f>
        <v/>
      </c>
      <c r="M46" s="40"/>
      <c r="N46" s="42" t="str">
        <f aca="false">IF(M46="","",$B$5)</f>
        <v/>
      </c>
      <c r="O46" s="39" t="str">
        <f aca="false">IF(M46="","",M46/(1+N46))</f>
        <v/>
      </c>
      <c r="P46" s="42" t="str">
        <f aca="false">IF(M46="","",$B$6)</f>
        <v/>
      </c>
      <c r="Q46" s="39" t="str">
        <f aca="false">IF(M46="","",M46*P46)</f>
        <v/>
      </c>
      <c r="R46" s="40"/>
      <c r="S46" s="40"/>
      <c r="T46" s="39" t="str">
        <f aca="false">IF(OR(D46="",M46=""),"",O46-L46-Q46-R46-S46)</f>
        <v/>
      </c>
      <c r="U46" s="43" t="str">
        <f aca="false">IF(T46="","",IF(L46=0,"",T46/L46))</f>
        <v/>
      </c>
      <c r="V46" s="43" t="str">
        <f aca="false">IF(T46="","",T46/O46)</f>
        <v/>
      </c>
      <c r="W46" s="39" t="str">
        <f aca="false">IF(OR(D46="",M46=""),"",IF((1/(1+N46)-P46)&lt;=0,"",(L46+R46+S46)/(1/(1+N46)-P46)))</f>
        <v/>
      </c>
      <c r="X46" s="44" t="str">
        <f aca="false">IF(U46="","",IF(U46&gt;=$B$7,"BUY","SKIP"))</f>
        <v/>
      </c>
    </row>
    <row r="47" customFormat="false" ht="15" hidden="false" customHeight="false" outlineLevel="0" collapsed="false">
      <c r="A47" s="36"/>
      <c r="B47" s="36"/>
      <c r="C47" s="36"/>
      <c r="D47" s="37"/>
      <c r="E47" s="36"/>
      <c r="F47" s="38" t="str">
        <f aca="false">IF(D47="","",IF(E47="EUR",$B$4,1))</f>
        <v/>
      </c>
      <c r="G47" s="39" t="str">
        <f aca="false">IF(D47="","",D47*F47)</f>
        <v/>
      </c>
      <c r="H47" s="40"/>
      <c r="I47" s="41"/>
      <c r="J47" s="39" t="str">
        <f aca="false">IF(D47="","",(G47+H47)*I47)</f>
        <v/>
      </c>
      <c r="K47" s="40"/>
      <c r="L47" s="39" t="str">
        <f aca="false">IF(D47="","",G47+H47+J47+K47)</f>
        <v/>
      </c>
      <c r="M47" s="40"/>
      <c r="N47" s="42" t="str">
        <f aca="false">IF(M47="","",$B$5)</f>
        <v/>
      </c>
      <c r="O47" s="39" t="str">
        <f aca="false">IF(M47="","",M47/(1+N47))</f>
        <v/>
      </c>
      <c r="P47" s="42" t="str">
        <f aca="false">IF(M47="","",$B$6)</f>
        <v/>
      </c>
      <c r="Q47" s="39" t="str">
        <f aca="false">IF(M47="","",M47*P47)</f>
        <v/>
      </c>
      <c r="R47" s="40"/>
      <c r="S47" s="40"/>
      <c r="T47" s="39" t="str">
        <f aca="false">IF(OR(D47="",M47=""),"",O47-L47-Q47-R47-S47)</f>
        <v/>
      </c>
      <c r="U47" s="43" t="str">
        <f aca="false">IF(T47="","",IF(L47=0,"",T47/L47))</f>
        <v/>
      </c>
      <c r="V47" s="43" t="str">
        <f aca="false">IF(T47="","",T47/O47)</f>
        <v/>
      </c>
      <c r="W47" s="39" t="str">
        <f aca="false">IF(OR(D47="",M47=""),"",IF((1/(1+N47)-P47)&lt;=0,"",(L47+R47+S47)/(1/(1+N47)-P47)))</f>
        <v/>
      </c>
      <c r="X47" s="44" t="str">
        <f aca="false">IF(U47="","",IF(U47&gt;=$B$7,"BUY","SKIP"))</f>
        <v/>
      </c>
    </row>
    <row r="48" customFormat="false" ht="15" hidden="false" customHeight="false" outlineLevel="0" collapsed="false">
      <c r="A48" s="36"/>
      <c r="B48" s="36"/>
      <c r="C48" s="36"/>
      <c r="D48" s="37"/>
      <c r="E48" s="36"/>
      <c r="F48" s="38" t="str">
        <f aca="false">IF(D48="","",IF(E48="EUR",$B$4,1))</f>
        <v/>
      </c>
      <c r="G48" s="39" t="str">
        <f aca="false">IF(D48="","",D48*F48)</f>
        <v/>
      </c>
      <c r="H48" s="40"/>
      <c r="I48" s="41"/>
      <c r="J48" s="39" t="str">
        <f aca="false">IF(D48="","",(G48+H48)*I48)</f>
        <v/>
      </c>
      <c r="K48" s="40"/>
      <c r="L48" s="39" t="str">
        <f aca="false">IF(D48="","",G48+H48+J48+K48)</f>
        <v/>
      </c>
      <c r="M48" s="40"/>
      <c r="N48" s="42" t="str">
        <f aca="false">IF(M48="","",$B$5)</f>
        <v/>
      </c>
      <c r="O48" s="39" t="str">
        <f aca="false">IF(M48="","",M48/(1+N48))</f>
        <v/>
      </c>
      <c r="P48" s="42" t="str">
        <f aca="false">IF(M48="","",$B$6)</f>
        <v/>
      </c>
      <c r="Q48" s="39" t="str">
        <f aca="false">IF(M48="","",M48*P48)</f>
        <v/>
      </c>
      <c r="R48" s="40"/>
      <c r="S48" s="40"/>
      <c r="T48" s="39" t="str">
        <f aca="false">IF(OR(D48="",M48=""),"",O48-L48-Q48-R48-S48)</f>
        <v/>
      </c>
      <c r="U48" s="43" t="str">
        <f aca="false">IF(T48="","",IF(L48=0,"",T48/L48))</f>
        <v/>
      </c>
      <c r="V48" s="43" t="str">
        <f aca="false">IF(T48="","",T48/O48)</f>
        <v/>
      </c>
      <c r="W48" s="39" t="str">
        <f aca="false">IF(OR(D48="",M48=""),"",IF((1/(1+N48)-P48)&lt;=0,"",(L48+R48+S48)/(1/(1+N48)-P48)))</f>
        <v/>
      </c>
      <c r="X48" s="44" t="str">
        <f aca="false">IF(U48="","",IF(U48&gt;=$B$7,"BUY","SKIP"))</f>
        <v/>
      </c>
    </row>
    <row r="49" customFormat="false" ht="15" hidden="false" customHeight="false" outlineLevel="0" collapsed="false">
      <c r="A49" s="36"/>
      <c r="B49" s="36"/>
      <c r="C49" s="36"/>
      <c r="D49" s="37"/>
      <c r="E49" s="36"/>
      <c r="F49" s="38" t="str">
        <f aca="false">IF(D49="","",IF(E49="EUR",$B$4,1))</f>
        <v/>
      </c>
      <c r="G49" s="39" t="str">
        <f aca="false">IF(D49="","",D49*F49)</f>
        <v/>
      </c>
      <c r="H49" s="40"/>
      <c r="I49" s="41"/>
      <c r="J49" s="39" t="str">
        <f aca="false">IF(D49="","",(G49+H49)*I49)</f>
        <v/>
      </c>
      <c r="K49" s="40"/>
      <c r="L49" s="39" t="str">
        <f aca="false">IF(D49="","",G49+H49+J49+K49)</f>
        <v/>
      </c>
      <c r="M49" s="40"/>
      <c r="N49" s="42" t="str">
        <f aca="false">IF(M49="","",$B$5)</f>
        <v/>
      </c>
      <c r="O49" s="39" t="str">
        <f aca="false">IF(M49="","",M49/(1+N49))</f>
        <v/>
      </c>
      <c r="P49" s="42" t="str">
        <f aca="false">IF(M49="","",$B$6)</f>
        <v/>
      </c>
      <c r="Q49" s="39" t="str">
        <f aca="false">IF(M49="","",M49*P49)</f>
        <v/>
      </c>
      <c r="R49" s="40"/>
      <c r="S49" s="40"/>
      <c r="T49" s="39" t="str">
        <f aca="false">IF(OR(D49="",M49=""),"",O49-L49-Q49-R49-S49)</f>
        <v/>
      </c>
      <c r="U49" s="43" t="str">
        <f aca="false">IF(T49="","",IF(L49=0,"",T49/L49))</f>
        <v/>
      </c>
      <c r="V49" s="43" t="str">
        <f aca="false">IF(T49="","",T49/O49)</f>
        <v/>
      </c>
      <c r="W49" s="39" t="str">
        <f aca="false">IF(OR(D49="",M49=""),"",IF((1/(1+N49)-P49)&lt;=0,"",(L49+R49+S49)/(1/(1+N49)-P49)))</f>
        <v/>
      </c>
      <c r="X49" s="44" t="str">
        <f aca="false">IF(U49="","",IF(U49&gt;=$B$7,"BUY","SKIP"))</f>
        <v/>
      </c>
    </row>
    <row r="50" customFormat="false" ht="15" hidden="false" customHeight="false" outlineLevel="0" collapsed="false">
      <c r="A50" s="36"/>
      <c r="B50" s="36"/>
      <c r="C50" s="36"/>
      <c r="D50" s="37"/>
      <c r="E50" s="36"/>
      <c r="F50" s="38" t="str">
        <f aca="false">IF(D50="","",IF(E50="EUR",$B$4,1))</f>
        <v/>
      </c>
      <c r="G50" s="39" t="str">
        <f aca="false">IF(D50="","",D50*F50)</f>
        <v/>
      </c>
      <c r="H50" s="40"/>
      <c r="I50" s="41"/>
      <c r="J50" s="39" t="str">
        <f aca="false">IF(D50="","",(G50+H50)*I50)</f>
        <v/>
      </c>
      <c r="K50" s="40"/>
      <c r="L50" s="39" t="str">
        <f aca="false">IF(D50="","",G50+H50+J50+K50)</f>
        <v/>
      </c>
      <c r="M50" s="40"/>
      <c r="N50" s="42" t="str">
        <f aca="false">IF(M50="","",$B$5)</f>
        <v/>
      </c>
      <c r="O50" s="39" t="str">
        <f aca="false">IF(M50="","",M50/(1+N50))</f>
        <v/>
      </c>
      <c r="P50" s="42" t="str">
        <f aca="false">IF(M50="","",$B$6)</f>
        <v/>
      </c>
      <c r="Q50" s="39" t="str">
        <f aca="false">IF(M50="","",M50*P50)</f>
        <v/>
      </c>
      <c r="R50" s="40"/>
      <c r="S50" s="40"/>
      <c r="T50" s="39" t="str">
        <f aca="false">IF(OR(D50="",M50=""),"",O50-L50-Q50-R50-S50)</f>
        <v/>
      </c>
      <c r="U50" s="43" t="str">
        <f aca="false">IF(T50="","",IF(L50=0,"",T50/L50))</f>
        <v/>
      </c>
      <c r="V50" s="43" t="str">
        <f aca="false">IF(T50="","",T50/O50)</f>
        <v/>
      </c>
      <c r="W50" s="39" t="str">
        <f aca="false">IF(OR(D50="",M50=""),"",IF((1/(1+N50)-P50)&lt;=0,"",(L50+R50+S50)/(1/(1+N50)-P50)))</f>
        <v/>
      </c>
      <c r="X50" s="44" t="str">
        <f aca="false">IF(U50="","",IF(U50&gt;=$B$7,"BUY","SKIP"))</f>
        <v/>
      </c>
    </row>
    <row r="52" customFormat="false" ht="48" hidden="false" customHeight="true" outlineLevel="0" collapsed="false">
      <c r="A52" s="45" t="s">
        <v>2230</v>
      </c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2">
      <formula>"BUY"</formula>
    </cfRule>
    <cfRule type="cellIs" priority="3" operator="equal" aboveAverage="0" equalAverage="0" bottom="0" percent="0" rank="0" text="" dxfId="23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2231</v>
      </c>
    </row>
    <row r="4" customFormat="false" ht="15" hidden="false" customHeight="false" outlineLevel="0" collapsed="false">
      <c r="B4" s="3" t="s">
        <v>2232</v>
      </c>
      <c r="C4" s="30" t="s">
        <v>2233</v>
      </c>
    </row>
    <row r="5" customFormat="false" ht="375" hidden="false" customHeight="true" outlineLevel="0" collapsed="false">
      <c r="C5" s="46" t="s">
        <v>2234</v>
      </c>
    </row>
    <row r="7" customFormat="false" ht="15" hidden="false" customHeight="false" outlineLevel="0" collapsed="false">
      <c r="B7" s="3" t="s">
        <v>2235</v>
      </c>
      <c r="C7" s="30" t="s">
        <v>2236</v>
      </c>
    </row>
    <row r="8" customFormat="false" ht="375" hidden="false" customHeight="true" outlineLevel="0" collapsed="false">
      <c r="C8" s="46" t="s">
        <v>2237</v>
      </c>
    </row>
    <row r="10" customFormat="false" ht="15" hidden="false" customHeight="false" outlineLevel="0" collapsed="false">
      <c r="B10" s="3" t="s">
        <v>2238</v>
      </c>
      <c r="C10" s="30" t="s">
        <v>2239</v>
      </c>
    </row>
    <row r="11" customFormat="false" ht="165" hidden="false" customHeight="true" outlineLevel="0" collapsed="false">
      <c r="C11" s="46" t="s">
        <v>2240</v>
      </c>
    </row>
    <row r="13" customFormat="false" ht="45" hidden="false" customHeight="true" outlineLevel="0" collapsed="false">
      <c r="B13" s="3" t="s">
        <v>2241</v>
      </c>
      <c r="C13" s="46" t="s">
        <v>2242</v>
      </c>
    </row>
    <row r="15" customFormat="false" ht="135" hidden="false" customHeight="true" outlineLevel="0" collapsed="false">
      <c r="B15" s="3" t="s">
        <v>2243</v>
      </c>
      <c r="C15" s="46" t="s">
        <v>2244</v>
      </c>
    </row>
    <row r="17" customFormat="false" ht="15" hidden="false" customHeight="false" outlineLevel="0" collapsed="false">
      <c r="B17" s="3" t="s">
        <v>2245</v>
      </c>
      <c r="C17" s="30" t="s">
        <v>2246</v>
      </c>
    </row>
    <row r="18" customFormat="false" ht="255" hidden="false" customHeight="true" outlineLevel="0" collapsed="false">
      <c r="C18" s="46" t="s">
        <v>2247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8" min="3" style="0" width="14"/>
  </cols>
  <sheetData>
    <row r="2" customFormat="false" ht="19.7" hidden="false" customHeight="false" outlineLevel="0" collapsed="false">
      <c r="B2" s="1" t="s">
        <v>2248</v>
      </c>
    </row>
    <row r="3" customFormat="false" ht="15" hidden="false" customHeight="false" outlineLevel="0" collapsed="false">
      <c r="B3" s="2" t="s">
        <v>2249</v>
      </c>
    </row>
    <row r="5" customFormat="false" ht="15" hidden="false" customHeight="false" outlineLevel="0" collapsed="false">
      <c r="B5" s="47" t="s">
        <v>2135</v>
      </c>
      <c r="C5" s="47" t="s">
        <v>2119</v>
      </c>
      <c r="D5" s="47" t="s">
        <v>338</v>
      </c>
      <c r="E5" s="47" t="s">
        <v>105</v>
      </c>
      <c r="F5" s="47" t="s">
        <v>2120</v>
      </c>
      <c r="G5" s="47" t="s">
        <v>2250</v>
      </c>
      <c r="H5" s="47" t="s">
        <v>2251</v>
      </c>
    </row>
    <row r="6" customFormat="false" ht="15" hidden="false" customHeight="false" outlineLevel="0" collapsed="false">
      <c r="B6" s="44" t="s">
        <v>296</v>
      </c>
      <c r="C6" s="44" t="n">
        <f aca="false">COUNTIF(Suppliers!$D$2:$D$190,B6)</f>
        <v>9</v>
      </c>
      <c r="D6" s="44" t="n">
        <f aca="false">COUNTIFS(Suppliers!$D$2:$D$190,B6,Suppliers!$I$2:$I$190,"UK")</f>
        <v>1</v>
      </c>
      <c r="E6" s="44" t="n">
        <f aca="false">COUNTIFS(Suppliers!$D$2:$D$190,B6,Suppliers!$I$2:$I$190,"&lt;&gt;UK")</f>
        <v>8</v>
      </c>
      <c r="F6" s="44" t="n">
        <f aca="false">COUNTIFS(Suppliers!$D$2:$D$190,B6,Suppliers!$C$2:$C$190,"&gt;=4")</f>
        <v>1</v>
      </c>
      <c r="G6" s="44" t="n">
        <f aca="false">COUNTIFS(Suppliers!$D$2:$D$190,B6,Suppliers!$AC$2:$AC$190,"&lt;&gt;Not contacted")</f>
        <v>0</v>
      </c>
      <c r="H6" s="44" t="n">
        <f aca="false">COUNTIFS(Suppliers!$D$2:$D$190,B6,Suppliers!$AI$2:$AI$190,"Yes")</f>
        <v>0</v>
      </c>
    </row>
    <row r="7" customFormat="false" ht="15" hidden="false" customHeight="false" outlineLevel="0" collapsed="false">
      <c r="B7" s="44" t="s">
        <v>188</v>
      </c>
      <c r="C7" s="44" t="n">
        <f aca="false">COUNTIF(Suppliers!$D$2:$D$190,B7)</f>
        <v>13</v>
      </c>
      <c r="D7" s="44" t="n">
        <f aca="false">COUNTIFS(Suppliers!$D$2:$D$190,B7,Suppliers!$I$2:$I$190,"UK")</f>
        <v>3</v>
      </c>
      <c r="E7" s="44" t="n">
        <f aca="false">COUNTIFS(Suppliers!$D$2:$D$190,B7,Suppliers!$I$2:$I$190,"&lt;&gt;UK")</f>
        <v>10</v>
      </c>
      <c r="F7" s="44" t="n">
        <f aca="false">COUNTIFS(Suppliers!$D$2:$D$190,B7,Suppliers!$C$2:$C$190,"&gt;=4")</f>
        <v>3</v>
      </c>
      <c r="G7" s="44" t="n">
        <f aca="false">COUNTIFS(Suppliers!$D$2:$D$190,B7,Suppliers!$AC$2:$AC$190,"&lt;&gt;Not contacted")</f>
        <v>0</v>
      </c>
      <c r="H7" s="44" t="n">
        <f aca="false">COUNTIFS(Suppliers!$D$2:$D$190,B7,Suppliers!$AI$2:$AI$190,"Yes")</f>
        <v>0</v>
      </c>
    </row>
    <row r="8" customFormat="false" ht="15" hidden="false" customHeight="false" outlineLevel="0" collapsed="false">
      <c r="B8" s="44" t="s">
        <v>122</v>
      </c>
      <c r="C8" s="44" t="n">
        <f aca="false">COUNTIF(Suppliers!$D$2:$D$190,B8)</f>
        <v>20</v>
      </c>
      <c r="D8" s="44" t="n">
        <f aca="false">COUNTIFS(Suppliers!$D$2:$D$190,B8,Suppliers!$I$2:$I$190,"UK")</f>
        <v>7</v>
      </c>
      <c r="E8" s="44" t="n">
        <f aca="false">COUNTIFS(Suppliers!$D$2:$D$190,B8,Suppliers!$I$2:$I$190,"&lt;&gt;UK")</f>
        <v>13</v>
      </c>
      <c r="F8" s="44" t="n">
        <f aca="false">COUNTIFS(Suppliers!$D$2:$D$190,B8,Suppliers!$C$2:$C$190,"&gt;=4")</f>
        <v>3</v>
      </c>
      <c r="G8" s="44" t="n">
        <f aca="false">COUNTIFS(Suppliers!$D$2:$D$190,B8,Suppliers!$AC$2:$AC$190,"&lt;&gt;Not contacted")</f>
        <v>0</v>
      </c>
      <c r="H8" s="44" t="n">
        <f aca="false">COUNTIFS(Suppliers!$D$2:$D$190,B8,Suppliers!$AI$2:$AI$190,"Yes")</f>
        <v>0</v>
      </c>
    </row>
    <row r="9" customFormat="false" ht="15" hidden="false" customHeight="false" outlineLevel="0" collapsed="false">
      <c r="B9" s="44" t="s">
        <v>364</v>
      </c>
      <c r="C9" s="44" t="n">
        <f aca="false">COUNTIF(Suppliers!$D$2:$D$190,B9)</f>
        <v>13</v>
      </c>
      <c r="D9" s="44" t="n">
        <f aca="false">COUNTIFS(Suppliers!$D$2:$D$190,B9,Suppliers!$I$2:$I$190,"UK")</f>
        <v>5</v>
      </c>
      <c r="E9" s="44" t="n">
        <f aca="false">COUNTIFS(Suppliers!$D$2:$D$190,B9,Suppliers!$I$2:$I$190,"&lt;&gt;UK")</f>
        <v>8</v>
      </c>
      <c r="F9" s="44" t="n">
        <f aca="false">COUNTIFS(Suppliers!$D$2:$D$190,B9,Suppliers!$C$2:$C$190,"&gt;=4")</f>
        <v>4</v>
      </c>
      <c r="G9" s="44" t="n">
        <f aca="false">COUNTIFS(Suppliers!$D$2:$D$190,B9,Suppliers!$AC$2:$AC$190,"&lt;&gt;Not contacted")</f>
        <v>0</v>
      </c>
      <c r="H9" s="44" t="n">
        <f aca="false">COUNTIFS(Suppliers!$D$2:$D$190,B9,Suppliers!$AI$2:$AI$190,"Yes")</f>
        <v>0</v>
      </c>
    </row>
    <row r="10" customFormat="false" ht="15" hidden="false" customHeight="false" outlineLevel="0" collapsed="false">
      <c r="B10" s="44" t="s">
        <v>135</v>
      </c>
      <c r="C10" s="44" t="n">
        <f aca="false">COUNTIF(Suppliers!$D$2:$D$190,B10)</f>
        <v>18</v>
      </c>
      <c r="D10" s="44" t="n">
        <f aca="false">COUNTIFS(Suppliers!$D$2:$D$190,B10,Suppliers!$I$2:$I$190,"UK")</f>
        <v>5</v>
      </c>
      <c r="E10" s="44" t="n">
        <f aca="false">COUNTIFS(Suppliers!$D$2:$D$190,B10,Suppliers!$I$2:$I$190,"&lt;&gt;UK")</f>
        <v>13</v>
      </c>
      <c r="F10" s="44" t="n">
        <f aca="false">COUNTIFS(Suppliers!$D$2:$D$190,B10,Suppliers!$C$2:$C$190,"&gt;=4")</f>
        <v>5</v>
      </c>
      <c r="G10" s="44" t="n">
        <f aca="false">COUNTIFS(Suppliers!$D$2:$D$190,B10,Suppliers!$AC$2:$AC$190,"&lt;&gt;Not contacted")</f>
        <v>0</v>
      </c>
      <c r="H10" s="44" t="n">
        <f aca="false">COUNTIFS(Suppliers!$D$2:$D$190,B10,Suppliers!$AI$2:$AI$190,"Yes")</f>
        <v>0</v>
      </c>
    </row>
    <row r="11" customFormat="false" ht="15" hidden="false" customHeight="false" outlineLevel="0" collapsed="false">
      <c r="B11" s="44" t="s">
        <v>767</v>
      </c>
      <c r="C11" s="44" t="n">
        <f aca="false">COUNTIF(Suppliers!$D$2:$D$190,B11)</f>
        <v>10</v>
      </c>
      <c r="D11" s="44" t="n">
        <f aca="false">COUNTIFS(Suppliers!$D$2:$D$190,B11,Suppliers!$I$2:$I$190,"UK")</f>
        <v>8</v>
      </c>
      <c r="E11" s="44" t="n">
        <f aca="false">COUNTIFS(Suppliers!$D$2:$D$190,B11,Suppliers!$I$2:$I$190,"&lt;&gt;UK")</f>
        <v>2</v>
      </c>
      <c r="F11" s="44" t="n">
        <f aca="false">COUNTIFS(Suppliers!$D$2:$D$190,B11,Suppliers!$C$2:$C$190,"&gt;=4")</f>
        <v>2</v>
      </c>
      <c r="G11" s="44" t="n">
        <f aca="false">COUNTIFS(Suppliers!$D$2:$D$190,B11,Suppliers!$AC$2:$AC$190,"&lt;&gt;Not contacted")</f>
        <v>0</v>
      </c>
      <c r="H11" s="44" t="n">
        <f aca="false">COUNTIFS(Suppliers!$D$2:$D$190,B11,Suppliers!$AI$2:$AI$190,"Yes")</f>
        <v>0</v>
      </c>
    </row>
    <row r="12" customFormat="false" ht="15" hidden="false" customHeight="false" outlineLevel="0" collapsed="false">
      <c r="B12" s="44" t="s">
        <v>379</v>
      </c>
      <c r="C12" s="44" t="n">
        <f aca="false">COUNTIF(Suppliers!$D$2:$D$190,B12)</f>
        <v>22</v>
      </c>
      <c r="D12" s="44" t="n">
        <f aca="false">COUNTIFS(Suppliers!$D$2:$D$190,B12,Suppliers!$I$2:$I$190,"UK")</f>
        <v>10</v>
      </c>
      <c r="E12" s="44" t="n">
        <f aca="false">COUNTIFS(Suppliers!$D$2:$D$190,B12,Suppliers!$I$2:$I$190,"&lt;&gt;UK")</f>
        <v>12</v>
      </c>
      <c r="F12" s="44" t="n">
        <f aca="false">COUNTIFS(Suppliers!$D$2:$D$190,B12,Suppliers!$C$2:$C$190,"&gt;=4")</f>
        <v>7</v>
      </c>
      <c r="G12" s="44" t="n">
        <f aca="false">COUNTIFS(Suppliers!$D$2:$D$190,B12,Suppliers!$AC$2:$AC$190,"&lt;&gt;Not contacted")</f>
        <v>0</v>
      </c>
      <c r="H12" s="44" t="n">
        <f aca="false">COUNTIFS(Suppliers!$D$2:$D$190,B12,Suppliers!$AI$2:$AI$190,"Yes")</f>
        <v>0</v>
      </c>
    </row>
    <row r="13" customFormat="false" ht="15" hidden="false" customHeight="false" outlineLevel="0" collapsed="false">
      <c r="B13" s="44" t="s">
        <v>150</v>
      </c>
      <c r="C13" s="44" t="n">
        <f aca="false">COUNTIF(Suppliers!$D$2:$D$190,B13)</f>
        <v>14</v>
      </c>
      <c r="D13" s="44" t="n">
        <f aca="false">COUNTIFS(Suppliers!$D$2:$D$190,B13,Suppliers!$I$2:$I$190,"UK")</f>
        <v>7</v>
      </c>
      <c r="E13" s="44" t="n">
        <f aca="false">COUNTIFS(Suppliers!$D$2:$D$190,B13,Suppliers!$I$2:$I$190,"&lt;&gt;UK")</f>
        <v>7</v>
      </c>
      <c r="F13" s="44" t="n">
        <f aca="false">COUNTIFS(Suppliers!$D$2:$D$190,B13,Suppliers!$C$2:$C$190,"&gt;=4")</f>
        <v>4</v>
      </c>
      <c r="G13" s="44" t="n">
        <f aca="false">COUNTIFS(Suppliers!$D$2:$D$190,B13,Suppliers!$AC$2:$AC$190,"&lt;&gt;Not contacted")</f>
        <v>0</v>
      </c>
      <c r="H13" s="44" t="n">
        <f aca="false">COUNTIFS(Suppliers!$D$2:$D$190,B13,Suppliers!$AI$2:$AI$190,"Yes")</f>
        <v>0</v>
      </c>
    </row>
    <row r="14" customFormat="false" ht="15" hidden="false" customHeight="false" outlineLevel="0" collapsed="false">
      <c r="B14" s="44" t="s">
        <v>101</v>
      </c>
      <c r="C14" s="44" t="n">
        <f aca="false">COUNTIF(Suppliers!$D$2:$D$190,B14)</f>
        <v>19</v>
      </c>
      <c r="D14" s="44" t="n">
        <f aca="false">COUNTIFS(Suppliers!$D$2:$D$190,B14,Suppliers!$I$2:$I$190,"UK")</f>
        <v>3</v>
      </c>
      <c r="E14" s="44" t="n">
        <f aca="false">COUNTIFS(Suppliers!$D$2:$D$190,B14,Suppliers!$I$2:$I$190,"&lt;&gt;UK")</f>
        <v>16</v>
      </c>
      <c r="F14" s="44" t="n">
        <f aca="false">COUNTIFS(Suppliers!$D$2:$D$190,B14,Suppliers!$C$2:$C$190,"&gt;=4")</f>
        <v>6</v>
      </c>
      <c r="G14" s="44" t="n">
        <f aca="false">COUNTIFS(Suppliers!$D$2:$D$190,B14,Suppliers!$AC$2:$AC$190,"&lt;&gt;Not contacted")</f>
        <v>0</v>
      </c>
      <c r="H14" s="44" t="n">
        <f aca="false">COUNTIFS(Suppliers!$D$2:$D$190,B14,Suppliers!$AI$2:$AI$190,"Yes")</f>
        <v>0</v>
      </c>
    </row>
    <row r="15" customFormat="false" ht="15" hidden="false" customHeight="false" outlineLevel="0" collapsed="false">
      <c r="B15" s="44" t="s">
        <v>442</v>
      </c>
      <c r="C15" s="44" t="n">
        <f aca="false">COUNTIF(Suppliers!$D$2:$D$190,B15)</f>
        <v>11</v>
      </c>
      <c r="D15" s="44" t="n">
        <f aca="false">COUNTIFS(Suppliers!$D$2:$D$190,B15,Suppliers!$I$2:$I$190,"UK")</f>
        <v>3</v>
      </c>
      <c r="E15" s="44" t="n">
        <f aca="false">COUNTIFS(Suppliers!$D$2:$D$190,B15,Suppliers!$I$2:$I$190,"&lt;&gt;UK")</f>
        <v>8</v>
      </c>
      <c r="F15" s="44" t="n">
        <f aca="false">COUNTIFS(Suppliers!$D$2:$D$190,B15,Suppliers!$C$2:$C$190,"&gt;=4")</f>
        <v>2</v>
      </c>
      <c r="G15" s="44" t="n">
        <f aca="false">COUNTIFS(Suppliers!$D$2:$D$190,B15,Suppliers!$AC$2:$AC$190,"&lt;&gt;Not contacted")</f>
        <v>0</v>
      </c>
      <c r="H15" s="44" t="n">
        <f aca="false">COUNTIFS(Suppliers!$D$2:$D$190,B15,Suppliers!$AI$2:$AI$190,"Yes")</f>
        <v>0</v>
      </c>
    </row>
    <row r="16" customFormat="false" ht="15" hidden="false" customHeight="false" outlineLevel="0" collapsed="false">
      <c r="B16" s="44" t="s">
        <v>248</v>
      </c>
      <c r="C16" s="44" t="n">
        <f aca="false">COUNTIF(Suppliers!$D$2:$D$190,B16)</f>
        <v>11</v>
      </c>
      <c r="D16" s="44" t="n">
        <f aca="false">COUNTIFS(Suppliers!$D$2:$D$190,B16,Suppliers!$I$2:$I$190,"UK")</f>
        <v>4</v>
      </c>
      <c r="E16" s="44" t="n">
        <f aca="false">COUNTIFS(Suppliers!$D$2:$D$190,B16,Suppliers!$I$2:$I$190,"&lt;&gt;UK")</f>
        <v>7</v>
      </c>
      <c r="F16" s="44" t="n">
        <f aca="false">COUNTIFS(Suppliers!$D$2:$D$190,B16,Suppliers!$C$2:$C$190,"&gt;=4")</f>
        <v>2</v>
      </c>
      <c r="G16" s="44" t="n">
        <f aca="false">COUNTIFS(Suppliers!$D$2:$D$190,B16,Suppliers!$AC$2:$AC$190,"&lt;&gt;Not contacted")</f>
        <v>0</v>
      </c>
      <c r="H16" s="44" t="n">
        <f aca="false">COUNTIFS(Suppliers!$D$2:$D$190,B16,Suppliers!$AI$2:$AI$190,"Yes")</f>
        <v>0</v>
      </c>
    </row>
    <row r="17" customFormat="false" ht="15" hidden="false" customHeight="false" outlineLevel="0" collapsed="false">
      <c r="B17" s="44" t="s">
        <v>236</v>
      </c>
      <c r="C17" s="44" t="n">
        <f aca="false">COUNTIF(Suppliers!$D$2:$D$190,B17)</f>
        <v>29</v>
      </c>
      <c r="D17" s="44" t="n">
        <f aca="false">COUNTIFS(Suppliers!$D$2:$D$190,B17,Suppliers!$I$2:$I$190,"UK")</f>
        <v>9</v>
      </c>
      <c r="E17" s="44" t="n">
        <f aca="false">COUNTIFS(Suppliers!$D$2:$D$190,B17,Suppliers!$I$2:$I$190,"&lt;&gt;UK")</f>
        <v>20</v>
      </c>
      <c r="F17" s="44" t="n">
        <f aca="false">COUNTIFS(Suppliers!$D$2:$D$190,B17,Suppliers!$C$2:$C$190,"&gt;=4")</f>
        <v>11</v>
      </c>
      <c r="G17" s="44" t="n">
        <f aca="false">COUNTIFS(Suppliers!$D$2:$D$190,B17,Suppliers!$AC$2:$AC$190,"&lt;&gt;Not contacted")</f>
        <v>0</v>
      </c>
      <c r="H17" s="44" t="n">
        <f aca="false">COUNTIFS(Suppliers!$D$2:$D$190,B17,Suppliers!$AI$2:$AI$190,"Yes")</f>
        <v>0</v>
      </c>
    </row>
    <row r="18" customFormat="false" ht="15" hidden="false" customHeight="false" outlineLevel="0" collapsed="false">
      <c r="B18" s="48" t="s">
        <v>2134</v>
      </c>
      <c r="C18" s="48" t="n">
        <f aca="false">SUM(C6:C17)</f>
        <v>189</v>
      </c>
      <c r="D18" s="48" t="n">
        <f aca="false">SUM(D6:D17)</f>
        <v>65</v>
      </c>
      <c r="E18" s="48" t="n">
        <f aca="false">SUM(E6:E17)</f>
        <v>124</v>
      </c>
      <c r="F18" s="48" t="n">
        <f aca="false">SUM(F6:F17)</f>
        <v>50</v>
      </c>
      <c r="G18" s="48" t="n">
        <f aca="false">SUM(G6:G17)</f>
        <v>0</v>
      </c>
      <c r="H18" s="48" t="n">
        <f aca="false">SUM(H6:H17)</f>
        <v>0</v>
      </c>
    </row>
    <row r="21" customFormat="false" ht="15" hidden="false" customHeight="false" outlineLevel="0" collapsed="false">
      <c r="B21" s="47" t="s">
        <v>2252</v>
      </c>
      <c r="C21" s="47" t="s">
        <v>2253</v>
      </c>
      <c r="D21" s="47" t="s">
        <v>2254</v>
      </c>
    </row>
    <row r="22" customFormat="false" ht="15" hidden="false" customHeight="false" outlineLevel="0" collapsed="false">
      <c r="B22" s="44" t="s">
        <v>121</v>
      </c>
      <c r="C22" s="44" t="n">
        <f aca="false">COUNTIF(Suppliers!$AC$2:$AC$190,B22)</f>
        <v>189</v>
      </c>
      <c r="D22" s="49" t="n">
        <f aca="false">IF(COUNTA(Suppliers!$D$2:$D$190)=0,0,C22/COUNTA(Suppliers!$D$2:$D$190))</f>
        <v>1</v>
      </c>
    </row>
    <row r="23" customFormat="false" ht="15" hidden="false" customHeight="false" outlineLevel="0" collapsed="false">
      <c r="B23" s="44" t="s">
        <v>2255</v>
      </c>
      <c r="C23" s="44" t="n">
        <f aca="false">COUNTIF(Suppliers!$AC$2:$AC$190,B23)</f>
        <v>0</v>
      </c>
      <c r="D23" s="49" t="n">
        <f aca="false">IF(COUNTA(Suppliers!$D$2:$D$190)=0,0,C23/COUNTA(Suppliers!$D$2:$D$190))</f>
        <v>0</v>
      </c>
    </row>
    <row r="24" customFormat="false" ht="15" hidden="false" customHeight="false" outlineLevel="0" collapsed="false">
      <c r="B24" s="44" t="s">
        <v>2256</v>
      </c>
      <c r="C24" s="44" t="n">
        <f aca="false">COUNTIF(Suppliers!$AC$2:$AC$190,B24)</f>
        <v>0</v>
      </c>
      <c r="D24" s="49" t="n">
        <f aca="false">IF(COUNTA(Suppliers!$D$2:$D$190)=0,0,C24/COUNTA(Suppliers!$D$2:$D$190))</f>
        <v>0</v>
      </c>
    </row>
    <row r="25" customFormat="false" ht="15" hidden="false" customHeight="false" outlineLevel="0" collapsed="false">
      <c r="B25" s="44" t="s">
        <v>2257</v>
      </c>
      <c r="C25" s="44" t="n">
        <f aca="false">COUNTIF(Suppliers!$AC$2:$AC$190,B25)</f>
        <v>0</v>
      </c>
      <c r="D25" s="49" t="n">
        <f aca="false">IF(COUNTA(Suppliers!$D$2:$D$190)=0,0,C25/COUNTA(Suppliers!$D$2:$D$190))</f>
        <v>0</v>
      </c>
    </row>
    <row r="26" customFormat="false" ht="15" hidden="false" customHeight="false" outlineLevel="0" collapsed="false">
      <c r="B26" s="44" t="s">
        <v>2258</v>
      </c>
      <c r="C26" s="44" t="n">
        <f aca="false">COUNTIF(Suppliers!$AC$2:$AC$190,B26)</f>
        <v>0</v>
      </c>
      <c r="D26" s="49" t="n">
        <f aca="false">IF(COUNTA(Suppliers!$D$2:$D$190)=0,0,C26/COUNTA(Suppliers!$D$2:$D$190))</f>
        <v>0</v>
      </c>
    </row>
    <row r="27" customFormat="false" ht="15" hidden="false" customHeight="false" outlineLevel="0" collapsed="false">
      <c r="B27" s="44" t="s">
        <v>2259</v>
      </c>
      <c r="C27" s="44" t="n">
        <f aca="false">COUNTIF(Suppliers!$AC$2:$AC$190,B27)</f>
        <v>0</v>
      </c>
      <c r="D27" s="49" t="n">
        <f aca="false">IF(COUNTA(Suppliers!$D$2:$D$190)=0,0,C27/COUNTA(Suppliers!$D$2:$D$190))</f>
        <v>0</v>
      </c>
    </row>
    <row r="28" customFormat="false" ht="15" hidden="false" customHeight="false" outlineLevel="0" collapsed="false">
      <c r="B28" s="44" t="s">
        <v>2260</v>
      </c>
      <c r="C28" s="44" t="n">
        <f aca="false">COUNTIF(Suppliers!$AC$2:$AC$190,B28)</f>
        <v>0</v>
      </c>
      <c r="D28" s="49" t="n">
        <f aca="false">IF(COUNTA(Suppliers!$D$2:$D$190)=0,0,C28/COUNTA(Suppliers!$D$2:$D$190))</f>
        <v>0</v>
      </c>
    </row>
    <row r="29" customFormat="false" ht="15" hidden="false" customHeight="false" outlineLevel="0" collapsed="false">
      <c r="B29" s="44" t="s">
        <v>2261</v>
      </c>
      <c r="C29" s="44" t="n">
        <f aca="false">COUNTIF(Suppliers!$AC$2:$AC$190,B29)</f>
        <v>0</v>
      </c>
      <c r="D29" s="49" t="n">
        <f aca="false">IF(COUNTA(Suppliers!$D$2:$D$190)=0,0,C29/COUNTA(Suppliers!$D$2:$D$190))</f>
        <v>0</v>
      </c>
    </row>
    <row r="30" customFormat="false" ht="15" hidden="false" customHeight="false" outlineLevel="0" collapsed="false">
      <c r="B30" s="44" t="s">
        <v>2262</v>
      </c>
      <c r="C30" s="44" t="n">
        <f aca="false">COUNTIF(Suppliers!$AC$2:$AC$190,B30)</f>
        <v>0</v>
      </c>
      <c r="D30" s="49" t="n">
        <f aca="false">IF(COUNTA(Suppliers!$D$2:$D$190)=0,0,C30/COUNTA(Suppliers!$D$2:$D$190))</f>
        <v>0</v>
      </c>
    </row>
    <row r="31" customFormat="false" ht="15" hidden="false" customHeight="false" outlineLevel="0" collapsed="false">
      <c r="B31" s="44" t="s">
        <v>2263</v>
      </c>
      <c r="C31" s="44" t="n">
        <f aca="false">COUNTIF(Suppliers!$AC$2:$AC$190,B31)</f>
        <v>0</v>
      </c>
      <c r="D31" s="49" t="n">
        <f aca="false">IF(COUNTA(Suppliers!$D$2:$D$190)=0,0,C31/COUNTA(Suppliers!$D$2:$D$190))</f>
        <v>0</v>
      </c>
    </row>
    <row r="33" customFormat="false" ht="15" hidden="false" customHeight="false" outlineLevel="0" collapsed="false">
      <c r="B33" s="30" t="s">
        <v>2264</v>
      </c>
      <c r="C33" s="30" t="n">
        <f aca="true">SUMPRODUCT((Suppliers!$AH$2:$AH$190&lt;&gt;"")*(Suppliers!$AH$2:$AH$190&lt;=TODAY())*((Suppliers!$AC$2:$AC$190="Contacted")+(Suppliers!$AC$2:$AC$190="Follow-up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2265</v>
      </c>
      <c r="B1" s="6" t="s">
        <v>2266</v>
      </c>
      <c r="C1" s="6" t="s">
        <v>2267</v>
      </c>
      <c r="D1" s="6" t="s">
        <v>2268</v>
      </c>
    </row>
    <row r="2" customFormat="false" ht="23.85" hidden="false" customHeight="false" outlineLevel="0" collapsed="false">
      <c r="A2" s="18" t="s">
        <v>2269</v>
      </c>
      <c r="B2" s="18" t="s">
        <v>2270</v>
      </c>
      <c r="C2" s="18" t="s">
        <v>2271</v>
      </c>
      <c r="D2" s="29" t="s">
        <v>2272</v>
      </c>
    </row>
    <row r="3" customFormat="false" ht="15" hidden="false" customHeight="false" outlineLevel="0" collapsed="false">
      <c r="A3" s="18" t="s">
        <v>2273</v>
      </c>
      <c r="B3" s="18" t="s">
        <v>2274</v>
      </c>
      <c r="C3" s="18" t="s">
        <v>2275</v>
      </c>
      <c r="D3" s="29" t="s">
        <v>2276</v>
      </c>
    </row>
    <row r="4" customFormat="false" ht="15" hidden="false" customHeight="false" outlineLevel="0" collapsed="false">
      <c r="A4" s="18" t="s">
        <v>2277</v>
      </c>
      <c r="B4" s="18" t="s">
        <v>2274</v>
      </c>
      <c r="C4" s="18" t="s">
        <v>2278</v>
      </c>
      <c r="D4" s="29" t="s">
        <v>2279</v>
      </c>
    </row>
    <row r="5" customFormat="false" ht="15" hidden="false" customHeight="false" outlineLevel="0" collapsed="false">
      <c r="A5" s="18" t="s">
        <v>2280</v>
      </c>
      <c r="B5" s="18" t="s">
        <v>2274</v>
      </c>
      <c r="C5" s="18" t="s">
        <v>2281</v>
      </c>
      <c r="D5" s="29" t="s">
        <v>2282</v>
      </c>
    </row>
    <row r="6" customFormat="false" ht="15" hidden="false" customHeight="false" outlineLevel="0" collapsed="false">
      <c r="A6" s="18" t="s">
        <v>2283</v>
      </c>
      <c r="B6" s="18" t="s">
        <v>2274</v>
      </c>
      <c r="C6" s="18" t="s">
        <v>2284</v>
      </c>
      <c r="D6" s="29" t="s">
        <v>2285</v>
      </c>
    </row>
    <row r="7" customFormat="false" ht="15" hidden="false" customHeight="false" outlineLevel="0" collapsed="false">
      <c r="A7" s="18" t="s">
        <v>2286</v>
      </c>
      <c r="B7" s="18" t="s">
        <v>2287</v>
      </c>
      <c r="C7" s="18" t="s">
        <v>2288</v>
      </c>
      <c r="D7" s="29" t="s">
        <v>2289</v>
      </c>
    </row>
    <row r="8" customFormat="false" ht="15" hidden="false" customHeight="false" outlineLevel="0" collapsed="false">
      <c r="A8" s="18" t="s">
        <v>2290</v>
      </c>
      <c r="B8" s="18" t="s">
        <v>2291</v>
      </c>
      <c r="C8" s="18" t="s">
        <v>2292</v>
      </c>
      <c r="D8" s="29" t="s">
        <v>2293</v>
      </c>
    </row>
    <row r="9" customFormat="false" ht="15" hidden="false" customHeight="false" outlineLevel="0" collapsed="false">
      <c r="A9" s="18" t="s">
        <v>2294</v>
      </c>
      <c r="B9" s="18" t="s">
        <v>2295</v>
      </c>
      <c r="C9" s="18" t="s">
        <v>2296</v>
      </c>
      <c r="D9" s="29" t="s">
        <v>2297</v>
      </c>
    </row>
    <row r="10" customFormat="false" ht="15" hidden="false" customHeight="false" outlineLevel="0" collapsed="false">
      <c r="A10" s="18" t="s">
        <v>2298</v>
      </c>
      <c r="B10" s="18" t="s">
        <v>2299</v>
      </c>
      <c r="C10" s="18" t="s">
        <v>2300</v>
      </c>
      <c r="D10" s="29" t="s">
        <v>2301</v>
      </c>
    </row>
    <row r="11" customFormat="false" ht="15" hidden="false" customHeight="false" outlineLevel="0" collapsed="false">
      <c r="A11" s="18" t="s">
        <v>2302</v>
      </c>
      <c r="B11" s="18" t="s">
        <v>2299</v>
      </c>
      <c r="C11" s="18" t="s">
        <v>2303</v>
      </c>
      <c r="D11" s="29" t="s">
        <v>2304</v>
      </c>
    </row>
    <row r="12" customFormat="false" ht="15" hidden="false" customHeight="false" outlineLevel="0" collapsed="false">
      <c r="A12" s="18" t="s">
        <v>2305</v>
      </c>
      <c r="B12" s="18" t="s">
        <v>2299</v>
      </c>
      <c r="C12" s="18" t="s">
        <v>2306</v>
      </c>
      <c r="D12" s="29" t="s">
        <v>2307</v>
      </c>
    </row>
    <row r="13" customFormat="false" ht="15" hidden="false" customHeight="false" outlineLevel="0" collapsed="false">
      <c r="A13" s="18" t="s">
        <v>1893</v>
      </c>
      <c r="B13" s="18" t="s">
        <v>2299</v>
      </c>
      <c r="C13" s="18" t="s">
        <v>2308</v>
      </c>
      <c r="D13" s="29" t="s">
        <v>2309</v>
      </c>
    </row>
    <row r="14" customFormat="false" ht="15" hidden="false" customHeight="false" outlineLevel="0" collapsed="false">
      <c r="A14" s="18" t="s">
        <v>2310</v>
      </c>
      <c r="B14" s="18" t="s">
        <v>2311</v>
      </c>
      <c r="C14" s="18" t="s">
        <v>2312</v>
      </c>
      <c r="D14" s="29" t="s">
        <v>2313</v>
      </c>
    </row>
    <row r="15" customFormat="false" ht="15" hidden="false" customHeight="false" outlineLevel="0" collapsed="false">
      <c r="A15" s="18" t="s">
        <v>2314</v>
      </c>
      <c r="B15" s="18" t="s">
        <v>2315</v>
      </c>
      <c r="C15" s="18" t="s">
        <v>2316</v>
      </c>
      <c r="D15" s="29" t="s">
        <v>2317</v>
      </c>
    </row>
    <row r="16" customFormat="false" ht="15" hidden="false" customHeight="false" outlineLevel="0" collapsed="false">
      <c r="A16" s="18" t="s">
        <v>2318</v>
      </c>
      <c r="B16" s="18" t="s">
        <v>2319</v>
      </c>
      <c r="C16" s="18" t="s">
        <v>2320</v>
      </c>
      <c r="D16" s="29" t="s">
        <v>2321</v>
      </c>
    </row>
    <row r="17" customFormat="false" ht="15" hidden="false" customHeight="false" outlineLevel="0" collapsed="false">
      <c r="A17" s="18" t="s">
        <v>2322</v>
      </c>
      <c r="B17" s="18" t="s">
        <v>2323</v>
      </c>
      <c r="C17" s="18" t="s">
        <v>2324</v>
      </c>
      <c r="D17" s="29" t="s">
        <v>2325</v>
      </c>
    </row>
    <row r="18" customFormat="false" ht="15" hidden="false" customHeight="false" outlineLevel="0" collapsed="false">
      <c r="A18" s="18" t="s">
        <v>2326</v>
      </c>
      <c r="B18" s="18" t="s">
        <v>2327</v>
      </c>
      <c r="C18" s="18" t="s">
        <v>2328</v>
      </c>
      <c r="D18" s="29" t="s">
        <v>2329</v>
      </c>
    </row>
    <row r="19" customFormat="false" ht="15" hidden="false" customHeight="false" outlineLevel="0" collapsed="false">
      <c r="A19" s="18" t="s">
        <v>2330</v>
      </c>
      <c r="B19" s="18" t="s">
        <v>2331</v>
      </c>
      <c r="C19" s="18" t="s">
        <v>2332</v>
      </c>
      <c r="D19" s="29" t="s">
        <v>2333</v>
      </c>
    </row>
    <row r="20" customFormat="false" ht="23.85" hidden="false" customHeight="false" outlineLevel="0" collapsed="false">
      <c r="A20" s="18" t="s">
        <v>2334</v>
      </c>
      <c r="B20" s="18" t="s">
        <v>2335</v>
      </c>
      <c r="C20" s="18" t="s">
        <v>2336</v>
      </c>
      <c r="D20" s="29" t="s">
        <v>2337</v>
      </c>
    </row>
    <row r="21" customFormat="false" ht="15" hidden="false" customHeight="false" outlineLevel="0" collapsed="false">
      <c r="A21" s="18" t="s">
        <v>2338</v>
      </c>
      <c r="B21" s="18" t="s">
        <v>2339</v>
      </c>
      <c r="C21" s="18" t="s">
        <v>2340</v>
      </c>
      <c r="D21" s="29" t="s">
        <v>2341</v>
      </c>
    </row>
    <row r="22" customFormat="false" ht="15" hidden="false" customHeight="false" outlineLevel="0" collapsed="false">
      <c r="A22" s="18" t="s">
        <v>2342</v>
      </c>
      <c r="B22" s="18" t="s">
        <v>2343</v>
      </c>
      <c r="C22" s="18" t="s">
        <v>2344</v>
      </c>
      <c r="D22" s="29" t="s">
        <v>2345</v>
      </c>
    </row>
    <row r="23" customFormat="false" ht="15" hidden="false" customHeight="false" outlineLevel="0" collapsed="false">
      <c r="A23" s="18" t="s">
        <v>2346</v>
      </c>
      <c r="B23" s="18" t="s">
        <v>2343</v>
      </c>
      <c r="C23" s="18" t="s">
        <v>2347</v>
      </c>
      <c r="D23" s="29" t="s">
        <v>2348</v>
      </c>
    </row>
    <row r="24" customFormat="false" ht="15" hidden="false" customHeight="false" outlineLevel="0" collapsed="false">
      <c r="A24" s="18" t="s">
        <v>2349</v>
      </c>
      <c r="B24" s="18" t="s">
        <v>2343</v>
      </c>
      <c r="C24" s="18" t="s">
        <v>2350</v>
      </c>
      <c r="D24" s="29" t="s">
        <v>2351</v>
      </c>
    </row>
    <row r="25" customFormat="false" ht="15" hidden="false" customHeight="false" outlineLevel="0" collapsed="false">
      <c r="A25" s="18" t="s">
        <v>2352</v>
      </c>
      <c r="B25" s="18" t="s">
        <v>2343</v>
      </c>
      <c r="C25" s="18" t="s">
        <v>2353</v>
      </c>
      <c r="D25" s="29" t="s">
        <v>2354</v>
      </c>
    </row>
    <row r="26" customFormat="false" ht="15" hidden="false" customHeight="false" outlineLevel="0" collapsed="false">
      <c r="A26" s="18" t="s">
        <v>2355</v>
      </c>
      <c r="B26" s="18" t="s">
        <v>2343</v>
      </c>
      <c r="C26" s="18" t="s">
        <v>2356</v>
      </c>
      <c r="D26" s="29" t="s">
        <v>2357</v>
      </c>
    </row>
    <row r="27" customFormat="false" ht="15" hidden="false" customHeight="false" outlineLevel="0" collapsed="false">
      <c r="A27" s="18" t="s">
        <v>2358</v>
      </c>
      <c r="B27" s="18" t="s">
        <v>2343</v>
      </c>
      <c r="C27" s="18" t="s">
        <v>2359</v>
      </c>
      <c r="D27" s="29" t="s">
        <v>2360</v>
      </c>
    </row>
    <row r="28" customFormat="false" ht="15" hidden="false" customHeight="false" outlineLevel="0" collapsed="false">
      <c r="A28" s="18" t="s">
        <v>2361</v>
      </c>
      <c r="B28" s="18" t="s">
        <v>2343</v>
      </c>
      <c r="C28" s="18" t="s">
        <v>2362</v>
      </c>
      <c r="D28" s="29" t="s">
        <v>2363</v>
      </c>
    </row>
    <row r="29" customFormat="false" ht="15" hidden="false" customHeight="false" outlineLevel="0" collapsed="false">
      <c r="A29" s="18" t="s">
        <v>2364</v>
      </c>
      <c r="B29" s="18" t="s">
        <v>2343</v>
      </c>
      <c r="C29" s="18" t="s">
        <v>2365</v>
      </c>
      <c r="D29" s="29" t="s">
        <v>2366</v>
      </c>
    </row>
    <row r="30" customFormat="false" ht="15" hidden="false" customHeight="false" outlineLevel="0" collapsed="false">
      <c r="A30" s="18" t="s">
        <v>2367</v>
      </c>
      <c r="B30" s="18" t="s">
        <v>2343</v>
      </c>
      <c r="C30" s="18" t="s">
        <v>2368</v>
      </c>
      <c r="D30" s="29" t="s">
        <v>2369</v>
      </c>
    </row>
    <row r="31" customFormat="false" ht="15" hidden="false" customHeight="false" outlineLevel="0" collapsed="false">
      <c r="A31" s="18" t="s">
        <v>2370</v>
      </c>
      <c r="B31" s="18" t="s">
        <v>2343</v>
      </c>
      <c r="C31" s="18" t="s">
        <v>2371</v>
      </c>
      <c r="D31" s="29" t="s">
        <v>2372</v>
      </c>
    </row>
    <row r="32" customFormat="false" ht="15" hidden="false" customHeight="false" outlineLevel="0" collapsed="false">
      <c r="A32" s="18" t="s">
        <v>2373</v>
      </c>
      <c r="B32" s="18" t="s">
        <v>2343</v>
      </c>
      <c r="C32" s="18" t="s">
        <v>2374</v>
      </c>
      <c r="D32" s="29" t="s">
        <v>2375</v>
      </c>
    </row>
    <row r="33" customFormat="false" ht="15" hidden="false" customHeight="false" outlineLevel="0" collapsed="false">
      <c r="A33" s="18" t="s">
        <v>2376</v>
      </c>
      <c r="B33" s="18" t="s">
        <v>2343</v>
      </c>
      <c r="C33" s="18" t="s">
        <v>2377</v>
      </c>
      <c r="D33" s="29" t="s">
        <v>2378</v>
      </c>
    </row>
    <row r="34" customFormat="false" ht="23.85" hidden="false" customHeight="false" outlineLevel="0" collapsed="false">
      <c r="A34" s="18" t="s">
        <v>2379</v>
      </c>
      <c r="B34" s="18" t="s">
        <v>94</v>
      </c>
      <c r="C34" s="18" t="s">
        <v>2380</v>
      </c>
      <c r="D34" s="50"/>
    </row>
    <row r="35" customFormat="false" ht="23.85" hidden="false" customHeight="false" outlineLevel="0" collapsed="false">
      <c r="A35" s="18" t="s">
        <v>2381</v>
      </c>
      <c r="B35" s="18" t="s">
        <v>94</v>
      </c>
      <c r="C35" s="18" t="s">
        <v>2382</v>
      </c>
      <c r="D35" s="29" t="s">
        <v>2383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een.ec.europa.eu/partnering-opportunities"/>
    <hyperlink ref="D18" r:id="rId17" display="https://www.europages.co.uk/"/>
    <hyperlink ref="D19" r:id="rId18" display="https://www.wlw.de/"/>
    <hyperlink ref="D20" r:id="rId19" display="https://www.kompass.com/"/>
    <hyperlink ref="D21" r:id="rId20" display="https://www.cosmeticindex.com/~cosmetic-distributors-wholesalers_Europe"/>
    <hyperlink ref="D22" r:id="rId21" display="https://www.interzoo.com/en/exhibitors"/>
    <hyperlink ref="D23" r:id="rId22" display="https://www.zoomark.it/en/"/>
    <hyperlink ref="D24" r:id="rId23" display="https://ambiente.messefrankfurt.com/"/>
    <hyperlink ref="D25" r:id="rId24" display="https://www.ifa-berlin.com/"/>
    <hyperlink ref="D26" r:id="rId25" display="https://www.fibo.com/"/>
    <hyperlink ref="D27" r:id="rId26" display="https://www.eurobike.com/"/>
    <hyperlink ref="D28" r:id="rId27" display="https://www.kindundjugend.com/"/>
    <hyperlink ref="D29" r:id="rId28" display="https://creativeworld.messefrankfurt.com/"/>
    <hyperlink ref="D30" r:id="rId29" display="https://www.toyfair.co.uk/"/>
    <hyperlink ref="D31" r:id="rId30" display="https://www.spielwarenmesse.de/"/>
    <hyperlink ref="D32" r:id="rId31" display="https://www.cosmoprof.com/"/>
    <hyperlink ref="D33" r:id="rId32" display="https://www.springfair.com/"/>
    <hyperlink ref="D35" r:id="rId3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145</v>
      </c>
      <c r="B1" s="6" t="s">
        <v>2384</v>
      </c>
      <c r="C1" s="6" t="s">
        <v>2385</v>
      </c>
    </row>
    <row r="2" customFormat="false" ht="23.85" hidden="false" customHeight="false" outlineLevel="0" collapsed="false">
      <c r="A2" s="18" t="s">
        <v>2386</v>
      </c>
      <c r="B2" s="18" t="s">
        <v>2387</v>
      </c>
      <c r="C2" s="18" t="s">
        <v>2388</v>
      </c>
    </row>
    <row r="3" customFormat="false" ht="23.85" hidden="false" customHeight="false" outlineLevel="0" collapsed="false">
      <c r="A3" s="18" t="s">
        <v>2389</v>
      </c>
      <c r="B3" s="18" t="s">
        <v>2390</v>
      </c>
      <c r="C3" s="18" t="s">
        <v>2391</v>
      </c>
    </row>
    <row r="4" customFormat="false" ht="15" hidden="false" customHeight="false" outlineLevel="0" collapsed="false">
      <c r="A4" s="18" t="s">
        <v>2392</v>
      </c>
      <c r="B4" s="18" t="s">
        <v>2393</v>
      </c>
      <c r="C4" s="18" t="s">
        <v>2394</v>
      </c>
    </row>
    <row r="5" customFormat="false" ht="15" hidden="false" customHeight="false" outlineLevel="0" collapsed="false">
      <c r="A5" s="18" t="s">
        <v>2395</v>
      </c>
      <c r="B5" s="18" t="s">
        <v>2396</v>
      </c>
      <c r="C5" s="18" t="s">
        <v>2397</v>
      </c>
    </row>
    <row r="6" customFormat="false" ht="23.85" hidden="false" customHeight="false" outlineLevel="0" collapsed="false">
      <c r="A6" s="18" t="s">
        <v>2398</v>
      </c>
      <c r="B6" s="18" t="s">
        <v>2399</v>
      </c>
      <c r="C6" s="18" t="s">
        <v>2400</v>
      </c>
    </row>
    <row r="7" customFormat="false" ht="15" hidden="false" customHeight="false" outlineLevel="0" collapsed="false">
      <c r="A7" s="18" t="s">
        <v>2401</v>
      </c>
      <c r="B7" s="18" t="s">
        <v>2402</v>
      </c>
      <c r="C7" s="18" t="s">
        <v>2403</v>
      </c>
    </row>
    <row r="8" customFormat="false" ht="23.85" hidden="false" customHeight="false" outlineLevel="0" collapsed="false">
      <c r="A8" s="18" t="s">
        <v>2404</v>
      </c>
      <c r="B8" s="18" t="s">
        <v>2405</v>
      </c>
      <c r="C8" s="18" t="s">
        <v>2406</v>
      </c>
    </row>
    <row r="9" customFormat="false" ht="15" hidden="false" customHeight="false" outlineLevel="0" collapsed="false">
      <c r="A9" s="18" t="s">
        <v>2407</v>
      </c>
      <c r="B9" s="18" t="s">
        <v>2408</v>
      </c>
      <c r="C9" s="18" t="s">
        <v>2409</v>
      </c>
    </row>
    <row r="10" customFormat="false" ht="23.85" hidden="false" customHeight="false" outlineLevel="0" collapsed="false">
      <c r="A10" s="18" t="s">
        <v>2410</v>
      </c>
      <c r="B10" s="18" t="s">
        <v>2411</v>
      </c>
      <c r="C10" s="18" t="s">
        <v>2412</v>
      </c>
    </row>
    <row r="11" customFormat="false" ht="23.85" hidden="false" customHeight="false" outlineLevel="0" collapsed="false">
      <c r="A11" s="18" t="s">
        <v>57</v>
      </c>
      <c r="B11" s="18" t="s">
        <v>2413</v>
      </c>
      <c r="C11" s="18" t="s">
        <v>2414</v>
      </c>
    </row>
    <row r="12" customFormat="false" ht="23.85" hidden="false" customHeight="false" outlineLevel="0" collapsed="false">
      <c r="A12" s="18" t="s">
        <v>2415</v>
      </c>
      <c r="B12" s="18" t="s">
        <v>2416</v>
      </c>
      <c r="C12" s="18" t="s">
        <v>2417</v>
      </c>
    </row>
    <row r="13" customFormat="false" ht="15" hidden="false" customHeight="false" outlineLevel="0" collapsed="false">
      <c r="A13" s="18" t="s">
        <v>2418</v>
      </c>
      <c r="B13" s="18" t="s">
        <v>2419</v>
      </c>
      <c r="C13" s="18" t="s">
        <v>2420</v>
      </c>
    </row>
    <row r="14" customFormat="false" ht="15" hidden="false" customHeight="false" outlineLevel="0" collapsed="false">
      <c r="A14" s="18" t="s">
        <v>2421</v>
      </c>
      <c r="B14" s="18" t="s">
        <v>2422</v>
      </c>
      <c r="C14" s="18" t="s">
        <v>2423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2026-10-12T23:11:48Z</dcterms:created>
  <dc:creator>openpyxl</dc:creator>
  <dc:description/>
  <dc:language>en-US</dc:language>
  <cp:lastModifiedBy/>
  <dcterms:modified xsi:type="dcterms:W3CDTF">2026-10-12T23:11:48Z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