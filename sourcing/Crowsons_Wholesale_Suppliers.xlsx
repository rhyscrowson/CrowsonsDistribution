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ppliers" sheetId="2" state="visible" r:id="rId2"/>
    <sheet xmlns:r="http://schemas.openxmlformats.org/officeDocument/2006/relationships" name="LinkedIn Outreach" sheetId="3" state="visible" r:id="rId3"/>
    <sheet xmlns:r="http://schemas.openxmlformats.org/officeDocument/2006/relationships" name="Country Index" sheetId="4" state="visible" r:id="rId4"/>
    <sheet xmlns:r="http://schemas.openxmlformats.org/officeDocument/2006/relationships" name="Best-Value Countries" sheetId="5" state="visible" r:id="rId5"/>
    <sheet xmlns:r="http://schemas.openxmlformats.org/officeDocument/2006/relationships" name="Niche Guide" sheetId="6" state="visible" r:id="rId6"/>
    <sheet xmlns:r="http://schemas.openxmlformats.org/officeDocument/2006/relationships" name="Profit Calculator" sheetId="7" state="visible" r:id="rId7"/>
    <sheet xmlns:r="http://schemas.openxmlformats.org/officeDocument/2006/relationships" name="Templat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Find More Suppliers" sheetId="10" state="visible" r:id="rId10"/>
    <sheet xmlns:r="http://schemas.openxmlformats.org/officeDocument/2006/relationships" name="Due Diligence" sheetId="11" state="visible" r:id="rId11"/>
  </sheets>
  <definedNames>
    <definedName name="_xlnm._FilterDatabase" localSheetId="1" hidden="1">'Suppliers'!$A$1:$AK$397</definedName>
    <definedName name="_xlnm._FilterDatabase" localSheetId="2" hidden="1">'LinkedIn Outreach'!$A$1:$N$397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000"/>
    <numFmt numFmtId="166" formatCode="£#,##0.00;[Red]-£#,##0.00;-"/>
    <numFmt numFmtId="167" formatCode="0.0%;[Red]-0.0%;-"/>
    <numFmt numFmtId="168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color rgb="00008000"/>
      <sz val="10"/>
    </font>
    <font>
      <name val="Arial"/>
      <i val="1"/>
      <sz val="9"/>
    </font>
    <font>
      <name val="Arial"/>
      <color rgb="000000FF"/>
      <sz val="10"/>
    </font>
    <font>
      <name val="Arial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F8F00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2" fillId="0" borderId="2" applyAlignment="1" pivotButton="0" quotePrefix="0" xfId="0">
      <alignment horizontal="center" vertical="top"/>
    </xf>
    <xf numFmtId="0" fontId="2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164" fontId="2" fillId="4" borderId="2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1" pivotButton="0" quotePrefix="0" xfId="0"/>
    <xf numFmtId="0" fontId="2" fillId="0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4" fillId="0" borderId="0" pivotButton="0" quotePrefix="0" xfId="0"/>
    <xf numFmtId="0" fontId="4" fillId="0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8" fillId="0" borderId="0" pivotButton="0" quotePrefix="0" xfId="0"/>
    <xf numFmtId="165" fontId="9" fillId="4" borderId="0" pivotButton="0" quotePrefix="0" xfId="0"/>
    <xf numFmtId="0" fontId="10" fillId="0" borderId="0" pivotButton="0" quotePrefix="0" xfId="0"/>
    <xf numFmtId="9" fontId="9" fillId="4" borderId="0" pivotButton="0" quotePrefix="0" xfId="0"/>
    <xf numFmtId="0" fontId="9" fillId="4" borderId="1" pivotButton="0" quotePrefix="0" xfId="0"/>
    <xf numFmtId="4" fontId="9" fillId="4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6" fontId="9" fillId="4" borderId="1" pivotButton="0" quotePrefix="0" xfId="0"/>
    <xf numFmtId="167" fontId="9" fillId="4" borderId="1" pivotButton="0" quotePrefix="0" xfId="0"/>
    <xf numFmtId="167" fontId="2" fillId="4" borderId="1" pivotButton="0" quotePrefix="0" xfId="0"/>
    <xf numFmtId="167" fontId="2" fillId="0" borderId="1" pivotButton="0" quotePrefix="0" xfId="0"/>
    <xf numFmtId="0" fontId="8" fillId="0" borderId="0" applyAlignment="1" pivotButton="0" quotePrefix="0" xfId="0">
      <alignment vertical="top" wrapText="1"/>
    </xf>
    <xf numFmtId="0" fontId="2" fillId="10" borderId="0" applyAlignment="1" pivotButton="0" quotePrefix="0" xfId="0">
      <alignment vertical="top" wrapText="1"/>
    </xf>
    <xf numFmtId="0" fontId="5" fillId="2" borderId="1" pivotButton="0" quotePrefix="0" xfId="0"/>
    <xf numFmtId="0" fontId="4" fillId="0" borderId="1" pivotButton="0" quotePrefix="0" xfId="0"/>
    <xf numFmtId="168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10">
    <dxf>
      <fill>
        <patternFill patternType="solid">
          <fgColor rgb="0063BE7B"/>
        </patternFill>
      </fill>
    </dxf>
    <dxf>
      <fill>
        <patternFill patternType="solid">
          <fgColor rgb="00B1D580"/>
        </patternFill>
      </fill>
    </dxf>
    <dxf>
      <fill>
        <patternFill patternType="solid">
          <fgColor rgb="00F8696B"/>
        </patternFill>
      </fill>
    </dxf>
    <dxf>
      <font>
        <name val="Arial"/>
        <b val="1"/>
        <color rgb="00FFFFFF"/>
      </font>
      <fill>
        <patternFill patternType="solid">
          <fgColor rgb="00F8696B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Crowsons</author>
  </authors>
  <commentList>
    <comment ref="B4" authorId="0" shapeId="0">
      <text>
        <t>Placeholder - update to today's rate (e.g. from xe.com) before using.</t>
      </text>
    </comment>
    <comment ref="B5" authorId="0" shapeId="0">
      <text>
        <t>Standard UK VAT rate. Some baby/children's items are zero-rated - adjust per row.</t>
      </text>
    </comment>
    <comment ref="B6" authorId="0" shapeId="0">
      <text>
        <t>Typical Amazon UK referral fee; varies by category (check Amazon's fee schedule).</t>
      </text>
    </comment>
    <comment ref="B7" authorId="0" shapeId="0">
      <text>
        <t>Your minimum ROI to buy. Change to suit your strategy.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warovskioptik.com" TargetMode="External" Id="rId1"/><Relationship Type="http://schemas.openxmlformats.org/officeDocument/2006/relationships/hyperlink" Target="https://swarovskioptik.com/ch/en/hunting/about-us/quality-and-innovation/facts-and-figures" TargetMode="External" Id="rId2"/><Relationship Type="http://schemas.openxmlformats.org/officeDocument/2006/relationships/hyperlink" Target="https://www.linkedin.com/search/results/companies/?keywords=SWAROVSKI+OPTIK+Vertriebs+GmbH" TargetMode="External" Id="rId3"/><Relationship Type="http://schemas.openxmlformats.org/officeDocument/2006/relationships/hyperlink" Target="https://www.kores.com" TargetMode="External" Id="rId4"/><Relationship Type="http://schemas.openxmlformats.org/officeDocument/2006/relationships/hyperlink" Target="https://www.advantageaustria.org/cn/company/en/kores-ce-gmbh" TargetMode="External" Id="rId5"/><Relationship Type="http://schemas.openxmlformats.org/officeDocument/2006/relationships/hyperlink" Target="https://www.linkedin.com/search/results/companies/?keywords=KORES+GmbH" TargetMode="External" Id="rId6"/><Relationship Type="http://schemas.openxmlformats.org/officeDocument/2006/relationships/hyperlink" Target="https://www.stadlbauer.at" TargetMode="External" Id="rId7"/><Relationship Type="http://schemas.openxmlformats.org/officeDocument/2006/relationships/hyperlink" Target="https://quantum.capital/en/news/qcp-erwirbt-die-stadlbauer-marketing-vertrieb-gmbh" TargetMode="External" Id="rId8"/><Relationship Type="http://schemas.openxmlformats.org/officeDocument/2006/relationships/hyperlink" Target="https://www.linkedin.com/search/results/companies/?keywords=Stadlbauer+Marketing+%2B+Vertrieb+GmbH" TargetMode="External" Id="rId9"/><Relationship Type="http://schemas.openxmlformats.org/officeDocument/2006/relationships/hyperlink" Target="https://www.piatnik.com" TargetMode="External" Id="rId10"/><Relationship Type="http://schemas.openxmlformats.org/officeDocument/2006/relationships/hyperlink" Target="https://www.advantageaustria.org/se/news/200-jahre-piatnik.en.html" TargetMode="External" Id="rId11"/><Relationship Type="http://schemas.openxmlformats.org/officeDocument/2006/relationships/hyperlink" Target="https://www.linkedin.com/search/results/companies/?keywords=Wiener+Spielkartenfabrik+Ferd.+Piatnik+%26+S%C3%B6hne" TargetMode="External" Id="rId12"/><Relationship Type="http://schemas.openxmlformats.org/officeDocument/2006/relationships/hyperlink" Target="https://www.baekhobeauty.com" TargetMode="External" Id="rId13"/><Relationship Type="http://schemas.openxmlformats.org/officeDocument/2006/relationships/hyperlink" Target="https://oncosmetics.com/company/baekho-trading/" TargetMode="External" Id="rId14"/><Relationship Type="http://schemas.openxmlformats.org/officeDocument/2006/relationships/hyperlink" Target="https://www.linkedin.com/search/results/companies/?keywords=Baekho+Beauty" TargetMode="External" Id="rId15"/><Relationship Type="http://schemas.openxmlformats.org/officeDocument/2006/relationships/hyperlink" Target="https://www.eurocosmetic.be" TargetMode="External" Id="rId16"/><Relationship Type="http://schemas.openxmlformats.org/officeDocument/2006/relationships/hyperlink" Target="https://oncosmetics.com/company/eurocosmetic-international/" TargetMode="External" Id="rId17"/><Relationship Type="http://schemas.openxmlformats.org/officeDocument/2006/relationships/hyperlink" Target="https://www.linkedin.com/search/results/companies/?keywords=Euro+Cosmetic" TargetMode="External" Id="rId18"/><Relationship Type="http://schemas.openxmlformats.org/officeDocument/2006/relationships/hyperlink" Target="https://varo.com/contact" TargetMode="External" Id="rId19"/><Relationship Type="http://schemas.openxmlformats.org/officeDocument/2006/relationships/hyperlink" Target="https://varo.com/contact" TargetMode="External" Id="rId20"/><Relationship Type="http://schemas.openxmlformats.org/officeDocument/2006/relationships/hyperlink" Target="https://www.linkedin.com/search/results/companies/?keywords=Varo" TargetMode="External" Id="rId21"/><Relationship Type="http://schemas.openxmlformats.org/officeDocument/2006/relationships/hyperlink" Target="https://www.beautylux.be" TargetMode="External" Id="rId22"/><Relationship Type="http://schemas.openxmlformats.org/officeDocument/2006/relationships/hyperlink" Target="https://oncosmetics.com/company/desa-beautylux/" TargetMode="External" Id="rId23"/><Relationship Type="http://schemas.openxmlformats.org/officeDocument/2006/relationships/hyperlink" Target="https://www.linkedin.com/search/results/companies/?keywords=Beautylux" TargetMode="External" Id="rId24"/><Relationship Type="http://schemas.openxmlformats.org/officeDocument/2006/relationships/hyperlink" Target="https://galico.be" TargetMode="External" Id="rId25"/><Relationship Type="http://schemas.openxmlformats.org/officeDocument/2006/relationships/hyperlink" Target="https://portal.galico.be/en/contact" TargetMode="External" Id="rId26"/><Relationship Type="http://schemas.openxmlformats.org/officeDocument/2006/relationships/hyperlink" Target="https://www.linkedin.com/search/results/companies/?keywords=Galico+NV" TargetMode="External" Id="rId27"/><Relationship Type="http://schemas.openxmlformats.org/officeDocument/2006/relationships/hyperlink" Target="https://www.flamingo.be/en/for-companies" TargetMode="External" Id="rId28"/><Relationship Type="http://schemas.openxmlformats.org/officeDocument/2006/relationships/hyperlink" Target="https://www.interzoo.com/en/exhibitors/flamingo-pet-products-2498822" TargetMode="External" Id="rId29"/><Relationship Type="http://schemas.openxmlformats.org/officeDocument/2006/relationships/hyperlink" Target="https://www.linkedin.com/search/results/companies/?keywords=Flamingo+Pet+Products+NV" TargetMode="External" Id="rId30"/><Relationship Type="http://schemas.openxmlformats.org/officeDocument/2006/relationships/hyperlink" Target="https://www.savic.be" TargetMode="External" Id="rId31"/><Relationship Type="http://schemas.openxmlformats.org/officeDocument/2006/relationships/hyperlink" Target="https://www.interzoo.com/en/exhibitors/savic-nv-2499896" TargetMode="External" Id="rId32"/><Relationship Type="http://schemas.openxmlformats.org/officeDocument/2006/relationships/hyperlink" Target="https://www.linkedin.com/search/results/companies/?keywords=Savic+NV" TargetMode="External" Id="rId33"/><Relationship Type="http://schemas.openxmlformats.org/officeDocument/2006/relationships/hyperlink" Target="https://www.petfoodindustry.com/top-pet-food-companies/company/laroy-group" TargetMode="External" Id="rId34"/><Relationship Type="http://schemas.openxmlformats.org/officeDocument/2006/relationships/hyperlink" Target="https://www.linkedin.com/search/results/companies/?keywords=Laroy+Group" TargetMode="External" Id="rId35"/><Relationship Type="http://schemas.openxmlformats.org/officeDocument/2006/relationships/hyperlink" Target="https://www.modernaproducts.com" TargetMode="External" Id="rId36"/><Relationship Type="http://schemas.openxmlformats.org/officeDocument/2006/relationships/hyperlink" Target="https://www.interzoo.com/en/exhibitors/moderna-products-nv-2227285" TargetMode="External" Id="rId37"/><Relationship Type="http://schemas.openxmlformats.org/officeDocument/2006/relationships/hyperlink" Target="https://www.linkedin.com/search/results/companies/?keywords=Moderna+Products+NV" TargetMode="External" Id="rId38"/><Relationship Type="http://schemas.openxmlformats.org/officeDocument/2006/relationships/hyperlink" Target="https://www.vadigran.com" TargetMode="External" Id="rId39"/><Relationship Type="http://schemas.openxmlformats.org/officeDocument/2006/relationships/hyperlink" Target="https://globalpetindustry.com/news/vadigran-belgium/" TargetMode="External" Id="rId40"/><Relationship Type="http://schemas.openxmlformats.org/officeDocument/2006/relationships/hyperlink" Target="https://www.linkedin.com/search/results/companies/?keywords=Vadigran+NV" TargetMode="External" Id="rId41"/><Relationship Type="http://schemas.openxmlformats.org/officeDocument/2006/relationships/hyperlink" Target="https://bulmedica.bg/en/main/iventas-2/" TargetMode="External" Id="rId42"/><Relationship Type="http://schemas.openxmlformats.org/officeDocument/2006/relationships/hyperlink" Target="https://bulmedica.bg/en/main/iventas-2/" TargetMode="External" Id="rId43"/><Relationship Type="http://schemas.openxmlformats.org/officeDocument/2006/relationships/hyperlink" Target="https://www.linkedin.com/search/results/companies/?keywords=Iventas" TargetMode="External" Id="rId44"/><Relationship Type="http://schemas.openxmlformats.org/officeDocument/2006/relationships/hyperlink" Target="https://papagal.bg/eik/115009344/5765" TargetMode="External" Id="rId45"/><Relationship Type="http://schemas.openxmlformats.org/officeDocument/2006/relationships/hyperlink" Target="https://www.linkedin.com/search/results/companies/?keywords=Bulgarian+Rose+AD" TargetMode="External" Id="rId46"/><Relationship Type="http://schemas.openxmlformats.org/officeDocument/2006/relationships/hyperlink" Target="http://www.lemabg.com" TargetMode="External" Id="rId47"/><Relationship Type="http://schemas.openxmlformats.org/officeDocument/2006/relationships/hyperlink" Target="https://tourism.government.bg/bg/tourist-destinations/2800/5747" TargetMode="External" Id="rId48"/><Relationship Type="http://schemas.openxmlformats.org/officeDocument/2006/relationships/hyperlink" Target="https://www.linkedin.com/search/results/companies/?keywords=Lema+Kazanlak" TargetMode="External" Id="rId49"/><Relationship Type="http://schemas.openxmlformats.org/officeDocument/2006/relationships/hyperlink" Target="https://ambiente.messefrankfurt.com/frankfurt/en/exhibitor-search.detail.html/parmash-ad/mf_1_0015025912_4096489_10000001202501.html" TargetMode="External" Id="rId50"/><Relationship Type="http://schemas.openxmlformats.org/officeDocument/2006/relationships/hyperlink" Target="https://www.linkedin.com/search/results/companies/?keywords=Parmash+AD" TargetMode="External" Id="rId51"/><Relationship Type="http://schemas.openxmlformats.org/officeDocument/2006/relationships/hyperlink" Target="https://www.saponia.hr" TargetMode="External" Id="rId52"/><Relationship Type="http://schemas.openxmlformats.org/officeDocument/2006/relationships/hyperlink" Target="https://eho.zse.hr/fileadmin/issuers/SAPN/FI-SAPN-74ae4e8c47c2811259fdc1cdcb85853c.pdf" TargetMode="External" Id="rId53"/><Relationship Type="http://schemas.openxmlformats.org/officeDocument/2006/relationships/hyperlink" Target="https://www.linkedin.com/search/results/companies/?keywords=Saponia+d.d." TargetMode="External" Id="rId54"/><Relationship Type="http://schemas.openxmlformats.org/officeDocument/2006/relationships/hyperlink" Target="https://www.dermacol.cz" TargetMode="External" Id="rId55"/><Relationship Type="http://schemas.openxmlformats.org/officeDocument/2006/relationships/hyperlink" Target="https://www.businessinfo.cz/clanky/dermacol-prorazil-z-barrandova-do-hollywoodu-dnes-vyvazi-do-celeho-sveta/" TargetMode="External" Id="rId56"/><Relationship Type="http://schemas.openxmlformats.org/officeDocument/2006/relationships/hyperlink" Target="https://www.linkedin.com/search/results/companies/?keywords=Dermacol+a.s." TargetMode="External" Id="rId57"/><Relationship Type="http://schemas.openxmlformats.org/officeDocument/2006/relationships/hyperlink" Target="https://exporters.czechtrade.gov.cz/manufaktura" TargetMode="External" Id="rId58"/><Relationship Type="http://schemas.openxmlformats.org/officeDocument/2006/relationships/hyperlink" Target="https://www.linkedin.com/search/results/companies/?keywords=MANUFAKTURA" TargetMode="External" Id="rId59"/><Relationship Type="http://schemas.openxmlformats.org/officeDocument/2006/relationships/hyperlink" Target="https://www.narex.cz" TargetMode="External" Id="rId60"/><Relationship Type="http://schemas.openxmlformats.org/officeDocument/2006/relationships/hyperlink" Target="https://www.narex.cz/en-gb/contacts" TargetMode="External" Id="rId61"/><Relationship Type="http://schemas.openxmlformats.org/officeDocument/2006/relationships/hyperlink" Target="https://www.linkedin.com/search/results/companies/?keywords=NAREX+s.r.o." TargetMode="External" Id="rId62"/><Relationship Type="http://schemas.openxmlformats.org/officeDocument/2006/relationships/hyperlink" Target="https://www.bjutip.com" TargetMode="External" Id="rId63"/><Relationship Type="http://schemas.openxmlformats.org/officeDocument/2006/relationships/hyperlink" Target="https://bjutip.com/contact_us" TargetMode="External" Id="rId64"/><Relationship Type="http://schemas.openxmlformats.org/officeDocument/2006/relationships/hyperlink" Target="https://www.linkedin.com/search/results/companies/?keywords=BJUTIP+a.s." TargetMode="External" Id="rId65"/><Relationship Type="http://schemas.openxmlformats.org/officeDocument/2006/relationships/hyperlink" Target="https://www.nutrend-supplements.com" TargetMode="External" Id="rId66"/><Relationship Type="http://schemas.openxmlformats.org/officeDocument/2006/relationships/hyperlink" Target="https://www.gulfood.com/exhibitors/nutrend-ds-as" TargetMode="External" Id="rId67"/><Relationship Type="http://schemas.openxmlformats.org/officeDocument/2006/relationships/hyperlink" Target="https://www.linkedin.com/search/results/companies/?keywords=NUTREND+D.S.%2C+a.s." TargetMode="External" Id="rId68"/><Relationship Type="http://schemas.openxmlformats.org/officeDocument/2006/relationships/hyperlink" Target="https://exporters.czechtrade.gov.cz/spokar-a-s" TargetMode="External" Id="rId69"/><Relationship Type="http://schemas.openxmlformats.org/officeDocument/2006/relationships/hyperlink" Target="https://www.linkedin.com/search/results/companies/?keywords=SPOKAR+a.s." TargetMode="External" Id="rId70"/><Relationship Type="http://schemas.openxmlformats.org/officeDocument/2006/relationships/hyperlink" Target="https://exporters.czechtrade.gov.cz/alpa-a-s" TargetMode="External" Id="rId71"/><Relationship Type="http://schemas.openxmlformats.org/officeDocument/2006/relationships/hyperlink" Target="https://www.linkedin.com/search/results/companies/?keywords=ALPA%2C+a.s." TargetMode="External" Id="rId72"/><Relationship Type="http://schemas.openxmlformats.org/officeDocument/2006/relationships/hyperlink" Target="https://www.tescoma.cz" TargetMode="External" Id="rId73"/><Relationship Type="http://schemas.openxmlformats.org/officeDocument/2006/relationships/hyperlink" Target="https://ambiente.messefrankfurt.com/frankfurt/en/exhibitor-search.detail.html/tescoma-spa.html" TargetMode="External" Id="rId74"/><Relationship Type="http://schemas.openxmlformats.org/officeDocument/2006/relationships/hyperlink" Target="https://www.linkedin.com/search/results/companies/?keywords=Tescoma+s.r.o." TargetMode="External" Id="rId75"/><Relationship Type="http://schemas.openxmlformats.org/officeDocument/2006/relationships/hyperlink" Target="https://exporters.czechtrade.gov.cz/blex-a-s" TargetMode="External" Id="rId76"/><Relationship Type="http://schemas.openxmlformats.org/officeDocument/2006/relationships/hyperlink" Target="https://www.linkedin.com/search/results/companies/?keywords=BLEX%2C+a.s." TargetMode="External" Id="rId77"/><Relationship Type="http://schemas.openxmlformats.org/officeDocument/2006/relationships/hyperlink" Target="https://exporters.czechtrade.gov.cz/drevotvar-druzstvo" TargetMode="External" Id="rId78"/><Relationship Type="http://schemas.openxmlformats.org/officeDocument/2006/relationships/hyperlink" Target="https://www.linkedin.com/search/results/companies/?keywords=D%C5%99evotvar+dru%C5%BEstvo" TargetMode="External" Id="rId79"/><Relationship Type="http://schemas.openxmlformats.org/officeDocument/2006/relationships/hyperlink" Target="https://exporters.czechtrade.gov.cz/remoska" TargetMode="External" Id="rId80"/><Relationship Type="http://schemas.openxmlformats.org/officeDocument/2006/relationships/hyperlink" Target="https://www.linkedin.com/search/results/companies/?keywords=Remoska+s.r.o." TargetMode="External" Id="rId81"/><Relationship Type="http://schemas.openxmlformats.org/officeDocument/2006/relationships/hyperlink" Target="https://exporters.czechtrade.gov.cz/funky-dog" TargetMode="External" Id="rId82"/><Relationship Type="http://schemas.openxmlformats.org/officeDocument/2006/relationships/hyperlink" Target="https://www.linkedin.com/search/results/companies/?keywords=Funky+Dog" TargetMode="External" Id="rId83"/><Relationship Type="http://schemas.openxmlformats.org/officeDocument/2006/relationships/hyperlink" Target="https://forbes.cz/prvni-granule-rozvazel-ve-skode-120-dnes-jimi-juko-zasobuje-celou-zemi/" TargetMode="External" Id="rId84"/><Relationship Type="http://schemas.openxmlformats.org/officeDocument/2006/relationships/hyperlink" Target="https://www.linkedin.com/search/results/companies/?keywords=JUKO+petfood+s.r.o." TargetMode="External" Id="rId85"/><Relationship Type="http://schemas.openxmlformats.org/officeDocument/2006/relationships/hyperlink" Target="http://www.tommicz.eu" TargetMode="External" Id="rId86"/><Relationship Type="http://schemas.openxmlformats.org/officeDocument/2006/relationships/hyperlink" Target="https://exporters.czechtrade.cz/en/tommi-cz-s-r-o" TargetMode="External" Id="rId87"/><Relationship Type="http://schemas.openxmlformats.org/officeDocument/2006/relationships/hyperlink" Target="https://www.linkedin.com/search/results/companies/?keywords=Tommi+CZ+s.r.o." TargetMode="External" Id="rId88"/><Relationship Type="http://schemas.openxmlformats.org/officeDocument/2006/relationships/hyperlink" Target="https://samohyl.cz/?lang=en" TargetMode="External" Id="rId89"/><Relationship Type="http://schemas.openxmlformats.org/officeDocument/2006/relationships/hyperlink" Target="https://samohyl.cz/?lang=en" TargetMode="External" Id="rId90"/><Relationship Type="http://schemas.openxmlformats.org/officeDocument/2006/relationships/hyperlink" Target="https://www.linkedin.com/search/results/companies/?keywords=Samoh%C3%BDl+Group" TargetMode="External" Id="rId91"/><Relationship Type="http://schemas.openxmlformats.org/officeDocument/2006/relationships/hyperlink" Target="https://www.gala.cz" TargetMode="External" Id="rId92"/><Relationship Type="http://schemas.openxmlformats.org/officeDocument/2006/relationships/hyperlink" Target="https://about.fiba.basketball/es/services/equipment-and-venue/partners/92831-gala-as" TargetMode="External" Id="rId93"/><Relationship Type="http://schemas.openxmlformats.org/officeDocument/2006/relationships/hyperlink" Target="https://www.linkedin.com/search/results/companies/?keywords=GALA+a.s." TargetMode="External" Id="rId94"/><Relationship Type="http://schemas.openxmlformats.org/officeDocument/2006/relationships/hyperlink" Target="https://www.koh-i-noor.cz" TargetMode="External" Id="rId95"/><Relationship Type="http://schemas.openxmlformats.org/officeDocument/2006/relationships/hyperlink" Target="https://en.wikipedia.org/wiki/Koh-i-Noor_Hardtmuth" TargetMode="External" Id="rId96"/><Relationship Type="http://schemas.openxmlformats.org/officeDocument/2006/relationships/hyperlink" Target="https://www.linkedin.com/search/results/companies/?keywords=KOH-I-NOOR+HARDTMUTH+a.s." TargetMode="External" Id="rId97"/><Relationship Type="http://schemas.openxmlformats.org/officeDocument/2006/relationships/hyperlink" Target="https://www.dinotoys.cz" TargetMode="External" Id="rId98"/><Relationship Type="http://schemas.openxmlformats.org/officeDocument/2006/relationships/hyperlink" Target="https://exporters.czechtrade.gov.cz/dino-toys" TargetMode="External" Id="rId99"/><Relationship Type="http://schemas.openxmlformats.org/officeDocument/2006/relationships/hyperlink" Target="https://www.linkedin.com/search/results/companies/?keywords=Dino+Toys+s.r.o." TargetMode="External" Id="rId100"/><Relationship Type="http://schemas.openxmlformats.org/officeDocument/2006/relationships/hyperlink" Target="https://www.albi.cz" TargetMode="External" Id="rId101"/><Relationship Type="http://schemas.openxmlformats.org/officeDocument/2006/relationships/hyperlink" Target="https://www.businessinfo.cz/clanky/treti-rocnik-oceneni-ceskych-lidru-zna-viteze-pro-rok-2019/2/" TargetMode="External" Id="rId102"/><Relationship Type="http://schemas.openxmlformats.org/officeDocument/2006/relationships/hyperlink" Target="https://www.linkedin.com/search/results/companies/?keywords=Albi+%C4%8Cesk%C3%A1+republika+a.s." TargetMode="External" Id="rId103"/><Relationship Type="http://schemas.openxmlformats.org/officeDocument/2006/relationships/hyperlink" Target="https://exporters.czechtrade.gov.cz/bino-europe" TargetMode="External" Id="rId104"/><Relationship Type="http://schemas.openxmlformats.org/officeDocument/2006/relationships/hyperlink" Target="https://www.linkedin.com/search/results/companies/?keywords=Bino+Europe+k.s." TargetMode="External" Id="rId105"/><Relationship Type="http://schemas.openxmlformats.org/officeDocument/2006/relationships/hyperlink" Target="https://www.emis.cn/php/company-profile/CZ/Teddies_SRO_en_6714203.html" TargetMode="External" Id="rId106"/><Relationship Type="http://schemas.openxmlformats.org/officeDocument/2006/relationships/hyperlink" Target="https://www.linkedin.com/search/results/companies/?keywords=Teddies+s.r.o." TargetMode="External" Id="rId107"/><Relationship Type="http://schemas.openxmlformats.org/officeDocument/2006/relationships/hyperlink" Target="https://www.babydan.com" TargetMode="External" Id="rId108"/><Relationship Type="http://schemas.openxmlformats.org/officeDocument/2006/relationships/hyperlink" Target="https://www.boozt.com/eu/en/babydan/babydan-premier-white-1-extension_32677072" TargetMode="External" Id="rId109"/><Relationship Type="http://schemas.openxmlformats.org/officeDocument/2006/relationships/hyperlink" Target="https://www.linkedin.com/search/results/companies/?keywords=BabyDan+A%2FS" TargetMode="External" Id="rId110"/><Relationship Type="http://schemas.openxmlformats.org/officeDocument/2006/relationships/hyperlink" Target="https://www.liewood.com" TargetMode="External" Id="rId111"/><Relationship Type="http://schemas.openxmlformats.org/officeDocument/2006/relationships/hyperlink" Target="https://www.bambinou.com/boite-pour-lingettes-emi-sandy-liewood" TargetMode="External" Id="rId112"/><Relationship Type="http://schemas.openxmlformats.org/officeDocument/2006/relationships/hyperlink" Target="https://www.linkedin.com/search/results/companies/?keywords=Liewood+A%2FS" TargetMode="External" Id="rId113"/><Relationship Type="http://schemas.openxmlformats.org/officeDocument/2006/relationships/hyperlink" Target="https://www.ecooking.com" TargetMode="External" Id="rId114"/><Relationship Type="http://schemas.openxmlformats.org/officeDocument/2006/relationships/hyperlink" Target="https://www.bluegemcp.com/news/bluegem-iii-acquires-eccoking-amp" TargetMode="External" Id="rId115"/><Relationship Type="http://schemas.openxmlformats.org/officeDocument/2006/relationships/hyperlink" Target="https://www.linkedin.com/search/results/companies/?keywords=ECOOKING+A%2FS" TargetMode="External" Id="rId116"/><Relationship Type="http://schemas.openxmlformats.org/officeDocument/2006/relationships/hyperlink" Target="https://kruuse.com/frontpage/welcome-at-kruuse/about-kruuse" TargetMode="External" Id="rId117"/><Relationship Type="http://schemas.openxmlformats.org/officeDocument/2006/relationships/hyperlink" Target="https://www.fiercepharma.com/animal-health/henry-schein-expands-global-reach-taking-majority-stake-denmark-s-kruuse" TargetMode="External" Id="rId118"/><Relationship Type="http://schemas.openxmlformats.org/officeDocument/2006/relationships/hyperlink" Target="https://www.linkedin.com/search/results/companies/?keywords=J%C3%B8rgen+Kruuse+A%2FS" TargetMode="External" Id="rId119"/><Relationship Type="http://schemas.openxmlformats.org/officeDocument/2006/relationships/hyperlink" Target="https://www.oase-outdoors.dk" TargetMode="External" Id="rId120"/><Relationship Type="http://schemas.openxmlformats.org/officeDocument/2006/relationships/hyperlink" Target="https://ratos.com/en/our-portfolio-companies/oase-outdoors" TargetMode="External" Id="rId121"/><Relationship Type="http://schemas.openxmlformats.org/officeDocument/2006/relationships/hyperlink" Target="https://www.linkedin.com/search/results/companies/?keywords=Oase+Outdoors+ApS" TargetMode="External" Id="rId122"/><Relationship Type="http://schemas.openxmlformats.org/officeDocument/2006/relationships/hyperlink" Target="https://www.select-sport.com" TargetMode="External" Id="rId123"/><Relationship Type="http://schemas.openxmlformats.org/officeDocument/2006/relationships/hyperlink" Target="https://en.wikipedia.org/wiki/Select_Sport" TargetMode="External" Id="rId124"/><Relationship Type="http://schemas.openxmlformats.org/officeDocument/2006/relationships/hyperlink" Target="https://www.linkedin.com/search/results/companies/?keywords=Select+Sport+A%2FS" TargetMode="External" Id="rId125"/><Relationship Type="http://schemas.openxmlformats.org/officeDocument/2006/relationships/hyperlink" Target="https://nordic9.com/companies/creativ-company-company9497481794/" TargetMode="External" Id="rId126"/><Relationship Type="http://schemas.openxmlformats.org/officeDocument/2006/relationships/hyperlink" Target="https://www.linkedin.com/search/results/companies/?keywords=Creativ+Company+A%2FS" TargetMode="External" Id="rId127"/><Relationship Type="http://schemas.openxmlformats.org/officeDocument/2006/relationships/hyperlink" Target="https://www.plusplus.com" TargetMode="External" Id="rId128"/><Relationship Type="http://schemas.openxmlformats.org/officeDocument/2006/relationships/hyperlink" Target="https://toyfair.co.uk/?p=44092" TargetMode="External" Id="rId129"/><Relationship Type="http://schemas.openxmlformats.org/officeDocument/2006/relationships/hyperlink" Target="https://www.linkedin.com/search/results/companies/?keywords=Plus-Plus+A%2FS" TargetMode="External" Id="rId130"/><Relationship Type="http://schemas.openxmlformats.org/officeDocument/2006/relationships/hyperlink" Target="https://www.lumene.com" TargetMode="External" Id="rId131"/><Relationship Type="http://schemas.openxmlformats.org/officeDocument/2006/relationships/hyperlink" Target="https://en.wikipedia.org/wiki/Lumene" TargetMode="External" Id="rId132"/><Relationship Type="http://schemas.openxmlformats.org/officeDocument/2006/relationships/hyperlink" Target="https://www.linkedin.com/search/results/companies/?keywords=Lumene+Oy" TargetMode="External" Id="rId133"/><Relationship Type="http://schemas.openxmlformats.org/officeDocument/2006/relationships/hyperlink" Target="https://www.fiskarsgroup.com" TargetMode="External" Id="rId134"/><Relationship Type="http://schemas.openxmlformats.org/officeDocument/2006/relationships/hyperlink" Target="https://en.wikipedia.org/wiki/Fiskars" TargetMode="External" Id="rId135"/><Relationship Type="http://schemas.openxmlformats.org/officeDocument/2006/relationships/hyperlink" Target="https://www.linkedin.com/search/results/companies/?keywords=Fiskars+Group" TargetMode="External" Id="rId136"/><Relationship Type="http://schemas.openxmlformats.org/officeDocument/2006/relationships/hyperlink" Target="https://www.orthexgroup.com" TargetMode="External" Id="rId137"/><Relationship Type="http://schemas.openxmlformats.org/officeDocument/2006/relationships/hyperlink" Target="https://investors.orthexgroup.com/orthex-as-an-investment/orthex-business/" TargetMode="External" Id="rId138"/><Relationship Type="http://schemas.openxmlformats.org/officeDocument/2006/relationships/hyperlink" Target="https://www.linkedin.com/search/results/companies/?keywords=Orthex+Finland+Ab+Oy" TargetMode="External" Id="rId139"/><Relationship Type="http://schemas.openxmlformats.org/officeDocument/2006/relationships/hyperlink" Target="https://www.tactic.net" TargetMode="External" Id="rId140"/><Relationship Type="http://schemas.openxmlformats.org/officeDocument/2006/relationships/hyperlink" Target="https://www.targikielce.pl/storage/file/core_files/2026/2/10/38c081dc055223b8918c75bcda5c0316/TacticGames-presentation-2025.pdf" TargetMode="External" Id="rId141"/><Relationship Type="http://schemas.openxmlformats.org/officeDocument/2006/relationships/hyperlink" Target="https://www.linkedin.com/search/results/companies/?keywords=Tactic+Games+Oy" TargetMode="External" Id="rId142"/><Relationship Type="http://schemas.openxmlformats.org/officeDocument/2006/relationships/hyperlink" Target="https://www.ankorstore.com" TargetMode="External" Id="rId143"/><Relationship Type="http://schemas.openxmlformats.org/officeDocument/2006/relationships/hyperlink" Target="https://alven.co/news/ankorstore-reaches-unicorn-status-in-only-two-years-with-its-last-e250-million-series-c-funding-round" TargetMode="External" Id="rId144"/><Relationship Type="http://schemas.openxmlformats.org/officeDocument/2006/relationships/hyperlink" Target="https://www.linkedin.com/search/results/companies/?keywords=Ankorstore" TargetMode="External" Id="rId145"/><Relationship Type="http://schemas.openxmlformats.org/officeDocument/2006/relationships/hyperlink" Target="https://www.stocklear.com" TargetMode="External" Id="rId146"/><Relationship Type="http://schemas.openxmlformats.org/officeDocument/2006/relationships/hyperlink" Target="https://app.dealroom.co/companies/stocklear_1" TargetMode="External" Id="rId147"/><Relationship Type="http://schemas.openxmlformats.org/officeDocument/2006/relationships/hyperlink" Target="https://www.linkedin.com/search/results/companies/?keywords=Stocklear" TargetMode="External" Id="rId148"/><Relationship Type="http://schemas.openxmlformats.org/officeDocument/2006/relationships/hyperlink" Target="https://www.babymoov.com" TargetMode="External" Id="rId149"/><Relationship Type="http://schemas.openxmlformats.org/officeDocument/2006/relationships/hyperlink" Target="https://businesscoot.com/en/company/babymoov" TargetMode="External" Id="rId150"/><Relationship Type="http://schemas.openxmlformats.org/officeDocument/2006/relationships/hyperlink" Target="https://www.linkedin.com/search/results/companies/?keywords=Babymoov+Group" TargetMode="External" Id="rId151"/><Relationship Type="http://schemas.openxmlformats.org/officeDocument/2006/relationships/hyperlink" Target="https://www.beaba.com" TargetMode="External" Id="rId152"/><Relationship Type="http://schemas.openxmlformats.org/officeDocument/2006/relationships/hyperlink" Target="https://pitchbook.com/profiles/company/55401-85" TargetMode="External" Id="rId153"/><Relationship Type="http://schemas.openxmlformats.org/officeDocument/2006/relationships/hyperlink" Target="https://www.linkedin.com/search/results/companies/?keywords=B%C3%A9aba+Group" TargetMode="External" Id="rId154"/><Relationship Type="http://schemas.openxmlformats.org/officeDocument/2006/relationships/hyperlink" Target="https://www.expanscience.com/en/expanscience/company" TargetMode="External" Id="rId155"/><Relationship Type="http://schemas.openxmlformats.org/officeDocument/2006/relationships/hyperlink" Target="https://www.cosmebio.org/en/professional-information/cosmebio-members-directory/laboratoires-expanscience-1786/" TargetMode="External" Id="rId156"/><Relationship Type="http://schemas.openxmlformats.org/officeDocument/2006/relationships/hyperlink" Target="https://www.linkedin.com/search/results/companies/?keywords=Laboratoires+Expanscience" TargetMode="External" Id="rId157"/><Relationship Type="http://schemas.openxmlformats.org/officeDocument/2006/relationships/hyperlink" Target="https://www.cspcosmetics.com" TargetMode="External" Id="rId158"/><Relationship Type="http://schemas.openxmlformats.org/officeDocument/2006/relationships/hyperlink" Target="https://oncosmetics.com/company/csp-cosmetics/" TargetMode="External" Id="rId159"/><Relationship Type="http://schemas.openxmlformats.org/officeDocument/2006/relationships/hyperlink" Target="https://www.linkedin.com/search/results/companies/?keywords=CSP+Cosmetics" TargetMode="External" Id="rId160"/><Relationship Type="http://schemas.openxmlformats.org/officeDocument/2006/relationships/hyperlink" Target="https://www.arkopharma.com" TargetMode="External" Id="rId161"/><Relationship Type="http://schemas.openxmlformats.org/officeDocument/2006/relationships/hyperlink" Target="https://pappers.fr/entreprise/307378489" TargetMode="External" Id="rId162"/><Relationship Type="http://schemas.openxmlformats.org/officeDocument/2006/relationships/hyperlink" Target="https://www.linkedin.com/search/results/companies/?keywords=Laboratoires+Arkopharma" TargetMode="External" Id="rId163"/><Relationship Type="http://schemas.openxmlformats.org/officeDocument/2006/relationships/hyperlink" Target="https://en.zolux.com" TargetMode="External" Id="rId164"/><Relationship Type="http://schemas.openxmlformats.org/officeDocument/2006/relationships/hyperlink" Target="https://globalpetindustry.com/company/zolux-sas/" TargetMode="External" Id="rId165"/><Relationship Type="http://schemas.openxmlformats.org/officeDocument/2006/relationships/hyperlink" Target="https://www.linkedin.com/search/results/companies/?keywords=Zolux+SAS" TargetMode="External" Id="rId166"/><Relationship Type="http://schemas.openxmlformats.org/officeDocument/2006/relationships/hyperlink" Target="https://www.zefal.com" TargetMode="External" Id="rId167"/><Relationship Type="http://schemas.openxmlformats.org/officeDocument/2006/relationships/hyperlink" Target="https://bikebiz.com/chicken-cyclekit-now-exclusive-distributor-of-zefal-in-uk/" TargetMode="External" Id="rId168"/><Relationship Type="http://schemas.openxmlformats.org/officeDocument/2006/relationships/hyperlink" Target="https://www.linkedin.com/search/results/companies/?keywords=Z%C3%A9fal+SAS" TargetMode="External" Id="rId169"/><Relationship Type="http://schemas.openxmlformats.org/officeDocument/2006/relationships/hyperlink" Target="https://www.hamelinbrands.com" TargetMode="External" Id="rId170"/><Relationship Type="http://schemas.openxmlformats.org/officeDocument/2006/relationships/hyperlink" Target="https://www.lejournaldesentreprises.com/article/depuis-caen-hamelin-le-conquerant-ecrit-son-epopee-letranger-2136459" TargetMode="External" Id="rId171"/><Relationship Type="http://schemas.openxmlformats.org/officeDocument/2006/relationships/hyperlink" Target="https://www.linkedin.com/search/results/companies/?keywords=Groupe+Hamelin" TargetMode="External" Id="rId172"/><Relationship Type="http://schemas.openxmlformats.org/officeDocument/2006/relationships/hyperlink" Target="https://www.maped.com" TargetMode="External" Id="rId173"/><Relationship Type="http://schemas.openxmlformats.org/officeDocument/2006/relationships/hyperlink" Target="https://www.lejournaldesentreprises.com/entreprise/maped" TargetMode="External" Id="rId174"/><Relationship Type="http://schemas.openxmlformats.org/officeDocument/2006/relationships/hyperlink" Target="https://www.linkedin.com/search/results/companies/?keywords=Maped+SAS" TargetMode="External" Id="rId175"/><Relationship Type="http://schemas.openxmlformats.org/officeDocument/2006/relationships/hyperlink" Target="https://exaclair.com/about_exaclair.php" TargetMode="External" Id="rId176"/><Relationship Type="http://schemas.openxmlformats.org/officeDocument/2006/relationships/hyperlink" Target="https://en.wikipedia.org/wiki/Clairefontaine_paper_mills" TargetMode="External" Id="rId177"/><Relationship Type="http://schemas.openxmlformats.org/officeDocument/2006/relationships/hyperlink" Target="https://www.linkedin.com/search/results/companies/?keywords=Exacompta+Clairefontaine" TargetMode="External" Id="rId178"/><Relationship Type="http://schemas.openxmlformats.org/officeDocument/2006/relationships/hyperlink" Target="https://www.janod.com" TargetMode="External" Id="rId179"/><Relationship Type="http://schemas.openxmlformats.org/officeDocument/2006/relationships/hyperlink" Target="https://toybook.com/alex-brands-buys-french-toymaker-juratoys" TargetMode="External" Id="rId180"/><Relationship Type="http://schemas.openxmlformats.org/officeDocument/2006/relationships/hyperlink" Target="https://www.linkedin.com/search/results/companies/?keywords=Juratoys+SAS" TargetMode="External" Id="rId181"/><Relationship Type="http://schemas.openxmlformats.org/officeDocument/2006/relationships/hyperlink" Target="https://www.lejournaldesentreprises.com/breve/le-groupe-wdk-groupe-partner-elargit-son-implantation-en-normandie-2059970" TargetMode="External" Id="rId182"/><Relationship Type="http://schemas.openxmlformats.org/officeDocument/2006/relationships/hyperlink" Target="https://www.linkedin.com/search/results/companies/?keywords=WDK+Groupe+Partner" TargetMode="External" Id="rId183"/><Relationship Type="http://schemas.openxmlformats.org/officeDocument/2006/relationships/hyperlink" Target="https://www.zentrada.eu" TargetMode="External" Id="rId184"/><Relationship Type="http://schemas.openxmlformats.org/officeDocument/2006/relationships/hyperlink" Target="https://www.euroshop-tradefair.com/en/Media_News/EuroShop_mag/Meet_zentrada_-_the_leading_european_trading_network_for_consumer_goods" TargetMode="External" Id="rId185"/><Relationship Type="http://schemas.openxmlformats.org/officeDocument/2006/relationships/hyperlink" Target="https://www.linkedin.com/search/results/companies/?keywords=zentrada" TargetMode="External" Id="rId186"/><Relationship Type="http://schemas.openxmlformats.org/officeDocument/2006/relationships/hyperlink" Target="https://www.hauck.de" TargetMode="External" Id="rId187"/><Relationship Type="http://schemas.openxmlformats.org/officeDocument/2006/relationships/hyperlink" Target="https://nurserytoday.co.uk/2021/04/27/hauck-nursery-and-toys-once-again-under-one-roof/" TargetMode="External" Id="rId188"/><Relationship Type="http://schemas.openxmlformats.org/officeDocument/2006/relationships/hyperlink" Target="https://www.linkedin.com/search/results/companies/?keywords=hauck+GmbH+%26+Co.+KG" TargetMode="External" Id="rId189"/><Relationship Type="http://schemas.openxmlformats.org/officeDocument/2006/relationships/hyperlink" Target="https://www.laessig-fashion.de" TargetMode="External" Id="rId190"/><Relationship Type="http://schemas.openxmlformats.org/officeDocument/2006/relationships/hyperlink" Target="https://mom.maison-objet.com/en/brand/10447/lassig-gmbh" TargetMode="External" Id="rId191"/><Relationship Type="http://schemas.openxmlformats.org/officeDocument/2006/relationships/hyperlink" Target="https://www.linkedin.com/search/results/companies/?keywords=L%C3%A4ssig+GmbH" TargetMode="External" Id="rId192"/><Relationship Type="http://schemas.openxmlformats.org/officeDocument/2006/relationships/hyperlink" Target="https://www.mapa.de" TargetMode="External" Id="rId193"/><Relationship Type="http://schemas.openxmlformats.org/officeDocument/2006/relationships/hyperlink" Target="https://app.implisense.com/en/companies/mapa-gmbh-zeven--DEXMHUNKPT74" TargetMode="External" Id="rId194"/><Relationship Type="http://schemas.openxmlformats.org/officeDocument/2006/relationships/hyperlink" Target="https://www.linkedin.com/search/results/companies/?keywords=MAPA+GmbH" TargetMode="External" Id="rId195"/><Relationship Type="http://schemas.openxmlformats.org/officeDocument/2006/relationships/hyperlink" Target="https://www.2e-vertrieb.de" TargetMode="External" Id="rId196"/><Relationship Type="http://schemas.openxmlformats.org/officeDocument/2006/relationships/hyperlink" Target="https://app.implisense.com/en/companies/2e-vertriebs-gmbh-koeln--DEIMRWXA2I47" TargetMode="External" Id="rId197"/><Relationship Type="http://schemas.openxmlformats.org/officeDocument/2006/relationships/hyperlink" Target="https://www.linkedin.com/search/results/companies/?keywords=2E+Vertriebs-GmbH" TargetMode="External" Id="rId198"/><Relationship Type="http://schemas.openxmlformats.org/officeDocument/2006/relationships/hyperlink" Target="https://www.mambaby.com" TargetMode="External" Id="rId199"/><Relationship Type="http://schemas.openxmlformats.org/officeDocument/2006/relationships/hyperlink" Target="https://www.stepstone.de/cmp/de/MAM-Babyartikel-GmbH-156886/uber-das-unternehmen.html" TargetMode="External" Id="rId200"/><Relationship Type="http://schemas.openxmlformats.org/officeDocument/2006/relationships/hyperlink" Target="https://www.linkedin.com/search/results/companies/?keywords=MAM+Babyartikel+GmbH" TargetMode="External" Id="rId201"/><Relationship Type="http://schemas.openxmlformats.org/officeDocument/2006/relationships/hyperlink" Target="https://www.reer.de" TargetMode="External" Id="rId202"/><Relationship Type="http://schemas.openxmlformats.org/officeDocument/2006/relationships/hyperlink" Target="https://ambiente.messefrankfurt.com/frankfurt/en/exhibitor-search.detail.html/safe--care-gmbh.html" TargetMode="External" Id="rId203"/><Relationship Type="http://schemas.openxmlformats.org/officeDocument/2006/relationships/hyperlink" Target="https://www.linkedin.com/search/results/companies/?keywords=reer+GmbH" TargetMode="External" Id="rId204"/><Relationship Type="http://schemas.openxmlformats.org/officeDocument/2006/relationships/hyperlink" Target="https://ensun.io/search/baby-products/germany" TargetMode="External" Id="rId205"/><Relationship Type="http://schemas.openxmlformats.org/officeDocument/2006/relationships/hyperlink" Target="https://www.linkedin.com/search/results/companies/?keywords=German+Formula+Express" TargetMode="External" Id="rId206"/><Relationship Type="http://schemas.openxmlformats.org/officeDocument/2006/relationships/hyperlink" Target="https://www.cosnova.com" TargetMode="External" Id="rId207"/><Relationship Type="http://schemas.openxmlformats.org/officeDocument/2006/relationships/hyperlink" Target="https://www.cosnova.com/download/news/files/cosnova_Pressemitteilung_Gesch%C3%A4ftsjahr%202023_DE.pdf" TargetMode="External" Id="rId208"/><Relationship Type="http://schemas.openxmlformats.org/officeDocument/2006/relationships/hyperlink" Target="https://www.linkedin.com/search/results/companies/?keywords=cosnova+GmbH" TargetMode="External" Id="rId209"/><Relationship Type="http://schemas.openxmlformats.org/officeDocument/2006/relationships/hyperlink" Target="https://www.weleda.de" TargetMode="External" Id="rId210"/><Relationship Type="http://schemas.openxmlformats.org/officeDocument/2006/relationships/hyperlink" Target="https://en.wikipedia.org/wiki/Weleda" TargetMode="External" Id="rId211"/><Relationship Type="http://schemas.openxmlformats.org/officeDocument/2006/relationships/hyperlink" Target="https://www.linkedin.com/search/results/companies/?keywords=Weleda+AG" TargetMode="External" Id="rId212"/><Relationship Type="http://schemas.openxmlformats.org/officeDocument/2006/relationships/hyperlink" Target="https://www.artdeco.de" TargetMode="External" Id="rId213"/><Relationship Type="http://schemas.openxmlformats.org/officeDocument/2006/relationships/hyperlink" Target="https://www.registercheck.de/companies/artdeco-cosmetic-gmbh" TargetMode="External" Id="rId214"/><Relationship Type="http://schemas.openxmlformats.org/officeDocument/2006/relationships/hyperlink" Target="https://www.linkedin.com/search/results/companies/?keywords=ARTDECO+cosmetic+GmbH" TargetMode="External" Id="rId215"/><Relationship Type="http://schemas.openxmlformats.org/officeDocument/2006/relationships/hyperlink" Target="https://www.sante.de" TargetMode="External" Id="rId216"/><Relationship Type="http://schemas.openxmlformats.org/officeDocument/2006/relationships/hyperlink" Target="https://www.sante.de/fileadmin/user_upload/Key_Account_Manager_Export__m_w_d_.pdf" TargetMode="External" Id="rId217"/><Relationship Type="http://schemas.openxmlformats.org/officeDocument/2006/relationships/hyperlink" Target="https://www.linkedin.com/search/results/companies/?keywords=LOGOCOS+Naturkosmetik+GmbH+%26+Co.+KG" TargetMode="External" Id="rId218"/><Relationship Type="http://schemas.openxmlformats.org/officeDocument/2006/relationships/hyperlink" Target="https://oncosmetics.com/company/global-beauty-brands/" TargetMode="External" Id="rId219"/><Relationship Type="http://schemas.openxmlformats.org/officeDocument/2006/relationships/hyperlink" Target="https://www.linkedin.com/search/results/companies/?keywords=Global+Beauty+Brands" TargetMode="External" Id="rId220"/><Relationship Type="http://schemas.openxmlformats.org/officeDocument/2006/relationships/hyperlink" Target="https://www.einhell.com/einhell-worldwide/" TargetMode="External" Id="rId221"/><Relationship Type="http://schemas.openxmlformats.org/officeDocument/2006/relationships/hyperlink" Target="https://eqs-news.com/company/einhell-germany-ag/info/5b77a516-ea7c-11e8-902f-2c44fd856d8c" TargetMode="External" Id="rId222"/><Relationship Type="http://schemas.openxmlformats.org/officeDocument/2006/relationships/hyperlink" Target="https://www.linkedin.com/search/results/companies/?keywords=Einhell+Germany+AG" TargetMode="External" Id="rId223"/><Relationship Type="http://schemas.openxmlformats.org/officeDocument/2006/relationships/hyperlink" Target="https://www.fischer.de" TargetMode="External" Id="rId224"/><Relationship Type="http://schemas.openxmlformats.org/officeDocument/2006/relationships/hyperlink" Target="https://en.wikipedia.org/wiki/Fischerwerke" TargetMode="External" Id="rId225"/><Relationship Type="http://schemas.openxmlformats.org/officeDocument/2006/relationships/hyperlink" Target="https://www.linkedin.com/search/results/companies/?keywords=fischerwerke+GmbH+%26+Co.+KG" TargetMode="External" Id="rId226"/><Relationship Type="http://schemas.openxmlformats.org/officeDocument/2006/relationships/hyperlink" Target="https://www.gardena.com" TargetMode="External" Id="rId227"/><Relationship Type="http://schemas.openxmlformats.org/officeDocument/2006/relationships/hyperlink" Target="https://diedeutscheindustrie.de/firma/gardena deutschland gmbh gardena gmbh/4000617/75090/eng" TargetMode="External" Id="rId228"/><Relationship Type="http://schemas.openxmlformats.org/officeDocument/2006/relationships/hyperlink" Target="https://www.linkedin.com/search/results/companies/?keywords=GARDENA+Deutschland+GmbH" TargetMode="External" Id="rId229"/><Relationship Type="http://schemas.openxmlformats.org/officeDocument/2006/relationships/hyperlink" Target="https://www.knipex.com" TargetMode="External" Id="rId230"/><Relationship Type="http://schemas.openxmlformats.org/officeDocument/2006/relationships/hyperlink" Target="https://light-building.messefrankfurt.com/frankfurt/en/exhibitor-search.detail.html/knipex-werk-c-gustav-putsch-kg.html" TargetMode="External" Id="rId231"/><Relationship Type="http://schemas.openxmlformats.org/officeDocument/2006/relationships/hyperlink" Target="https://www.linkedin.com/search/results/companies/?keywords=KNIPEX-Werk+C.+Gustav+Putsch+KG" TargetMode="External" Id="rId232"/><Relationship Type="http://schemas.openxmlformats.org/officeDocument/2006/relationships/hyperlink" Target="https://www.kwb.eu" TargetMode="External" Id="rId233"/><Relationship Type="http://schemas.openxmlformats.org/officeDocument/2006/relationships/hyperlink" Target="https://www.kwb.eu/en/disclaimer/" TargetMode="External" Id="rId234"/><Relationship Type="http://schemas.openxmlformats.org/officeDocument/2006/relationships/hyperlink" Target="https://www.linkedin.com/search/results/companies/?keywords=kwb+Germany+GmbH" TargetMode="External" Id="rId235"/><Relationship Type="http://schemas.openxmlformats.org/officeDocument/2006/relationships/hyperlink" Target="https://www.scheppach.com" TargetMode="External" Id="rId236"/><Relationship Type="http://schemas.openxmlformats.org/officeDocument/2006/relationships/hyperlink" Target="https://www.bayern-international.de/en/company-database/company-details/scheppach-fabrikation-von-holzbearbeitungsmaschinen-gmbh-24047" TargetMode="External" Id="rId237"/><Relationship Type="http://schemas.openxmlformats.org/officeDocument/2006/relationships/hyperlink" Target="https://www.linkedin.com/search/results/companies/?keywords=Scheppach+GmbH" TargetMode="External" Id="rId238"/><Relationship Type="http://schemas.openxmlformats.org/officeDocument/2006/relationships/hyperlink" Target="https://www.wera.de" TargetMode="External" Id="rId239"/><Relationship Type="http://schemas.openxmlformats.org/officeDocument/2006/relationships/hyperlink" Target="https://www.olander.com:443/pdf/catalog/katalog-en.pdf" TargetMode="External" Id="rId240"/><Relationship Type="http://schemas.openxmlformats.org/officeDocument/2006/relationships/hyperlink" Target="https://www.linkedin.com/search/results/companies/?keywords=Wera+Werkzeuge+GmbH" TargetMode="External" Id="rId241"/><Relationship Type="http://schemas.openxmlformats.org/officeDocument/2006/relationships/hyperlink" Target="https://www.wiha.com" TargetMode="External" Id="rId242"/><Relationship Type="http://schemas.openxmlformats.org/officeDocument/2006/relationships/hyperlink" Target="https://www.wikipedia.org/wiki/Wiha_Tools" TargetMode="External" Id="rId243"/><Relationship Type="http://schemas.openxmlformats.org/officeDocument/2006/relationships/hyperlink" Target="https://www.linkedin.com/search/results/companies/?keywords=Wiha+Werkzeuge+GmbH" TargetMode="External" Id="rId244"/><Relationship Type="http://schemas.openxmlformats.org/officeDocument/2006/relationships/hyperlink" Target="https://www.guede.com" TargetMode="External" Id="rId245"/><Relationship Type="http://schemas.openxmlformats.org/officeDocument/2006/relationships/hyperlink" Target="https://remira.com/en/overview-references/guede" TargetMode="External" Id="rId246"/><Relationship Type="http://schemas.openxmlformats.org/officeDocument/2006/relationships/hyperlink" Target="https://www.linkedin.com/search/results/companies/?keywords=G%C3%9CDE+GmbH+%26+Co.+KG" TargetMode="External" Id="rId247"/><Relationship Type="http://schemas.openxmlformats.org/officeDocument/2006/relationships/hyperlink" Target="https://www.wolfcraft.com" TargetMode="External" Id="rId248"/><Relationship Type="http://schemas.openxmlformats.org/officeDocument/2006/relationships/hyperlink" Target="https://craft.co/wolfcraft" TargetMode="External" Id="rId249"/><Relationship Type="http://schemas.openxmlformats.org/officeDocument/2006/relationships/hyperlink" Target="https://www.linkedin.com/search/results/companies/?keywords=wolfcraft+GmbH" TargetMode="External" Id="rId250"/><Relationship Type="http://schemas.openxmlformats.org/officeDocument/2006/relationships/hyperlink" Target="https://www.remotely.de/job/emporium-handels-vertriebs-gmbh-sales-representative-mwd-im-internationalen-grosshandel-vollzeit" TargetMode="External" Id="rId251"/><Relationship Type="http://schemas.openxmlformats.org/officeDocument/2006/relationships/hyperlink" Target="https://www.linkedin.com/search/results/companies/?keywords=Emporium+Handels+%26+Vertriebs+GmbH" TargetMode="External" Id="rId252"/><Relationship Type="http://schemas.openxmlformats.org/officeDocument/2006/relationships/hyperlink" Target="https://fashionunited.de/nachrichten/business/lacoste-gibt-parfum-vertrieb-fuer-dach-region-an-die-nobilis-group-ab/2024010554623" TargetMode="External" Id="rId253"/><Relationship Type="http://schemas.openxmlformats.org/officeDocument/2006/relationships/hyperlink" Target="https://www.linkedin.com/search/results/companies/?keywords=NOBILIS+Group+GmbH" TargetMode="External" Id="rId254"/><Relationship Type="http://schemas.openxmlformats.org/officeDocument/2006/relationships/hyperlink" Target="https://www.beurer.com/uk/facts/" TargetMode="External" Id="rId255"/><Relationship Type="http://schemas.openxmlformats.org/officeDocument/2006/relationships/hyperlink" Target="https://www.bheta.co.uk/suppliers/beurer-uk-limited" TargetMode="External" Id="rId256"/><Relationship Type="http://schemas.openxmlformats.org/officeDocument/2006/relationships/hyperlink" Target="https://www.linkedin.com/search/results/companies/?keywords=Beurer+GmbH" TargetMode="External" Id="rId257"/><Relationship Type="http://schemas.openxmlformats.org/officeDocument/2006/relationships/hyperlink" Target="https://www.naturwaren-theiss.de" TargetMode="External" Id="rId258"/><Relationship Type="http://schemas.openxmlformats.org/officeDocument/2006/relationships/hyperlink" Target="https://www.apotheke-adhoc.de/nachrichten/detail/markt/kosmetikhersteller-theiss-hofft-auf-dolorgiet/" TargetMode="External" Id="rId259"/><Relationship Type="http://schemas.openxmlformats.org/officeDocument/2006/relationships/hyperlink" Target="https://www.linkedin.com/search/results/companies/?keywords=Dr.+Theiss+Naturwaren+GmbH" TargetMode="External" Id="rId260"/><Relationship Type="http://schemas.openxmlformats.org/officeDocument/2006/relationships/hyperlink" Target="https://www.kneipp.com" TargetMode="External" Id="rId261"/><Relationship Type="http://schemas.openxmlformats.org/officeDocument/2006/relationships/hyperlink" Target="https://www.bayern-international.de/en/company-database/company-details/kneipp-werke-kneipp-mittel-zentrale-gmbh-co-kg-18967" TargetMode="External" Id="rId262"/><Relationship Type="http://schemas.openxmlformats.org/officeDocument/2006/relationships/hyperlink" Target="https://www.linkedin.com/search/results/companies/?keywords=Kneipp+GmbH" TargetMode="External" Id="rId263"/><Relationship Type="http://schemas.openxmlformats.org/officeDocument/2006/relationships/hyperlink" Target="https://www.medisana.de" TargetMode="External" Id="rId264"/><Relationship Type="http://schemas.openxmlformats.org/officeDocument/2006/relationships/hyperlink" Target="https://www.wirtschaftsforum.de/medisana-ag" TargetMode="External" Id="rId265"/><Relationship Type="http://schemas.openxmlformats.org/officeDocument/2006/relationships/hyperlink" Target="https://www.linkedin.com/search/results/companies/?keywords=MEDISANA+AG" TargetMode="External" Id="rId266"/><Relationship Type="http://schemas.openxmlformats.org/officeDocument/2006/relationships/hyperlink" Target="https://www.hartmann.info" TargetMode="External" Id="rId267"/><Relationship Type="http://schemas.openxmlformats.org/officeDocument/2006/relationships/hyperlink" Target="https://www.morningstar.com.au/investments/security/fra/PHH2" TargetMode="External" Id="rId268"/><Relationship Type="http://schemas.openxmlformats.org/officeDocument/2006/relationships/hyperlink" Target="https://www.linkedin.com/search/results/companies/?keywords=PAUL+HARTMANN+AG" TargetMode="External" Id="rId269"/><Relationship Type="http://schemas.openxmlformats.org/officeDocument/2006/relationships/hyperlink" Target="https://www.odoo.com/ar/customers/ihtct-gmbh-6263453" TargetMode="External" Id="rId270"/><Relationship Type="http://schemas.openxmlformats.org/officeDocument/2006/relationships/hyperlink" Target="https://www.odoo.com/ar/customers/ihtct-gmbh-6263453" TargetMode="External" Id="rId271"/><Relationship Type="http://schemas.openxmlformats.org/officeDocument/2006/relationships/hyperlink" Target="https://www.linkedin.com/search/results/companies/?keywords=IHTCT+GmbH" TargetMode="External" Id="rId272"/><Relationship Type="http://schemas.openxmlformats.org/officeDocument/2006/relationships/hyperlink" Target="https://www.gefu.com" TargetMode="External" Id="rId273"/><Relationship Type="http://schemas.openxmlformats.org/officeDocument/2006/relationships/hyperlink" Target="https://www.wirtschaftsforum.de/gefu-gmbh" TargetMode="External" Id="rId274"/><Relationship Type="http://schemas.openxmlformats.org/officeDocument/2006/relationships/hyperlink" Target="https://www.linkedin.com/search/results/companies/?keywords=GEFU+GmbH" TargetMode="External" Id="rId275"/><Relationship Type="http://schemas.openxmlformats.org/officeDocument/2006/relationships/hyperlink" Target="https://www.severin.com" TargetMode="External" Id="rId276"/><Relationship Type="http://schemas.openxmlformats.org/officeDocument/2006/relationships/hyperlink" Target="https://ifa-berlin.com/exhibitors/severin-elektrogeraete-gmbh" TargetMode="External" Id="rId277"/><Relationship Type="http://schemas.openxmlformats.org/officeDocument/2006/relationships/hyperlink" Target="https://www.linkedin.com/search/results/companies/?keywords=SEVERIN+Elektroger%C3%A4te+GmbH" TargetMode="External" Id="rId278"/><Relationship Type="http://schemas.openxmlformats.org/officeDocument/2006/relationships/hyperlink" Target="https://www.westmark.de" TargetMode="External" Id="rId279"/><Relationship Type="http://schemas.openxmlformats.org/officeDocument/2006/relationships/hyperlink" Target="https://conzoom-solutions.messefrankfurt.com/frankfurt/en/market-directory.detail.html/AMBIENTE/westmark-gmbh.html" TargetMode="External" Id="rId280"/><Relationship Type="http://schemas.openxmlformats.org/officeDocument/2006/relationships/hyperlink" Target="https://www.linkedin.com/search/results/companies/?keywords=Westmark+GmbH" TargetMode="External" Id="rId281"/><Relationship Type="http://schemas.openxmlformats.org/officeDocument/2006/relationships/hyperlink" Target="https://www.clatronic.de" TargetMode="External" Id="rId282"/><Relationship Type="http://schemas.openxmlformats.org/officeDocument/2006/relationships/hyperlink" Target="https://app.implisense.com/en/companies/c-bomann-gmbh-kempen--DEEFREKBW207" TargetMode="External" Id="rId283"/><Relationship Type="http://schemas.openxmlformats.org/officeDocument/2006/relationships/hyperlink" Target="https://www.linkedin.com/search/results/companies/?keywords=Clatronic+International+GmbH" TargetMode="External" Id="rId284"/><Relationship Type="http://schemas.openxmlformats.org/officeDocument/2006/relationships/hyperlink" Target="https://www.leifheit.com" TargetMode="External" Id="rId285"/><Relationship Type="http://schemas.openxmlformats.org/officeDocument/2006/relationships/hyperlink" Target="https://pitchbook.com/profiles/company/64260-55" TargetMode="External" Id="rId286"/><Relationship Type="http://schemas.openxmlformats.org/officeDocument/2006/relationships/hyperlink" Target="https://www.linkedin.com/search/results/companies/?keywords=Leifheit+AG" TargetMode="External" Id="rId287"/><Relationship Type="http://schemas.openxmlformats.org/officeDocument/2006/relationships/hyperlink" Target="https://www.ifa-berlin.com/exhibitors/wolfsohn" TargetMode="External" Id="rId288"/><Relationship Type="http://schemas.openxmlformats.org/officeDocument/2006/relationships/hyperlink" Target="https://www.ifa-berlin.com/exhibitors/wolfsohn" TargetMode="External" Id="rId289"/><Relationship Type="http://schemas.openxmlformats.org/officeDocument/2006/relationships/hyperlink" Target="https://www.linkedin.com/search/results/companies/?keywords=Wolfsohn" TargetMode="External" Id="rId290"/><Relationship Type="http://schemas.openxmlformats.org/officeDocument/2006/relationships/hyperlink" Target="https://www.trixie.de" TargetMode="External" Id="rId291"/><Relationship Type="http://schemas.openxmlformats.org/officeDocument/2006/relationships/hyperlink" Target="https://www.petbusinessworld.co.uk/trade-news/manufacturers/trixie-opens-new-uk-warehouse.html" TargetMode="External" Id="rId292"/><Relationship Type="http://schemas.openxmlformats.org/officeDocument/2006/relationships/hyperlink" Target="https://www.linkedin.com/search/results/companies/?keywords=TRIXIE+Heimtierbedarf" TargetMode="External" Id="rId293"/><Relationship Type="http://schemas.openxmlformats.org/officeDocument/2006/relationships/hyperlink" Target="https://www.kerbl.com" TargetMode="External" Id="rId294"/><Relationship Type="http://schemas.openxmlformats.org/officeDocument/2006/relationships/hyperlink" Target="https://www.interzoo.com/en/exhibitors/albert-kerbl-gmbh-2497632" TargetMode="External" Id="rId295"/><Relationship Type="http://schemas.openxmlformats.org/officeDocument/2006/relationships/hyperlink" Target="https://www.linkedin.com/search/results/companies/?keywords=Albert+Kerbl+GmbH" TargetMode="External" Id="rId296"/><Relationship Type="http://schemas.openxmlformats.org/officeDocument/2006/relationships/hyperlink" Target="https://www.gimborn.eu" TargetMode="External" Id="rId297"/><Relationship Type="http://schemas.openxmlformats.org/officeDocument/2006/relationships/hyperlink" Target="https://www.wirtschaftsforum.de/h-von-gimborn-gmbh" TargetMode="External" Id="rId298"/><Relationship Type="http://schemas.openxmlformats.org/officeDocument/2006/relationships/hyperlink" Target="https://www.linkedin.com/search/results/companies/?keywords=H.+von+Gimborn+GmbH" TargetMode="External" Id="rId299"/><Relationship Type="http://schemas.openxmlformats.org/officeDocument/2006/relationships/hyperlink" Target="https://www.hunter.de" TargetMode="External" Id="rId300"/><Relationship Type="http://schemas.openxmlformats.org/officeDocument/2006/relationships/hyperlink" Target="https://www.interzoo.com/en/exhibitors/hunter-international-gmbh-2500702" TargetMode="External" Id="rId301"/><Relationship Type="http://schemas.openxmlformats.org/officeDocument/2006/relationships/hyperlink" Target="https://www.linkedin.com/search/results/companies/?keywords=HUNTER+International+GmbH" TargetMode="External" Id="rId302"/><Relationship Type="http://schemas.openxmlformats.org/officeDocument/2006/relationships/hyperlink" Target="https://www.nobby.de" TargetMode="External" Id="rId303"/><Relationship Type="http://schemas.openxmlformats.org/officeDocument/2006/relationships/hyperlink" Target="https://www.interzoo.com/en/exhibitors/nobby-pet-shop-gmbh-2498529" TargetMode="External" Id="rId304"/><Relationship Type="http://schemas.openxmlformats.org/officeDocument/2006/relationships/hyperlink" Target="https://www.linkedin.com/search/results/companies/?keywords=Nobby+Pet+Shop+GmbH" TargetMode="External" Id="rId305"/><Relationship Type="http://schemas.openxmlformats.org/officeDocument/2006/relationships/hyperlink" Target="https://www.vitakraft.com" TargetMode="External" Id="rId306"/><Relationship Type="http://schemas.openxmlformats.org/officeDocument/2006/relationships/hyperlink" Target="https://www.petfoodindustry.com/top-pet-food-companies/company/vitakraft-pet-care-gmbh-co" TargetMode="External" Id="rId307"/><Relationship Type="http://schemas.openxmlformats.org/officeDocument/2006/relationships/hyperlink" Target="https://www.linkedin.com/search/results/companies/?keywords=Vitakraft+pet+care+GmbH+%26+Co.+KG" TargetMode="External" Id="rId308"/><Relationship Type="http://schemas.openxmlformats.org/officeDocument/2006/relationships/hyperlink" Target="https://josera-importers.com" TargetMode="External" Id="rId309"/><Relationship Type="http://schemas.openxmlformats.org/officeDocument/2006/relationships/hyperlink" Target="https://www.zoomark.it/en/2025-exhibitors-catalogue/exhibitor-detail/6135.html?id=8989" TargetMode="External" Id="rId310"/><Relationship Type="http://schemas.openxmlformats.org/officeDocument/2006/relationships/hyperlink" Target="https://www.linkedin.com/search/results/companies/?keywords=Josera+Petfood+GmbH+%26+Co.+KG" TargetMode="External" Id="rId311"/><Relationship Type="http://schemas.openxmlformats.org/officeDocument/2006/relationships/hyperlink" Target="https://www.portapet.de" TargetMode="External" Id="rId312"/><Relationship Type="http://schemas.openxmlformats.org/officeDocument/2006/relationships/hyperlink" Target="https://www.zoomark.it/en/2025-exhibitors-catalogue/exhibitor-detail/?id=9032" TargetMode="External" Id="rId313"/><Relationship Type="http://schemas.openxmlformats.org/officeDocument/2006/relationships/hyperlink" Target="https://www.linkedin.com/search/results/companies/?keywords=Schulze+Heimtierbedarf+GmbH" TargetMode="External" Id="rId314"/><Relationship Type="http://schemas.openxmlformats.org/officeDocument/2006/relationships/hyperlink" Target="https://lei.bloomberg.com/leis/view/529900TR7E9HGHJXO533" TargetMode="External" Id="rId315"/><Relationship Type="http://schemas.openxmlformats.org/officeDocument/2006/relationships/hyperlink" Target="https://www.linkedin.com/search/results/companies/?keywords=WOLTERS+cat+%26+dog+GmbH" TargetMode="External" Id="rId316"/><Relationship Type="http://schemas.openxmlformats.org/officeDocument/2006/relationships/hyperlink" Target="https://hartje.de/en/company/" TargetMode="External" Id="rId317"/><Relationship Type="http://schemas.openxmlformats.org/officeDocument/2006/relationships/hyperlink" Target="https://hartje.de/en/company/" TargetMode="External" Id="rId318"/><Relationship Type="http://schemas.openxmlformats.org/officeDocument/2006/relationships/hyperlink" Target="https://www.linkedin.com/search/results/companies/?keywords=Hermann+Hartje+KG" TargetMode="External" Id="rId319"/><Relationship Type="http://schemas.openxmlformats.org/officeDocument/2006/relationships/hyperlink" Target="https://www.paul-lange.de" TargetMode="External" Id="rId320"/><Relationship Type="http://schemas.openxmlformats.org/officeDocument/2006/relationships/hyperlink" Target="https://www.tour-magazin.de/en/brakes/interview-on-the-occasion-of-paul-lange-s-75th-company-anniversary/" TargetMode="External" Id="rId321"/><Relationship Type="http://schemas.openxmlformats.org/officeDocument/2006/relationships/hyperlink" Target="https://www.linkedin.com/search/results/companies/?keywords=Paul+Lange+%26+Co.+OHG" TargetMode="External" Id="rId322"/><Relationship Type="http://schemas.openxmlformats.org/officeDocument/2006/relationships/hyperlink" Target="https://sigma.bike" TargetMode="External" Id="rId323"/><Relationship Type="http://schemas.openxmlformats.org/officeDocument/2006/relationships/hyperlink" Target="https://www.wirtschaftsforum.de/sigma-elektro-gmbh" TargetMode="External" Id="rId324"/><Relationship Type="http://schemas.openxmlformats.org/officeDocument/2006/relationships/hyperlink" Target="https://www.linkedin.com/search/results/companies/?keywords=SIGMA-ELEKTRO+GmbH" TargetMode="External" Id="rId325"/><Relationship Type="http://schemas.openxmlformats.org/officeDocument/2006/relationships/hyperlink" Target="https://www.sks-germany.com" TargetMode="External" Id="rId326"/><Relationship Type="http://schemas.openxmlformats.org/officeDocument/2006/relationships/hyperlink" Target="https://www.sks-germany.com/en/blog/sks-germany-achieves-record-sales-in-its-anniversary-year/" TargetMode="External" Id="rId327"/><Relationship Type="http://schemas.openxmlformats.org/officeDocument/2006/relationships/hyperlink" Target="https://www.linkedin.com/search/results/companies/?keywords=SKS+metaplast+Scheffer-Klute+GmbH" TargetMode="External" Id="rId328"/><Relationship Type="http://schemas.openxmlformats.org/officeDocument/2006/relationships/hyperlink" Target="https://sportimport.de" TargetMode="External" Id="rId329"/><Relationship Type="http://schemas.openxmlformats.org/officeDocument/2006/relationships/hyperlink" Target="https://www.bike-eu.com/45360/sport-imports-transformation-into-a-european-partner-for-the-cycling-industry" TargetMode="External" Id="rId330"/><Relationship Type="http://schemas.openxmlformats.org/officeDocument/2006/relationships/hyperlink" Target="https://www.linkedin.com/search/results/companies/?keywords=Sport+Import+GmbH" TargetMode="External" Id="rId331"/><Relationship Type="http://schemas.openxmlformats.org/officeDocument/2006/relationships/hyperlink" Target="https://imap.com/en/news/2021/absolute-bikes~n" TargetMode="External" Id="rId332"/><Relationship Type="http://schemas.openxmlformats.org/officeDocument/2006/relationships/hyperlink" Target="https://www.linkedin.com/search/results/companies/?keywords=Absolut+Bikes+GmbH" TargetMode="External" Id="rId333"/><Relationship Type="http://schemas.openxmlformats.org/officeDocument/2006/relationships/hyperlink" Target="https://www.provenexpert.com/acecamp-gmbh/" TargetMode="External" Id="rId334"/><Relationship Type="http://schemas.openxmlformats.org/officeDocument/2006/relationships/hyperlink" Target="https://www.provenexpert.com/acecamp-gmbh/" TargetMode="External" Id="rId335"/><Relationship Type="http://schemas.openxmlformats.org/officeDocument/2006/relationships/hyperlink" Target="https://www.linkedin.com/search/results/companies/?keywords=AceCamp+GmbH" TargetMode="External" Id="rId336"/><Relationship Type="http://schemas.openxmlformats.org/officeDocument/2006/relationships/hyperlink" Target="https://kettlersport.com/en-dk/about-us/" TargetMode="External" Id="rId337"/><Relationship Type="http://schemas.openxmlformats.org/officeDocument/2006/relationships/hyperlink" Target="https://en.wikipedia.org/wiki/Kettler" TargetMode="External" Id="rId338"/><Relationship Type="http://schemas.openxmlformats.org/officeDocument/2006/relationships/hyperlink" Target="https://www.linkedin.com/search/results/companies/?keywords=Fitshop+GmbH" TargetMode="External" Id="rId339"/><Relationship Type="http://schemas.openxmlformats.org/officeDocument/2006/relationships/hyperlink" Target="https://www.hammer.de" TargetMode="External" Id="rId340"/><Relationship Type="http://schemas.openxmlformats.org/officeDocument/2006/relationships/hyperlink" Target="https://www.diedeutscheindustrie.de/firma/hammer sport ag hammer sport ag/4037288/96648/eng" TargetMode="External" Id="rId341"/><Relationship Type="http://schemas.openxmlformats.org/officeDocument/2006/relationships/hyperlink" Target="https://www.linkedin.com/search/results/companies/?keywords=HAMMER+SPORT+AG" TargetMode="External" Id="rId342"/><Relationship Type="http://schemas.openxmlformats.org/officeDocument/2006/relationships/hyperlink" Target="https://www.hudora.de" TargetMode="External" Id="rId343"/><Relationship Type="http://schemas.openxmlformats.org/officeDocument/2006/relationships/hyperlink" Target="https://www.unternehmeredition.de/serie-hidden-champions-hudora-gmbh/" TargetMode="External" Id="rId344"/><Relationship Type="http://schemas.openxmlformats.org/officeDocument/2006/relationships/hyperlink" Target="https://www.linkedin.com/search/results/companies/?keywords=HUDORA+GmbH" TargetMode="External" Id="rId345"/><Relationship Type="http://schemas.openxmlformats.org/officeDocument/2006/relationships/hyperlink" Target="https://www.sport-thieme.de" TargetMode="External" Id="rId346"/><Relationship Type="http://schemas.openxmlformats.org/officeDocument/2006/relationships/hyperlink" Target="https://www.wirtschaftsforum.de/sport-thieme-gmbh" TargetMode="External" Id="rId347"/><Relationship Type="http://schemas.openxmlformats.org/officeDocument/2006/relationships/hyperlink" Target="https://www.linkedin.com/search/results/companies/?keywords=Sport-Thieme+GmbH" TargetMode="External" Id="rId348"/><Relationship Type="http://schemas.openxmlformats.org/officeDocument/2006/relationships/hyperlink" Target="https://www.durable.eu" TargetMode="External" Id="rId349"/><Relationship Type="http://schemas.openxmlformats.org/officeDocument/2006/relationships/hyperlink" Target="https://orgatec.com/exhibitor/durable" TargetMode="External" Id="rId350"/><Relationship Type="http://schemas.openxmlformats.org/officeDocument/2006/relationships/hyperlink" Target="https://www.linkedin.com/search/results/companies/?keywords=DURABLE+Hunke+%26+Jochheim+GmbH+%26+Co.+KG" TargetMode="External" Id="rId351"/><Relationship Type="http://schemas.openxmlformats.org/officeDocument/2006/relationships/hyperlink" Target="https://www.edding.com/en-uk/" TargetMode="External" Id="rId352"/><Relationship Type="http://schemas.openxmlformats.org/officeDocument/2006/relationships/hyperlink" Target="https://www.edding.com/career/application/" TargetMode="External" Id="rId353"/><Relationship Type="http://schemas.openxmlformats.org/officeDocument/2006/relationships/hyperlink" Target="https://www.linkedin.com/search/results/companies/?keywords=edding+International+GmbH" TargetMode="External" Id="rId354"/><Relationship Type="http://schemas.openxmlformats.org/officeDocument/2006/relationships/hyperlink" Target="https://www.schneiderpen.com" TargetMode="External" Id="rId355"/><Relationship Type="http://schemas.openxmlformats.org/officeDocument/2006/relationships/hyperlink" Target="https://paperworldme.german-pavilion.com/en/sites/exhibitors/111236" TargetMode="External" Id="rId356"/><Relationship Type="http://schemas.openxmlformats.org/officeDocument/2006/relationships/hyperlink" Target="https://www.linkedin.com/search/results/companies/?keywords=Schneider+Schreibger%C3%A4te+GmbH" TargetMode="External" Id="rId357"/><Relationship Type="http://schemas.openxmlformats.org/officeDocument/2006/relationships/hyperlink" Target="https://www.staedtler.com/intl/en/company" TargetMode="External" Id="rId358"/><Relationship Type="http://schemas.openxmlformats.org/officeDocument/2006/relationships/hyperlink" Target="https://www.bayern-international.de/en/company-database/company-details/staedtler-mars-gmbh-co-schreib-und-zeichengeraetefabriken-1000204" TargetMode="External" Id="rId359"/><Relationship Type="http://schemas.openxmlformats.org/officeDocument/2006/relationships/hyperlink" Target="https://www.linkedin.com/search/results/companies/?keywords=STAEDTLER+Mars+GmbH+%26+Co.+KG" TargetMode="External" Id="rId360"/><Relationship Type="http://schemas.openxmlformats.org/officeDocument/2006/relationships/hyperlink" Target="https://pelikan.com/int/company/pelikan-group-gmbh.html" TargetMode="External" Id="rId361"/><Relationship Type="http://schemas.openxmlformats.org/officeDocument/2006/relationships/hyperlink" Target="https://pelikan.com/int/company/pelikan-group-gmbh.html" TargetMode="External" Id="rId362"/><Relationship Type="http://schemas.openxmlformats.org/officeDocument/2006/relationships/hyperlink" Target="https://www.linkedin.com/search/results/companies/?keywords=Pelikan+Group+GmbH" TargetMode="External" Id="rId363"/><Relationship Type="http://schemas.openxmlformats.org/officeDocument/2006/relationships/hyperlink" Target="https://www.kosmos.de" TargetMode="External" Id="rId364"/><Relationship Type="http://schemas.openxmlformats.org/officeDocument/2006/relationships/hyperlink" Target="https://boardgamewire.com/index.php/2026/02/17/kosmos-takes-full-ownership-of-distribution-arm-thames-kosmos-uk-amid-retirement-of-latters-founding-directors/" TargetMode="External" Id="rId365"/><Relationship Type="http://schemas.openxmlformats.org/officeDocument/2006/relationships/hyperlink" Target="https://www.linkedin.com/search/results/companies/?keywords=Franckh-Kosmos+Verlags-GmbH+%26+Co.+KG" TargetMode="External" Id="rId366"/><Relationship Type="http://schemas.openxmlformats.org/officeDocument/2006/relationships/hyperlink" Target="https://www.carrera-revell-toys.com" TargetMode="External" Id="rId367"/><Relationship Type="http://schemas.openxmlformats.org/officeDocument/2006/relationships/hyperlink" Target="https://toyworldmag.co.uk/?p=190811" TargetMode="External" Id="rId368"/><Relationship Type="http://schemas.openxmlformats.org/officeDocument/2006/relationships/hyperlink" Target="https://www.linkedin.com/search/results/companies/?keywords=Carrera+Revell+Europe+GmbH" TargetMode="External" Id="rId369"/><Relationship Type="http://schemas.openxmlformats.org/officeDocument/2006/relationships/hyperlink" Target="https://depesche.com" TargetMode="External" Id="rId370"/><Relationship Type="http://schemas.openxmlformats.org/officeDocument/2006/relationships/hyperlink" Target="https://depesche.com/en/about-us/history" TargetMode="External" Id="rId371"/><Relationship Type="http://schemas.openxmlformats.org/officeDocument/2006/relationships/hyperlink" Target="https://www.linkedin.com/search/results/companies/?keywords=Depesche+Vertrieb+GmbH+%26+Co.+KG" TargetMode="External" Id="rId372"/><Relationship Type="http://schemas.openxmlformats.org/officeDocument/2006/relationships/hyperlink" Target="https://www.goki.eu" TargetMode="External" Id="rId373"/><Relationship Type="http://schemas.openxmlformats.org/officeDocument/2006/relationships/hyperlink" Target="https://www.gelbeseiten.de/gsbiz/aaa25a93-3a4f-45fc-893c-c0e732d97277" TargetMode="External" Id="rId374"/><Relationship Type="http://schemas.openxmlformats.org/officeDocument/2006/relationships/hyperlink" Target="https://www.linkedin.com/search/results/companies/?keywords=Gollnest+%26+Kiesel+GmbH+%26+Co.+KG" TargetMode="External" Id="rId375"/><Relationship Type="http://schemas.openxmlformats.org/officeDocument/2006/relationships/hyperlink" Target="https://pegasus.de/en/about/" TargetMode="External" Id="rId376"/><Relationship Type="http://schemas.openxmlformats.org/officeDocument/2006/relationships/hyperlink" Target="https://en.wikipedia.org/wiki/Pegasus_Spiele" TargetMode="External" Id="rId377"/><Relationship Type="http://schemas.openxmlformats.org/officeDocument/2006/relationships/hyperlink" Target="https://www.linkedin.com/search/results/companies/?keywords=Pegasus+Spiele+GmbH" TargetMode="External" Id="rId378"/><Relationship Type="http://schemas.openxmlformats.org/officeDocument/2006/relationships/hyperlink" Target="https://www.simba-dickie-group.com" TargetMode="External" Id="rId379"/><Relationship Type="http://schemas.openxmlformats.org/officeDocument/2006/relationships/hyperlink" Target="https://www.bayern-international.de/en/company-database/company-details/simba-dickie-group-1010977" TargetMode="External" Id="rId380"/><Relationship Type="http://schemas.openxmlformats.org/officeDocument/2006/relationships/hyperlink" Target="https://www.linkedin.com/search/results/companies/?keywords=Simba+Dickie+Group+GmbH" TargetMode="External" Id="rId381"/><Relationship Type="http://schemas.openxmlformats.org/officeDocument/2006/relationships/hyperlink" Target="https://b2b.small-foot.de/en/" TargetMode="External" Id="rId382"/><Relationship Type="http://schemas.openxmlformats.org/officeDocument/2006/relationships/hyperlink" Target="https://b2b.small-foot.de/en/" TargetMode="External" Id="rId383"/><Relationship Type="http://schemas.openxmlformats.org/officeDocument/2006/relationships/hyperlink" Target="https://www.linkedin.com/search/results/companies/?keywords=small+foot+GmbH+%26+Co.+KG" TargetMode="External" Id="rId384"/><Relationship Type="http://schemas.openxmlformats.org/officeDocument/2006/relationships/hyperlink" Target="https://www.vedes-gruppe.de" TargetMode="External" Id="rId385"/><Relationship Type="http://schemas.openxmlformats.org/officeDocument/2006/relationships/hyperlink" Target="https://en.wikipedia.org/wiki/Vedes" TargetMode="External" Id="rId386"/><Relationship Type="http://schemas.openxmlformats.org/officeDocument/2006/relationships/hyperlink" Target="https://www.linkedin.com/search/results/companies/?keywords=VEDES+Gro%C3%9Fhandel+GmbH" TargetMode="External" Id="rId387"/><Relationship Type="http://schemas.openxmlformats.org/officeDocument/2006/relationships/hyperlink" Target="https://www.ausbildung.de/unternehmen/landahl-baumann-spielwaren-gmbh/stellen/" TargetMode="External" Id="rId388"/><Relationship Type="http://schemas.openxmlformats.org/officeDocument/2006/relationships/hyperlink" Target="https://www.linkedin.com/search/results/companies/?keywords=Landahl+%26+Baumann+Spielwaren+GmbH" TargetMode="External" Id="rId389"/><Relationship Type="http://schemas.openxmlformats.org/officeDocument/2006/relationships/hyperlink" Target="https://www.korres.com" TargetMode="External" Id="rId390"/><Relationship Type="http://schemas.openxmlformats.org/officeDocument/2006/relationships/hyperlink" Target="https://athens.euronext.com/en/node/542840" TargetMode="External" Id="rId391"/><Relationship Type="http://schemas.openxmlformats.org/officeDocument/2006/relationships/hyperlink" Target="https://www.linkedin.com/search/results/companies/?keywords=KORRES+S.A.+Natural+Products" TargetMode="External" Id="rId392"/><Relationship Type="http://schemas.openxmlformats.org/officeDocument/2006/relationships/hyperlink" Target="https://www.papoutsanis.gr" TargetMode="External" Id="rId393"/><Relationship Type="http://schemas.openxmlformats.org/officeDocument/2006/relationships/hyperlink" Target="https://www.papoutsanis.gr/en/investor-relations/company-presentations-3_131347/" TargetMode="External" Id="rId394"/><Relationship Type="http://schemas.openxmlformats.org/officeDocument/2006/relationships/hyperlink" Target="https://www.linkedin.com/search/results/companies/?keywords=Papoutsanis+S.A." TargetMode="External" Id="rId395"/><Relationship Type="http://schemas.openxmlformats.org/officeDocument/2006/relationships/hyperlink" Target="https://www.apivita.com" TargetMode="External" Id="rId396"/><Relationship Type="http://schemas.openxmlformats.org/officeDocument/2006/relationships/hyperlink" Target="https://www.amna.gr/print/183565" TargetMode="External" Id="rId397"/><Relationship Type="http://schemas.openxmlformats.org/officeDocument/2006/relationships/hyperlink" Target="https://www.linkedin.com/search/results/companies/?keywords=APIVITA+S.A." TargetMode="External" Id="rId398"/><Relationship Type="http://schemas.openxmlformats.org/officeDocument/2006/relationships/hyperlink" Target="https://www.frezyderm.com" TargetMode="External" Id="rId399"/><Relationship Type="http://schemas.openxmlformats.org/officeDocument/2006/relationships/hyperlink" Target="https://www.cphi-online.com/company/frezyderm-s-a/" TargetMode="External" Id="rId400"/><Relationship Type="http://schemas.openxmlformats.org/officeDocument/2006/relationships/hyperlink" Target="https://www.linkedin.com/search/results/companies/?keywords=FREZYDERM+S.A." TargetMode="External" Id="rId401"/><Relationship Type="http://schemas.openxmlformats.org/officeDocument/2006/relationships/hyperlink" Target="https://www.helia-d.hu" TargetMode="External" Id="rId402"/><Relationship Type="http://schemas.openxmlformats.org/officeDocument/2006/relationships/hyperlink" Target="https://bet.hu/site/Angol/Contents/Issuers/bet50/bet50-2018/bet50-companies-2018/helia-d-kft.---the-sunny-side" TargetMode="External" Id="rId403"/><Relationship Type="http://schemas.openxmlformats.org/officeDocument/2006/relationships/hyperlink" Target="https://www.linkedin.com/search/results/companies/?keywords=HELIA-D+Kft." TargetMode="External" Id="rId404"/><Relationship Type="http://schemas.openxmlformats.org/officeDocument/2006/relationships/hyperlink" Target="https://www.biotechusa.hu" TargetMode="External" Id="rId405"/><Relationship Type="http://schemas.openxmlformats.org/officeDocument/2006/relationships/hyperlink" Target="https://www.gulfood.com/exhibitors/biotechusa-kft" TargetMode="External" Id="rId406"/><Relationship Type="http://schemas.openxmlformats.org/officeDocument/2006/relationships/hyperlink" Target="https://www.linkedin.com/search/results/companies/?keywords=BioTechUSA+Kft." TargetMode="External" Id="rId407"/><Relationship Type="http://schemas.openxmlformats.org/officeDocument/2006/relationships/hyperlink" Target="https://www.herbaria.hu" TargetMode="External" Id="rId408"/><Relationship Type="http://schemas.openxmlformats.org/officeDocument/2006/relationships/hyperlink" Target="https://www.gulfood.com/exhibitors/herbaria-zrt" TargetMode="External" Id="rId409"/><Relationship Type="http://schemas.openxmlformats.org/officeDocument/2006/relationships/hyperlink" Target="https://www.linkedin.com/search/results/companies/?keywords=Herb%C3%A1ria+Zrt." TargetMode="External" Id="rId410"/><Relationship Type="http://schemas.openxmlformats.org/officeDocument/2006/relationships/hyperlink" Target="https://www.nationalbeauty.ie" TargetMode="External" Id="rId411"/><Relationship Type="http://schemas.openxmlformats.org/officeDocument/2006/relationships/hyperlink" Target="https://chamber.corkchamber.ie/list/member/national-beauty-distribution-24787" TargetMode="External" Id="rId412"/><Relationship Type="http://schemas.openxmlformats.org/officeDocument/2006/relationships/hyperlink" Target="https://www.linkedin.com/search/results/companies/?keywords=National+Beauty+Distribution+Ltd" TargetMode="External" Id="rId413"/><Relationship Type="http://schemas.openxmlformats.org/officeDocument/2006/relationships/hyperlink" Target="https://www.irishbeauty.ie/Xpert-Professional-expand-Olaplex-distribution.html" TargetMode="External" Id="rId414"/><Relationship Type="http://schemas.openxmlformats.org/officeDocument/2006/relationships/hyperlink" Target="https://www.irishbeauty.ie/Xpert-Professional-expand-Olaplex-distribution.html" TargetMode="External" Id="rId415"/><Relationship Type="http://schemas.openxmlformats.org/officeDocument/2006/relationships/hyperlink" Target="https://www.linkedin.com/search/results/companies/?keywords=Xpert+Professional" TargetMode="External" Id="rId416"/><Relationship Type="http://schemas.openxmlformats.org/officeDocument/2006/relationships/hyperlink" Target="https://uniphar.ie" TargetMode="External" Id="rId417"/><Relationship Type="http://schemas.openxmlformats.org/officeDocument/2006/relationships/hyperlink" Target="https://uniphar.ie/static/services/supply-chain-retail" TargetMode="External" Id="rId418"/><Relationship Type="http://schemas.openxmlformats.org/officeDocument/2006/relationships/hyperlink" Target="https://www.linkedin.com/search/results/companies/?keywords=Uniphar+Wholesale+Limited" TargetMode="External" Id="rId419"/><Relationship Type="http://schemas.openxmlformats.org/officeDocument/2006/relationships/hyperlink" Target="https://www.brandsdistribution.com" TargetMode="External" Id="rId420"/><Relationship Type="http://schemas.openxmlformats.org/officeDocument/2006/relationships/hyperlink" Target="https://www.cbinsights.com/company/brandsdistributioncom/" TargetMode="External" Id="rId421"/><Relationship Type="http://schemas.openxmlformats.org/officeDocument/2006/relationships/hyperlink" Target="https://www.linkedin.com/search/results/companies/?keywords=Brandsdistribution" TargetMode="External" Id="rId422"/><Relationship Type="http://schemas.openxmlformats.org/officeDocument/2006/relationships/hyperlink" Target="https://www.artsana.com" TargetMode="External" Id="rId423"/><Relationship Type="http://schemas.openxmlformats.org/officeDocument/2006/relationships/hyperlink" Target="https://nurserytoday.co.uk/2024/04/25/europes-consumer-goods-giant-rkw-secures-exclusive-distribution-partnership-with-artsana" TargetMode="External" Id="rId424"/><Relationship Type="http://schemas.openxmlformats.org/officeDocument/2006/relationships/hyperlink" Target="https://www.linkedin.com/search/results/companies/?keywords=Artsana+S.p.A." TargetMode="External" Id="rId425"/><Relationship Type="http://schemas.openxmlformats.org/officeDocument/2006/relationships/hyperlink" Target="https://www.foppapedretti.it" TargetMode="External" Id="rId426"/><Relationship Type="http://schemas.openxmlformats.org/officeDocument/2006/relationships/hyperlink" Target="https://www.foppapedretti.it/en/history" TargetMode="External" Id="rId427"/><Relationship Type="http://schemas.openxmlformats.org/officeDocument/2006/relationships/hyperlink" Target="https://www.linkedin.com/search/results/companies/?keywords=Foppapedretti+S.p.A." TargetMode="External" Id="rId428"/><Relationship Type="http://schemas.openxmlformats.org/officeDocument/2006/relationships/hyperlink" Target="https://www.inglesina.com" TargetMode="External" Id="rId429"/><Relationship Type="http://schemas.openxmlformats.org/officeDocument/2006/relationships/hyperlink" Target="https://panjiva.com/L-inglesina-Baby-SpA/61340771" TargetMode="External" Id="rId430"/><Relationship Type="http://schemas.openxmlformats.org/officeDocument/2006/relationships/hyperlink" Target="https://www.linkedin.com/search/results/companies/?keywords=L%27inglesina+Baby+S.p.A." TargetMode="External" Id="rId431"/><Relationship Type="http://schemas.openxmlformats.org/officeDocument/2006/relationships/hyperlink" Target="https://deborahmilano.com/en/about-us" TargetMode="External" Id="rId432"/><Relationship Type="http://schemas.openxmlformats.org/officeDocument/2006/relationships/hyperlink" Target="https://deborahmilano.com/en/about-us" TargetMode="External" Id="rId433"/><Relationship Type="http://schemas.openxmlformats.org/officeDocument/2006/relationships/hyperlink" Target="https://www.linkedin.com/search/results/companies/?keywords=Deborah+Group+S.p.A." TargetMode="External" Id="rId434"/><Relationship Type="http://schemas.openxmlformats.org/officeDocument/2006/relationships/hyperlink" Target="https://www.beta-tools.com" TargetMode="External" Id="rId435"/><Relationship Type="http://schemas.openxmlformats.org/officeDocument/2006/relationships/hyperlink" Target="https://www.confcommerciomilano.it/it/associazioni/categoria/aice/en/associazione/aziende_associate/index.html?id=474" TargetMode="External" Id="rId436"/><Relationship Type="http://schemas.openxmlformats.org/officeDocument/2006/relationships/hyperlink" Target="https://www.linkedin.com/search/results/companies/?keywords=Beta+Utensili+S.p.A." TargetMode="External" Id="rId437"/><Relationship Type="http://schemas.openxmlformats.org/officeDocument/2006/relationships/hyperlink" Target="https://www.fervi.com" TargetMode="External" Id="rId438"/><Relationship Type="http://schemas.openxmlformats.org/officeDocument/2006/relationships/hyperlink" Target="https://www.morningstar.com.au/investments/security/MIL/FVI/summary" TargetMode="External" Id="rId439"/><Relationship Type="http://schemas.openxmlformats.org/officeDocument/2006/relationships/hyperlink" Target="https://www.linkedin.com/search/results/companies/?keywords=Fervi+S.p.A." TargetMode="External" Id="rId440"/><Relationship Type="http://schemas.openxmlformats.org/officeDocument/2006/relationships/hyperlink" Target="https://www.profumeriepep.it" TargetMode="External" Id="rId441"/><Relationship Type="http://schemas.openxmlformats.org/officeDocument/2006/relationships/hyperlink" Target="https://atoka.io/public/it/azienda/profumerie-p-p-srl/b936935a4339" TargetMode="External" Id="rId442"/><Relationship Type="http://schemas.openxmlformats.org/officeDocument/2006/relationships/hyperlink" Target="https://www.linkedin.com/search/results/companies/?keywords=Profumerie+P+%26+P+Srl" TargetMode="External" Id="rId443"/><Relationship Type="http://schemas.openxmlformats.org/officeDocument/2006/relationships/hyperlink" Target="https://www.italianmoda.com/italy-FASHION%2DACCESSORIES%5FPerfumes%5FCosmetics" TargetMode="External" Id="rId444"/><Relationship Type="http://schemas.openxmlformats.org/officeDocument/2006/relationships/hyperlink" Target="https://www.italianmoda.com/italy-FASHION%2DACCESSORIES%5FPerfumes%5FCosmetics" TargetMode="External" Id="rId445"/><Relationship Type="http://schemas.openxmlformats.org/officeDocument/2006/relationships/hyperlink" Target="https://www.linkedin.com/search/results/companies/?keywords=The+Italian+Factory" TargetMode="External" Id="rId446"/><Relationship Type="http://schemas.openxmlformats.org/officeDocument/2006/relationships/hyperlink" Target="https://www.aboca.com" TargetMode="External" Id="rId447"/><Relationship Type="http://schemas.openxmlformats.org/officeDocument/2006/relationships/hyperlink" Target="https://www.cdp.it/resources/cms/documents/Comunicato_n_84_del_10_08_2022_ Aboca_SACE_CAI_CDP.pdf" TargetMode="External" Id="rId448"/><Relationship Type="http://schemas.openxmlformats.org/officeDocument/2006/relationships/hyperlink" Target="https://www.linkedin.com/search/results/companies/?keywords=Aboca+S.p.A.+Societ%C3%A0+Agricola" TargetMode="External" Id="rId449"/><Relationship Type="http://schemas.openxmlformats.org/officeDocument/2006/relationships/hyperlink" Target="https://www.laica.com" TargetMode="External" Id="rId450"/><Relationship Type="http://schemas.openxmlformats.org/officeDocument/2006/relationships/hyperlink" Target="https://www.mediamarkt.nl/en/product/_laica-ps5000-scales-grey-white-156196492.html" TargetMode="External" Id="rId451"/><Relationship Type="http://schemas.openxmlformats.org/officeDocument/2006/relationships/hyperlink" Target="https://www.linkedin.com/search/results/companies/?keywords=Laica+S.p.A." TargetMode="External" Id="rId452"/><Relationship Type="http://schemas.openxmlformats.org/officeDocument/2006/relationships/hyperlink" Target="https://www.bialetti.it" TargetMode="External" Id="rId453"/><Relationship Type="http://schemas.openxmlformats.org/officeDocument/2006/relationships/hyperlink" Target="https://www.morningstar.com.au/investments/security/MIL/BIA/summary" TargetMode="External" Id="rId454"/><Relationship Type="http://schemas.openxmlformats.org/officeDocument/2006/relationships/hyperlink" Target="https://www.linkedin.com/search/results/companies/?keywords=Bialetti+Industrie+S.p.A." TargetMode="External" Id="rId455"/><Relationship Type="http://schemas.openxmlformats.org/officeDocument/2006/relationships/hyperlink" Target="https://www.imetec.com" TargetMode="External" Id="rId456"/><Relationship Type="http://schemas.openxmlformats.org/officeDocument/2006/relationships/hyperlink" Target="https://lei.bloomberg.com/leis/view/8156006A3D35107B7285" TargetMode="External" Id="rId457"/><Relationship Type="http://schemas.openxmlformats.org/officeDocument/2006/relationships/hyperlink" Target="https://www.linkedin.com/search/results/companies/?keywords=Tenacta+Group+S.p.A." TargetMode="External" Id="rId458"/><Relationship Type="http://schemas.openxmlformats.org/officeDocument/2006/relationships/hyperlink" Target="https://www.alessi.com" TargetMode="External" Id="rId459"/><Relationship Type="http://schemas.openxmlformats.org/officeDocument/2006/relationships/hyperlink" Target="https://mom.maison-objet.com/en/brand/73/alessi" TargetMode="External" Id="rId460"/><Relationship Type="http://schemas.openxmlformats.org/officeDocument/2006/relationships/hyperlink" Target="https://www.linkedin.com/search/results/companies/?keywords=ALESSI+S.p.A." TargetMode="External" Id="rId461"/><Relationship Type="http://schemas.openxmlformats.org/officeDocument/2006/relationships/hyperlink" Target="https://www.ariete.net/en/profile" TargetMode="External" Id="rId462"/><Relationship Type="http://schemas.openxmlformats.org/officeDocument/2006/relationships/hyperlink" Target="https://www.ariete.net/en/profile" TargetMode="External" Id="rId463"/><Relationship Type="http://schemas.openxmlformats.org/officeDocument/2006/relationships/hyperlink" Target="https://www.linkedin.com/search/results/companies/?keywords=Ariete+S.p.A." TargetMode="External" Id="rId464"/><Relationship Type="http://schemas.openxmlformats.org/officeDocument/2006/relationships/hyperlink" Target="https://www.ferplast.com" TargetMode="External" Id="rId465"/><Relationship Type="http://schemas.openxmlformats.org/officeDocument/2006/relationships/hyperlink" Target="https://interzoo.com/en/exhibitors-products/f/ferplast-spa" TargetMode="External" Id="rId466"/><Relationship Type="http://schemas.openxmlformats.org/officeDocument/2006/relationships/hyperlink" Target="https://www.linkedin.com/search/results/companies/?keywords=Ferplast+S.p.A." TargetMode="External" Id="rId467"/><Relationship Type="http://schemas.openxmlformats.org/officeDocument/2006/relationships/hyperlink" Target="https://www.georplast.it" TargetMode="External" Id="rId468"/><Relationship Type="http://schemas.openxmlformats.org/officeDocument/2006/relationships/hyperlink" Target="https://interzoo.com/en/exhibitors-products/g/georplast-srl" TargetMode="External" Id="rId469"/><Relationship Type="http://schemas.openxmlformats.org/officeDocument/2006/relationships/hyperlink" Target="https://www.linkedin.com/search/results/companies/?keywords=Georplast+s.r.l." TargetMode="External" Id="rId470"/><Relationship Type="http://schemas.openxmlformats.org/officeDocument/2006/relationships/hyperlink" Target="https://croci-group.com" TargetMode="External" Id="rId471"/><Relationship Type="http://schemas.openxmlformats.org/officeDocument/2006/relationships/hyperlink" Target="https://www.interzoo.com/en/exhibitors/croci-spa-2497649" TargetMode="External" Id="rId472"/><Relationship Type="http://schemas.openxmlformats.org/officeDocument/2006/relationships/hyperlink" Target="https://www.linkedin.com/search/results/companies/?keywords=Camon+%26+Croci+Pet+Group+S.p.A." TargetMode="External" Id="rId473"/><Relationship Type="http://schemas.openxmlformats.org/officeDocument/2006/relationships/hyperlink" Target="https://www.imac.it" TargetMode="External" Id="rId474"/><Relationship Type="http://schemas.openxmlformats.org/officeDocument/2006/relationships/hyperlink" Target="https://www.zoomark.it/en/2025-exhibitors-catalogue/exhibitor-detail/?id=8995" TargetMode="External" Id="rId475"/><Relationship Type="http://schemas.openxmlformats.org/officeDocument/2006/relationships/hyperlink" Target="https://www.linkedin.com/search/results/companies/?keywords=IMAC+S.r.l." TargetMode="External" Id="rId476"/><Relationship Type="http://schemas.openxmlformats.org/officeDocument/2006/relationships/hyperlink" Target="https://www.unitedpets.com" TargetMode="External" Id="rId477"/><Relationship Type="http://schemas.openxmlformats.org/officeDocument/2006/relationships/hyperlink" Target="https://www.zoomark.it/en/2025-exhibitors-catalogue/exhibitor-detail/?id=9608" TargetMode="External" Id="rId478"/><Relationship Type="http://schemas.openxmlformats.org/officeDocument/2006/relationships/hyperlink" Target="https://www.linkedin.com/search/results/companies/?keywords=United+Pets+S.r.l." TargetMode="External" Id="rId479"/><Relationship Type="http://schemas.openxmlformats.org/officeDocument/2006/relationships/hyperlink" Target="https://www.cressi.it" TargetMode="External" Id="rId480"/><Relationship Type="http://schemas.openxmlformats.org/officeDocument/2006/relationships/hyperlink" Target="https://www.urp.cnr.it/copertine/ente/ente_evidenza/gare_2023/IAS_372494_det.pdf" TargetMode="External" Id="rId481"/><Relationship Type="http://schemas.openxmlformats.org/officeDocument/2006/relationships/hyperlink" Target="https://www.linkedin.com/search/results/companies/?keywords=Cressi+Sub+S.p.A." TargetMode="External" Id="rId482"/><Relationship Type="http://schemas.openxmlformats.org/officeDocument/2006/relationships/hyperlink" Target="https://www.fierabolzano.it/en/tempo-libero/exhibitor/brunner-gmbh" TargetMode="External" Id="rId483"/><Relationship Type="http://schemas.openxmlformats.org/officeDocument/2006/relationships/hyperlink" Target="https://www.fierabolzano.it/en/tempo-libero/exhibitor/brunner-gmbh" TargetMode="External" Id="rId484"/><Relationship Type="http://schemas.openxmlformats.org/officeDocument/2006/relationships/hyperlink" Target="https://www.linkedin.com/search/results/companies/?keywords=Brunner+GmbH%2FSrl" TargetMode="External" Id="rId485"/><Relationship Type="http://schemas.openxmlformats.org/officeDocument/2006/relationships/hyperlink" Target="https://www.carioca.com" TargetMode="External" Id="rId486"/><Relationship Type="http://schemas.openxmlformats.org/officeDocument/2006/relationships/hyperlink" Target="https://creativeworld.messefrankfurt.com/frankfurt/en/exhibitor-search.detail.html/carioca-spa/mf_1_0015028014_4806645_10000003202601.html" TargetMode="External" Id="rId487"/><Relationship Type="http://schemas.openxmlformats.org/officeDocument/2006/relationships/hyperlink" Target="https://www.linkedin.com/search/results/companies/?keywords=CARIOCA+S.p.A." TargetMode="External" Id="rId488"/><Relationship Type="http://schemas.openxmlformats.org/officeDocument/2006/relationships/hyperlink" Target="https://www.fila.it" TargetMode="External" Id="rId489"/><Relationship Type="http://schemas.openxmlformats.org/officeDocument/2006/relationships/hyperlink" Target="https://investors.filagroup.it/files/press_release/en/fila-pr-corporate-events-calendar-2026.pdf" TargetMode="External" Id="rId490"/><Relationship Type="http://schemas.openxmlformats.org/officeDocument/2006/relationships/hyperlink" Target="https://www.linkedin.com/search/results/companies/?keywords=F.I.L.A.+S.p.A." TargetMode="External" Id="rId491"/><Relationship Type="http://schemas.openxmlformats.org/officeDocument/2006/relationships/hyperlink" Target="https://www.clementoni.com" TargetMode="External" Id="rId492"/><Relationship Type="http://schemas.openxmlformats.org/officeDocument/2006/relationships/hyperlink" Target="https://en.wikipedia.org/wiki/Clementoni" TargetMode="External" Id="rId493"/><Relationship Type="http://schemas.openxmlformats.org/officeDocument/2006/relationships/hyperlink" Target="https://www.linkedin.com/search/results/companies/?keywords=Clementoni+S.p.A." TargetMode="External" Id="rId494"/><Relationship Type="http://schemas.openxmlformats.org/officeDocument/2006/relationships/hyperlink" Target="https://www.quercetti.com" TargetMode="External" Id="rId495"/><Relationship Type="http://schemas.openxmlformats.org/officeDocument/2006/relationships/hyperlink" Target="https://www.importgenius.com/suppliers/quercetti-c-spa" TargetMode="External" Id="rId496"/><Relationship Type="http://schemas.openxmlformats.org/officeDocument/2006/relationships/hyperlink" Target="https://www.linkedin.com/search/results/companies/?keywords=Quercetti+%26+C.+S.p.A." TargetMode="External" Id="rId497"/><Relationship Type="http://schemas.openxmlformats.org/officeDocument/2006/relationships/hyperlink" Target="https://www.liscianigiochi.it" TargetMode="External" Id="rId498"/><Relationship Type="http://schemas.openxmlformats.org/officeDocument/2006/relationships/hyperlink" Target="https://en.ilsole24ore.com/art/lisciani-cresceremo-ue-grazie-innovazione-e-qualita-AElH4iyB" TargetMode="External" Id="rId499"/><Relationship Type="http://schemas.openxmlformats.org/officeDocument/2006/relationships/hyperlink" Target="https://www.linkedin.com/search/results/companies/?keywords=Liscianigiochi+S.p.A." TargetMode="External" Id="rId500"/><Relationship Type="http://schemas.openxmlformats.org/officeDocument/2006/relationships/hyperlink" Target="https://faire.com/brand/b_th6zdpbbr9" TargetMode="External" Id="rId501"/><Relationship Type="http://schemas.openxmlformats.org/officeDocument/2006/relationships/hyperlink" Target="https://www.linkedin.com/search/results/companies/?keywords=Joy+Toy+SpA" TargetMode="External" Id="rId502"/><Relationship Type="http://schemas.openxmlformats.org/officeDocument/2006/relationships/hyperlink" Target="https://madaracosmetics.lv/investors/" TargetMode="External" Id="rId503"/><Relationship Type="http://schemas.openxmlformats.org/officeDocument/2006/relationships/hyperlink" Target="https://nasdaqbaltic.com/statistics/en/ir/e6a2d1da36/company" TargetMode="External" Id="rId504"/><Relationship Type="http://schemas.openxmlformats.org/officeDocument/2006/relationships/hyperlink" Target="https://www.linkedin.com/search/results/companies/?keywords=AS+MADARA+Cosmetics" TargetMode="External" Id="rId505"/><Relationship Type="http://schemas.openxmlformats.org/officeDocument/2006/relationships/hyperlink" Target="https://linkedin.com/company/do-ho" TargetMode="External" Id="rId506"/><Relationship Type="http://schemas.openxmlformats.org/officeDocument/2006/relationships/hyperlink" Target="https://linkedin.com/company/do-ho" TargetMode="External" Id="rId507"/><Relationship Type="http://schemas.openxmlformats.org/officeDocument/2006/relationships/hyperlink" Target="https://www.linkedin.com/search/results/companies/?keywords=Doho" TargetMode="External" Id="rId508"/><Relationship Type="http://schemas.openxmlformats.org/officeDocument/2006/relationships/hyperlink" Target="https://www.curver.com" TargetMode="External" Id="rId509"/><Relationship Type="http://schemas.openxmlformats.org/officeDocument/2006/relationships/hyperlink" Target="https://ambiente.messefrankfurt.com/frankfurt/en/exhibitor-search.detail.html/keter-luxembourg-sarl.html" TargetMode="External" Id="rId510"/><Relationship Type="http://schemas.openxmlformats.org/officeDocument/2006/relationships/hyperlink" Target="https://www.linkedin.com/search/results/companies/?keywords=Keter+Luxembourg+SARL" TargetMode="External" Id="rId511"/><Relationship Type="http://schemas.openxmlformats.org/officeDocument/2006/relationships/hyperlink" Target="https://difrax.com/en/pages/about-us" TargetMode="External" Id="rId512"/><Relationship Type="http://schemas.openxmlformats.org/officeDocument/2006/relationships/hyperlink" Target="https://difrax.com/en-be/pages/partners" TargetMode="External" Id="rId513"/><Relationship Type="http://schemas.openxmlformats.org/officeDocument/2006/relationships/hyperlink" Target="https://www.linkedin.com/search/results/companies/?keywords=Difrax+B.V." TargetMode="External" Id="rId514"/><Relationship Type="http://schemas.openxmlformats.org/officeDocument/2006/relationships/hyperlink" Target="https://www.bebe-jou.com" TargetMode="External" Id="rId515"/><Relationship Type="http://schemas.openxmlformats.org/officeDocument/2006/relationships/hyperlink" Target="https://www.ampliz.com/company/atelier-49-nederland-bv/88683046" TargetMode="External" Id="rId516"/><Relationship Type="http://schemas.openxmlformats.org/officeDocument/2006/relationships/hyperlink" Target="https://www.linkedin.com/search/results/companies/?keywords=Atelier+49+Nederland+B.V." TargetMode="External" Id="rId517"/><Relationship Type="http://schemas.openxmlformats.org/officeDocument/2006/relationships/hyperlink" Target="https://www.beautetrade.com/suppliers/ah-beauty-bv-107939/" TargetMode="External" Id="rId518"/><Relationship Type="http://schemas.openxmlformats.org/officeDocument/2006/relationships/hyperlink" Target="https://www.beautetrade.com/suppliers/ah-beauty-bv-107939/" TargetMode="External" Id="rId519"/><Relationship Type="http://schemas.openxmlformats.org/officeDocument/2006/relationships/hyperlink" Target="https://www.linkedin.com/search/results/companies/?keywords=AH+Beaut%C3%A9+BV" TargetMode="External" Id="rId520"/><Relationship Type="http://schemas.openxmlformats.org/officeDocument/2006/relationships/hyperlink" Target="https://www.groothandelbeauty.nl" TargetMode="External" Id="rId521"/><Relationship Type="http://schemas.openxmlformats.org/officeDocument/2006/relationships/hyperlink" Target="https://oncosmetics.com/company/groothandel-beauty/" TargetMode="External" Id="rId522"/><Relationship Type="http://schemas.openxmlformats.org/officeDocument/2006/relationships/hyperlink" Target="https://www.linkedin.com/search/results/companies/?keywords=Groothandel+Beauty" TargetMode="External" Id="rId523"/><Relationship Type="http://schemas.openxmlformats.org/officeDocument/2006/relationships/hyperlink" Target="https://beautinow.com/wholesale-perfume-supplier-europe/" TargetMode="External" Id="rId524"/><Relationship Type="http://schemas.openxmlformats.org/officeDocument/2006/relationships/hyperlink" Target="https://beautinow.com/wholesale-perfume-supplier-europe/" TargetMode="External" Id="rId525"/><Relationship Type="http://schemas.openxmlformats.org/officeDocument/2006/relationships/hyperlink" Target="https://www.linkedin.com/search/results/companies/?keywords=Beautinow+B.V." TargetMode="External" Id="rId526"/><Relationship Type="http://schemas.openxmlformats.org/officeDocument/2006/relationships/hyperlink" Target="https://www.morningstar.com.au/investments/security/fra/70B" TargetMode="External" Id="rId527"/><Relationship Type="http://schemas.openxmlformats.org/officeDocument/2006/relationships/hyperlink" Target="https://www.linkedin.com/search/results/companies/?keywords=B%26S+Group" TargetMode="External" Id="rId528"/><Relationship Type="http://schemas.openxmlformats.org/officeDocument/2006/relationships/hyperlink" Target="https://elegancewholesale.co.nl" TargetMode="External" Id="rId529"/><Relationship Type="http://schemas.openxmlformats.org/officeDocument/2006/relationships/hyperlink" Target="https://elegancewholesale.co.nl/partner-with-us" TargetMode="External" Id="rId530"/><Relationship Type="http://schemas.openxmlformats.org/officeDocument/2006/relationships/hyperlink" Target="https://www.linkedin.com/search/results/companies/?keywords=EleganceWholesale" TargetMode="External" Id="rId531"/><Relationship Type="http://schemas.openxmlformats.org/officeDocument/2006/relationships/hyperlink" Target="https://www.beautetrade.com/products/global-wholesale-distributor-of-cosmetics-skincare-fragrances/75837" TargetMode="External" Id="rId532"/><Relationship Type="http://schemas.openxmlformats.org/officeDocument/2006/relationships/hyperlink" Target="https://freshdi.com/supplier/Join-Stadskanaal-B-V-" TargetMode="External" Id="rId533"/><Relationship Type="http://schemas.openxmlformats.org/officeDocument/2006/relationships/hyperlink" Target="https://www.linkedin.com/search/results/companies/?keywords=Join+Stadskanaal+B.V." TargetMode="External" Id="rId534"/><Relationship Type="http://schemas.openxmlformats.org/officeDocument/2006/relationships/hyperlink" Target="https://www.westcoastsupplygroup.com" TargetMode="External" Id="rId535"/><Relationship Type="http://schemas.openxmlformats.org/officeDocument/2006/relationships/hyperlink" Target="https://linkedin.com/company/wcsg" TargetMode="External" Id="rId536"/><Relationship Type="http://schemas.openxmlformats.org/officeDocument/2006/relationships/hyperlink" Target="https://www.linkedin.com/search/results/companies/?keywords=West+Coast+Supply+Group" TargetMode="External" Id="rId537"/><Relationship Type="http://schemas.openxmlformats.org/officeDocument/2006/relationships/hyperlink" Target="https://www.makro.nl" TargetMode="External" Id="rId538"/><Relationship Type="http://schemas.openxmlformats.org/officeDocument/2006/relationships/hyperlink" Target="https://help.makro.nl/en/support/solutions/articles/77000586989-can-i-use-a-foreign-makro-or-metro-card-" TargetMode="External" Id="rId539"/><Relationship Type="http://schemas.openxmlformats.org/officeDocument/2006/relationships/hyperlink" Target="https://www.linkedin.com/search/results/companies/?keywords=METRO+%2F+Makro" TargetMode="External" Id="rId540"/><Relationship Type="http://schemas.openxmlformats.org/officeDocument/2006/relationships/hyperlink" Target="https://www.naskorsports.com" TargetMode="External" Id="rId541"/><Relationship Type="http://schemas.openxmlformats.org/officeDocument/2006/relationships/hyperlink" Target="https://bestfoodimporters.com/company/naskorsports-b-v/" TargetMode="External" Id="rId542"/><Relationship Type="http://schemas.openxmlformats.org/officeDocument/2006/relationships/hyperlink" Target="https://www.linkedin.com/search/results/companies/?keywords=NaskorSports+B.V." TargetMode="External" Id="rId543"/><Relationship Type="http://schemas.openxmlformats.org/officeDocument/2006/relationships/hyperlink" Target="https://parallelbroker.com" TargetMode="External" Id="rId544"/><Relationship Type="http://schemas.openxmlformats.org/officeDocument/2006/relationships/hyperlink" Target="https://parallelbroker.com/product/8700216753043" TargetMode="External" Id="rId545"/><Relationship Type="http://schemas.openxmlformats.org/officeDocument/2006/relationships/hyperlink" Target="https://www.linkedin.com/search/results/companies/?keywords=Parallel+B.V." TargetMode="External" Id="rId546"/><Relationship Type="http://schemas.openxmlformats.org/officeDocument/2006/relationships/hyperlink" Target="https://www.topbrands.nl" TargetMode="External" Id="rId547"/><Relationship Type="http://schemas.openxmlformats.org/officeDocument/2006/relationships/hyperlink" Target="https://www.topbrands.nl/faq/" TargetMode="External" Id="rId548"/><Relationship Type="http://schemas.openxmlformats.org/officeDocument/2006/relationships/hyperlink" Target="https://www.linkedin.com/search/results/companies/?keywords=Topbrands" TargetMode="External" Id="rId549"/><Relationship Type="http://schemas.openxmlformats.org/officeDocument/2006/relationships/hyperlink" Target="https://www.cosmeticapartijen.nl" TargetMode="External" Id="rId550"/><Relationship Type="http://schemas.openxmlformats.org/officeDocument/2006/relationships/hyperlink" Target="https://oncosmetics.com/company/van-der-tang-trading/" TargetMode="External" Id="rId551"/><Relationship Type="http://schemas.openxmlformats.org/officeDocument/2006/relationships/hyperlink" Target="https://www.linkedin.com/search/results/companies/?keywords=Van+der+Tang+Trading" TargetMode="External" Id="rId552"/><Relationship Type="http://schemas.openxmlformats.org/officeDocument/2006/relationships/hyperlink" Target="https://w-pharma-europe3.odoo.com" TargetMode="External" Id="rId553"/><Relationship Type="http://schemas.openxmlformats.org/officeDocument/2006/relationships/hyperlink" Target="https://w-pharma-europe3.odoo.com/about-us" TargetMode="External" Id="rId554"/><Relationship Type="http://schemas.openxmlformats.org/officeDocument/2006/relationships/hyperlink" Target="https://www.linkedin.com/search/results/companies/?keywords=W+Pharma+Europe" TargetMode="External" Id="rId555"/><Relationship Type="http://schemas.openxmlformats.org/officeDocument/2006/relationships/hyperlink" Target="https://www.beautetrade.com/suppliers/europe-pharma-group-bv-83659/" TargetMode="External" Id="rId556"/><Relationship Type="http://schemas.openxmlformats.org/officeDocument/2006/relationships/hyperlink" Target="https://www.beautetrade.com/suppliers/europe-pharma-group-bv-83659/" TargetMode="External" Id="rId557"/><Relationship Type="http://schemas.openxmlformats.org/officeDocument/2006/relationships/hyperlink" Target="https://www.linkedin.com/search/results/companies/?keywords=Europe+Pharma+Group+B.V." TargetMode="External" Id="rId558"/><Relationship Type="http://schemas.openxmlformats.org/officeDocument/2006/relationships/hyperlink" Target="https://www.bolsius.com" TargetMode="External" Id="rId559"/><Relationship Type="http://schemas.openxmlformats.org/officeDocument/2006/relationships/hyperlink" Target="https://ambiente.messefrankfurt.com/frankfurt/en/exhibitor-search.detail.html/bolsius-polska-sprzeda-sp-z-oo/mf_1_0052479373_4070370_10000001202501.html" TargetMode="External" Id="rId560"/><Relationship Type="http://schemas.openxmlformats.org/officeDocument/2006/relationships/hyperlink" Target="https://www.linkedin.com/search/results/companies/?keywords=Bolsius+Nederland+BV" TargetMode="External" Id="rId561"/><Relationship Type="http://schemas.openxmlformats.org/officeDocument/2006/relationships/hyperlink" Target="https://www.koopmanint.com/en/" TargetMode="External" Id="rId562"/><Relationship Type="http://schemas.openxmlformats.org/officeDocument/2006/relationships/hyperlink" Target="https://www.koopmanint.com/en/discover-koopman/" TargetMode="External" Id="rId563"/><Relationship Type="http://schemas.openxmlformats.org/officeDocument/2006/relationships/hyperlink" Target="https://www.linkedin.com/search/results/companies/?keywords=Koopman+International+B.V." TargetMode="External" Id="rId564"/><Relationship Type="http://schemas.openxmlformats.org/officeDocument/2006/relationships/hyperlink" Target="https://www.mepal.com" TargetMode="External" Id="rId565"/><Relationship Type="http://schemas.openxmlformats.org/officeDocument/2006/relationships/hyperlink" Target="https://www.kruidvat.nl/mepal-campus-750-ml-lunchbox-unicorn-glow/p/mp-00070767" TargetMode="External" Id="rId566"/><Relationship Type="http://schemas.openxmlformats.org/officeDocument/2006/relationships/hyperlink" Target="https://www.linkedin.com/search/results/companies/?keywords=Mepal+B.V." TargetMode="External" Id="rId567"/><Relationship Type="http://schemas.openxmlformats.org/officeDocument/2006/relationships/hyperlink" Target="https://www.tristar.eu" TargetMode="External" Id="rId568"/><Relationship Type="http://schemas.openxmlformats.org/officeDocument/2006/relationships/hyperlink" Target="https://www.npm-capital.com/en/investments/smartwares" TargetMode="External" Id="rId569"/><Relationship Type="http://schemas.openxmlformats.org/officeDocument/2006/relationships/hyperlink" Target="https://www.linkedin.com/search/results/companies/?keywords=Tristar+Europe+B.V." TargetMode="External" Id="rId570"/><Relationship Type="http://schemas.openxmlformats.org/officeDocument/2006/relationships/hyperlink" Target="https://www.brabantia.com/uk/offices" TargetMode="External" Id="rId571"/><Relationship Type="http://schemas.openxmlformats.org/officeDocument/2006/relationships/hyperlink" Target="https://www.brabantia.com/int_en/offices" TargetMode="External" Id="rId572"/><Relationship Type="http://schemas.openxmlformats.org/officeDocument/2006/relationships/hyperlink" Target="https://www.linkedin.com/search/results/companies/?keywords=Brabantia+Export+BV" TargetMode="External" Id="rId573"/><Relationship Type="http://schemas.openxmlformats.org/officeDocument/2006/relationships/hyperlink" Target="https://www.sunware.nl" TargetMode="External" Id="rId574"/><Relationship Type="http://schemas.openxmlformats.org/officeDocument/2006/relationships/hyperlink" Target="https://prospeo.io/c/sunware-email-format" TargetMode="External" Id="rId575"/><Relationship Type="http://schemas.openxmlformats.org/officeDocument/2006/relationships/hyperlink" Target="https://www.linkedin.com/search/results/companies/?keywords=Sunware+B.V." TargetMode="External" Id="rId576"/><Relationship Type="http://schemas.openxmlformats.org/officeDocument/2006/relationships/hyperlink" Target="https://www.vidaxl.com" TargetMode="External" Id="rId577"/><Relationship Type="http://schemas.openxmlformats.org/officeDocument/2006/relationships/hyperlink" Target="https://ecommerce-platforms.com/?p=86722" TargetMode="External" Id="rId578"/><Relationship Type="http://schemas.openxmlformats.org/officeDocument/2006/relationships/hyperlink" Target="https://www.linkedin.com/search/results/companies/?keywords=vidaXL+%2F+dropshippingXL" TargetMode="External" Id="rId579"/><Relationship Type="http://schemas.openxmlformats.org/officeDocument/2006/relationships/hyperlink" Target="https://www.beaphar.com" TargetMode="External" Id="rId580"/><Relationship Type="http://schemas.openxmlformats.org/officeDocument/2006/relationships/hyperlink" Target="https://www.creditsafe.com/business-index/en-us/company/beaphar-bv-nl02390596" TargetMode="External" Id="rId581"/><Relationship Type="http://schemas.openxmlformats.org/officeDocument/2006/relationships/hyperlink" Target="https://www.linkedin.com/search/results/companies/?keywords=Beaphar+B.V." TargetMode="External" Id="rId582"/><Relationship Type="http://schemas.openxmlformats.org/officeDocument/2006/relationships/hyperlink" Target="https://www.beeztees.nl" TargetMode="External" Id="rId583"/><Relationship Type="http://schemas.openxmlformats.org/officeDocument/2006/relationships/hyperlink" Target="https://globalpetindustry.com/article/beeztees-netherlands/" TargetMode="External" Id="rId584"/><Relationship Type="http://schemas.openxmlformats.org/officeDocument/2006/relationships/hyperlink" Target="https://www.linkedin.com/search/results/companies/?keywords=Beeztees" TargetMode="External" Id="rId585"/><Relationship Type="http://schemas.openxmlformats.org/officeDocument/2006/relationships/hyperlink" Target="https://www.vandermeerrotterdam.nl" TargetMode="External" Id="rId586"/><Relationship Type="http://schemas.openxmlformats.org/officeDocument/2006/relationships/hyperlink" Target="https://wisepim.com/suppliers/vandermeer" TargetMode="External" Id="rId587"/><Relationship Type="http://schemas.openxmlformats.org/officeDocument/2006/relationships/hyperlink" Target="https://www.linkedin.com/search/results/companies/?keywords=Van+der+Meer+Groothandel+in+Dierbenodigdheden+B.V." TargetMode="External" Id="rId588"/><Relationship Type="http://schemas.openxmlformats.org/officeDocument/2006/relationships/hyperlink" Target="https://www.papillonpetproducts.com" TargetMode="External" Id="rId589"/><Relationship Type="http://schemas.openxmlformats.org/officeDocument/2006/relationships/hyperlink" Target="https://www.interzoo.com/en/exhibitors/papillon-pet-products-bv-2227601" TargetMode="External" Id="rId590"/><Relationship Type="http://schemas.openxmlformats.org/officeDocument/2006/relationships/hyperlink" Target="https://www.linkedin.com/search/results/companies/?keywords=Papillon+Pet+Products+B.V." TargetMode="External" Id="rId591"/><Relationship Type="http://schemas.openxmlformats.org/officeDocument/2006/relationships/hyperlink" Target="https://www.tunturi.com" TargetMode="External" Id="rId592"/><Relationship Type="http://schemas.openxmlformats.org/officeDocument/2006/relationships/hyperlink" Target="https://velomarket.ee/en/?p=443827" TargetMode="External" Id="rId593"/><Relationship Type="http://schemas.openxmlformats.org/officeDocument/2006/relationships/hyperlink" Target="https://www.linkedin.com/search/results/companies/?keywords=Tunturi+New+Fitness+B.V." TargetMode="External" Id="rId594"/><Relationship Type="http://schemas.openxmlformats.org/officeDocument/2006/relationships/hyperlink" Target="https://www.decathlon.nl/mp/seller/nrg-fitness-bv/14f44405-4091-46fe-a1eb-7c464a2aad45" TargetMode="External" Id="rId595"/><Relationship Type="http://schemas.openxmlformats.org/officeDocument/2006/relationships/hyperlink" Target="https://a-leads.co/company/4831514_ef0af7b8" TargetMode="External" Id="rId596"/><Relationship Type="http://schemas.openxmlformats.org/officeDocument/2006/relationships/hyperlink" Target="https://www.linkedin.com/search/results/companies/?keywords=NRG+Fitness+B.V." TargetMode="External" Id="rId597"/><Relationship Type="http://schemas.openxmlformats.org/officeDocument/2006/relationships/hyperlink" Target="https://www.also.com/ec/cms5/en_2420/2420/index.jsp" TargetMode="External" Id="rId598"/><Relationship Type="http://schemas.openxmlformats.org/officeDocument/2006/relationships/hyperlink" Target="https://www.also.com/ec/cms5/2420/ContentStart.do" TargetMode="External" Id="rId599"/><Relationship Type="http://schemas.openxmlformats.org/officeDocument/2006/relationships/hyperlink" Target="https://www.linkedin.com/search/results/companies/?keywords=ALSO+Nederland" TargetMode="External" Id="rId600"/><Relationship Type="http://schemas.openxmlformats.org/officeDocument/2006/relationships/hyperlink" Target="https://wisepim.com/suppliers/complies" TargetMode="External" Id="rId601"/><Relationship Type="http://schemas.openxmlformats.org/officeDocument/2006/relationships/hyperlink" Target="https://wisepim.com/suppliers/complies" TargetMode="External" Id="rId602"/><Relationship Type="http://schemas.openxmlformats.org/officeDocument/2006/relationships/hyperlink" Target="https://www.linkedin.com/search/results/companies/?keywords=Complies+BV" TargetMode="External" Id="rId603"/><Relationship Type="http://schemas.openxmlformats.org/officeDocument/2006/relationships/hyperlink" Target="https://epngames.com" TargetMode="External" Id="rId604"/><Relationship Type="http://schemas.openxmlformats.org/officeDocument/2006/relationships/hyperlink" Target="https://epngames.com/about-us" TargetMode="External" Id="rId605"/><Relationship Type="http://schemas.openxmlformats.org/officeDocument/2006/relationships/hyperlink" Target="https://www.linkedin.com/search/results/companies/?keywords=European+Player+Network" TargetMode="External" Id="rId606"/><Relationship Type="http://schemas.openxmlformats.org/officeDocument/2006/relationships/hyperlink" Target="https://www.jumbo.eu/en/about/" TargetMode="External" Id="rId607"/><Relationship Type="http://schemas.openxmlformats.org/officeDocument/2006/relationships/hyperlink" Target="https://www.jumbo.eu/en/about/" TargetMode="External" Id="rId608"/><Relationship Type="http://schemas.openxmlformats.org/officeDocument/2006/relationships/hyperlink" Target="https://www.linkedin.com/search/results/companies/?keywords=Koninklijke+Jumbo+B.V." TargetMode="External" Id="rId609"/><Relationship Type="http://schemas.openxmlformats.org/officeDocument/2006/relationships/hyperlink" Target="https://www.ses-creative.com" TargetMode="External" Id="rId610"/><Relationship Type="http://schemas.openxmlformats.org/officeDocument/2006/relationships/hyperlink" Target="https://toyfair.co.uk/?p=53577" TargetMode="External" Id="rId611"/><Relationship Type="http://schemas.openxmlformats.org/officeDocument/2006/relationships/hyperlink" Target="https://www.linkedin.com/search/results/companies/?keywords=SES+Creative+B.V." TargetMode="External" Id="rId612"/><Relationship Type="http://schemas.openxmlformats.org/officeDocument/2006/relationships/hyperlink" Target="https://www.spectrontoys.com" TargetMode="External" Id="rId613"/><Relationship Type="http://schemas.openxmlformats.org/officeDocument/2006/relationships/hyperlink" Target="https://iceclog.com/dutch-toy-company-spectron-publishes-brands-in-icecats-toy-data-model" TargetMode="External" Id="rId614"/><Relationship Type="http://schemas.openxmlformats.org/officeDocument/2006/relationships/hyperlink" Target="https://www.linkedin.com/search/results/companies/?keywords=Spectron+The+Toy+Company" TargetMode="External" Id="rId615"/><Relationship Type="http://schemas.openxmlformats.org/officeDocument/2006/relationships/hyperlink" Target="https://www.liza.nl/en/17072521/toi-toys" TargetMode="External" Id="rId616"/><Relationship Type="http://schemas.openxmlformats.org/officeDocument/2006/relationships/hyperlink" Target="https://www.linkedin.com/search/results/companies/?keywords=Toi-Toys" TargetMode="External" Id="rId617"/><Relationship Type="http://schemas.openxmlformats.org/officeDocument/2006/relationships/hyperlink" Target="https://iaapa.org/partners/marketplace/bellus-toys-bv" TargetMode="External" Id="rId618"/><Relationship Type="http://schemas.openxmlformats.org/officeDocument/2006/relationships/hyperlink" Target="https://iaapa.org/partners/marketplace/bellus-toys-bv" TargetMode="External" Id="rId619"/><Relationship Type="http://schemas.openxmlformats.org/officeDocument/2006/relationships/hyperlink" Target="https://www.linkedin.com/search/results/companies/?keywords=Bellus+Toys+B.V." TargetMode="External" Id="rId620"/><Relationship Type="http://schemas.openxmlformats.org/officeDocument/2006/relationships/hyperlink" Target="https://www.channeldistribution.nl" TargetMode="External" Id="rId621"/><Relationship Type="http://schemas.openxmlformats.org/officeDocument/2006/relationships/hyperlink" Target="https://www.ampliz.com/company/channel-distribution-bv/90357002" TargetMode="External" Id="rId622"/><Relationship Type="http://schemas.openxmlformats.org/officeDocument/2006/relationships/hyperlink" Target="https://www.linkedin.com/search/results/companies/?keywords=Channel+Distribution+B.V." TargetMode="External" Id="rId623"/><Relationship Type="http://schemas.openxmlformats.org/officeDocument/2006/relationships/hyperlink" Target="https://merkandi.com" TargetMode="External" Id="rId624"/><Relationship Type="http://schemas.openxmlformats.org/officeDocument/2006/relationships/hyperlink" Target="https://tr-web.dev.trustradius.com/products/merkandi-com" TargetMode="External" Id="rId625"/><Relationship Type="http://schemas.openxmlformats.org/officeDocument/2006/relationships/hyperlink" Target="https://www.linkedin.com/search/results/companies/?keywords=Merkandi" TargetMode="External" Id="rId626"/><Relationship Type="http://schemas.openxmlformats.org/officeDocument/2006/relationships/hyperlink" Target="https://www.lionelo.com" TargetMode="External" Id="rId627"/><Relationship Type="http://schemas.openxmlformats.org/officeDocument/2006/relationships/hyperlink" Target="https://targikielce.pl/en/kids-time-2024/list-of-exhibitors/lionelo,2162562" TargetMode="External" Id="rId628"/><Relationship Type="http://schemas.openxmlformats.org/officeDocument/2006/relationships/hyperlink" Target="https://www.linkedin.com/search/results/companies/?keywords=BrandLine+Group+Sp.+z+o.o." TargetMode="External" Id="rId629"/><Relationship Type="http://schemas.openxmlformats.org/officeDocument/2006/relationships/hyperlink" Target="https://www.kinderkraft.com" TargetMode="External" Id="rId630"/><Relationship Type="http://schemas.openxmlformats.org/officeDocument/2006/relationships/hyperlink" Target="https://www.preqin.com/data/profile/asset/4kraft-sp--z-o-o-/718573" TargetMode="External" Id="rId631"/><Relationship Type="http://schemas.openxmlformats.org/officeDocument/2006/relationships/hyperlink" Target="https://www.linkedin.com/search/results/companies/?keywords=4Kraft+Sp.+z+o.o." TargetMode="External" Id="rId632"/><Relationship Type="http://schemas.openxmlformats.org/officeDocument/2006/relationships/hyperlink" Target="https://canpolbabies.com/gb_EN/about-us" TargetMode="External" Id="rId633"/><Relationship Type="http://schemas.openxmlformats.org/officeDocument/2006/relationships/hyperlink" Target="https://compabase.com/companies/krs/0000732574" TargetMode="External" Id="rId634"/><Relationship Type="http://schemas.openxmlformats.org/officeDocument/2006/relationships/hyperlink" Target="https://www.linkedin.com/search/results/companies/?keywords=Canpol+Sp.+z+o.o." TargetMode="External" Id="rId635"/><Relationship Type="http://schemas.openxmlformats.org/officeDocument/2006/relationships/hyperlink" Target="https://www.qogita.com/brands/babyono/" TargetMode="External" Id="rId636"/><Relationship Type="http://schemas.openxmlformats.org/officeDocument/2006/relationships/hyperlink" Target="https://www.linkedin.com/search/results/companies/?keywords=BabyOno" TargetMode="External" Id="rId637"/><Relationship Type="http://schemas.openxmlformats.org/officeDocument/2006/relationships/hyperlink" Target="https://trade.gov.pl/en/?p=63431" TargetMode="External" Id="rId638"/><Relationship Type="http://schemas.openxmlformats.org/officeDocument/2006/relationships/hyperlink" Target="https://targikielce.pl/en/kids-time-2024/list-of-exhibitors/kids-inspirations-spolka-z-ograniczona-odpowiedzialnoscia,2162962" TargetMode="External" Id="rId639"/><Relationship Type="http://schemas.openxmlformats.org/officeDocument/2006/relationships/hyperlink" Target="https://www.linkedin.com/search/results/companies/?keywords=Kids+Inspirations+Sp.+z+o.o." TargetMode="External" Id="rId640"/><Relationship Type="http://schemas.openxmlformats.org/officeDocument/2006/relationships/hyperlink" Target="https://www.bielenda.pl/en/about-us" TargetMode="External" Id="rId641"/><Relationship Type="http://schemas.openxmlformats.org/officeDocument/2006/relationships/hyperlink" Target="https://www.bielenda.pl/en/about-us" TargetMode="External" Id="rId642"/><Relationship Type="http://schemas.openxmlformats.org/officeDocument/2006/relationships/hyperlink" Target="https://www.linkedin.com/search/results/companies/?keywords=Bielenda+Group+S.A." TargetMode="External" Id="rId643"/><Relationship Type="http://schemas.openxmlformats.org/officeDocument/2006/relationships/hyperlink" Target="https://www.trade.gov.pl/en/support/bydgoszcz-regional-development-agency/page/103" TargetMode="External" Id="rId644"/><Relationship Type="http://schemas.openxmlformats.org/officeDocument/2006/relationships/hyperlink" Target="https://www.linkedin.com/search/results/companies/?keywords=Delia+Cosmetics+Sp.+z+o.o." TargetMode="External" Id="rId645"/><Relationship Type="http://schemas.openxmlformats.org/officeDocument/2006/relationships/hyperlink" Target="https://www.eveline.com.pl" TargetMode="External" Id="rId646"/><Relationship Type="http://schemas.openxmlformats.org/officeDocument/2006/relationships/hyperlink" Target="https://targikielce.pl/en/about-us/news/eveline-cosmetics-is-the-largest-polish-manufacturer-and-exporter-of-cosmetics-,29522" TargetMode="External" Id="rId647"/><Relationship Type="http://schemas.openxmlformats.org/officeDocument/2006/relationships/hyperlink" Target="https://www.linkedin.com/search/results/companies/?keywords=Eveline+Cosmetics" TargetMode="External" Id="rId648"/><Relationship Type="http://schemas.openxmlformats.org/officeDocument/2006/relationships/hyperlink" Target="https://farmona.pl/en/company/export/" TargetMode="External" Id="rId649"/><Relationship Type="http://schemas.openxmlformats.org/officeDocument/2006/relationships/hyperlink" Target="https://farmona.pl/en/company/export/" TargetMode="External" Id="rId650"/><Relationship Type="http://schemas.openxmlformats.org/officeDocument/2006/relationships/hyperlink" Target="https://www.linkedin.com/search/results/companies/?keywords=Laboratorium+Kosmetyk%C3%B3w+Naturalnych+Farmona+Sp.+z+o.o." TargetMode="External" Id="rId651"/><Relationship Type="http://schemas.openxmlformats.org/officeDocument/2006/relationships/hyperlink" Target="https://www.wiadomoscikosmetyczne.pl/dystrybucja-kosmetykow/e-commerce/hurtownia-davi-uruchomila-platforme-sprzedazy-b2b-2359907" TargetMode="External" Id="rId652"/><Relationship Type="http://schemas.openxmlformats.org/officeDocument/2006/relationships/hyperlink" Target="https://www.linkedin.com/search/results/companies/?keywords=Davi" TargetMode="External" Id="rId653"/><Relationship Type="http://schemas.openxmlformats.org/officeDocument/2006/relationships/hyperlink" Target="https://corp.inglotcosmetics.com/about-us/company-overview/" TargetMode="External" Id="rId654"/><Relationship Type="http://schemas.openxmlformats.org/officeDocument/2006/relationships/hyperlink" Target="https://corp.inglotcosmetics.com/about-us/company-overview/" TargetMode="External" Id="rId655"/><Relationship Type="http://schemas.openxmlformats.org/officeDocument/2006/relationships/hyperlink" Target="https://www.linkedin.com/search/results/companies/?keywords=INGLOT+Sp.+z+o.o." TargetMode="External" Id="rId656"/><Relationship Type="http://schemas.openxmlformats.org/officeDocument/2006/relationships/hyperlink" Target="https://www.wiadomoscikosmetyczne.pl/producent-kosmetykow/polska-marka-joanna-ma-juz-40-lat-2366202" TargetMode="External" Id="rId657"/><Relationship Type="http://schemas.openxmlformats.org/officeDocument/2006/relationships/hyperlink" Target="https://www.linkedin.com/search/results/companies/?keywords=Laboratorium+Kosmetyczne+Joanna+sp.j." TargetMode="External" Id="rId658"/><Relationship Type="http://schemas.openxmlformats.org/officeDocument/2006/relationships/hyperlink" Target="https://www.ziaja.com" TargetMode="External" Id="rId659"/><Relationship Type="http://schemas.openxmlformats.org/officeDocument/2006/relationships/hyperlink" Target="https://en.wikipedia.org/wiki/Ziaja_(company)" TargetMode="External" Id="rId660"/><Relationship Type="http://schemas.openxmlformats.org/officeDocument/2006/relationships/hyperlink" Target="https://www.linkedin.com/search/results/companies/?keywords=Ziaja+Ltd" TargetMode="External" Id="rId661"/><Relationship Type="http://schemas.openxmlformats.org/officeDocument/2006/relationships/hyperlink" Target="https://toya.pl/en/toya-group" TargetMode="External" Id="rId662"/><Relationship Type="http://schemas.openxmlformats.org/officeDocument/2006/relationships/hyperlink" Target="https://exhibitorsearch.messefrankfurt.com/images/original/document_downloads/10000007202401/295876/1720510205203_556018761.pdf" TargetMode="External" Id="rId663"/><Relationship Type="http://schemas.openxmlformats.org/officeDocument/2006/relationships/hyperlink" Target="https://www.linkedin.com/search/results/companies/?keywords=TOYA+S.A." TargetMode="External" Id="rId664"/><Relationship Type="http://schemas.openxmlformats.org/officeDocument/2006/relationships/hyperlink" Target="https://www.gtx-group.com/en/about-the-company/" TargetMode="External" Id="rId665"/><Relationship Type="http://schemas.openxmlformats.org/officeDocument/2006/relationships/hyperlink" Target="https://www.gtx-group.com/en/about-the-company/" TargetMode="External" Id="rId666"/><Relationship Type="http://schemas.openxmlformats.org/officeDocument/2006/relationships/hyperlink" Target="https://www.linkedin.com/search/results/companies/?keywords=GTX+Poland+Sp.+z+o.o.+Sp.+k." TargetMode="External" Id="rId667"/><Relationship Type="http://schemas.openxmlformats.org/officeDocument/2006/relationships/hyperlink" Target="https://www.dedra.pl" TargetMode="External" Id="rId668"/><Relationship Type="http://schemas.openxmlformats.org/officeDocument/2006/relationships/hyperlink" Target="https://www.trade.gov.pl/en/?p=149761" TargetMode="External" Id="rId669"/><Relationship Type="http://schemas.openxmlformats.org/officeDocument/2006/relationships/hyperlink" Target="https://www.linkedin.com/search/results/companies/?keywords=Dedra+Exim+Sp.+z+o.o." TargetMode="External" Id="rId670"/><Relationship Type="http://schemas.openxmlformats.org/officeDocument/2006/relationships/hyperlink" Target="https://logo-tools.pl" TargetMode="External" Id="rId671"/><Relationship Type="http://schemas.openxmlformats.org/officeDocument/2006/relationships/hyperlink" Target="https://compabase.com/companies/krs/0000646758" TargetMode="External" Id="rId672"/><Relationship Type="http://schemas.openxmlformats.org/officeDocument/2006/relationships/hyperlink" Target="https://www.linkedin.com/search/results/companies/?keywords=Logo-Tools+Sp.+z+o.o." TargetMode="External" Id="rId673"/><Relationship Type="http://schemas.openxmlformats.org/officeDocument/2006/relationships/hyperlink" Target="https://www.aplikuj.pl/pracodawca/159889/alpex-tools/opinie" TargetMode="External" Id="rId674"/><Relationship Type="http://schemas.openxmlformats.org/officeDocument/2006/relationships/hyperlink" Target="https://www.linkedin.com/search/results/companies/?keywords=Alpex-Tools" TargetMode="External" Id="rId675"/><Relationship Type="http://schemas.openxmlformats.org/officeDocument/2006/relationships/hyperlink" Target="https://www.aplikuj.pl/pracodawca/80046/misterm-plus-sp-z-o-o-spolka-komandytowa" TargetMode="External" Id="rId676"/><Relationship Type="http://schemas.openxmlformats.org/officeDocument/2006/relationships/hyperlink" Target="https://www.linkedin.com/search/results/companies/?keywords=MisterM+Plus+Sp.+z+o.o.+Sp.k." TargetMode="External" Id="rId677"/><Relationship Type="http://schemas.openxmlformats.org/officeDocument/2006/relationships/hyperlink" Target="https://pracodawcy.pracuj.pl/company/1074126923" TargetMode="External" Id="rId678"/><Relationship Type="http://schemas.openxmlformats.org/officeDocument/2006/relationships/hyperlink" Target="https://www.linkedin.com/search/results/companies/?keywords=Parfum+Company+Sp.+z+o.o.+S.K.A." TargetMode="External" Id="rId679"/><Relationship Type="http://schemas.openxmlformats.org/officeDocument/2006/relationships/hyperlink" Target="https://www.olimp-supplements.com" TargetMode="External" Id="rId680"/><Relationship Type="http://schemas.openxmlformats.org/officeDocument/2006/relationships/hyperlink" Target="https://www.pracuj.pl/praca/export-specialist-for-spain-krakow,oferta,1002623625" TargetMode="External" Id="rId681"/><Relationship Type="http://schemas.openxmlformats.org/officeDocument/2006/relationships/hyperlink" Target="https://www.linkedin.com/search/results/companies/?keywords=Olimp+Laboratories+Sp.+z+o.o." TargetMode="External" Id="rId682"/><Relationship Type="http://schemas.openxmlformats.org/officeDocument/2006/relationships/hyperlink" Target="https://www.pharmacompass.com/about/olivit" TargetMode="External" Id="rId683"/><Relationship Type="http://schemas.openxmlformats.org/officeDocument/2006/relationships/hyperlink" Target="https://www.linkedin.com/search/results/companies/?keywords=Olivit+Sp.+z+o.o." TargetMode="External" Id="rId684"/><Relationship Type="http://schemas.openxmlformats.org/officeDocument/2006/relationships/hyperlink" Target="https://www.trec.pl" TargetMode="External" Id="rId685"/><Relationship Type="http://schemas.openxmlformats.org/officeDocument/2006/relationships/hyperlink" Target="https://aflofarm.com.pl/en/about-us/news/aflofarm-acquires-trec-nutrition/" TargetMode="External" Id="rId686"/><Relationship Type="http://schemas.openxmlformats.org/officeDocument/2006/relationships/hyperlink" Target="https://www.linkedin.com/search/results/companies/?keywords=Trec+Nutrition+Sp.+z+o.o." TargetMode="External" Id="rId687"/><Relationship Type="http://schemas.openxmlformats.org/officeDocument/2006/relationships/hyperlink" Target="https://www.trade.gov.pl/en/?p=51061" TargetMode="External" Id="rId688"/><Relationship Type="http://schemas.openxmlformats.org/officeDocument/2006/relationships/hyperlink" Target="https://trade.gov.pl/en/?p=51061" TargetMode="External" Id="rId689"/><Relationship Type="http://schemas.openxmlformats.org/officeDocument/2006/relationships/hyperlink" Target="https://www.linkedin.com/search/results/companies/?keywords=ZIP+Wieczorek+Sp.+z+o.o." TargetMode="External" Id="rId690"/><Relationship Type="http://schemas.openxmlformats.org/officeDocument/2006/relationships/hyperlink" Target="https://www.cede.pl/2019/en/exhibition/exhibitors-catalogue/?exh=5799" TargetMode="External" Id="rId691"/><Relationship Type="http://schemas.openxmlformats.org/officeDocument/2006/relationships/hyperlink" Target="https://www.linkedin.com/search/results/companies/?keywords=Profimed" TargetMode="External" Id="rId692"/><Relationship Type="http://schemas.openxmlformats.org/officeDocument/2006/relationships/hyperlink" Target="https://www.konex.pl" TargetMode="External" Id="rId693"/><Relationship Type="http://schemas.openxmlformats.org/officeDocument/2006/relationships/hyperlink" Target="https://trade.gov.pl/wp-content/uploads/2024/12/KONEX-2024.pdf" TargetMode="External" Id="rId694"/><Relationship Type="http://schemas.openxmlformats.org/officeDocument/2006/relationships/hyperlink" Target="https://www.linkedin.com/search/results/companies/?keywords=KONEX+Sp.+z+o.o." TargetMode="External" Id="rId695"/><Relationship Type="http://schemas.openxmlformats.org/officeDocument/2006/relationships/hyperlink" Target="https://florina.pl" TargetMode="External" Id="rId696"/><Relationship Type="http://schemas.openxmlformats.org/officeDocument/2006/relationships/hyperlink" Target="https://ambiente.messefrankfurt.com/frankfurt/de/ausstellersuche.detail.html/florentyna-sp-z-oo/mf_1_0012198027_4089836_10000001202501.html" TargetMode="External" Id="rId697"/><Relationship Type="http://schemas.openxmlformats.org/officeDocument/2006/relationships/hyperlink" Target="https://www.linkedin.com/search/results/companies/?keywords=Florentyna+Sp.+z+o.o." TargetMode="External" Id="rId698"/><Relationship Type="http://schemas.openxmlformats.org/officeDocument/2006/relationships/hyperlink" Target="https://www.gerlach.pl" TargetMode="External" Id="rId699"/><Relationship Type="http://schemas.openxmlformats.org/officeDocument/2006/relationships/hyperlink" Target="https://www.trade.gov.pl/en/?p=85342" TargetMode="External" Id="rId700"/><Relationship Type="http://schemas.openxmlformats.org/officeDocument/2006/relationships/hyperlink" Target="https://www.linkedin.com/search/results/companies/?keywords=Gerlach+S.A." TargetMode="External" Id="rId701"/><Relationship Type="http://schemas.openxmlformats.org/officeDocument/2006/relationships/hyperlink" Target="https://ambiente.messefrankfurt.com/frankfurt/en/exhibitor-search.detail.html/mtm-sp-z-oo-spk.html" TargetMode="External" Id="rId702"/><Relationship Type="http://schemas.openxmlformats.org/officeDocument/2006/relationships/hyperlink" Target="https://www.linkedin.com/search/results/companies/?keywords=M.T.M.+Sp.+z+o.o.+Sp.K." TargetMode="External" Id="rId703"/><Relationship Type="http://schemas.openxmlformats.org/officeDocument/2006/relationships/hyperlink" Target="https://www.trade.gov.pl/en/?p=150252" TargetMode="External" Id="rId704"/><Relationship Type="http://schemas.openxmlformats.org/officeDocument/2006/relationships/hyperlink" Target="https://www.trade.gov.pl/en/?p=150252" TargetMode="External" Id="rId705"/><Relationship Type="http://schemas.openxmlformats.org/officeDocument/2006/relationships/hyperlink" Target="https://www.linkedin.com/search/results/companies/?keywords=N2H+Sp.+z+o.o." TargetMode="External" Id="rId706"/><Relationship Type="http://schemas.openxmlformats.org/officeDocument/2006/relationships/hyperlink" Target="https://interzoo.com/en/exhibitors-products/c/comfy" TargetMode="External" Id="rId707"/><Relationship Type="http://schemas.openxmlformats.org/officeDocument/2006/relationships/hyperlink" Target="https://www.linkedin.com/search/results/companies/?keywords=Amiplay+Sp.+z+o.o." TargetMode="External" Id="rId708"/><Relationship Type="http://schemas.openxmlformats.org/officeDocument/2006/relationships/hyperlink" Target="https://cazo.eu" TargetMode="External" Id="rId709"/><Relationship Type="http://schemas.openxmlformats.org/officeDocument/2006/relationships/hyperlink" Target="https://www.zoomark.it/en/directory/exhibitor-detail/6135.html?id=8496" TargetMode="External" Id="rId710"/><Relationship Type="http://schemas.openxmlformats.org/officeDocument/2006/relationships/hyperlink" Target="https://www.linkedin.com/search/results/companies/?keywords=Cazo+Sp.+z+o.o." TargetMode="External" Id="rId711"/><Relationship Type="http://schemas.openxmlformats.org/officeDocument/2006/relationships/hyperlink" Target="https://www.empets.pl" TargetMode="External" Id="rId712"/><Relationship Type="http://schemas.openxmlformats.org/officeDocument/2006/relationships/hyperlink" Target="https://www.interzoo.com/en/exhibitors/empets-2227619" TargetMode="External" Id="rId713"/><Relationship Type="http://schemas.openxmlformats.org/officeDocument/2006/relationships/hyperlink" Target="https://www.linkedin.com/search/results/companies/?keywords=EMPETS+Group" TargetMode="External" Id="rId714"/><Relationship Type="http://schemas.openxmlformats.org/officeDocument/2006/relationships/hyperlink" Target="https://dermapharm.com.pl/en/" TargetMode="External" Id="rId715"/><Relationship Type="http://schemas.openxmlformats.org/officeDocument/2006/relationships/hyperlink" Target="https://www.interzoo.com/en/exhibitors/laboratorium-dermapharm-sp-z-oo-2516965" TargetMode="External" Id="rId716"/><Relationship Type="http://schemas.openxmlformats.org/officeDocument/2006/relationships/hyperlink" Target="https://www.linkedin.com/search/results/companies/?keywords=Laboratorium+DermaPharm+Sp.+z+o.o." TargetMode="External" Id="rId717"/><Relationship Type="http://schemas.openxmlformats.org/officeDocument/2006/relationships/hyperlink" Target="https://vetexpert.eu" TargetMode="External" Id="rId718"/><Relationship Type="http://schemas.openxmlformats.org/officeDocument/2006/relationships/hyperlink" Target="https://www.petfoodindustry.com/pet-food-market/article/15468256/polish-pet-food-maker-expands-logistics-to-aid-sales-growth" TargetMode="External" Id="rId719"/><Relationship Type="http://schemas.openxmlformats.org/officeDocument/2006/relationships/hyperlink" Target="https://www.linkedin.com/search/results/companies/?keywords=Vet+Planet+Sp.+z+o.o." TargetMode="External" Id="rId720"/><Relationship Type="http://schemas.openxmlformats.org/officeDocument/2006/relationships/hyperlink" Target="https://www.interzoo.com/en/exhibitors/dingo-sp-z-oo-2498563" TargetMode="External" Id="rId721"/><Relationship Type="http://schemas.openxmlformats.org/officeDocument/2006/relationships/hyperlink" Target="https://www.interzoo.com/en/exhibitors/dingo-sp-z-oo-2498563" TargetMode="External" Id="rId722"/><Relationship Type="http://schemas.openxmlformats.org/officeDocument/2006/relationships/hyperlink" Target="https://www.linkedin.com/search/results/companies/?keywords=Dingo+Sp.+z+o.o." TargetMode="External" Id="rId723"/><Relationship Type="http://schemas.openxmlformats.org/officeDocument/2006/relationships/hyperlink" Target="https://trade.gov.pl/en/?p=155957" TargetMode="External" Id="rId724"/><Relationship Type="http://schemas.openxmlformats.org/officeDocument/2006/relationships/hyperlink" Target="https://www.linkedin.com/search/results/companies/?keywords=MPPK+Group+Sp.+z+o.o." TargetMode="External" Id="rId725"/><Relationship Type="http://schemas.openxmlformats.org/officeDocument/2006/relationships/hyperlink" Target="https://hobby.bydgoszcz.pl/en/about-us/" TargetMode="External" Id="rId726"/><Relationship Type="http://schemas.openxmlformats.org/officeDocument/2006/relationships/hyperlink" Target="https://wetgiw.gov.pl/download/Approved-list-for-export-pet-food-to-Israel-05.2024,4531.pdf" TargetMode="External" Id="rId727"/><Relationship Type="http://schemas.openxmlformats.org/officeDocument/2006/relationships/hyperlink" Target="https://www.linkedin.com/search/results/companies/?keywords=P.W.+Hobby" TargetMode="External" Id="rId728"/><Relationship Type="http://schemas.openxmlformats.org/officeDocument/2006/relationships/hyperlink" Target="https://hurtowniakarm.pl" TargetMode="External" Id="rId729"/><Relationship Type="http://schemas.openxmlformats.org/officeDocument/2006/relationships/hyperlink" Target="https://business.google.com/v/_/08939480399253784979/a394/_" TargetMode="External" Id="rId730"/><Relationship Type="http://schemas.openxmlformats.org/officeDocument/2006/relationships/hyperlink" Target="https://www.linkedin.com/search/results/companies/?keywords=Hurtowniakarm.pl" TargetMode="External" Id="rId731"/><Relationship Type="http://schemas.openxmlformats.org/officeDocument/2006/relationships/hyperlink" Target="https://www.decathlon.pl/mp/seller/bacha-sport/4aef1923-5ee8-4c39-8d70-d4fa38144749" TargetMode="External" Id="rId732"/><Relationship Type="http://schemas.openxmlformats.org/officeDocument/2006/relationships/hyperlink" Target="https://www.aplikuj.pl/pracodawca/11313/bacha-sport-sp-z-o-o" TargetMode="External" Id="rId733"/><Relationship Type="http://schemas.openxmlformats.org/officeDocument/2006/relationships/hyperlink" Target="https://www.linkedin.com/search/results/companies/?keywords=Bacha+Sport+Sp.+z+o.o." TargetMode="External" Id="rId734"/><Relationship Type="http://schemas.openxmlformats.org/officeDocument/2006/relationships/hyperlink" Target="https://www.meteor.pl" TargetMode="External" Id="rId735"/><Relationship Type="http://schemas.openxmlformats.org/officeDocument/2006/relationships/hyperlink" Target="https://www.decathlon.be/nl/p/mp/kinderartikel-meteor/5f78d988-7efe-438a-84c3-b32e89d61ce7/c43c255" TargetMode="External" Id="rId736"/><Relationship Type="http://schemas.openxmlformats.org/officeDocument/2006/relationships/hyperlink" Target="https://www.linkedin.com/search/results/companies/?keywords=Meteor" TargetMode="External" Id="rId737"/><Relationship Type="http://schemas.openxmlformats.org/officeDocument/2006/relationships/hyperlink" Target="https://www.spokey.pl" TargetMode="External" Id="rId738"/><Relationship Type="http://schemas.openxmlformats.org/officeDocument/2006/relationships/hyperlink" Target="https://www.emis.com/php/company-profile/PL/Spokey_Sp_z_oo_en_2626647.html" TargetMode="External" Id="rId739"/><Relationship Type="http://schemas.openxmlformats.org/officeDocument/2006/relationships/hyperlink" Target="https://www.linkedin.com/search/results/companies/?keywords=Spokey+Sp.+z+o.o." TargetMode="External" Id="rId740"/><Relationship Type="http://schemas.openxmlformats.org/officeDocument/2006/relationships/hyperlink" Target="https://e-hurtowniasportowa.pl" TargetMode="External" Id="rId741"/><Relationship Type="http://schemas.openxmlformats.org/officeDocument/2006/relationships/hyperlink" Target="https://www.pracuj.pl/praca/specjalista-specjalistka-ds-obslugi-klienta-b2b-miszewko-pow-kartuski-gdynska-69a,oferta,1003183320" TargetMode="External" Id="rId742"/><Relationship Type="http://schemas.openxmlformats.org/officeDocument/2006/relationships/hyperlink" Target="https://www.linkedin.com/search/results/companies/?keywords=Marba-Sport" TargetMode="External" Id="rId743"/><Relationship Type="http://schemas.openxmlformats.org/officeDocument/2006/relationships/hyperlink" Target="https://ambiente.messefrankfurt.com/frankfurt/de/ausstellersuche.detail.html/euro-trade-spolka-z-ograniczona-odpowiedzialnoscia-sp-k.html" TargetMode="External" Id="rId744"/><Relationship Type="http://schemas.openxmlformats.org/officeDocument/2006/relationships/hyperlink" Target="https://www.linkedin.com/search/results/companies/?keywords=Euro-Trade+Sp.+z+o.o.+Sp.K." TargetMode="External" Id="rId745"/><Relationship Type="http://schemas.openxmlformats.org/officeDocument/2006/relationships/hyperlink" Target="http://www.interdruk.com.pl" TargetMode="External" Id="rId746"/><Relationship Type="http://schemas.openxmlformats.org/officeDocument/2006/relationships/hyperlink" Target="https://emis.cn/php/company-profile/PL/Interdruk_SA_en_2384948.html" TargetMode="External" Id="rId747"/><Relationship Type="http://schemas.openxmlformats.org/officeDocument/2006/relationships/hyperlink" Target="https://www.linkedin.com/search/results/companies/?keywords=Interdruk+S.A." TargetMode="External" Id="rId748"/><Relationship Type="http://schemas.openxmlformats.org/officeDocument/2006/relationships/hyperlink" Target="https://extrabiuro.pl" TargetMode="External" Id="rId749"/><Relationship Type="http://schemas.openxmlformats.org/officeDocument/2006/relationships/hyperlink" Target="https://trade.gov.pl/en/?p=136221" TargetMode="External" Id="rId750"/><Relationship Type="http://schemas.openxmlformats.org/officeDocument/2006/relationships/hyperlink" Target="https://www.linkedin.com/search/results/companies/?keywords=Extrabiuro.pl" TargetMode="External" Id="rId751"/><Relationship Type="http://schemas.openxmlformats.org/officeDocument/2006/relationships/hyperlink" Target="https://www.cobi.pl" TargetMode="External" Id="rId752"/><Relationship Type="http://schemas.openxmlformats.org/officeDocument/2006/relationships/hyperlink" Target="https://cobibricks.com/cobi-sa" TargetMode="External" Id="rId753"/><Relationship Type="http://schemas.openxmlformats.org/officeDocument/2006/relationships/hyperlink" Target="https://www.linkedin.com/search/results/companies/?keywords=COBI+S.A." TargetMode="External" Id="rId754"/><Relationship Type="http://schemas.openxmlformats.org/officeDocument/2006/relationships/hyperlink" Target="https://anek.com.pl" TargetMode="External" Id="rId755"/><Relationship Type="http://schemas.openxmlformats.org/officeDocument/2006/relationships/hyperlink" Target="https://www.targikielce.pl/en/kids-time-2024/list-of-exhibitors/httpswwwanekcompl,2162226" TargetMode="External" Id="rId756"/><Relationship Type="http://schemas.openxmlformats.org/officeDocument/2006/relationships/hyperlink" Target="https://www.linkedin.com/search/results/companies/?keywords=ANEK+Sp.+z+o.o." TargetMode="External" Id="rId757"/><Relationship Type="http://schemas.openxmlformats.org/officeDocument/2006/relationships/hyperlink" Target="https://www.granna.pl" TargetMode="External" Id="rId758"/><Relationship Type="http://schemas.openxmlformats.org/officeDocument/2006/relationships/hyperlink" Target="https://www.targikielce.pl/en/kids-time-2025/list-of-exhibitors/granna-spolka-z-ograniczona-odpowiedzialnoscia,2854807" TargetMode="External" Id="rId759"/><Relationship Type="http://schemas.openxmlformats.org/officeDocument/2006/relationships/hyperlink" Target="https://www.linkedin.com/search/results/companies/?keywords=Granna+Sp.+z+o.o." TargetMode="External" Id="rId760"/><Relationship Type="http://schemas.openxmlformats.org/officeDocument/2006/relationships/hyperlink" Target="https://www.trefl.com/en/" TargetMode="External" Id="rId761"/><Relationship Type="http://schemas.openxmlformats.org/officeDocument/2006/relationships/hyperlink" Target="https://www.spielwarenmesse.de/en/mag/magazine/trefl-celebrates-40th-anniversary/" TargetMode="External" Id="rId762"/><Relationship Type="http://schemas.openxmlformats.org/officeDocument/2006/relationships/hyperlink" Target="https://www.linkedin.com/search/results/companies/?keywords=Trefl+S.A." TargetMode="External" Id="rId763"/><Relationship Type="http://schemas.openxmlformats.org/officeDocument/2006/relationships/hyperlink" Target="https://www.wader.toys" TargetMode="External" Id="rId764"/><Relationship Type="http://schemas.openxmlformats.org/officeDocument/2006/relationships/hyperlink" Target="https://www.targikielce.pl/en/kids-time-2024/list-of-exhibitors/wader-wozniak-sp-z-oo,2162330" TargetMode="External" Id="rId765"/><Relationship Type="http://schemas.openxmlformats.org/officeDocument/2006/relationships/hyperlink" Target="https://www.linkedin.com/search/results/companies/?keywords=Wader-Wo%C5%BAniak+Sp.+z+o.o." TargetMode="External" Id="rId766"/><Relationship Type="http://schemas.openxmlformats.org/officeDocument/2006/relationships/hyperlink" Target="https://tmtoys.pl" TargetMode="External" Id="rId767"/><Relationship Type="http://schemas.openxmlformats.org/officeDocument/2006/relationships/hyperlink" Target="https://rejestr.io/krs/35010/tm-toys" TargetMode="External" Id="rId768"/><Relationship Type="http://schemas.openxmlformats.org/officeDocument/2006/relationships/hyperlink" Target="https://www.linkedin.com/search/results/companies/?keywords=TM+Toys+Sp.+z+o.o." TargetMode="External" Id="rId769"/><Relationship Type="http://schemas.openxmlformats.org/officeDocument/2006/relationships/hyperlink" Target="https://www.aplikuj.pl/pracodawca/371172/yamann-sp-z-o-o" TargetMode="External" Id="rId770"/><Relationship Type="http://schemas.openxmlformats.org/officeDocument/2006/relationships/hyperlink" Target="https://www.linkedin.com/search/results/companies/?keywords=YAMANN+Sp.+z+o.o." TargetMode="External" Id="rId771"/><Relationship Type="http://schemas.openxmlformats.org/officeDocument/2006/relationships/hyperlink" Target="https://suchanek-zabawki.pl" TargetMode="External" Id="rId772"/><Relationship Type="http://schemas.openxmlformats.org/officeDocument/2006/relationships/hyperlink" Target="https://www.trade.gov.pl/en/?p=50890" TargetMode="External" Id="rId773"/><Relationship Type="http://schemas.openxmlformats.org/officeDocument/2006/relationships/hyperlink" Target="https://www.linkedin.com/search/results/companies/?keywords=Zabawkarstwo+Wies%C5%82aw+Suchanek" TargetMode="External" Id="rId774"/><Relationship Type="http://schemas.openxmlformats.org/officeDocument/2006/relationships/hyperlink" Target="https://ikonka.pl" TargetMode="External" Id="rId775"/><Relationship Type="http://schemas.openxmlformats.org/officeDocument/2006/relationships/hyperlink" Target="https://www.aplikuj.pl/pracodawca/412938/hurtownia-ikonka" TargetMode="External" Id="rId776"/><Relationship Type="http://schemas.openxmlformats.org/officeDocument/2006/relationships/hyperlink" Target="https://www.linkedin.com/search/results/companies/?keywords=Hurtownia+Ikonka" TargetMode="External" Id="rId777"/><Relationship Type="http://schemas.openxmlformats.org/officeDocument/2006/relationships/hyperlink" Target="http://www.dromader.com.pl" TargetMode="External" Id="rId778"/><Relationship Type="http://schemas.openxmlformats.org/officeDocument/2006/relationships/hyperlink" Target="https://decyzje.uokik.gov.pl/bp/dec_prez.nsf/43104c28a7a1be23c1257eac006d8dd4/2f6450608fbdf523c12588d8002cbe2b/$FILE/Decyzja%20DNR-2(181)2022.pdf" TargetMode="External" Id="rId779"/><Relationship Type="http://schemas.openxmlformats.org/officeDocument/2006/relationships/hyperlink" Target="https://www.linkedin.com/search/results/companies/?keywords=Filip+i+S-ka+Dromader+Sp.+j." TargetMode="External" Id="rId780"/><Relationship Type="http://schemas.openxmlformats.org/officeDocument/2006/relationships/hyperlink" Target="https://achbrito.com" TargetMode="External" Id="rId781"/><Relationship Type="http://schemas.openxmlformats.org/officeDocument/2006/relationships/hyperlink" Target="https://achbrito.com/en/blogs/press/ach-brito-group-sells-to-50-countries" TargetMode="External" Id="rId782"/><Relationship Type="http://schemas.openxmlformats.org/officeDocument/2006/relationships/hyperlink" Target="https://www.linkedin.com/search/results/companies/?keywords=Ach.+Brito+%26+C.%C2%AA%2C+S.A." TargetMode="External" Id="rId783"/><Relationship Type="http://schemas.openxmlformats.org/officeDocument/2006/relationships/hyperlink" Target="https://silampos.pt" TargetMode="External" Id="rId784"/><Relationship Type="http://schemas.openxmlformats.org/officeDocument/2006/relationships/hyperlink" Target="https://silampos.pt/en/historia/index.php" TargetMode="External" Id="rId785"/><Relationship Type="http://schemas.openxmlformats.org/officeDocument/2006/relationships/hyperlink" Target="https://www.linkedin.com/search/results/companies/?keywords=Silampos+S.A." TargetMode="External" Id="rId786"/><Relationship Type="http://schemas.openxmlformats.org/officeDocument/2006/relationships/hyperlink" Target="https://ambiente.messefrankfurt.com/frankfurt/de/ausstellersuche.detail.html/ambar---passion-sa.html" TargetMode="External" Id="rId787"/><Relationship Type="http://schemas.openxmlformats.org/officeDocument/2006/relationships/hyperlink" Target="https://www.linkedin.com/search/results/companies/?keywords=Ambar+-+Passion+S.A." TargetMode="External" Id="rId788"/><Relationship Type="http://schemas.openxmlformats.org/officeDocument/2006/relationships/hyperlink" Target="https://www.einforma.pt/servlet/app/portal/ENTP/prod/ETIQUETA_EMPRESA/nif/500924902" TargetMode="External" Id="rId789"/><Relationship Type="http://schemas.openxmlformats.org/officeDocument/2006/relationships/hyperlink" Target="https://www.linkedin.com/search/results/companies/?keywords=Bi-silque+-+Produtos+de+Comunica%C3%A7%C3%A3o+Visual%2C+S.A." TargetMode="External" Id="rId790"/><Relationship Type="http://schemas.openxmlformats.org/officeDocument/2006/relationships/hyperlink" Target="https://www.portugalventures.pt/en/portfolio/science4you/" TargetMode="External" Id="rId791"/><Relationship Type="http://schemas.openxmlformats.org/officeDocument/2006/relationships/hyperlink" Target="https://www.linkedin.com/search/results/companies/?keywords=Science4you+S.A." TargetMode="External" Id="rId792"/><Relationship Type="http://schemas.openxmlformats.org/officeDocument/2006/relationships/hyperlink" Target="https://qudobeauty.com" TargetMode="External" Id="rId793"/><Relationship Type="http://schemas.openxmlformats.org/officeDocument/2006/relationships/hyperlink" Target="https://www.einpresswire.com/article/837314333/qudobeauty-launches-korean-skincare-wholesale-platform-for-european-retailers" TargetMode="External" Id="rId794"/><Relationship Type="http://schemas.openxmlformats.org/officeDocument/2006/relationships/hyperlink" Target="https://www.linkedin.com/search/results/companies/?keywords=QudoBeauty" TargetMode="External" Id="rId795"/><Relationship Type="http://schemas.openxmlformats.org/officeDocument/2006/relationships/hyperlink" Target="https://www.farmec.ro" TargetMode="External" Id="rId796"/><Relationship Type="http://schemas.openxmlformats.org/officeDocument/2006/relationships/hyperlink" Target="https://termene.ro/en/firma/199150-FARMEC-SA" TargetMode="External" Id="rId797"/><Relationship Type="http://schemas.openxmlformats.org/officeDocument/2006/relationships/hyperlink" Target="https://www.linkedin.com/search/results/companies/?keywords=FARMEC+S.A." TargetMode="External" Id="rId798"/><Relationship Type="http://schemas.openxmlformats.org/officeDocument/2006/relationships/hyperlink" Target="https://www.hofigal.eu" TargetMode="External" Id="rId799"/><Relationship Type="http://schemas.openxmlformats.org/officeDocument/2006/relationships/hyperlink" Target="https://termene.ro/firma/384530" TargetMode="External" Id="rId800"/><Relationship Type="http://schemas.openxmlformats.org/officeDocument/2006/relationships/hyperlink" Target="https://www.linkedin.com/search/results/companies/?keywords=Hofigal+Export+Import+S.A." TargetMode="External" Id="rId801"/><Relationship Type="http://schemas.openxmlformats.org/officeDocument/2006/relationships/hyperlink" Target="https://www.tosama.si" TargetMode="External" Id="rId802"/><Relationship Type="http://schemas.openxmlformats.org/officeDocument/2006/relationships/hyperlink" Target="https://www.tosama.si/en/o-tosami" TargetMode="External" Id="rId803"/><Relationship Type="http://schemas.openxmlformats.org/officeDocument/2006/relationships/hyperlink" Target="https://www.linkedin.com/search/results/companies/?keywords=TOSAMA+d.o.o." TargetMode="External" Id="rId804"/><Relationship Type="http://schemas.openxmlformats.org/officeDocument/2006/relationships/hyperlink" Target="https://www.bigbuy.eu" TargetMode="External" Id="rId805"/><Relationship Type="http://schemas.openxmlformats.org/officeDocument/2006/relationships/hyperlink" Target="https://bigbuy.eu/en/what-is-bigbuy.html" TargetMode="External" Id="rId806"/><Relationship Type="http://schemas.openxmlformats.org/officeDocument/2006/relationships/hyperlink" Target="https://www.linkedin.com/search/results/companies/?keywords=BigBuy" TargetMode="External" Id="rId807"/><Relationship Type="http://schemas.openxmlformats.org/officeDocument/2006/relationships/hyperlink" Target="https://www.druni.es/original-denenes-colonia-infantil" TargetMode="External" Id="rId808"/><Relationship Type="http://schemas.openxmlformats.org/officeDocument/2006/relationships/hyperlink" Target="https://www.linkedin.com/search/results/companies/?keywords=AC+Marca+Personal+Care+S.L." TargetMode="External" Id="rId809"/><Relationship Type="http://schemas.openxmlformats.org/officeDocument/2006/relationships/hyperlink" Target="https://www.jane.es" TargetMode="External" Id="rId810"/><Relationship Type="http://schemas.openxmlformats.org/officeDocument/2006/relationships/hyperlink" Target="https://www.interempresas.net/Puericultura/334220-Empresas-espanolas-puericultura-exportadoras-(-galeria-productos-destacados-marcas).html" TargetMode="External" Id="rId811"/><Relationship Type="http://schemas.openxmlformats.org/officeDocument/2006/relationships/hyperlink" Target="https://www.linkedin.com/search/results/companies/?keywords=Jan%C3%A9+Group" TargetMode="External" Id="rId812"/><Relationship Type="http://schemas.openxmlformats.org/officeDocument/2006/relationships/hyperlink" Target="https://www.suavinex.com/en/about-us" TargetMode="External" Id="rId813"/><Relationship Type="http://schemas.openxmlformats.org/officeDocument/2006/relationships/hyperlink" Target="https://www.alimarket.es/nonfood/noticia/134303/suavinex-sigue-creciendo-en-el-exterior" TargetMode="External" Id="rId814"/><Relationship Type="http://schemas.openxmlformats.org/officeDocument/2006/relationships/hyperlink" Target="https://www.linkedin.com/search/results/companies/?keywords=Suavinex" TargetMode="External" Id="rId815"/><Relationship Type="http://schemas.openxmlformats.org/officeDocument/2006/relationships/hyperlink" Target="https://www.interempresas.net/Puericultura/609658-Smart-Baby-Brands-se-refuerza-en-Espana-y-Portugal.html" TargetMode="External" Id="rId816"/><Relationship Type="http://schemas.openxmlformats.org/officeDocument/2006/relationships/hyperlink" Target="https://www.linkedin.com/search/results/companies/?keywords=Smart+Baby+Brands" TargetMode="External" Id="rId817"/><Relationship Type="http://schemas.openxmlformats.org/officeDocument/2006/relationships/hyperlink" Target="https://www.arounddeal.com/c/tata-batata/e1vibvmjrt" TargetMode="External" Id="rId818"/><Relationship Type="http://schemas.openxmlformats.org/officeDocument/2006/relationships/hyperlink" Target="https://www.linkedin.com/search/results/companies/?keywords=Tata+Batata" TargetMode="External" Id="rId819"/><Relationship Type="http://schemas.openxmlformats.org/officeDocument/2006/relationships/hyperlink" Target="https://www.isdin.com" TargetMode="External" Id="rId820"/><Relationship Type="http://schemas.openxmlformats.org/officeDocument/2006/relationships/hyperlink" Target="https://www.isdin.com/el-GR/contact" TargetMode="External" Id="rId821"/><Relationship Type="http://schemas.openxmlformats.org/officeDocument/2006/relationships/hyperlink" Target="https://www.linkedin.com/search/results/companies/?keywords=ISDIN+S.A." TargetMode="External" Id="rId822"/><Relationship Type="http://schemas.openxmlformats.org/officeDocument/2006/relationships/hyperlink" Target="https://www.importgenius.com/suppliers/bella-aurora-labs-s-a" TargetMode="External" Id="rId823"/><Relationship Type="http://schemas.openxmlformats.org/officeDocument/2006/relationships/hyperlink" Target="https://www.linkedin.com/search/results/companies/?keywords=Bella+Aurora+Labs+S.A." TargetMode="External" Id="rId824"/><Relationship Type="http://schemas.openxmlformats.org/officeDocument/2006/relationships/hyperlink" Target="https://www.babaria.es" TargetMode="External" Id="rId825"/><Relationship Type="http://schemas.openxmlformats.org/officeDocument/2006/relationships/hyperlink" Target="https://www.alimarket.es/nonfood/noticia/308200/corpfin-capital-adquiere-berioska-para-impulsar--babaria--en-el-exterior" TargetMode="External" Id="rId826"/><Relationship Type="http://schemas.openxmlformats.org/officeDocument/2006/relationships/hyperlink" Target="https://www.linkedin.com/search/results/companies/?keywords=Berioska+S.L." TargetMode="External" Id="rId827"/><Relationship Type="http://schemas.openxmlformats.org/officeDocument/2006/relationships/hyperlink" Target="https://www.institutoespanol.com" TargetMode="External" Id="rId828"/><Relationship Type="http://schemas.openxmlformats.org/officeDocument/2006/relationships/hyperlink" Target="https://panjiva.com/Instituto-Espanol-S-A/1134582" TargetMode="External" Id="rId829"/><Relationship Type="http://schemas.openxmlformats.org/officeDocument/2006/relationships/hyperlink" Target="https://www.linkedin.com/search/results/companies/?keywords=Instituto+Espa%C3%B1ol+S.A." TargetMode="External" Id="rId830"/><Relationship Type="http://schemas.openxmlformats.org/officeDocument/2006/relationships/hyperlink" Target="https://www.bellota.com" TargetMode="External" Id="rId831"/><Relationship Type="http://schemas.openxmlformats.org/officeDocument/2006/relationships/hyperlink" Target="https://www.interempresas.net/Gardening/Companies-Products/Contact-Bellota-Herramientas-S-A-9647.html" TargetMode="External" Id="rId832"/><Relationship Type="http://schemas.openxmlformats.org/officeDocument/2006/relationships/hyperlink" Target="https://www.linkedin.com/search/results/companies/?keywords=Bellota+Herramientas+S.L.U." TargetMode="External" Id="rId833"/><Relationship Type="http://schemas.openxmlformats.org/officeDocument/2006/relationships/hyperlink" Target="https://www.egamaster.com" TargetMode="External" Id="rId834"/><Relationship Type="http://schemas.openxmlformats.org/officeDocument/2006/relationships/hyperlink" Target="https://sahaexpo.com/katilimci/ega-master-sl" TargetMode="External" Id="rId835"/><Relationship Type="http://schemas.openxmlformats.org/officeDocument/2006/relationships/hyperlink" Target="https://www.linkedin.com/search/results/companies/?keywords=EGA+Master+S.L." TargetMode="External" Id="rId836"/><Relationship Type="http://schemas.openxmlformats.org/officeDocument/2006/relationships/hyperlink" Target="https://www.manomano.es/vendedor-2206963" TargetMode="External" Id="rId837"/><Relationship Type="http://schemas.openxmlformats.org/officeDocument/2006/relationships/hyperlink" Target="https://www.manomano.es/vendedor-2206963" TargetMode="External" Id="rId838"/><Relationship Type="http://schemas.openxmlformats.org/officeDocument/2006/relationships/hyperlink" Target="https://www.linkedin.com/search/results/companies/?keywords=Patner+Iberia+SL" TargetMode="External" Id="rId839"/><Relationship Type="http://schemas.openxmlformats.org/officeDocument/2006/relationships/hyperlink" Target="https://www.rubi.com/en/group" TargetMode="External" Id="rId840"/><Relationship Type="http://schemas.openxmlformats.org/officeDocument/2006/relationships/hyperlink" Target="https://www.cersaie.it/en/800/rubi?PREVQUERY=" TargetMode="External" Id="rId841"/><Relationship Type="http://schemas.openxmlformats.org/officeDocument/2006/relationships/hyperlink" Target="https://www.linkedin.com/search/results/companies/?keywords=RUBI+Tools+Group+S.A." TargetMode="External" Id="rId842"/><Relationship Type="http://schemas.openxmlformats.org/officeDocument/2006/relationships/hyperlink" Target="https://www.orientfragance.com" TargetMode="External" Id="rId843"/><Relationship Type="http://schemas.openxmlformats.org/officeDocument/2006/relationships/hyperlink" Target="https://www.orientfragance.com/pages/contacto" TargetMode="External" Id="rId844"/><Relationship Type="http://schemas.openxmlformats.org/officeDocument/2006/relationships/hyperlink" Target="https://www.linkedin.com/search/results/companies/?keywords=OrientFragance" TargetMode="External" Id="rId845"/><Relationship Type="http://schemas.openxmlformats.org/officeDocument/2006/relationships/hyperlink" Target="https://cn.panjiva.com/Laboratorios-Byly/1159215" TargetMode="External" Id="rId846"/><Relationship Type="http://schemas.openxmlformats.org/officeDocument/2006/relationships/hyperlink" Target="https://www.linkedin.com/search/results/companies/?keywords=Laboratorios+Byly+S.A." TargetMode="External" Id="rId847"/><Relationship Type="http://schemas.openxmlformats.org/officeDocument/2006/relationships/hyperlink" Target="https://ibilimenaje.com/es" TargetMode="External" Id="rId848"/><Relationship Type="http://schemas.openxmlformats.org/officeDocument/2006/relationships/hyperlink" Target="https://ambiente.messefrankfurt.com/frankfurt/de/ausstellersuche.detail.html/ibili-menaje-sa.html" TargetMode="External" Id="rId849"/><Relationship Type="http://schemas.openxmlformats.org/officeDocument/2006/relationships/hyperlink" Target="https://www.linkedin.com/search/results/companies/?keywords=IBILI+Menaje+S.A." TargetMode="External" Id="rId850"/><Relationship Type="http://schemas.openxmlformats.org/officeDocument/2006/relationships/hyperlink" Target="https://www.lekue.com" TargetMode="External" Id="rId851"/><Relationship Type="http://schemas.openxmlformats.org/officeDocument/2006/relationships/hyperlink" Target="https://housewareslive.net/lekue-to-set-up-own-uk-distribution-company/" TargetMode="External" Id="rId852"/><Relationship Type="http://schemas.openxmlformats.org/officeDocument/2006/relationships/hyperlink" Target="https://www.linkedin.com/search/results/companies/?keywords=L%C3%A9ku%C3%A9+S.L." TargetMode="External" Id="rId853"/><Relationship Type="http://schemas.openxmlformats.org/officeDocument/2006/relationships/hyperlink" Target="https://www.cecotec.es" TargetMode="External" Id="rId854"/><Relationship Type="http://schemas.openxmlformats.org/officeDocument/2006/relationships/hyperlink" Target="https://www.iberinform.es/empresa/2406990/cecotec-innovaciones" TargetMode="External" Id="rId855"/><Relationship Type="http://schemas.openxmlformats.org/officeDocument/2006/relationships/hyperlink" Target="https://www.linkedin.com/search/results/companies/?keywords=Cecotec+Innovaciones+S.L." TargetMode="External" Id="rId856"/><Relationship Type="http://schemas.openxmlformats.org/officeDocument/2006/relationships/hyperlink" Target="https://www.arquivet.com" TargetMode="External" Id="rId857"/><Relationship Type="http://schemas.openxmlformats.org/officeDocument/2006/relationships/hyperlink" Target="https://www.interzoo.com/en/exhibitors/arquivet-slu-2227511" TargetMode="External" Id="rId858"/><Relationship Type="http://schemas.openxmlformats.org/officeDocument/2006/relationships/hyperlink" Target="https://www.linkedin.com/search/results/companies/?keywords=Arquivet+SLU" TargetMode="External" Id="rId859"/><Relationship Type="http://schemas.openxmlformats.org/officeDocument/2006/relationships/hyperlink" Target="https://www.gaunsa.com" TargetMode="External" Id="rId860"/><Relationship Type="http://schemas.openxmlformats.org/officeDocument/2006/relationships/hyperlink" Target="https://www.zoomark.it/en/directory/exhibitor-detail/6135.html?id=8931" TargetMode="External" Id="rId861"/><Relationship Type="http://schemas.openxmlformats.org/officeDocument/2006/relationships/hyperlink" Target="https://www.linkedin.com/search/results/companies/?keywords=Gaun+S.A." TargetMode="External" Id="rId862"/><Relationship Type="http://schemas.openxmlformats.org/officeDocument/2006/relationships/hyperlink" Target="https://interzoo.com/en/exhibitors-products/g/gosbi-pet-food-sa" TargetMode="External" Id="rId863"/><Relationship Type="http://schemas.openxmlformats.org/officeDocument/2006/relationships/hyperlink" Target="https://www.linkedin.com/search/results/companies/?keywords=GOSBI+PET+FOOD+S.A." TargetMode="External" Id="rId864"/><Relationship Type="http://schemas.openxmlformats.org/officeDocument/2006/relationships/hyperlink" Target="https://www.nayeco.com/es" TargetMode="External" Id="rId865"/><Relationship Type="http://schemas.openxmlformats.org/officeDocument/2006/relationships/hyperlink" Target="https://www.interzoo.com/en/exhibitors/nayeco-sl-2498925" TargetMode="External" Id="rId866"/><Relationship Type="http://schemas.openxmlformats.org/officeDocument/2006/relationships/hyperlink" Target="https://www.linkedin.com/search/results/companies/?keywords=Nayeco+S.L." TargetMode="External" Id="rId867"/><Relationship Type="http://schemas.openxmlformats.org/officeDocument/2006/relationships/hyperlink" Target="https://www.jimsports.com" TargetMode="External" Id="rId868"/><Relationship Type="http://schemas.openxmlformats.org/officeDocument/2006/relationships/hyperlink" Target="https://media.timtul.com/media/web_afydad/SPANISH%20EXHIBITORS%20AT%20ISPO%20MUNICH%202025_V3_20251030171855.pdf" TargetMode="External" Id="rId869"/><Relationship Type="http://schemas.openxmlformats.org/officeDocument/2006/relationships/hyperlink" Target="https://www.linkedin.com/search/results/companies/?keywords=Jim+Sports+Group" TargetMode="External" Id="rId870"/><Relationship Type="http://schemas.openxmlformats.org/officeDocument/2006/relationships/hyperlink" Target="https://www.apli.com" TargetMode="External" Id="rId871"/><Relationship Type="http://schemas.openxmlformats.org/officeDocument/2006/relationships/hyperlink" Target="https://suppliers.catalonia.com/detail/apli-paper-sau/672" TargetMode="External" Id="rId872"/><Relationship Type="http://schemas.openxmlformats.org/officeDocument/2006/relationships/hyperlink" Target="https://www.linkedin.com/search/results/companies/?keywords=APLI+Paper+S.A.U." TargetMode="External" Id="rId873"/><Relationship Type="http://schemas.openxmlformats.org/officeDocument/2006/relationships/hyperlink" Target="https://www.milan.es" TargetMode="External" Id="rId874"/><Relationship Type="http://schemas.openxmlformats.org/officeDocument/2006/relationships/hyperlink" Target="https://ambiente.messefrankfurt.com/frankfurt/de/ausstellersuche.detail.html/factis-sa.html" TargetMode="External" Id="rId875"/><Relationship Type="http://schemas.openxmlformats.org/officeDocument/2006/relationships/hyperlink" Target="https://www.linkedin.com/search/results/companies/?keywords=Factis+S.A." TargetMode="External" Id="rId876"/><Relationship Type="http://schemas.openxmlformats.org/officeDocument/2006/relationships/hyperlink" Target="https://www.jovi.es" TargetMode="External" Id="rId877"/><Relationship Type="http://schemas.openxmlformats.org/officeDocument/2006/relationships/hyperlink" Target="https://www.iberinform.es/empresa/430914/jovi" TargetMode="External" Id="rId878"/><Relationship Type="http://schemas.openxmlformats.org/officeDocument/2006/relationships/hyperlink" Target="https://www.linkedin.com/search/results/companies/?keywords=JOVI+S.A." TargetMode="External" Id="rId879"/><Relationship Type="http://schemas.openxmlformats.org/officeDocument/2006/relationships/hyperlink" Target="https://www.cspapeleria.com" TargetMode="External" Id="rId880"/><Relationship Type="http://schemas.openxmlformats.org/officeDocument/2006/relationships/hyperlink" Target="https://www.cspapeleria.com/en/who-we-are" TargetMode="External" Id="rId881"/><Relationship Type="http://schemas.openxmlformats.org/officeDocument/2006/relationships/hyperlink" Target="https://www.linkedin.com/search/results/companies/?keywords=CSP+-+Comercial+del+Sur+de+Papeler%C3%ADa" TargetMode="External" Id="rId882"/><Relationship Type="http://schemas.openxmlformats.org/officeDocument/2006/relationships/hyperlink" Target="https://creativeworld.messefrankfurt.com/frankfurt/en/exhibitor-search.detail.html/distribuidora-universal-sl.html" TargetMode="External" Id="rId883"/><Relationship Type="http://schemas.openxmlformats.org/officeDocument/2006/relationships/hyperlink" Target="https://www.linkedin.com/search/results/companies/?keywords=Distribuidora+Universal+S.L." TargetMode="External" Id="rId884"/><Relationship Type="http://schemas.openxmlformats.org/officeDocument/2006/relationships/hyperlink" Target="https://lei.bloomberg.com/leis/view/95980020140005590772" TargetMode="External" Id="rId885"/><Relationship Type="http://schemas.openxmlformats.org/officeDocument/2006/relationships/hyperlink" Target="https://www.linkedin.com/search/results/companies/?keywords=Colorbaby+S.L." TargetMode="External" Id="rId886"/><Relationship Type="http://schemas.openxmlformats.org/officeDocument/2006/relationships/hyperlink" Target="https://www.educaborras.com" TargetMode="External" Id="rId887"/><Relationship Type="http://schemas.openxmlformats.org/officeDocument/2006/relationships/hyperlink" Target="https://suppliers.catalonia.com/detail/educa-borras-sau/545" TargetMode="External" Id="rId888"/><Relationship Type="http://schemas.openxmlformats.org/officeDocument/2006/relationships/hyperlink" Target="https://www.linkedin.com/search/results/companies/?keywords=Educa+Borr%C3%A1s+S.A.U." TargetMode="External" Id="rId889"/><Relationship Type="http://schemas.openxmlformats.org/officeDocument/2006/relationships/hyperlink" Target="https://www.minilandgroup.com" TargetMode="External" Id="rId890"/><Relationship Type="http://schemas.openxmlformats.org/officeDocument/2006/relationships/hyperlink" Target="https://www.iberinform.es/empresa/251174/miniland" TargetMode="External" Id="rId891"/><Relationship Type="http://schemas.openxmlformats.org/officeDocument/2006/relationships/hyperlink" Target="https://www.linkedin.com/search/results/companies/?keywords=Miniland+S.A." TargetMode="External" Id="rId892"/><Relationship Type="http://schemas.openxmlformats.org/officeDocument/2006/relationships/hyperlink" Target="https://cefatoys.com" TargetMode="External" Id="rId893"/><Relationship Type="http://schemas.openxmlformats.org/officeDocument/2006/relationships/hyperlink" Target="https://lei.bloomberg.com/leis/view/959800YF5LJZBD3FLC10" TargetMode="External" Id="rId894"/><Relationship Type="http://schemas.openxmlformats.org/officeDocument/2006/relationships/hyperlink" Target="https://www.linkedin.com/search/results/companies/?keywords=Cefa+Toys+S.A." TargetMode="External" Id="rId895"/><Relationship Type="http://schemas.openxmlformats.org/officeDocument/2006/relationships/hyperlink" Target="https://www.diset.com" TargetMode="External" Id="rId896"/><Relationship Type="http://schemas.openxmlformats.org/officeDocument/2006/relationships/hyperlink" Target="https://www.iberinform.es/empresa/473667/diset" TargetMode="External" Id="rId897"/><Relationship Type="http://schemas.openxmlformats.org/officeDocument/2006/relationships/hyperlink" Target="https://www.linkedin.com/search/results/companies/?keywords=DISET+S.A." TargetMode="External" Id="rId898"/><Relationship Type="http://schemas.openxmlformats.org/officeDocument/2006/relationships/hyperlink" Target="https://www.famosa.es" TargetMode="External" Id="rId899"/><Relationship Type="http://schemas.openxmlformats.org/officeDocument/2006/relationships/hyperlink" Target="https://panjiva.com/Famosa/89306637" TargetMode="External" Id="rId900"/><Relationship Type="http://schemas.openxmlformats.org/officeDocument/2006/relationships/hyperlink" Target="https://www.linkedin.com/search/results/companies/?keywords=Famosa" TargetMode="External" Id="rId901"/><Relationship Type="http://schemas.openxmlformats.org/officeDocument/2006/relationships/hyperlink" Target="https://proveedores.com/proveedores/injusa/" TargetMode="External" Id="rId902"/><Relationship Type="http://schemas.openxmlformats.org/officeDocument/2006/relationships/hyperlink" Target="https://www.linkedin.com/search/results/companies/?keywords=Industrial+Juguetera+S.A." TargetMode="External" Id="rId903"/><Relationship Type="http://schemas.openxmlformats.org/officeDocument/2006/relationships/hyperlink" Target="https://www.bizak.es" TargetMode="External" Id="rId904"/><Relationship Type="http://schemas.openxmlformats.org/officeDocument/2006/relationships/hyperlink" Target="https://www.iberinform.es/empresa/17738/bizak" TargetMode="External" Id="rId905"/><Relationship Type="http://schemas.openxmlformats.org/officeDocument/2006/relationships/hyperlink" Target="https://www.linkedin.com/search/results/companies/?keywords=Bizak+S.A." TargetMode="External" Id="rId906"/><Relationship Type="http://schemas.openxmlformats.org/officeDocument/2006/relationships/hyperlink" Target="https://proveedores.com/proveedores/nomaco/" TargetMode="External" Id="rId907"/><Relationship Type="http://schemas.openxmlformats.org/officeDocument/2006/relationships/hyperlink" Target="https://www.linkedin.com/search/results/companies/?keywords=Nomaco+Spain" TargetMode="External" Id="rId908"/><Relationship Type="http://schemas.openxmlformats.org/officeDocument/2006/relationships/hyperlink" Target="https://www.isadora.com" TargetMode="External" Id="rId909"/><Relationship Type="http://schemas.openxmlformats.org/officeDocument/2006/relationships/hyperlink" Target="https://axcel.dk/?p=1358" TargetMode="External" Id="rId910"/><Relationship Type="http://schemas.openxmlformats.org/officeDocument/2006/relationships/hyperlink" Target="https://www.linkedin.com/search/results/companies/?keywords=IsaDora+AB" TargetMode="External" Id="rId911"/><Relationship Type="http://schemas.openxmlformats.org/officeDocument/2006/relationships/hyperlink" Target="https://www.scandinaviancosmetics.se" TargetMode="External" Id="rId912"/><Relationship Type="http://schemas.openxmlformats.org/officeDocument/2006/relationships/hyperlink" Target="https://news.cision.com/storskogen/r/storskogen-acquires-scandinavian-cosmetics-group,c3532686" TargetMode="External" Id="rId913"/><Relationship Type="http://schemas.openxmlformats.org/officeDocument/2006/relationships/hyperlink" Target="https://www.linkedin.com/search/results/companies/?keywords=Scandinavian+Cosmetics+AB" TargetMode="External" Id="rId914"/><Relationship Type="http://schemas.openxmlformats.org/officeDocument/2006/relationships/hyperlink" Target="https://tepe.com/global/contact" TargetMode="External" Id="rId915"/><Relationship Type="http://schemas.openxmlformats.org/officeDocument/2006/relationships/hyperlink" Target="https://tepe.com/global/contact" TargetMode="External" Id="rId916"/><Relationship Type="http://schemas.openxmlformats.org/officeDocument/2006/relationships/hyperlink" Target="https://www.linkedin.com/search/results/companies/?keywords=TePe+Munhygienprodukter+AB" TargetMode="External" Id="rId917"/><Relationship Type="http://schemas.openxmlformats.org/officeDocument/2006/relationships/hyperlink" Target="https://www.cederroth.com" TargetMode="External" Id="rId918"/><Relationship Type="http://schemas.openxmlformats.org/officeDocument/2006/relationships/hyperlink" Target="https://www.orkla.com/media/press-releases/2015/orkla-asa-orkla-acquires-cederroth/" TargetMode="External" Id="rId919"/><Relationship Type="http://schemas.openxmlformats.org/officeDocument/2006/relationships/hyperlink" Target="https://www.linkedin.com/search/results/companies/?keywords=Cederroth+AB" TargetMode="External" Id="rId920"/><Relationship Type="http://schemas.openxmlformats.org/officeDocument/2006/relationships/hyperlink" Target="https://www.stigasports.com" TargetMode="External" Id="rId921"/><Relationship Type="http://schemas.openxmlformats.org/officeDocument/2006/relationships/hyperlink" Target="https://www.stigasports.com/en/explore-stiga-sports/stiga-75-years" TargetMode="External" Id="rId922"/><Relationship Type="http://schemas.openxmlformats.org/officeDocument/2006/relationships/hyperlink" Target="https://www.linkedin.com/search/results/companies/?keywords=STIGA+Sports+AB" TargetMode="External" Id="rId923"/><Relationship Type="http://schemas.openxmlformats.org/officeDocument/2006/relationships/hyperlink" Target="https://www.brio.eu" TargetMode="External" Id="rId924"/><Relationship Type="http://schemas.openxmlformats.org/officeDocument/2006/relationships/hyperlink" Target="https://en.wikipedia.org/wiki/Brio_(company)" TargetMode="External" Id="rId925"/><Relationship Type="http://schemas.openxmlformats.org/officeDocument/2006/relationships/hyperlink" Target="https://www.linkedin.com/search/results/companies/?keywords=BRIO+AB" TargetMode="External" Id="rId926"/><Relationship Type="http://schemas.openxmlformats.org/officeDocument/2006/relationships/hyperlink" Target="https://mickiofsweden.com/en/b2b/" TargetMode="External" Id="rId927"/><Relationship Type="http://schemas.openxmlformats.org/officeDocument/2006/relationships/hyperlink" Target="https://mickiofsweden.com/en/b2b/" TargetMode="External" Id="rId928"/><Relationship Type="http://schemas.openxmlformats.org/officeDocument/2006/relationships/hyperlink" Target="https://www.linkedin.com/search/results/companies/?keywords=Micki+Leksaker+AB" TargetMode="External" Id="rId929"/><Relationship Type="http://schemas.openxmlformats.org/officeDocument/2006/relationships/hyperlink" Target="https://www.jobs.ch/en/companies/8602-carletto-ag/" TargetMode="External" Id="rId930"/><Relationship Type="http://schemas.openxmlformats.org/officeDocument/2006/relationships/hyperlink" Target="https://www.linkedin.com/search/results/companies/?keywords=Carletto+AG" TargetMode="External" Id="rId931"/><Relationship Type="http://schemas.openxmlformats.org/officeDocument/2006/relationships/hyperlink" Target="https://www.qogita.com" TargetMode="External" Id="rId932"/><Relationship Type="http://schemas.openxmlformats.org/officeDocument/2006/relationships/hyperlink" Target="https://www.qogita.com/blog/amazon-fba-wholesale-tips-for-retailers/" TargetMode="External" Id="rId933"/><Relationship Type="http://schemas.openxmlformats.org/officeDocument/2006/relationships/hyperlink" Target="https://www.linkedin.com/search/results/companies/?keywords=Qogita" TargetMode="External" Id="rId934"/><Relationship Type="http://schemas.openxmlformats.org/officeDocument/2006/relationships/hyperlink" Target="https://www.babybase.co.uk" TargetMode="External" Id="rId935"/><Relationship Type="http://schemas.openxmlformats.org/officeDocument/2006/relationships/hyperlink" Target="https://nurserytoday.co.uk/2022/11/29/matchstick-monkey-partners-with-babybase/" TargetMode="External" Id="rId936"/><Relationship Type="http://schemas.openxmlformats.org/officeDocument/2006/relationships/hyperlink" Target="https://www.linkedin.com/search/results/companies/?keywords=Babybase+Ltd" TargetMode="External" Id="rId937"/><Relationship Type="http://schemas.openxmlformats.org/officeDocument/2006/relationships/hyperlink" Target="https://www.babybrandsdirect.co.uk" TargetMode="External" Id="rId938"/><Relationship Type="http://schemas.openxmlformats.org/officeDocument/2006/relationships/hyperlink" Target="https://www.lawfuel.com/blog/www-babybrandsdirect-co-uk-supports-independent-nursery-and-baby-retailers" TargetMode="External" Id="rId939"/><Relationship Type="http://schemas.openxmlformats.org/officeDocument/2006/relationships/hyperlink" Target="https://www.linkedin.com/search/results/companies/?keywords=Baby+Brands+Direct" TargetMode="External" Id="rId940"/><Relationship Type="http://schemas.openxmlformats.org/officeDocument/2006/relationships/hyperlink" Target="https://www.wholesalebabyproducts.co.uk" TargetMode="External" Id="rId941"/><Relationship Type="http://schemas.openxmlformats.org/officeDocument/2006/relationships/hyperlink" Target="https://directory.coventrytelegraph.net/company/889881836294144" TargetMode="External" Id="rId942"/><Relationship Type="http://schemas.openxmlformats.org/officeDocument/2006/relationships/hyperlink" Target="https://www.linkedin.com/search/results/companies/?keywords=Wholesale+Baby+Products" TargetMode="External" Id="rId943"/><Relationship Type="http://schemas.openxmlformats.org/officeDocument/2006/relationships/hyperlink" Target="https://www.astonandfincher.co.uk" TargetMode="External" Id="rId944"/><Relationship Type="http://schemas.openxmlformats.org/officeDocument/2006/relationships/hyperlink" Target="https://www.astonandfincher.co.uk/pages/new-customers" TargetMode="External" Id="rId945"/><Relationship Type="http://schemas.openxmlformats.org/officeDocument/2006/relationships/hyperlink" Target="https://www.linkedin.com/search/results/companies/?keywords=Aston+%26+Fincher" TargetMode="External" Id="rId946"/><Relationship Type="http://schemas.openxmlformats.org/officeDocument/2006/relationships/hyperlink" Target="https://www.capitalhairandbeauty.co.uk" TargetMode="External" Id="rId947"/><Relationship Type="http://schemas.openxmlformats.org/officeDocument/2006/relationships/hyperlink" Target="https://pay.company-information.service.gov.uk/company/00530201" TargetMode="External" Id="rId948"/><Relationship Type="http://schemas.openxmlformats.org/officeDocument/2006/relationships/hyperlink" Target="https://www.linkedin.com/search/results/companies/?keywords=Capital+Hair+%26+Beauty" TargetMode="External" Id="rId949"/><Relationship Type="http://schemas.openxmlformats.org/officeDocument/2006/relationships/hyperlink" Target="https://www.cherrycosmetics.co.uk" TargetMode="External" Id="rId950"/><Relationship Type="http://schemas.openxmlformats.org/officeDocument/2006/relationships/hyperlink" Target="https://oncosmetics.com/company/cherry-cosmetics/" TargetMode="External" Id="rId951"/><Relationship Type="http://schemas.openxmlformats.org/officeDocument/2006/relationships/hyperlink" Target="https://www.linkedin.com/search/results/companies/?keywords=Cherry+Cosmetics" TargetMode="External" Id="rId952"/><Relationship Type="http://schemas.openxmlformats.org/officeDocument/2006/relationships/hyperlink" Target="https://www.exquisitecosmetics.co.uk" TargetMode="External" Id="rId953"/><Relationship Type="http://schemas.openxmlformats.org/officeDocument/2006/relationships/hyperlink" Target="https://pay.company-information.service.gov.uk/company/01315797" TargetMode="External" Id="rId954"/><Relationship Type="http://schemas.openxmlformats.org/officeDocument/2006/relationships/hyperlink" Target="https://www.linkedin.com/search/results/companies/?keywords=Exquisite+Cosmetics+Ltd" TargetMode="External" Id="rId955"/><Relationship Type="http://schemas.openxmlformats.org/officeDocument/2006/relationships/hyperlink" Target="https://www.lookinstyle.co.uk" TargetMode="External" Id="rId956"/><Relationship Type="http://schemas.openxmlformats.org/officeDocument/2006/relationships/hyperlink" Target="https://oncosmetics.com/company/lookinstyle/" TargetMode="External" Id="rId957"/><Relationship Type="http://schemas.openxmlformats.org/officeDocument/2006/relationships/hyperlink" Target="https://www.linkedin.com/search/results/companies/?keywords=LookinStyle" TargetMode="External" Id="rId958"/><Relationship Type="http://schemas.openxmlformats.org/officeDocument/2006/relationships/hyperlink" Target="https://www.beautetrade.com/suppliers/ludonex-ltd-108314/" TargetMode="External" Id="rId959"/><Relationship Type="http://schemas.openxmlformats.org/officeDocument/2006/relationships/hyperlink" Target="https://www.beautetrade.com/suppliers/ludonex-ltd-108314/" TargetMode="External" Id="rId960"/><Relationship Type="http://schemas.openxmlformats.org/officeDocument/2006/relationships/hyperlink" Target="https://www.linkedin.com/search/results/companies/?keywords=Ludonex+Ltd" TargetMode="External" Id="rId961"/><Relationship Type="http://schemas.openxmlformats.org/officeDocument/2006/relationships/hyperlink" Target="https://www.shure-cosmetics.co.uk" TargetMode="External" Id="rId962"/><Relationship Type="http://schemas.openxmlformats.org/officeDocument/2006/relationships/hyperlink" Target="https://www.royalgreenwich.gov.uk/news/2025/woolwich-based-cosmetics-wholesaler-fined-selling-unapproved-perfume" TargetMode="External" Id="rId963"/><Relationship Type="http://schemas.openxmlformats.org/officeDocument/2006/relationships/hyperlink" Target="https://www.linkedin.com/search/results/companies/?keywords=Shure+Cosmetics" TargetMode="External" Id="rId964"/><Relationship Type="http://schemas.openxmlformats.org/officeDocument/2006/relationships/hyperlink" Target="https://www.toolbank.com" TargetMode="External" Id="rId965"/><Relationship Type="http://schemas.openxmlformats.org/officeDocument/2006/relationships/hyperlink" Target="https://find-and-update.company-information.service.gov.uk/company/00529964" TargetMode="External" Id="rId966"/><Relationship Type="http://schemas.openxmlformats.org/officeDocument/2006/relationships/hyperlink" Target="https://www.linkedin.com/search/results/companies/?keywords=Toolbank+Ltd" TargetMode="External" Id="rId967"/><Relationship Type="http://schemas.openxmlformats.org/officeDocument/2006/relationships/hyperlink" Target="https://www.drapertools.com" TargetMode="External" Id="rId968"/><Relationship Type="http://schemas.openxmlformats.org/officeDocument/2006/relationships/hyperlink" Target="https://www.drapertools.com/register-as-a-stockist" TargetMode="External" Id="rId969"/><Relationship Type="http://schemas.openxmlformats.org/officeDocument/2006/relationships/hyperlink" Target="https://www.linkedin.com/search/results/companies/?keywords=Draper+Tools" TargetMode="External" Id="rId970"/><Relationship Type="http://schemas.openxmlformats.org/officeDocument/2006/relationships/hyperlink" Target="https://bosch-pt.com/uk_bssdealer/uk/en/start/bss_acct/dealers_list/campbell_miller.htm" TargetMode="External" Id="rId971"/><Relationship Type="http://schemas.openxmlformats.org/officeDocument/2006/relationships/hyperlink" Target="https://bosch-pt.com/uk_bssdealer/uk/en/start/bss_acct/dealers_list/campbell_miller.htm" TargetMode="External" Id="rId972"/><Relationship Type="http://schemas.openxmlformats.org/officeDocument/2006/relationships/hyperlink" Target="https://www.linkedin.com/search/results/companies/?keywords=Campbell+Miller+Tools" TargetMode="External" Id="rId973"/><Relationship Type="http://schemas.openxmlformats.org/officeDocument/2006/relationships/hyperlink" Target="https://www.ebay.com/str/toolstek" TargetMode="External" Id="rId974"/><Relationship Type="http://schemas.openxmlformats.org/officeDocument/2006/relationships/hyperlink" Target="https://www.ebay.com/str/toolstek" TargetMode="External" Id="rId975"/><Relationship Type="http://schemas.openxmlformats.org/officeDocument/2006/relationships/hyperlink" Target="https://www.linkedin.com/search/results/companies/?keywords=Toolstek" TargetMode="External" Id="rId976"/><Relationship Type="http://schemas.openxmlformats.org/officeDocument/2006/relationships/hyperlink" Target="https://toolguyd.com/triton-tools-insolventcy-acquisition/" TargetMode="External" Id="rId977"/><Relationship Type="http://schemas.openxmlformats.org/officeDocument/2006/relationships/hyperlink" Target="https://www.linkedin.com/search/results/companies/?keywords=Toolstream+%2F+Silverline+Tools" TargetMode="External" Id="rId978"/><Relationship Type="http://schemas.openxmlformats.org/officeDocument/2006/relationships/hyperlink" Target="https://www.knights-fragrances.co.uk" TargetMode="External" Id="rId979"/><Relationship Type="http://schemas.openxmlformats.org/officeDocument/2006/relationships/hyperlink" Target="https://oncosmetics.com/company/knights-fragrances/" TargetMode="External" Id="rId980"/><Relationship Type="http://schemas.openxmlformats.org/officeDocument/2006/relationships/hyperlink" Target="https://www.linkedin.com/search/results/companies/?keywords=Knights+Fragrances" TargetMode="External" Id="rId981"/><Relationship Type="http://schemas.openxmlformats.org/officeDocument/2006/relationships/hyperlink" Target="https://www.starperfumes.com" TargetMode="External" Id="rId982"/><Relationship Type="http://schemas.openxmlformats.org/officeDocument/2006/relationships/hyperlink" Target="https://panjiva.com/Star-Global-Trading-Ltd/1274977" TargetMode="External" Id="rId983"/><Relationship Type="http://schemas.openxmlformats.org/officeDocument/2006/relationships/hyperlink" Target="https://www.linkedin.com/search/results/companies/?keywords=Star+Perfumes" TargetMode="External" Id="rId984"/><Relationship Type="http://schemas.openxmlformats.org/officeDocument/2006/relationships/hyperlink" Target="https://www.affinityfragrances.com" TargetMode="External" Id="rId985"/><Relationship Type="http://schemas.openxmlformats.org/officeDocument/2006/relationships/hyperlink" Target="https://retail-merchandiser.com/news/affinity-fragrances-focus-on-trust-agility-and-long-term-partnerships-is-driving-its-international-expansion/" TargetMode="External" Id="rId986"/><Relationship Type="http://schemas.openxmlformats.org/officeDocument/2006/relationships/hyperlink" Target="https://www.linkedin.com/search/results/companies/?keywords=Affinity+Fragrances" TargetMode="External" Id="rId987"/><Relationship Type="http://schemas.openxmlformats.org/officeDocument/2006/relationships/hyperlink" Target="https://www.shaneel.com/shaneel-enterprises" TargetMode="External" Id="rId988"/><Relationship Type="http://schemas.openxmlformats.org/officeDocument/2006/relationships/hyperlink" Target="https://jobs.workable.com/companies/iKxrmDgx2D2P41Cmp6pAvV.md" TargetMode="External" Id="rId989"/><Relationship Type="http://schemas.openxmlformats.org/officeDocument/2006/relationships/hyperlink" Target="https://www.linkedin.com/search/results/companies/?keywords=Shaneel+Group" TargetMode="External" Id="rId990"/><Relationship Type="http://schemas.openxmlformats.org/officeDocument/2006/relationships/hyperlink" Target="https://www.agencedeparfumerie.co.uk" TargetMode="External" Id="rId991"/><Relationship Type="http://schemas.openxmlformats.org/officeDocument/2006/relationships/hyperlink" Target="https://oncosmetics.com/company/agence-de-parfumerie" TargetMode="External" Id="rId992"/><Relationship Type="http://schemas.openxmlformats.org/officeDocument/2006/relationships/hyperlink" Target="https://www.linkedin.com/search/results/companies/?keywords=Agence+de+Parfumerie" TargetMode="External" Id="rId993"/><Relationship Type="http://schemas.openxmlformats.org/officeDocument/2006/relationships/hyperlink" Target="https://www.booker.co.uk" TargetMode="External" Id="rId994"/><Relationship Type="http://schemas.openxmlformats.org/officeDocument/2006/relationships/hyperlink" Target="https://www.parentkind.org.uk/for-ptas/supplier-directory/booker" TargetMode="External" Id="rId995"/><Relationship Type="http://schemas.openxmlformats.org/officeDocument/2006/relationships/hyperlink" Target="https://www.linkedin.com/search/results/companies/?keywords=Booker+Wholesale" TargetMode="External" Id="rId996"/><Relationship Type="http://schemas.openxmlformats.org/officeDocument/2006/relationships/hyperlink" Target="https://www.bestwaywholesale.co.uk" TargetMode="External" Id="rId997"/><Relationship Type="http://schemas.openxmlformats.org/officeDocument/2006/relationships/hyperlink" Target="https://www.bestwaygroup.co.uk/contact-us" TargetMode="External" Id="rId998"/><Relationship Type="http://schemas.openxmlformats.org/officeDocument/2006/relationships/hyperlink" Target="https://www.linkedin.com/search/results/companies/?keywords=Bestway+Wholesale" TargetMode="External" Id="rId999"/><Relationship Type="http://schemas.openxmlformats.org/officeDocument/2006/relationships/hyperlink" Target="https://www.costco.co.uk" TargetMode="External" Id="rId1000"/><Relationship Type="http://schemas.openxmlformats.org/officeDocument/2006/relationships/hyperlink" Target="https://www.costco.co.uk/membership-business-questions" TargetMode="External" Id="rId1001"/><Relationship Type="http://schemas.openxmlformats.org/officeDocument/2006/relationships/hyperlink" Target="https://www.linkedin.com/search/results/companies/?keywords=Costco+UK" TargetMode="External" Id="rId1002"/><Relationship Type="http://schemas.openxmlformats.org/officeDocument/2006/relationships/hyperlink" Target="https://www.dhamecha.com" TargetMode="External" Id="rId1003"/><Relationship Type="http://schemas.openxmlformats.org/officeDocument/2006/relationships/hyperlink" Target="https://unitaswholesale.co.uk/retailer/wholesaler-search-2/page/8/" TargetMode="External" Id="rId1004"/><Relationship Type="http://schemas.openxmlformats.org/officeDocument/2006/relationships/hyperlink" Target="https://www.linkedin.com/search/results/companies/?keywords=Dhamecha+Cash+%26+Carry" TargetMode="External" Id="rId1005"/><Relationship Type="http://schemas.openxmlformats.org/officeDocument/2006/relationships/hyperlink" Target="https://www.dkwholesale.com" TargetMode="External" Id="rId1006"/><Relationship Type="http://schemas.openxmlformats.org/officeDocument/2006/relationships/hyperlink" Target="https://es.trustpilot.com/review/dkwholesale.com" TargetMode="External" Id="rId1007"/><Relationship Type="http://schemas.openxmlformats.org/officeDocument/2006/relationships/hyperlink" Target="https://www.linkedin.com/search/results/companies/?keywords=DK+Wholesale" TargetMode="External" Id="rId1008"/><Relationship Type="http://schemas.openxmlformats.org/officeDocument/2006/relationships/hyperlink" Target="https://www.hancocks.co.uk" TargetMode="External" Id="rId1009"/><Relationship Type="http://schemas.openxmlformats.org/officeDocument/2006/relationships/hyperlink" Target="https://hancocks.co.uk/about" TargetMode="External" Id="rId1010"/><Relationship Type="http://schemas.openxmlformats.org/officeDocument/2006/relationships/hyperlink" Target="https://www.linkedin.com/search/results/companies/?keywords=Hancocks" TargetMode="External" Id="rId1011"/><Relationship Type="http://schemas.openxmlformats.org/officeDocument/2006/relationships/hyperlink" Target="https://www.parfetts.co.uk" TargetMode="External" Id="rId1012"/><Relationship Type="http://schemas.openxmlformats.org/officeDocument/2006/relationships/hyperlink" Target="https://barandkitchenmagazine.com/?p=20919" TargetMode="External" Id="rId1013"/><Relationship Type="http://schemas.openxmlformats.org/officeDocument/2006/relationships/hyperlink" Target="https://www.linkedin.com/search/results/companies/?keywords=Parfetts" TargetMode="External" Id="rId1014"/><Relationship Type="http://schemas.openxmlformats.org/officeDocument/2006/relationships/hyperlink" Target="https://www.wholesaleclearance.co.uk" TargetMode="External" Id="rId1015"/><Relationship Type="http://schemas.openxmlformats.org/officeDocument/2006/relationships/hyperlink" Target="https://wholesalehelper.io/es/blog/Los-10-principales-proveedores-mayoristas-del-Reino-Unido/" TargetMode="External" Id="rId1016"/><Relationship Type="http://schemas.openxmlformats.org/officeDocument/2006/relationships/hyperlink" Target="https://www.linkedin.com/search/results/companies/?keywords=Wholesale+Clearance+UK" TargetMode="External" Id="rId1017"/><Relationship Type="http://schemas.openxmlformats.org/officeDocument/2006/relationships/hyperlink" Target="https://www.harrisonsdirect.co.uk" TargetMode="External" Id="rId1018"/><Relationship Type="http://schemas.openxmlformats.org/officeDocument/2006/relationships/hyperlink" Target="https://www.harrisonsdirect.co.uk/why-choose-harrisons/" TargetMode="External" Id="rId1019"/><Relationship Type="http://schemas.openxmlformats.org/officeDocument/2006/relationships/hyperlink" Target="https://www.linkedin.com/search/results/companies/?keywords=Harrisons+Direct" TargetMode="External" Id="rId1020"/><Relationship Type="http://schemas.openxmlformats.org/officeDocument/2006/relationships/hyperlink" Target="https://www.proteinbargainwholesale.co.uk" TargetMode="External" Id="rId1021"/><Relationship Type="http://schemas.openxmlformats.org/officeDocument/2006/relationships/hyperlink" Target="https://uk.trustpilot.com/review/proteinbargainwholesale.co.uk" TargetMode="External" Id="rId1022"/><Relationship Type="http://schemas.openxmlformats.org/officeDocument/2006/relationships/hyperlink" Target="https://www.linkedin.com/search/results/companies/?keywords=PB+Wholesale" TargetMode="External" Id="rId1023"/><Relationship Type="http://schemas.openxmlformats.org/officeDocument/2006/relationships/hyperlink" Target="https://www.reliancemedical.co.uk" TargetMode="External" Id="rId1024"/><Relationship Type="http://schemas.openxmlformats.org/officeDocument/2006/relationships/hyperlink" Target="https://healthmanagement.org/site/p/reliance-medical-ltd" TargetMode="External" Id="rId1025"/><Relationship Type="http://schemas.openxmlformats.org/officeDocument/2006/relationships/hyperlink" Target="https://www.linkedin.com/search/results/companies/?keywords=Reliance+Medical+Ltd" TargetMode="External" Id="rId1026"/><Relationship Type="http://schemas.openxmlformats.org/officeDocument/2006/relationships/hyperlink" Target="https://www.clfdistribution.com" TargetMode="External" Id="rId1027"/><Relationship Type="http://schemas.openxmlformats.org/officeDocument/2006/relationships/hyperlink" Target="https://retail-merchandiser.com/news/with-hundreds-of-leading-lifestyle-brands-clf-distribution-offers-uk-retailers-a-comprehensive-choice/" TargetMode="External" Id="rId1028"/><Relationship Type="http://schemas.openxmlformats.org/officeDocument/2006/relationships/hyperlink" Target="https://www.linkedin.com/search/results/companies/?keywords=CLF+Distribution" TargetMode="External" Id="rId1029"/><Relationship Type="http://schemas.openxmlformats.org/officeDocument/2006/relationships/hyperlink" Target="https://pay.company-information.service.gov.uk/company/03076698" TargetMode="External" Id="rId1030"/><Relationship Type="http://schemas.openxmlformats.org/officeDocument/2006/relationships/hyperlink" Target="https://www.linkedin.com/search/results/companies/?keywords=Lexon" TargetMode="External" Id="rId1031"/><Relationship Type="http://schemas.openxmlformats.org/officeDocument/2006/relationships/hyperlink" Target="https://www.predatornutrition.com" TargetMode="External" Id="rId1032"/><Relationship Type="http://schemas.openxmlformats.org/officeDocument/2006/relationships/hyperlink" Target="https://www.zinrelo.com/loyalty-program-showcase/predator-nutrition/" TargetMode="External" Id="rId1033"/><Relationship Type="http://schemas.openxmlformats.org/officeDocument/2006/relationships/hyperlink" Target="https://www.linkedin.com/search/results/companies/?keywords=Predator+Nutrition" TargetMode="External" Id="rId1034"/><Relationship Type="http://schemas.openxmlformats.org/officeDocument/2006/relationships/hyperlink" Target="https://www.devex.com/organizations/gp-supplies-154743" TargetMode="External" Id="rId1035"/><Relationship Type="http://schemas.openxmlformats.org/officeDocument/2006/relationships/hyperlink" Target="https://www.linkedin.com/search/results/companies/?keywords=GP+Supplies" TargetMode="External" Id="rId1036"/><Relationship Type="http://schemas.openxmlformats.org/officeDocument/2006/relationships/hyperlink" Target="https://b2brazil.com/hotsite/karysrolltd" TargetMode="External" Id="rId1037"/><Relationship Type="http://schemas.openxmlformats.org/officeDocument/2006/relationships/hyperlink" Target="https://b2brazil.com/hotsite/karysrolltd" TargetMode="External" Id="rId1038"/><Relationship Type="http://schemas.openxmlformats.org/officeDocument/2006/relationships/hyperlink" Target="https://www.linkedin.com/search/results/companies/?keywords=Karysrol+Ltd" TargetMode="External" Id="rId1039"/><Relationship Type="http://schemas.openxmlformats.org/officeDocument/2006/relationships/hyperlink" Target="https://www.kinetic4health.co.uk" TargetMode="External" Id="rId1040"/><Relationship Type="http://schemas.openxmlformats.org/officeDocument/2006/relationships/hyperlink" Target="https://cosmeticsbusiness.com/kinetic-natural-products-distributor-120192" TargetMode="External" Id="rId1041"/><Relationship Type="http://schemas.openxmlformats.org/officeDocument/2006/relationships/hyperlink" Target="https://www.linkedin.com/search/results/companies/?keywords=Kinetic+Natural+Product+Distributor" TargetMode="External" Id="rId1042"/><Relationship Type="http://schemas.openxmlformats.org/officeDocument/2006/relationships/hyperlink" Target="https://www.suma.coop" TargetMode="External" Id="rId1043"/><Relationship Type="http://schemas.openxmlformats.org/officeDocument/2006/relationships/hyperlink" Target="https://de.trustpilot.com/review/www.suma.coop?page=3" TargetMode="External" Id="rId1044"/><Relationship Type="http://schemas.openxmlformats.org/officeDocument/2006/relationships/hyperlink" Target="https://www.linkedin.com/search/results/companies/?keywords=Suma+Wholefoods" TargetMode="External" Id="rId1045"/><Relationship Type="http://schemas.openxmlformats.org/officeDocument/2006/relationships/hyperlink" Target="https://www.rkwltd.com" TargetMode="External" Id="rId1046"/><Relationship Type="http://schemas.openxmlformats.org/officeDocument/2006/relationships/hyperlink" Target="https://ambiente.messefrankfurt.com/frankfurt/de/ausstellersuche.detail.html/savon-limited.html" TargetMode="External" Id="rId1047"/><Relationship Type="http://schemas.openxmlformats.org/officeDocument/2006/relationships/hyperlink" Target="https://www.linkedin.com/search/results/companies/?keywords=RKW+Ltd" TargetMode="External" Id="rId1048"/><Relationship Type="http://schemas.openxmlformats.org/officeDocument/2006/relationships/hyperlink" Target="https://www.epeinternational.com" TargetMode="External" Id="rId1049"/><Relationship Type="http://schemas.openxmlformats.org/officeDocument/2006/relationships/hyperlink" Target="https://www.bheta.co.uk/suppliers/epe-international-ltd" TargetMode="External" Id="rId1050"/><Relationship Type="http://schemas.openxmlformats.org/officeDocument/2006/relationships/hyperlink" Target="https://www.linkedin.com/search/results/companies/?keywords=EPE+International+Ltd" TargetMode="External" Id="rId1051"/><Relationship Type="http://schemas.openxmlformats.org/officeDocument/2006/relationships/hyperlink" Target="https://www.bheta.co.uk/news/bluestem-group-starts-distribution-partnership-with-delonghi-kenwood-braun" TargetMode="External" Id="rId1052"/><Relationship Type="http://schemas.openxmlformats.org/officeDocument/2006/relationships/hyperlink" Target="https://www.linkedin.com/search/results/companies/?keywords=Bluestem+Group" TargetMode="External" Id="rId1053"/><Relationship Type="http://schemas.openxmlformats.org/officeDocument/2006/relationships/hyperlink" Target="https://housewareslive.net/microplane-partners-with-burton-mccall/" TargetMode="External" Id="rId1054"/><Relationship Type="http://schemas.openxmlformats.org/officeDocument/2006/relationships/hyperlink" Target="https://www.linkedin.com/search/results/companies/?keywords=Burton+McCall" TargetMode="External" Id="rId1055"/><Relationship Type="http://schemas.openxmlformats.org/officeDocument/2006/relationships/hyperlink" Target="https://www.connect-distribution.co.uk" TargetMode="External" Id="rId1056"/><Relationship Type="http://schemas.openxmlformats.org/officeDocument/2006/relationships/hyperlink" Target="https://bira.co.uk/suppliers/connect/" TargetMode="External" Id="rId1057"/><Relationship Type="http://schemas.openxmlformats.org/officeDocument/2006/relationships/hyperlink" Target="https://www.linkedin.com/search/results/companies/?keywords=Connect+Distribution" TargetMode="External" Id="rId1058"/><Relationship Type="http://schemas.openxmlformats.org/officeDocument/2006/relationships/hyperlink" Target="https://hauswares.co.uk" TargetMode="External" Id="rId1059"/><Relationship Type="http://schemas.openxmlformats.org/officeDocument/2006/relationships/hyperlink" Target="https://bira.co.uk/suppliers/haus-marketing-distrubution/" TargetMode="External" Id="rId1060"/><Relationship Type="http://schemas.openxmlformats.org/officeDocument/2006/relationships/hyperlink" Target="https://www.linkedin.com/search/results/companies/?keywords=HAUS+Marketing+%26+Distribution" TargetMode="External" Id="rId1061"/><Relationship Type="http://schemas.openxmlformats.org/officeDocument/2006/relationships/hyperlink" Target="https://www.great.gov.uk/international/buy-from-the-uk/find-a-supplier/supplier/07179010" TargetMode="External" Id="rId1062"/><Relationship Type="http://schemas.openxmlformats.org/officeDocument/2006/relationships/hyperlink" Target="https://www.great.gov.uk/international/buy-from-the-uk/find-a-supplier/supplier/07179010" TargetMode="External" Id="rId1063"/><Relationship Type="http://schemas.openxmlformats.org/officeDocument/2006/relationships/hyperlink" Target="https://www.linkedin.com/search/results/companies/?keywords=SQ+Professional+Ltd" TargetMode="External" Id="rId1064"/><Relationship Type="http://schemas.openxmlformats.org/officeDocument/2006/relationships/hyperlink" Target="https://www.petproducts.co.uk" TargetMode="External" Id="rId1065"/><Relationship Type="http://schemas.openxmlformats.org/officeDocument/2006/relationships/hyperlink" Target="https://petproducts.co.uk/pet-supplies-wholesale/" TargetMode="External" Id="rId1066"/><Relationship Type="http://schemas.openxmlformats.org/officeDocument/2006/relationships/hyperlink" Target="https://www.linkedin.com/search/results/companies/?keywords=Pedigree+Wholesale" TargetMode="External" Id="rId1067"/><Relationship Type="http://schemas.openxmlformats.org/officeDocument/2006/relationships/hyperlink" Target="https://www.pawsproducts.com" TargetMode="External" Id="rId1068"/><Relationship Type="http://schemas.openxmlformats.org/officeDocument/2006/relationships/hyperlink" Target="https://www.petbusinessworld.co.uk/trade-directory/list/wholesalers/page/2?l=p" TargetMode="External" Id="rId1069"/><Relationship Type="http://schemas.openxmlformats.org/officeDocument/2006/relationships/hyperlink" Target="https://www.linkedin.com/search/results/companies/?keywords=Paws+Products+Wholesale" TargetMode="External" Id="rId1070"/><Relationship Type="http://schemas.openxmlformats.org/officeDocument/2006/relationships/hyperlink" Target="https://petbusinessworld.co.uk/trade-directory/list/wholesalers" TargetMode="External" Id="rId1071"/><Relationship Type="http://schemas.openxmlformats.org/officeDocument/2006/relationships/hyperlink" Target="https://www.linkedin.com/search/results/companies/?keywords=PMS+International" TargetMode="External" Id="rId1072"/><Relationship Type="http://schemas.openxmlformats.org/officeDocument/2006/relationships/hyperlink" Target="https://www.gymkituk.com" TargetMode="External" Id="rId1073"/><Relationship Type="http://schemas.openxmlformats.org/officeDocument/2006/relationships/hyperlink" Target="https://healthclubmanagement.co.uk/health-club-management-company-profile/Gymkit-UK/1594" TargetMode="External" Id="rId1074"/><Relationship Type="http://schemas.openxmlformats.org/officeDocument/2006/relationships/hyperlink" Target="https://www.linkedin.com/search/results/companies/?keywords=Gymkit+UK" TargetMode="External" Id="rId1075"/><Relationship Type="http://schemas.openxmlformats.org/officeDocument/2006/relationships/hyperlink" Target="https://hykew-hykehamwholesale.dc02.gob2b.com" TargetMode="External" Id="rId1076"/><Relationship Type="http://schemas.openxmlformats.org/officeDocument/2006/relationships/hyperlink" Target="https://find-and-update.company-information.service.gov.uk/company/04582675" TargetMode="External" Id="rId1077"/><Relationship Type="http://schemas.openxmlformats.org/officeDocument/2006/relationships/hyperlink" Target="https://www.linkedin.com/search/results/companies/?keywords=Hykeham+Wholesale+Ltd" TargetMode="External" Id="rId1078"/><Relationship Type="http://schemas.openxmlformats.org/officeDocument/2006/relationships/hyperlink" Target="https://www.vango.co.uk" TargetMode="External" Id="rId1079"/><Relationship Type="http://schemas.openxmlformats.org/officeDocument/2006/relationships/hyperlink" Target="https://en.wikipedia.org/wiki/Vango_(company)" TargetMode="External" Id="rId1080"/><Relationship Type="http://schemas.openxmlformats.org/officeDocument/2006/relationships/hyperlink" Target="https://www.linkedin.com/search/results/companies/?keywords=Vango" TargetMode="External" Id="rId1081"/><Relationship Type="http://schemas.openxmlformats.org/officeDocument/2006/relationships/hyperlink" Target="https://supplier-directory.betterretailing.com/suppliers/galaxy-wholesalers/" TargetMode="External" Id="rId1082"/><Relationship Type="http://schemas.openxmlformats.org/officeDocument/2006/relationships/hyperlink" Target="https://find-and-update.company-information.service.gov.uk/company/02872447" TargetMode="External" Id="rId1083"/><Relationship Type="http://schemas.openxmlformats.org/officeDocument/2006/relationships/hyperlink" Target="https://www.linkedin.com/search/results/companies/?keywords=Galaxy+Wholesalers+Ltd" TargetMode="External" Id="rId1084"/><Relationship Type="http://schemas.openxmlformats.org/officeDocument/2006/relationships/hyperlink" Target="https://www.computerweekly.com/microscope/news/366637861/Exertis-Supplies-picked-up-by-evo" TargetMode="External" Id="rId1085"/><Relationship Type="http://schemas.openxmlformats.org/officeDocument/2006/relationships/hyperlink" Target="https://www.linkedin.com/search/results/companies/?keywords=VOW+Wholesale" TargetMode="External" Id="rId1086"/><Relationship Type="http://schemas.openxmlformats.org/officeDocument/2006/relationships/hyperlink" Target="https://supplier-directory.betterretailing.com/?p=1293" TargetMode="External" Id="rId1087"/><Relationship Type="http://schemas.openxmlformats.org/officeDocument/2006/relationships/hyperlink" Target="https://supplier-directory.betterretailing.com/?p=1293" TargetMode="External" Id="rId1088"/><Relationship Type="http://schemas.openxmlformats.org/officeDocument/2006/relationships/hyperlink" Target="https://www.linkedin.com/search/results/companies/?keywords=The+Impact+Distribution+Group" TargetMode="External" Id="rId1089"/><Relationship Type="http://schemas.openxmlformats.org/officeDocument/2006/relationships/hyperlink" Target="https://ensun.io/search/art-craft-supply/united-kingdom" TargetMode="External" Id="rId1090"/><Relationship Type="http://schemas.openxmlformats.org/officeDocument/2006/relationships/hyperlink" Target="https://www.linkedin.com/search/results/companies/?keywords=West+Design+Products" TargetMode="External" Id="rId1091"/><Relationship Type="http://schemas.openxmlformats.org/officeDocument/2006/relationships/hyperlink" Target="https://www.abgee.co.uk" TargetMode="External" Id="rId1092"/><Relationship Type="http://schemas.openxmlformats.org/officeDocument/2006/relationships/hyperlink" Target="https://www.great.gov.uk/international/buy-from-the-uk/find-a-supplier/supplier/01936299" TargetMode="External" Id="rId1093"/><Relationship Type="http://schemas.openxmlformats.org/officeDocument/2006/relationships/hyperlink" Target="https://www.linkedin.com/search/results/companies/?keywords=A.B.+Gee+of+Ripley+Ltd" TargetMode="External" Id="rId1094"/><Relationship Type="http://schemas.openxmlformats.org/officeDocument/2006/relationships/hyperlink" Target="https://www.nda-toys.com" TargetMode="External" Id="rId1095"/><Relationship Type="http://schemas.openxmlformats.org/officeDocument/2006/relationships/hyperlink" Target="https://www.toyfair.co.uk/?p=62314" TargetMode="External" Id="rId1096"/><Relationship Type="http://schemas.openxmlformats.org/officeDocument/2006/relationships/hyperlink" Target="https://www.linkedin.com/search/results/companies/?keywords=NDA+Toys" TargetMode="External" Id="rId1097"/><Relationship Type="http://schemas.openxmlformats.org/officeDocument/2006/relationships/hyperlink" Target="https://www.wind-designs.com" TargetMode="External" Id="rId1098"/><Relationship Type="http://schemas.openxmlformats.org/officeDocument/2006/relationships/hyperlink" Target="https://www.toyfair.co.uk/?p=44154" TargetMode="External" Id="rId1099"/><Relationship Type="http://schemas.openxmlformats.org/officeDocument/2006/relationships/hyperlink" Target="https://www.linkedin.com/search/results/companies/?keywords=Wind+Designs+Ltd" TargetMode="External" Id="rId1100"/><Relationship Type="http://schemas.openxmlformats.org/officeDocument/2006/relationships/hyperlink" Target="https://www.johnadams.co.uk" TargetMode="External" Id="rId1101"/><Relationship Type="http://schemas.openxmlformats.org/officeDocument/2006/relationships/hyperlink" Target="https://www.great.gov.uk/international/buy-from-the-uk/find-a-supplier/supplier/01761275" TargetMode="External" Id="rId1102"/><Relationship Type="http://schemas.openxmlformats.org/officeDocument/2006/relationships/hyperlink" Target="https://www.linkedin.com/search/results/companies/?keywords=John+Adams+Leisure+Ltd" TargetMode="External" Id="rId1103"/><Relationship Type="http://schemas.openxmlformats.org/officeDocument/2006/relationships/hyperlink" Target="https://open.endole.co.uk/insight/brand/146629-one-for-fun" TargetMode="External" Id="rId1104"/><Relationship Type="http://schemas.openxmlformats.org/officeDocument/2006/relationships/hyperlink" Target="https://www.linkedin.com/search/results/companies/?keywords=One+For+Fun" TargetMode="External" Id="rId1105"/><Relationship Type="http://schemas.openxmlformats.org/officeDocument/2006/relationships/hyperlink" Target="https://www.peterkin.co.uk" TargetMode="External" Id="rId1106"/><Relationship Type="http://schemas.openxmlformats.org/officeDocument/2006/relationships/hyperlink" Target="https://pay.company-information.service.gov.uk/company/00566155" TargetMode="External" Id="rId1107"/><Relationship Type="http://schemas.openxmlformats.org/officeDocument/2006/relationships/hyperlink" Target="https://www.linkedin.com/search/results/companies/?keywords=Peterkin+UK+Ltd" TargetMode="External" Id="rId1108"/><Relationship Type="http://schemas.openxmlformats.org/officeDocument/2006/relationships/hyperlink" Target="https://www.character-online.com" TargetMode="External" Id="rId1109"/><Relationship Type="http://schemas.openxmlformats.org/officeDocument/2006/relationships/hyperlink" Target="https://toysnplaythings.media/new-appointments-at-character" TargetMode="External" Id="rId1110"/><Relationship Type="http://schemas.openxmlformats.org/officeDocument/2006/relationships/hyperlink" Target="https://www.linkedin.com/search/results/companies/?keywords=Character+Options+Ltd" TargetMode="External" Id="rId1111"/><Relationship Type="http://schemas.openxmlformats.org/officeDocument/2006/relationships/hyperlink" Target="https://gb.keycraftglobal.com" TargetMode="External" Id="rId1112"/><Relationship Type="http://schemas.openxmlformats.org/officeDocument/2006/relationships/hyperlink" Target="https://mom.maison-objet.com/en/brand/10830/keycraft" TargetMode="External" Id="rId1113"/><Relationship Type="http://schemas.openxmlformats.org/officeDocument/2006/relationships/hyperlink" Target="https://www.linkedin.com/search/results/companies/?keywords=Keycraft" TargetMode="External" Id="rId1114"/><Relationship Type="http://schemas.openxmlformats.org/officeDocument/2006/relationships/hyperlink" Target="https://www.puckator.co.uk" TargetMode="External" Id="rId1115"/><Relationship Type="http://schemas.openxmlformats.org/officeDocument/2006/relationships/hyperlink" Target="https://www.puckator.co.uk/faq" TargetMode="External" Id="rId1116"/><Relationship Type="http://schemas.openxmlformats.org/officeDocument/2006/relationships/hyperlink" Target="https://www.linkedin.com/search/results/companies/?keywords=Puckator+Ltd" TargetMode="External" Id="rId1117"/><Relationship Type="http://schemas.openxmlformats.org/officeDocument/2006/relationships/hyperlink" Target="https://bstock.com/amazoneu/about/" TargetMode="External" Id="rId1118"/><Relationship Type="http://schemas.openxmlformats.org/officeDocument/2006/relationships/hyperlink" Target="https://bstock.com/amazoneu/about/" TargetMode="External" Id="rId1119"/><Relationship Type="http://schemas.openxmlformats.org/officeDocument/2006/relationships/hyperlink" Target="https://www.linkedin.com/search/results/companies/?keywords=B-Stock+-+Amazon+EU+Liquidation+Auctions" TargetMode="External" Id="rId1120"/><Relationship Type="http://schemas.openxmlformats.org/officeDocument/2006/relationships/hyperlink" Target="https://www.faire.com" TargetMode="External" Id="rId1121"/><Relationship Type="http://schemas.openxmlformats.org/officeDocument/2006/relationships/hyperlink" Target="https://faire.com/support/articles/29881314074139" TargetMode="External" Id="rId1122"/><Relationship Type="http://schemas.openxmlformats.org/officeDocument/2006/relationships/hyperlink" Target="https://www.linkedin.com/search/results/companies/?keywords=Faire" TargetMode="External" Id="rId1123"/><Relationship Type="http://schemas.openxmlformats.org/officeDocument/2006/relationships/hyperlink" Target="https://symphonya.eu" TargetMode="External" Id="rId1124"/><Relationship Type="http://schemas.openxmlformats.org/officeDocument/2006/relationships/hyperlink" Target="https://hellotax.com/partners/symphonya" TargetMode="External" Id="rId1125"/><Relationship Type="http://schemas.openxmlformats.org/officeDocument/2006/relationships/hyperlink" Target="https://www.linkedin.com/search/results/companies/?keywords=Symphonya.eu" TargetMode="External" Id="rId112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search/results/companies/?keywords=SWAROVSKI+OPTIK+Vertriebs+GmbH" TargetMode="External" Id="rId1"/><Relationship Type="http://schemas.openxmlformats.org/officeDocument/2006/relationships/hyperlink" Target="https://www.linkedin.com/search/results/people/?keywords=SWAROVSKI+OPTIK+Vertriebs+GmbH+sales+OR+%22account+manager%22+OR+%22business+development%22" TargetMode="External" Id="rId2"/><Relationship Type="http://schemas.openxmlformats.org/officeDocument/2006/relationships/hyperlink" Target="https://www.linkedin.com/search/results/companies/?keywords=KORES+GmbH" TargetMode="External" Id="rId3"/><Relationship Type="http://schemas.openxmlformats.org/officeDocument/2006/relationships/hyperlink" Target="https://www.linkedin.com/search/results/people/?keywords=KORES+GmbH+sales+OR+%22account+manager%22+OR+%22business+development%22" TargetMode="External" Id="rId4"/><Relationship Type="http://schemas.openxmlformats.org/officeDocument/2006/relationships/hyperlink" Target="https://www.linkedin.com/search/results/companies/?keywords=Stadlbauer+Marketing+%2B+Vertrieb+GmbH" TargetMode="External" Id="rId5"/><Relationship Type="http://schemas.openxmlformats.org/officeDocument/2006/relationships/hyperlink" Target="https://www.linkedin.com/search/results/people/?keywords=Stadlbauer+Marketing+%2B+Vertrieb+GmbH+sales+OR+%22account+manager%22+OR+%22business+development%22" TargetMode="External" Id="rId6"/><Relationship Type="http://schemas.openxmlformats.org/officeDocument/2006/relationships/hyperlink" Target="https://www.linkedin.com/search/results/companies/?keywords=Wiener+Spielkartenfabrik+Ferd.+Piatnik+%26+S%C3%B6hne" TargetMode="External" Id="rId7"/><Relationship Type="http://schemas.openxmlformats.org/officeDocument/2006/relationships/hyperlink" Target="https://www.linkedin.com/search/results/people/?keywords=Wiener+Spielkartenfabrik+Ferd.+Piatnik+%26+S%C3%B6hne+sales+OR+%22account+manager%22+OR+%22business+development%22" TargetMode="External" Id="rId8"/><Relationship Type="http://schemas.openxmlformats.org/officeDocument/2006/relationships/hyperlink" Target="https://www.linkedin.com/search/results/companies/?keywords=Baekho+Beauty" TargetMode="External" Id="rId9"/><Relationship Type="http://schemas.openxmlformats.org/officeDocument/2006/relationships/hyperlink" Target="https://www.linkedin.com/search/results/people/?keywords=Baekho+Beauty+sales+OR+%22account+manager%22+OR+%22business+development%22" TargetMode="External" Id="rId10"/><Relationship Type="http://schemas.openxmlformats.org/officeDocument/2006/relationships/hyperlink" Target="https://www.linkedin.com/search/results/companies/?keywords=Euro+Cosmetic" TargetMode="External" Id="rId11"/><Relationship Type="http://schemas.openxmlformats.org/officeDocument/2006/relationships/hyperlink" Target="https://www.linkedin.com/search/results/people/?keywords=Euro+Cosmetic+sales+OR+%22account+manager%22+OR+%22business+development%22" TargetMode="External" Id="rId12"/><Relationship Type="http://schemas.openxmlformats.org/officeDocument/2006/relationships/hyperlink" Target="https://www.linkedin.com/search/results/companies/?keywords=Varo" TargetMode="External" Id="rId13"/><Relationship Type="http://schemas.openxmlformats.org/officeDocument/2006/relationships/hyperlink" Target="https://www.linkedin.com/search/results/people/?keywords=Varo+sales+OR+%22account+manager%22+OR+%22business+development%22" TargetMode="External" Id="rId14"/><Relationship Type="http://schemas.openxmlformats.org/officeDocument/2006/relationships/hyperlink" Target="https://www.linkedin.com/search/results/companies/?keywords=Beautylux" TargetMode="External" Id="rId15"/><Relationship Type="http://schemas.openxmlformats.org/officeDocument/2006/relationships/hyperlink" Target="https://www.linkedin.com/search/results/people/?keywords=Beautylux+sales+OR+%22account+manager%22+OR+%22business+development%22" TargetMode="External" Id="rId16"/><Relationship Type="http://schemas.openxmlformats.org/officeDocument/2006/relationships/hyperlink" Target="https://www.linkedin.com/search/results/companies/?keywords=Galico+NV" TargetMode="External" Id="rId17"/><Relationship Type="http://schemas.openxmlformats.org/officeDocument/2006/relationships/hyperlink" Target="https://www.linkedin.com/search/results/people/?keywords=Galico+NV+sales+OR+%22account+manager%22+OR+%22business+development%22" TargetMode="External" Id="rId18"/><Relationship Type="http://schemas.openxmlformats.org/officeDocument/2006/relationships/hyperlink" Target="https://www.linkedin.com/search/results/companies/?keywords=Flamingo+Pet+Products+NV" TargetMode="External" Id="rId19"/><Relationship Type="http://schemas.openxmlformats.org/officeDocument/2006/relationships/hyperlink" Target="https://www.linkedin.com/search/results/people/?keywords=Flamingo+Pet+Products+NV+sales+OR+%22account+manager%22+OR+%22business+development%22" TargetMode="External" Id="rId20"/><Relationship Type="http://schemas.openxmlformats.org/officeDocument/2006/relationships/hyperlink" Target="https://www.linkedin.com/search/results/companies/?keywords=Savic+NV" TargetMode="External" Id="rId21"/><Relationship Type="http://schemas.openxmlformats.org/officeDocument/2006/relationships/hyperlink" Target="https://www.linkedin.com/search/results/people/?keywords=Savic+NV+sales+OR+%22account+manager%22+OR+%22business+development%22" TargetMode="External" Id="rId22"/><Relationship Type="http://schemas.openxmlformats.org/officeDocument/2006/relationships/hyperlink" Target="https://www.linkedin.com/search/results/companies/?keywords=Laroy+Group" TargetMode="External" Id="rId23"/><Relationship Type="http://schemas.openxmlformats.org/officeDocument/2006/relationships/hyperlink" Target="https://www.linkedin.com/search/results/people/?keywords=Laroy+Group+sales+OR+%22account+manager%22+OR+%22business+development%22" TargetMode="External" Id="rId24"/><Relationship Type="http://schemas.openxmlformats.org/officeDocument/2006/relationships/hyperlink" Target="https://www.linkedin.com/search/results/companies/?keywords=Moderna+Products+NV" TargetMode="External" Id="rId25"/><Relationship Type="http://schemas.openxmlformats.org/officeDocument/2006/relationships/hyperlink" Target="https://www.linkedin.com/search/results/people/?keywords=Moderna+Products+NV+sales+OR+%22account+manager%22+OR+%22business+development%22" TargetMode="External" Id="rId26"/><Relationship Type="http://schemas.openxmlformats.org/officeDocument/2006/relationships/hyperlink" Target="https://www.linkedin.com/search/results/companies/?keywords=Vadigran+NV" TargetMode="External" Id="rId27"/><Relationship Type="http://schemas.openxmlformats.org/officeDocument/2006/relationships/hyperlink" Target="https://www.linkedin.com/search/results/people/?keywords=Vadigran+NV+sales+OR+%22account+manager%22+OR+%22business+development%22" TargetMode="External" Id="rId28"/><Relationship Type="http://schemas.openxmlformats.org/officeDocument/2006/relationships/hyperlink" Target="https://www.linkedin.com/search/results/companies/?keywords=Iventas" TargetMode="External" Id="rId29"/><Relationship Type="http://schemas.openxmlformats.org/officeDocument/2006/relationships/hyperlink" Target="https://www.linkedin.com/search/results/people/?keywords=Iventas+sales+OR+%22account+manager%22+OR+%22business+development%22" TargetMode="External" Id="rId30"/><Relationship Type="http://schemas.openxmlformats.org/officeDocument/2006/relationships/hyperlink" Target="https://www.linkedin.com/search/results/companies/?keywords=Bulgarian+Rose+AD" TargetMode="External" Id="rId31"/><Relationship Type="http://schemas.openxmlformats.org/officeDocument/2006/relationships/hyperlink" Target="https://www.linkedin.com/search/results/people/?keywords=Bulgarian+Rose+AD+sales+OR+%22account+manager%22+OR+%22business+development%22" TargetMode="External" Id="rId32"/><Relationship Type="http://schemas.openxmlformats.org/officeDocument/2006/relationships/hyperlink" Target="https://www.linkedin.com/search/results/companies/?keywords=Lema+Kazanlak" TargetMode="External" Id="rId33"/><Relationship Type="http://schemas.openxmlformats.org/officeDocument/2006/relationships/hyperlink" Target="https://www.linkedin.com/search/results/people/?keywords=Lema+Kazanlak+sales+OR+%22account+manager%22+OR+%22business+development%22" TargetMode="External" Id="rId34"/><Relationship Type="http://schemas.openxmlformats.org/officeDocument/2006/relationships/hyperlink" Target="https://www.linkedin.com/search/results/companies/?keywords=Parmash+AD" TargetMode="External" Id="rId35"/><Relationship Type="http://schemas.openxmlformats.org/officeDocument/2006/relationships/hyperlink" Target="https://www.linkedin.com/search/results/people/?keywords=Parmash+AD+sales+OR+%22account+manager%22+OR+%22business+development%22" TargetMode="External" Id="rId36"/><Relationship Type="http://schemas.openxmlformats.org/officeDocument/2006/relationships/hyperlink" Target="https://www.linkedin.com/search/results/companies/?keywords=Saponia+d.d." TargetMode="External" Id="rId37"/><Relationship Type="http://schemas.openxmlformats.org/officeDocument/2006/relationships/hyperlink" Target="https://www.linkedin.com/search/results/people/?keywords=Saponia+d.d.+sales+OR+%22account+manager%22+OR+%22business+development%22" TargetMode="External" Id="rId38"/><Relationship Type="http://schemas.openxmlformats.org/officeDocument/2006/relationships/hyperlink" Target="https://www.linkedin.com/search/results/companies/?keywords=Dermacol+a.s." TargetMode="External" Id="rId39"/><Relationship Type="http://schemas.openxmlformats.org/officeDocument/2006/relationships/hyperlink" Target="https://www.linkedin.com/search/results/people/?keywords=Dermacol+a.s.+sales+OR+%22account+manager%22+OR+%22business+development%22" TargetMode="External" Id="rId40"/><Relationship Type="http://schemas.openxmlformats.org/officeDocument/2006/relationships/hyperlink" Target="https://www.linkedin.com/search/results/companies/?keywords=MANUFAKTURA" TargetMode="External" Id="rId41"/><Relationship Type="http://schemas.openxmlformats.org/officeDocument/2006/relationships/hyperlink" Target="https://www.linkedin.com/search/results/people/?keywords=MANUFAKTURA+sales+OR+%22account+manager%22+OR+%22business+development%22" TargetMode="External" Id="rId42"/><Relationship Type="http://schemas.openxmlformats.org/officeDocument/2006/relationships/hyperlink" Target="https://www.linkedin.com/search/results/companies/?keywords=NAREX+s.r.o." TargetMode="External" Id="rId43"/><Relationship Type="http://schemas.openxmlformats.org/officeDocument/2006/relationships/hyperlink" Target="https://www.linkedin.com/search/results/people/?keywords=NAREX+s.r.o.+sales+OR+%22account+manager%22+OR+%22business+development%22" TargetMode="External" Id="rId44"/><Relationship Type="http://schemas.openxmlformats.org/officeDocument/2006/relationships/hyperlink" Target="https://www.linkedin.com/search/results/companies/?keywords=BJUTIP+a.s." TargetMode="External" Id="rId45"/><Relationship Type="http://schemas.openxmlformats.org/officeDocument/2006/relationships/hyperlink" Target="https://www.linkedin.com/search/results/people/?keywords=BJUTIP+a.s.+sales+OR+%22account+manager%22+OR+%22business+development%22" TargetMode="External" Id="rId46"/><Relationship Type="http://schemas.openxmlformats.org/officeDocument/2006/relationships/hyperlink" Target="https://www.linkedin.com/search/results/companies/?keywords=NUTREND+D.S.%2C+a.s." TargetMode="External" Id="rId47"/><Relationship Type="http://schemas.openxmlformats.org/officeDocument/2006/relationships/hyperlink" Target="https://www.linkedin.com/search/results/people/?keywords=NUTREND+D.S.%2C+a.s.+sales+OR+%22account+manager%22+OR+%22business+development%22" TargetMode="External" Id="rId48"/><Relationship Type="http://schemas.openxmlformats.org/officeDocument/2006/relationships/hyperlink" Target="https://www.linkedin.com/search/results/companies/?keywords=SPOKAR+a.s." TargetMode="External" Id="rId49"/><Relationship Type="http://schemas.openxmlformats.org/officeDocument/2006/relationships/hyperlink" Target="https://www.linkedin.com/search/results/people/?keywords=SPOKAR+a.s.+sales+OR+%22account+manager%22+OR+%22business+development%22" TargetMode="External" Id="rId50"/><Relationship Type="http://schemas.openxmlformats.org/officeDocument/2006/relationships/hyperlink" Target="https://www.linkedin.com/search/results/companies/?keywords=ALPA%2C+a.s." TargetMode="External" Id="rId51"/><Relationship Type="http://schemas.openxmlformats.org/officeDocument/2006/relationships/hyperlink" Target="https://www.linkedin.com/search/results/people/?keywords=ALPA%2C+a.s.+sales+OR+%22account+manager%22+OR+%22business+development%22" TargetMode="External" Id="rId52"/><Relationship Type="http://schemas.openxmlformats.org/officeDocument/2006/relationships/hyperlink" Target="https://www.linkedin.com/search/results/companies/?keywords=Tescoma+s.r.o." TargetMode="External" Id="rId53"/><Relationship Type="http://schemas.openxmlformats.org/officeDocument/2006/relationships/hyperlink" Target="https://www.linkedin.com/search/results/people/?keywords=Tescoma+s.r.o.+sales+OR+%22account+manager%22+OR+%22business+development%22" TargetMode="External" Id="rId54"/><Relationship Type="http://schemas.openxmlformats.org/officeDocument/2006/relationships/hyperlink" Target="https://www.linkedin.com/search/results/companies/?keywords=BLEX%2C+a.s." TargetMode="External" Id="rId55"/><Relationship Type="http://schemas.openxmlformats.org/officeDocument/2006/relationships/hyperlink" Target="https://www.linkedin.com/search/results/people/?keywords=BLEX%2C+a.s.+sales+OR+%22account+manager%22+OR+%22business+development%22" TargetMode="External" Id="rId56"/><Relationship Type="http://schemas.openxmlformats.org/officeDocument/2006/relationships/hyperlink" Target="https://www.linkedin.com/search/results/companies/?keywords=D%C5%99evotvar+dru%C5%BEstvo" TargetMode="External" Id="rId57"/><Relationship Type="http://schemas.openxmlformats.org/officeDocument/2006/relationships/hyperlink" Target="https://www.linkedin.com/search/results/people/?keywords=D%C5%99evotvar+dru%C5%BEstvo+sales+OR+%22account+manager%22+OR+%22business+development%22" TargetMode="External" Id="rId58"/><Relationship Type="http://schemas.openxmlformats.org/officeDocument/2006/relationships/hyperlink" Target="https://www.linkedin.com/search/results/companies/?keywords=Remoska+s.r.o." TargetMode="External" Id="rId59"/><Relationship Type="http://schemas.openxmlformats.org/officeDocument/2006/relationships/hyperlink" Target="https://www.linkedin.com/search/results/people/?keywords=Remoska+s.r.o.+sales+OR+%22account+manager%22+OR+%22business+development%22" TargetMode="External" Id="rId60"/><Relationship Type="http://schemas.openxmlformats.org/officeDocument/2006/relationships/hyperlink" Target="https://www.linkedin.com/search/results/companies/?keywords=Funky+Dog" TargetMode="External" Id="rId61"/><Relationship Type="http://schemas.openxmlformats.org/officeDocument/2006/relationships/hyperlink" Target="https://www.linkedin.com/search/results/people/?keywords=Funky+Dog+sales+OR+%22account+manager%22+OR+%22business+development%22" TargetMode="External" Id="rId62"/><Relationship Type="http://schemas.openxmlformats.org/officeDocument/2006/relationships/hyperlink" Target="https://www.linkedin.com/search/results/companies/?keywords=JUKO+petfood+s.r.o." TargetMode="External" Id="rId63"/><Relationship Type="http://schemas.openxmlformats.org/officeDocument/2006/relationships/hyperlink" Target="https://www.linkedin.com/search/results/people/?keywords=JUKO+petfood+s.r.o.+sales+OR+%22account+manager%22+OR+%22business+development%22" TargetMode="External" Id="rId64"/><Relationship Type="http://schemas.openxmlformats.org/officeDocument/2006/relationships/hyperlink" Target="https://www.linkedin.com/search/results/companies/?keywords=Tommi+CZ+s.r.o." TargetMode="External" Id="rId65"/><Relationship Type="http://schemas.openxmlformats.org/officeDocument/2006/relationships/hyperlink" Target="https://www.linkedin.com/search/results/people/?keywords=Tommi+CZ+s.r.o.+sales+OR+%22account+manager%22+OR+%22business+development%22" TargetMode="External" Id="rId66"/><Relationship Type="http://schemas.openxmlformats.org/officeDocument/2006/relationships/hyperlink" Target="https://www.linkedin.com/search/results/companies/?keywords=Samoh%C3%BDl+Group" TargetMode="External" Id="rId67"/><Relationship Type="http://schemas.openxmlformats.org/officeDocument/2006/relationships/hyperlink" Target="https://www.linkedin.com/search/results/people/?keywords=Samoh%C3%BDl+Group+sales+OR+%22account+manager%22+OR+%22business+development%22" TargetMode="External" Id="rId68"/><Relationship Type="http://schemas.openxmlformats.org/officeDocument/2006/relationships/hyperlink" Target="https://www.linkedin.com/search/results/companies/?keywords=GALA+a.s." TargetMode="External" Id="rId69"/><Relationship Type="http://schemas.openxmlformats.org/officeDocument/2006/relationships/hyperlink" Target="https://www.linkedin.com/search/results/people/?keywords=GALA+a.s.+sales+OR+%22account+manager%22+OR+%22business+development%22" TargetMode="External" Id="rId70"/><Relationship Type="http://schemas.openxmlformats.org/officeDocument/2006/relationships/hyperlink" Target="https://www.linkedin.com/search/results/companies/?keywords=KOH-I-NOOR+HARDTMUTH+a.s." TargetMode="External" Id="rId71"/><Relationship Type="http://schemas.openxmlformats.org/officeDocument/2006/relationships/hyperlink" Target="https://www.linkedin.com/search/results/people/?keywords=KOH-I-NOOR+HARDTMUTH+a.s.+sales+OR+%22account+manager%22+OR+%22business+development%22" TargetMode="External" Id="rId72"/><Relationship Type="http://schemas.openxmlformats.org/officeDocument/2006/relationships/hyperlink" Target="https://www.linkedin.com/search/results/companies/?keywords=Dino+Toys+s.r.o." TargetMode="External" Id="rId73"/><Relationship Type="http://schemas.openxmlformats.org/officeDocument/2006/relationships/hyperlink" Target="https://www.linkedin.com/search/results/people/?keywords=Dino+Toys+s.r.o.+sales+OR+%22account+manager%22+OR+%22business+development%22" TargetMode="External" Id="rId74"/><Relationship Type="http://schemas.openxmlformats.org/officeDocument/2006/relationships/hyperlink" Target="https://www.linkedin.com/search/results/companies/?keywords=Albi+%C4%8Cesk%C3%A1+republika+a.s." TargetMode="External" Id="rId75"/><Relationship Type="http://schemas.openxmlformats.org/officeDocument/2006/relationships/hyperlink" Target="https://www.linkedin.com/search/results/people/?keywords=Albi+%C4%8Cesk%C3%A1+republika+a.s.+sales+OR+%22account+manager%22+OR+%22business+development%22" TargetMode="External" Id="rId76"/><Relationship Type="http://schemas.openxmlformats.org/officeDocument/2006/relationships/hyperlink" Target="https://www.linkedin.com/search/results/companies/?keywords=Bino+Europe+k.s." TargetMode="External" Id="rId77"/><Relationship Type="http://schemas.openxmlformats.org/officeDocument/2006/relationships/hyperlink" Target="https://www.linkedin.com/search/results/people/?keywords=Bino+Europe+k.s.+sales+OR+%22account+manager%22+OR+%22business+development%22" TargetMode="External" Id="rId78"/><Relationship Type="http://schemas.openxmlformats.org/officeDocument/2006/relationships/hyperlink" Target="https://www.linkedin.com/search/results/companies/?keywords=Teddies+s.r.o." TargetMode="External" Id="rId79"/><Relationship Type="http://schemas.openxmlformats.org/officeDocument/2006/relationships/hyperlink" Target="https://www.linkedin.com/search/results/people/?keywords=Teddies+s.r.o.+sales+OR+%22account+manager%22+OR+%22business+development%22" TargetMode="External" Id="rId80"/><Relationship Type="http://schemas.openxmlformats.org/officeDocument/2006/relationships/hyperlink" Target="https://www.linkedin.com/search/results/companies/?keywords=BabyDan+A%2FS" TargetMode="External" Id="rId81"/><Relationship Type="http://schemas.openxmlformats.org/officeDocument/2006/relationships/hyperlink" Target="https://www.linkedin.com/search/results/people/?keywords=BabyDan+A%2FS+sales+OR+%22account+manager%22+OR+%22business+development%22" TargetMode="External" Id="rId82"/><Relationship Type="http://schemas.openxmlformats.org/officeDocument/2006/relationships/hyperlink" Target="https://www.linkedin.com/search/results/companies/?keywords=Liewood+A%2FS" TargetMode="External" Id="rId83"/><Relationship Type="http://schemas.openxmlformats.org/officeDocument/2006/relationships/hyperlink" Target="https://www.linkedin.com/search/results/people/?keywords=Liewood+A%2FS+sales+OR+%22account+manager%22+OR+%22business+development%22" TargetMode="External" Id="rId84"/><Relationship Type="http://schemas.openxmlformats.org/officeDocument/2006/relationships/hyperlink" Target="https://www.linkedin.com/search/results/companies/?keywords=ECOOKING+A%2FS" TargetMode="External" Id="rId85"/><Relationship Type="http://schemas.openxmlformats.org/officeDocument/2006/relationships/hyperlink" Target="https://www.linkedin.com/search/results/people/?keywords=ECOOKING+A%2FS+sales+OR+%22account+manager%22+OR+%22business+development%22" TargetMode="External" Id="rId86"/><Relationship Type="http://schemas.openxmlformats.org/officeDocument/2006/relationships/hyperlink" Target="https://www.linkedin.com/search/results/companies/?keywords=J%C3%B8rgen+Kruuse+A%2FS" TargetMode="External" Id="rId87"/><Relationship Type="http://schemas.openxmlformats.org/officeDocument/2006/relationships/hyperlink" Target="https://www.linkedin.com/search/results/people/?keywords=J%C3%B8rgen+Kruuse+A%2FS+sales+OR+%22account+manager%22+OR+%22business+development%22" TargetMode="External" Id="rId88"/><Relationship Type="http://schemas.openxmlformats.org/officeDocument/2006/relationships/hyperlink" Target="https://www.linkedin.com/search/results/companies/?keywords=Oase+Outdoors+ApS" TargetMode="External" Id="rId89"/><Relationship Type="http://schemas.openxmlformats.org/officeDocument/2006/relationships/hyperlink" Target="https://www.linkedin.com/search/results/people/?keywords=Oase+Outdoors+ApS+sales+OR+%22account+manager%22+OR+%22business+development%22" TargetMode="External" Id="rId90"/><Relationship Type="http://schemas.openxmlformats.org/officeDocument/2006/relationships/hyperlink" Target="https://www.linkedin.com/search/results/companies/?keywords=Select+Sport+A%2FS" TargetMode="External" Id="rId91"/><Relationship Type="http://schemas.openxmlformats.org/officeDocument/2006/relationships/hyperlink" Target="https://www.linkedin.com/search/results/people/?keywords=Select+Sport+A%2FS+sales+OR+%22account+manager%22+OR+%22business+development%22" TargetMode="External" Id="rId92"/><Relationship Type="http://schemas.openxmlformats.org/officeDocument/2006/relationships/hyperlink" Target="https://www.linkedin.com/search/results/companies/?keywords=Creativ+Company+A%2FS" TargetMode="External" Id="rId93"/><Relationship Type="http://schemas.openxmlformats.org/officeDocument/2006/relationships/hyperlink" Target="https://www.linkedin.com/search/results/people/?keywords=Creativ+Company+A%2FS+sales+OR+%22account+manager%22+OR+%22business+development%22" TargetMode="External" Id="rId94"/><Relationship Type="http://schemas.openxmlformats.org/officeDocument/2006/relationships/hyperlink" Target="https://www.linkedin.com/search/results/companies/?keywords=Plus-Plus+A%2FS" TargetMode="External" Id="rId95"/><Relationship Type="http://schemas.openxmlformats.org/officeDocument/2006/relationships/hyperlink" Target="https://www.linkedin.com/search/results/people/?keywords=Plus-Plus+A%2FS+sales+OR+%22account+manager%22+OR+%22business+development%22" TargetMode="External" Id="rId96"/><Relationship Type="http://schemas.openxmlformats.org/officeDocument/2006/relationships/hyperlink" Target="https://www.linkedin.com/search/results/companies/?keywords=Lumene+Oy" TargetMode="External" Id="rId97"/><Relationship Type="http://schemas.openxmlformats.org/officeDocument/2006/relationships/hyperlink" Target="https://www.linkedin.com/search/results/people/?keywords=Lumene+Oy+sales+OR+%22account+manager%22+OR+%22business+development%22" TargetMode="External" Id="rId98"/><Relationship Type="http://schemas.openxmlformats.org/officeDocument/2006/relationships/hyperlink" Target="https://www.linkedin.com/search/results/companies/?keywords=Fiskars+Group" TargetMode="External" Id="rId99"/><Relationship Type="http://schemas.openxmlformats.org/officeDocument/2006/relationships/hyperlink" Target="https://www.linkedin.com/search/results/people/?keywords=Fiskars+Group+sales+OR+%22account+manager%22+OR+%22business+development%22" TargetMode="External" Id="rId100"/><Relationship Type="http://schemas.openxmlformats.org/officeDocument/2006/relationships/hyperlink" Target="https://www.linkedin.com/search/results/companies/?keywords=Orthex+Finland+Ab+Oy" TargetMode="External" Id="rId101"/><Relationship Type="http://schemas.openxmlformats.org/officeDocument/2006/relationships/hyperlink" Target="https://www.linkedin.com/search/results/people/?keywords=Orthex+Finland+Ab+Oy+sales+OR+%22account+manager%22+OR+%22business+development%22" TargetMode="External" Id="rId102"/><Relationship Type="http://schemas.openxmlformats.org/officeDocument/2006/relationships/hyperlink" Target="https://www.linkedin.com/search/results/companies/?keywords=Tactic+Games+Oy" TargetMode="External" Id="rId103"/><Relationship Type="http://schemas.openxmlformats.org/officeDocument/2006/relationships/hyperlink" Target="https://www.linkedin.com/search/results/people/?keywords=Tactic+Games+Oy+sales+OR+%22account+manager%22+OR+%22business+development%22" TargetMode="External" Id="rId104"/><Relationship Type="http://schemas.openxmlformats.org/officeDocument/2006/relationships/hyperlink" Target="https://www.linkedin.com/search/results/companies/?keywords=Ankorstore" TargetMode="External" Id="rId105"/><Relationship Type="http://schemas.openxmlformats.org/officeDocument/2006/relationships/hyperlink" Target="https://www.linkedin.com/search/results/people/?keywords=Ankorstore+sales+OR+%22account+manager%22+OR+%22business+development%22" TargetMode="External" Id="rId106"/><Relationship Type="http://schemas.openxmlformats.org/officeDocument/2006/relationships/hyperlink" Target="https://www.linkedin.com/search/results/companies/?keywords=Stocklear" TargetMode="External" Id="rId107"/><Relationship Type="http://schemas.openxmlformats.org/officeDocument/2006/relationships/hyperlink" Target="https://www.linkedin.com/search/results/people/?keywords=Stocklear+sales+OR+%22account+manager%22+OR+%22business+development%22" TargetMode="External" Id="rId108"/><Relationship Type="http://schemas.openxmlformats.org/officeDocument/2006/relationships/hyperlink" Target="https://www.linkedin.com/search/results/companies/?keywords=Babymoov+Group" TargetMode="External" Id="rId109"/><Relationship Type="http://schemas.openxmlformats.org/officeDocument/2006/relationships/hyperlink" Target="https://www.linkedin.com/search/results/people/?keywords=Babymoov+Group+sales+OR+%22account+manager%22+OR+%22business+development%22" TargetMode="External" Id="rId110"/><Relationship Type="http://schemas.openxmlformats.org/officeDocument/2006/relationships/hyperlink" Target="https://www.linkedin.com/search/results/companies/?keywords=B%C3%A9aba+Group" TargetMode="External" Id="rId111"/><Relationship Type="http://schemas.openxmlformats.org/officeDocument/2006/relationships/hyperlink" Target="https://www.linkedin.com/search/results/people/?keywords=B%C3%A9aba+Group+sales+OR+%22account+manager%22+OR+%22business+development%22" TargetMode="External" Id="rId112"/><Relationship Type="http://schemas.openxmlformats.org/officeDocument/2006/relationships/hyperlink" Target="https://www.linkedin.com/search/results/companies/?keywords=Laboratoires+Expanscience" TargetMode="External" Id="rId113"/><Relationship Type="http://schemas.openxmlformats.org/officeDocument/2006/relationships/hyperlink" Target="https://www.linkedin.com/search/results/people/?keywords=Laboratoires+Expanscience+sales+OR+%22account+manager%22+OR+%22business+development%22" TargetMode="External" Id="rId114"/><Relationship Type="http://schemas.openxmlformats.org/officeDocument/2006/relationships/hyperlink" Target="https://www.linkedin.com/search/results/companies/?keywords=CSP+Cosmetics" TargetMode="External" Id="rId115"/><Relationship Type="http://schemas.openxmlformats.org/officeDocument/2006/relationships/hyperlink" Target="https://www.linkedin.com/search/results/people/?keywords=CSP+Cosmetics+sales+OR+%22account+manager%22+OR+%22business+development%22" TargetMode="External" Id="rId116"/><Relationship Type="http://schemas.openxmlformats.org/officeDocument/2006/relationships/hyperlink" Target="https://www.linkedin.com/search/results/companies/?keywords=Laboratoires+Arkopharma" TargetMode="External" Id="rId117"/><Relationship Type="http://schemas.openxmlformats.org/officeDocument/2006/relationships/hyperlink" Target="https://www.linkedin.com/search/results/people/?keywords=Laboratoires+Arkopharma+sales+OR+%22account+manager%22+OR+%22business+development%22" TargetMode="External" Id="rId118"/><Relationship Type="http://schemas.openxmlformats.org/officeDocument/2006/relationships/hyperlink" Target="https://www.linkedin.com/search/results/companies/?keywords=Zolux+SAS" TargetMode="External" Id="rId119"/><Relationship Type="http://schemas.openxmlformats.org/officeDocument/2006/relationships/hyperlink" Target="https://www.linkedin.com/search/results/people/?keywords=Zolux+SAS+sales+OR+%22account+manager%22+OR+%22business+development%22" TargetMode="External" Id="rId120"/><Relationship Type="http://schemas.openxmlformats.org/officeDocument/2006/relationships/hyperlink" Target="https://www.linkedin.com/search/results/companies/?keywords=Z%C3%A9fal+SAS" TargetMode="External" Id="rId121"/><Relationship Type="http://schemas.openxmlformats.org/officeDocument/2006/relationships/hyperlink" Target="https://www.linkedin.com/search/results/people/?keywords=Z%C3%A9fal+SAS+sales+OR+%22account+manager%22+OR+%22business+development%22" TargetMode="External" Id="rId122"/><Relationship Type="http://schemas.openxmlformats.org/officeDocument/2006/relationships/hyperlink" Target="https://www.linkedin.com/search/results/companies/?keywords=Groupe+Hamelin" TargetMode="External" Id="rId123"/><Relationship Type="http://schemas.openxmlformats.org/officeDocument/2006/relationships/hyperlink" Target="https://www.linkedin.com/search/results/people/?keywords=Groupe+Hamelin+sales+OR+%22account+manager%22+OR+%22business+development%22" TargetMode="External" Id="rId124"/><Relationship Type="http://schemas.openxmlformats.org/officeDocument/2006/relationships/hyperlink" Target="https://www.linkedin.com/search/results/companies/?keywords=Maped+SAS" TargetMode="External" Id="rId125"/><Relationship Type="http://schemas.openxmlformats.org/officeDocument/2006/relationships/hyperlink" Target="https://www.linkedin.com/search/results/people/?keywords=Maped+SAS+sales+OR+%22account+manager%22+OR+%22business+development%22" TargetMode="External" Id="rId126"/><Relationship Type="http://schemas.openxmlformats.org/officeDocument/2006/relationships/hyperlink" Target="https://www.linkedin.com/search/results/companies/?keywords=Exacompta+Clairefontaine" TargetMode="External" Id="rId127"/><Relationship Type="http://schemas.openxmlformats.org/officeDocument/2006/relationships/hyperlink" Target="https://www.linkedin.com/search/results/people/?keywords=Exacompta+Clairefontaine+sales+OR+%22account+manager%22+OR+%22business+development%22" TargetMode="External" Id="rId128"/><Relationship Type="http://schemas.openxmlformats.org/officeDocument/2006/relationships/hyperlink" Target="https://www.linkedin.com/search/results/companies/?keywords=Juratoys+SAS" TargetMode="External" Id="rId129"/><Relationship Type="http://schemas.openxmlformats.org/officeDocument/2006/relationships/hyperlink" Target="https://www.linkedin.com/search/results/people/?keywords=Juratoys+SAS+sales+OR+%22account+manager%22+OR+%22business+development%22" TargetMode="External" Id="rId130"/><Relationship Type="http://schemas.openxmlformats.org/officeDocument/2006/relationships/hyperlink" Target="https://www.linkedin.com/search/results/companies/?keywords=WDK+Groupe+Partner" TargetMode="External" Id="rId131"/><Relationship Type="http://schemas.openxmlformats.org/officeDocument/2006/relationships/hyperlink" Target="https://www.linkedin.com/search/results/people/?keywords=WDK+Groupe+Partner+sales+OR+%22account+manager%22+OR+%22business+development%22" TargetMode="External" Id="rId132"/><Relationship Type="http://schemas.openxmlformats.org/officeDocument/2006/relationships/hyperlink" Target="https://www.linkedin.com/search/results/companies/?keywords=zentrada" TargetMode="External" Id="rId133"/><Relationship Type="http://schemas.openxmlformats.org/officeDocument/2006/relationships/hyperlink" Target="https://www.linkedin.com/search/results/people/?keywords=zentrada+sales+OR+%22account+manager%22+OR+%22business+development%22" TargetMode="External" Id="rId134"/><Relationship Type="http://schemas.openxmlformats.org/officeDocument/2006/relationships/hyperlink" Target="https://www.linkedin.com/search/results/companies/?keywords=hauck+GmbH+%26+Co.+KG" TargetMode="External" Id="rId135"/><Relationship Type="http://schemas.openxmlformats.org/officeDocument/2006/relationships/hyperlink" Target="https://www.linkedin.com/search/results/people/?keywords=hauck+GmbH+%26+Co.+KG+sales+OR+%22account+manager%22+OR+%22business+development%22" TargetMode="External" Id="rId136"/><Relationship Type="http://schemas.openxmlformats.org/officeDocument/2006/relationships/hyperlink" Target="https://www.linkedin.com/search/results/companies/?keywords=L%C3%A4ssig+GmbH" TargetMode="External" Id="rId137"/><Relationship Type="http://schemas.openxmlformats.org/officeDocument/2006/relationships/hyperlink" Target="https://www.linkedin.com/search/results/people/?keywords=L%C3%A4ssig+GmbH+sales+OR+%22account+manager%22+OR+%22business+development%22" TargetMode="External" Id="rId138"/><Relationship Type="http://schemas.openxmlformats.org/officeDocument/2006/relationships/hyperlink" Target="https://www.linkedin.com/search/results/companies/?keywords=MAPA+GmbH" TargetMode="External" Id="rId139"/><Relationship Type="http://schemas.openxmlformats.org/officeDocument/2006/relationships/hyperlink" Target="https://www.linkedin.com/search/results/people/?keywords=MAPA+GmbH+sales+OR+%22account+manager%22+OR+%22business+development%22" TargetMode="External" Id="rId140"/><Relationship Type="http://schemas.openxmlformats.org/officeDocument/2006/relationships/hyperlink" Target="https://www.linkedin.com/search/results/companies/?keywords=2E+Vertriebs-GmbH" TargetMode="External" Id="rId141"/><Relationship Type="http://schemas.openxmlformats.org/officeDocument/2006/relationships/hyperlink" Target="https://www.linkedin.com/search/results/people/?keywords=2E+Vertriebs-GmbH+sales+OR+%22account+manager%22+OR+%22business+development%22" TargetMode="External" Id="rId142"/><Relationship Type="http://schemas.openxmlformats.org/officeDocument/2006/relationships/hyperlink" Target="https://www.linkedin.com/search/results/companies/?keywords=MAM+Babyartikel+GmbH" TargetMode="External" Id="rId143"/><Relationship Type="http://schemas.openxmlformats.org/officeDocument/2006/relationships/hyperlink" Target="https://www.linkedin.com/search/results/people/?keywords=MAM+Babyartikel+GmbH+sales+OR+%22account+manager%22+OR+%22business+development%22" TargetMode="External" Id="rId144"/><Relationship Type="http://schemas.openxmlformats.org/officeDocument/2006/relationships/hyperlink" Target="https://www.linkedin.com/search/results/companies/?keywords=reer+GmbH" TargetMode="External" Id="rId145"/><Relationship Type="http://schemas.openxmlformats.org/officeDocument/2006/relationships/hyperlink" Target="https://www.linkedin.com/search/results/people/?keywords=reer+GmbH+sales+OR+%22account+manager%22+OR+%22business+development%22" TargetMode="External" Id="rId146"/><Relationship Type="http://schemas.openxmlformats.org/officeDocument/2006/relationships/hyperlink" Target="https://www.linkedin.com/search/results/companies/?keywords=German+Formula+Express" TargetMode="External" Id="rId147"/><Relationship Type="http://schemas.openxmlformats.org/officeDocument/2006/relationships/hyperlink" Target="https://www.linkedin.com/search/results/people/?keywords=German+Formula+Express+sales+OR+%22account+manager%22+OR+%22business+development%22" TargetMode="External" Id="rId148"/><Relationship Type="http://schemas.openxmlformats.org/officeDocument/2006/relationships/hyperlink" Target="https://www.linkedin.com/search/results/companies/?keywords=cosnova+GmbH" TargetMode="External" Id="rId149"/><Relationship Type="http://schemas.openxmlformats.org/officeDocument/2006/relationships/hyperlink" Target="https://www.linkedin.com/search/results/people/?keywords=cosnova+GmbH+sales+OR+%22account+manager%22+OR+%22business+development%22" TargetMode="External" Id="rId150"/><Relationship Type="http://schemas.openxmlformats.org/officeDocument/2006/relationships/hyperlink" Target="https://www.linkedin.com/search/results/companies/?keywords=Weleda+AG" TargetMode="External" Id="rId151"/><Relationship Type="http://schemas.openxmlformats.org/officeDocument/2006/relationships/hyperlink" Target="https://www.linkedin.com/search/results/people/?keywords=Weleda+AG+sales+OR+%22account+manager%22+OR+%22business+development%22" TargetMode="External" Id="rId152"/><Relationship Type="http://schemas.openxmlformats.org/officeDocument/2006/relationships/hyperlink" Target="https://www.linkedin.com/search/results/companies/?keywords=ARTDECO+cosmetic+GmbH" TargetMode="External" Id="rId153"/><Relationship Type="http://schemas.openxmlformats.org/officeDocument/2006/relationships/hyperlink" Target="https://www.linkedin.com/search/results/people/?keywords=ARTDECO+cosmetic+GmbH+sales+OR+%22account+manager%22+OR+%22business+development%22" TargetMode="External" Id="rId154"/><Relationship Type="http://schemas.openxmlformats.org/officeDocument/2006/relationships/hyperlink" Target="https://www.linkedin.com/search/results/companies/?keywords=LOGOCOS+Naturkosmetik+GmbH+%26+Co.+KG" TargetMode="External" Id="rId155"/><Relationship Type="http://schemas.openxmlformats.org/officeDocument/2006/relationships/hyperlink" Target="https://www.linkedin.com/search/results/people/?keywords=LOGOCOS+Naturkosmetik+GmbH+%26+Co.+KG+sales+OR+%22account+manager%22+OR+%22business+development%22" TargetMode="External" Id="rId156"/><Relationship Type="http://schemas.openxmlformats.org/officeDocument/2006/relationships/hyperlink" Target="https://www.linkedin.com/search/results/companies/?keywords=Global+Beauty+Brands" TargetMode="External" Id="rId157"/><Relationship Type="http://schemas.openxmlformats.org/officeDocument/2006/relationships/hyperlink" Target="https://www.linkedin.com/search/results/people/?keywords=Global+Beauty+Brands+sales+OR+%22account+manager%22+OR+%22business+development%22" TargetMode="External" Id="rId158"/><Relationship Type="http://schemas.openxmlformats.org/officeDocument/2006/relationships/hyperlink" Target="https://www.linkedin.com/search/results/companies/?keywords=Einhell+Germany+AG" TargetMode="External" Id="rId159"/><Relationship Type="http://schemas.openxmlformats.org/officeDocument/2006/relationships/hyperlink" Target="https://www.linkedin.com/search/results/people/?keywords=Einhell+Germany+AG+sales+OR+%22account+manager%22+OR+%22business+development%22" TargetMode="External" Id="rId160"/><Relationship Type="http://schemas.openxmlformats.org/officeDocument/2006/relationships/hyperlink" Target="https://www.linkedin.com/search/results/companies/?keywords=fischerwerke+GmbH+%26+Co.+KG" TargetMode="External" Id="rId161"/><Relationship Type="http://schemas.openxmlformats.org/officeDocument/2006/relationships/hyperlink" Target="https://www.linkedin.com/search/results/people/?keywords=fischerwerke+GmbH+%26+Co.+KG+sales+OR+%22account+manager%22+OR+%22business+development%22" TargetMode="External" Id="rId162"/><Relationship Type="http://schemas.openxmlformats.org/officeDocument/2006/relationships/hyperlink" Target="https://www.linkedin.com/search/results/companies/?keywords=GARDENA+Deutschland+GmbH" TargetMode="External" Id="rId163"/><Relationship Type="http://schemas.openxmlformats.org/officeDocument/2006/relationships/hyperlink" Target="https://www.linkedin.com/search/results/people/?keywords=GARDENA+Deutschland+GmbH+sales+OR+%22account+manager%22+OR+%22business+development%22" TargetMode="External" Id="rId164"/><Relationship Type="http://schemas.openxmlformats.org/officeDocument/2006/relationships/hyperlink" Target="https://www.linkedin.com/search/results/companies/?keywords=KNIPEX-Werk+C.+Gustav+Putsch+KG" TargetMode="External" Id="rId165"/><Relationship Type="http://schemas.openxmlformats.org/officeDocument/2006/relationships/hyperlink" Target="https://www.linkedin.com/search/results/people/?keywords=KNIPEX-Werk+C.+Gustav+Putsch+KG+sales+OR+%22account+manager%22+OR+%22business+development%22" TargetMode="External" Id="rId166"/><Relationship Type="http://schemas.openxmlformats.org/officeDocument/2006/relationships/hyperlink" Target="https://www.linkedin.com/search/results/companies/?keywords=kwb+Germany+GmbH" TargetMode="External" Id="rId167"/><Relationship Type="http://schemas.openxmlformats.org/officeDocument/2006/relationships/hyperlink" Target="https://www.linkedin.com/search/results/people/?keywords=kwb+Germany+GmbH+sales+OR+%22account+manager%22+OR+%22business+development%22" TargetMode="External" Id="rId168"/><Relationship Type="http://schemas.openxmlformats.org/officeDocument/2006/relationships/hyperlink" Target="https://www.linkedin.com/search/results/companies/?keywords=Scheppach+GmbH" TargetMode="External" Id="rId169"/><Relationship Type="http://schemas.openxmlformats.org/officeDocument/2006/relationships/hyperlink" Target="https://www.linkedin.com/search/results/people/?keywords=Scheppach+GmbH+sales+OR+%22account+manager%22+OR+%22business+development%22" TargetMode="External" Id="rId170"/><Relationship Type="http://schemas.openxmlformats.org/officeDocument/2006/relationships/hyperlink" Target="https://www.linkedin.com/search/results/companies/?keywords=Wera+Werkzeuge+GmbH" TargetMode="External" Id="rId171"/><Relationship Type="http://schemas.openxmlformats.org/officeDocument/2006/relationships/hyperlink" Target="https://www.linkedin.com/search/results/people/?keywords=Wera+Werkzeuge+GmbH+sales+OR+%22account+manager%22+OR+%22business+development%22" TargetMode="External" Id="rId172"/><Relationship Type="http://schemas.openxmlformats.org/officeDocument/2006/relationships/hyperlink" Target="https://www.linkedin.com/search/results/companies/?keywords=Wiha+Werkzeuge+GmbH" TargetMode="External" Id="rId173"/><Relationship Type="http://schemas.openxmlformats.org/officeDocument/2006/relationships/hyperlink" Target="https://www.linkedin.com/search/results/people/?keywords=Wiha+Werkzeuge+GmbH+sales+OR+%22account+manager%22+OR+%22business+development%22" TargetMode="External" Id="rId174"/><Relationship Type="http://schemas.openxmlformats.org/officeDocument/2006/relationships/hyperlink" Target="https://www.linkedin.com/search/results/companies/?keywords=G%C3%9CDE+GmbH+%26+Co.+KG" TargetMode="External" Id="rId175"/><Relationship Type="http://schemas.openxmlformats.org/officeDocument/2006/relationships/hyperlink" Target="https://www.linkedin.com/search/results/people/?keywords=G%C3%9CDE+GmbH+%26+Co.+KG+sales+OR+%22account+manager%22+OR+%22business+development%22" TargetMode="External" Id="rId176"/><Relationship Type="http://schemas.openxmlformats.org/officeDocument/2006/relationships/hyperlink" Target="https://www.linkedin.com/search/results/companies/?keywords=wolfcraft+GmbH" TargetMode="External" Id="rId177"/><Relationship Type="http://schemas.openxmlformats.org/officeDocument/2006/relationships/hyperlink" Target="https://www.linkedin.com/search/results/people/?keywords=wolfcraft+GmbH+sales+OR+%22account+manager%22+OR+%22business+development%22" TargetMode="External" Id="rId178"/><Relationship Type="http://schemas.openxmlformats.org/officeDocument/2006/relationships/hyperlink" Target="https://www.linkedin.com/search/results/companies/?keywords=Emporium+Handels+%26+Vertriebs+GmbH" TargetMode="External" Id="rId179"/><Relationship Type="http://schemas.openxmlformats.org/officeDocument/2006/relationships/hyperlink" Target="https://www.linkedin.com/search/results/people/?keywords=Emporium+Handels+%26+Vertriebs+GmbH+sales+OR+%22account+manager%22+OR+%22business+development%22" TargetMode="External" Id="rId180"/><Relationship Type="http://schemas.openxmlformats.org/officeDocument/2006/relationships/hyperlink" Target="https://www.linkedin.com/search/results/companies/?keywords=NOBILIS+Group+GmbH" TargetMode="External" Id="rId181"/><Relationship Type="http://schemas.openxmlformats.org/officeDocument/2006/relationships/hyperlink" Target="https://www.linkedin.com/search/results/people/?keywords=NOBILIS+Group+GmbH+sales+OR+%22account+manager%22+OR+%22business+development%22" TargetMode="External" Id="rId182"/><Relationship Type="http://schemas.openxmlformats.org/officeDocument/2006/relationships/hyperlink" Target="https://www.linkedin.com/search/results/companies/?keywords=Beurer+GmbH" TargetMode="External" Id="rId183"/><Relationship Type="http://schemas.openxmlformats.org/officeDocument/2006/relationships/hyperlink" Target="https://www.linkedin.com/search/results/people/?keywords=Beurer+GmbH+sales+OR+%22account+manager%22+OR+%22business+development%22" TargetMode="External" Id="rId184"/><Relationship Type="http://schemas.openxmlformats.org/officeDocument/2006/relationships/hyperlink" Target="https://www.linkedin.com/search/results/companies/?keywords=Dr.+Theiss+Naturwaren+GmbH" TargetMode="External" Id="rId185"/><Relationship Type="http://schemas.openxmlformats.org/officeDocument/2006/relationships/hyperlink" Target="https://www.linkedin.com/search/results/people/?keywords=Dr.+Theiss+Naturwaren+GmbH+sales+OR+%22account+manager%22+OR+%22business+development%22" TargetMode="External" Id="rId186"/><Relationship Type="http://schemas.openxmlformats.org/officeDocument/2006/relationships/hyperlink" Target="https://www.linkedin.com/search/results/companies/?keywords=Kneipp+GmbH" TargetMode="External" Id="rId187"/><Relationship Type="http://schemas.openxmlformats.org/officeDocument/2006/relationships/hyperlink" Target="https://www.linkedin.com/search/results/people/?keywords=Kneipp+GmbH+sales+OR+%22account+manager%22+OR+%22business+development%22" TargetMode="External" Id="rId188"/><Relationship Type="http://schemas.openxmlformats.org/officeDocument/2006/relationships/hyperlink" Target="https://www.linkedin.com/search/results/companies/?keywords=MEDISANA+AG" TargetMode="External" Id="rId189"/><Relationship Type="http://schemas.openxmlformats.org/officeDocument/2006/relationships/hyperlink" Target="https://www.linkedin.com/search/results/people/?keywords=MEDISANA+AG+sales+OR+%22account+manager%22+OR+%22business+development%22" TargetMode="External" Id="rId190"/><Relationship Type="http://schemas.openxmlformats.org/officeDocument/2006/relationships/hyperlink" Target="https://www.linkedin.com/search/results/companies/?keywords=PAUL+HARTMANN+AG" TargetMode="External" Id="rId191"/><Relationship Type="http://schemas.openxmlformats.org/officeDocument/2006/relationships/hyperlink" Target="https://www.linkedin.com/search/results/people/?keywords=PAUL+HARTMANN+AG+sales+OR+%22account+manager%22+OR+%22business+development%22" TargetMode="External" Id="rId192"/><Relationship Type="http://schemas.openxmlformats.org/officeDocument/2006/relationships/hyperlink" Target="https://www.linkedin.com/search/results/companies/?keywords=IHTCT+GmbH" TargetMode="External" Id="rId193"/><Relationship Type="http://schemas.openxmlformats.org/officeDocument/2006/relationships/hyperlink" Target="https://www.linkedin.com/search/results/people/?keywords=IHTCT+GmbH+sales+OR+%22account+manager%22+OR+%22business+development%22" TargetMode="External" Id="rId194"/><Relationship Type="http://schemas.openxmlformats.org/officeDocument/2006/relationships/hyperlink" Target="https://www.linkedin.com/search/results/companies/?keywords=GEFU+GmbH" TargetMode="External" Id="rId195"/><Relationship Type="http://schemas.openxmlformats.org/officeDocument/2006/relationships/hyperlink" Target="https://www.linkedin.com/search/results/people/?keywords=GEFU+GmbH+sales+OR+%22account+manager%22+OR+%22business+development%22" TargetMode="External" Id="rId196"/><Relationship Type="http://schemas.openxmlformats.org/officeDocument/2006/relationships/hyperlink" Target="https://www.linkedin.com/search/results/companies/?keywords=SEVERIN+Elektroger%C3%A4te+GmbH" TargetMode="External" Id="rId197"/><Relationship Type="http://schemas.openxmlformats.org/officeDocument/2006/relationships/hyperlink" Target="https://www.linkedin.com/search/results/people/?keywords=SEVERIN+Elektroger%C3%A4te+GmbH+sales+OR+%22account+manager%22+OR+%22business+development%22" TargetMode="External" Id="rId198"/><Relationship Type="http://schemas.openxmlformats.org/officeDocument/2006/relationships/hyperlink" Target="https://www.linkedin.com/search/results/companies/?keywords=Westmark+GmbH" TargetMode="External" Id="rId199"/><Relationship Type="http://schemas.openxmlformats.org/officeDocument/2006/relationships/hyperlink" Target="https://www.linkedin.com/search/results/people/?keywords=Westmark+GmbH+sales+OR+%22account+manager%22+OR+%22business+development%22" TargetMode="External" Id="rId200"/><Relationship Type="http://schemas.openxmlformats.org/officeDocument/2006/relationships/hyperlink" Target="https://www.linkedin.com/search/results/companies/?keywords=Clatronic+International+GmbH" TargetMode="External" Id="rId201"/><Relationship Type="http://schemas.openxmlformats.org/officeDocument/2006/relationships/hyperlink" Target="https://www.linkedin.com/search/results/people/?keywords=Clatronic+International+GmbH+sales+OR+%22account+manager%22+OR+%22business+development%22" TargetMode="External" Id="rId202"/><Relationship Type="http://schemas.openxmlformats.org/officeDocument/2006/relationships/hyperlink" Target="https://www.linkedin.com/search/results/companies/?keywords=Leifheit+AG" TargetMode="External" Id="rId203"/><Relationship Type="http://schemas.openxmlformats.org/officeDocument/2006/relationships/hyperlink" Target="https://www.linkedin.com/search/results/people/?keywords=Leifheit+AG+sales+OR+%22account+manager%22+OR+%22business+development%22" TargetMode="External" Id="rId204"/><Relationship Type="http://schemas.openxmlformats.org/officeDocument/2006/relationships/hyperlink" Target="https://www.linkedin.com/search/results/companies/?keywords=Wolfsohn" TargetMode="External" Id="rId205"/><Relationship Type="http://schemas.openxmlformats.org/officeDocument/2006/relationships/hyperlink" Target="https://www.linkedin.com/search/results/people/?keywords=Wolfsohn+sales+OR+%22account+manager%22+OR+%22business+development%22" TargetMode="External" Id="rId206"/><Relationship Type="http://schemas.openxmlformats.org/officeDocument/2006/relationships/hyperlink" Target="https://www.linkedin.com/search/results/companies/?keywords=TRIXIE+Heimtierbedarf" TargetMode="External" Id="rId207"/><Relationship Type="http://schemas.openxmlformats.org/officeDocument/2006/relationships/hyperlink" Target="https://www.linkedin.com/search/results/people/?keywords=TRIXIE+Heimtierbedarf+sales+OR+%22account+manager%22+OR+%22business+development%22" TargetMode="External" Id="rId208"/><Relationship Type="http://schemas.openxmlformats.org/officeDocument/2006/relationships/hyperlink" Target="https://www.linkedin.com/search/results/companies/?keywords=Albert+Kerbl+GmbH" TargetMode="External" Id="rId209"/><Relationship Type="http://schemas.openxmlformats.org/officeDocument/2006/relationships/hyperlink" Target="https://www.linkedin.com/search/results/people/?keywords=Albert+Kerbl+GmbH+sales+OR+%22account+manager%22+OR+%22business+development%22" TargetMode="External" Id="rId210"/><Relationship Type="http://schemas.openxmlformats.org/officeDocument/2006/relationships/hyperlink" Target="https://www.linkedin.com/search/results/companies/?keywords=H.+von+Gimborn+GmbH" TargetMode="External" Id="rId211"/><Relationship Type="http://schemas.openxmlformats.org/officeDocument/2006/relationships/hyperlink" Target="https://www.linkedin.com/search/results/people/?keywords=H.+von+Gimborn+GmbH+sales+OR+%22account+manager%22+OR+%22business+development%22" TargetMode="External" Id="rId212"/><Relationship Type="http://schemas.openxmlformats.org/officeDocument/2006/relationships/hyperlink" Target="https://www.linkedin.com/search/results/companies/?keywords=HUNTER+International+GmbH" TargetMode="External" Id="rId213"/><Relationship Type="http://schemas.openxmlformats.org/officeDocument/2006/relationships/hyperlink" Target="https://www.linkedin.com/search/results/people/?keywords=HUNTER+International+GmbH+sales+OR+%22account+manager%22+OR+%22business+development%22" TargetMode="External" Id="rId214"/><Relationship Type="http://schemas.openxmlformats.org/officeDocument/2006/relationships/hyperlink" Target="https://www.linkedin.com/search/results/companies/?keywords=Nobby+Pet+Shop+GmbH" TargetMode="External" Id="rId215"/><Relationship Type="http://schemas.openxmlformats.org/officeDocument/2006/relationships/hyperlink" Target="https://www.linkedin.com/search/results/people/?keywords=Nobby+Pet+Shop+GmbH+sales+OR+%22account+manager%22+OR+%22business+development%22" TargetMode="External" Id="rId216"/><Relationship Type="http://schemas.openxmlformats.org/officeDocument/2006/relationships/hyperlink" Target="https://www.linkedin.com/search/results/companies/?keywords=Vitakraft+pet+care+GmbH+%26+Co.+KG" TargetMode="External" Id="rId217"/><Relationship Type="http://schemas.openxmlformats.org/officeDocument/2006/relationships/hyperlink" Target="https://www.linkedin.com/search/results/people/?keywords=Vitakraft+pet+care+GmbH+%26+Co.+KG+sales+OR+%22account+manager%22+OR+%22business+development%22" TargetMode="External" Id="rId218"/><Relationship Type="http://schemas.openxmlformats.org/officeDocument/2006/relationships/hyperlink" Target="https://www.linkedin.com/search/results/companies/?keywords=Josera+Petfood+GmbH+%26+Co.+KG" TargetMode="External" Id="rId219"/><Relationship Type="http://schemas.openxmlformats.org/officeDocument/2006/relationships/hyperlink" Target="https://www.linkedin.com/search/results/people/?keywords=Josera+Petfood+GmbH+%26+Co.+KG+sales+OR+%22account+manager%22+OR+%22business+development%22" TargetMode="External" Id="rId220"/><Relationship Type="http://schemas.openxmlformats.org/officeDocument/2006/relationships/hyperlink" Target="https://www.linkedin.com/search/results/companies/?keywords=Schulze+Heimtierbedarf+GmbH" TargetMode="External" Id="rId221"/><Relationship Type="http://schemas.openxmlformats.org/officeDocument/2006/relationships/hyperlink" Target="https://www.linkedin.com/search/results/people/?keywords=Schulze+Heimtierbedarf+GmbH+sales+OR+%22account+manager%22+OR+%22business+development%22" TargetMode="External" Id="rId222"/><Relationship Type="http://schemas.openxmlformats.org/officeDocument/2006/relationships/hyperlink" Target="https://www.linkedin.com/search/results/companies/?keywords=WOLTERS+cat+%26+dog+GmbH" TargetMode="External" Id="rId223"/><Relationship Type="http://schemas.openxmlformats.org/officeDocument/2006/relationships/hyperlink" Target="https://www.linkedin.com/search/results/people/?keywords=WOLTERS+cat+%26+dog+GmbH+sales+OR+%22account+manager%22+OR+%22business+development%22" TargetMode="External" Id="rId224"/><Relationship Type="http://schemas.openxmlformats.org/officeDocument/2006/relationships/hyperlink" Target="https://www.linkedin.com/search/results/companies/?keywords=Hermann+Hartje+KG" TargetMode="External" Id="rId225"/><Relationship Type="http://schemas.openxmlformats.org/officeDocument/2006/relationships/hyperlink" Target="https://www.linkedin.com/search/results/people/?keywords=Hermann+Hartje+KG+sales+OR+%22account+manager%22+OR+%22business+development%22" TargetMode="External" Id="rId226"/><Relationship Type="http://schemas.openxmlformats.org/officeDocument/2006/relationships/hyperlink" Target="https://www.linkedin.com/search/results/companies/?keywords=Paul+Lange+%26+Co.+OHG" TargetMode="External" Id="rId227"/><Relationship Type="http://schemas.openxmlformats.org/officeDocument/2006/relationships/hyperlink" Target="https://www.linkedin.com/search/results/people/?keywords=Paul+Lange+%26+Co.+OHG+sales+OR+%22account+manager%22+OR+%22business+development%22" TargetMode="External" Id="rId228"/><Relationship Type="http://schemas.openxmlformats.org/officeDocument/2006/relationships/hyperlink" Target="https://www.linkedin.com/search/results/companies/?keywords=SIGMA-ELEKTRO+GmbH" TargetMode="External" Id="rId229"/><Relationship Type="http://schemas.openxmlformats.org/officeDocument/2006/relationships/hyperlink" Target="https://www.linkedin.com/search/results/people/?keywords=SIGMA-ELEKTRO+GmbH+sales+OR+%22account+manager%22+OR+%22business+development%22" TargetMode="External" Id="rId230"/><Relationship Type="http://schemas.openxmlformats.org/officeDocument/2006/relationships/hyperlink" Target="https://www.linkedin.com/search/results/companies/?keywords=SKS+metaplast+Scheffer-Klute+GmbH" TargetMode="External" Id="rId231"/><Relationship Type="http://schemas.openxmlformats.org/officeDocument/2006/relationships/hyperlink" Target="https://www.linkedin.com/search/results/people/?keywords=SKS+metaplast+Scheffer-Klute+GmbH+sales+OR+%22account+manager%22+OR+%22business+development%22" TargetMode="External" Id="rId232"/><Relationship Type="http://schemas.openxmlformats.org/officeDocument/2006/relationships/hyperlink" Target="https://www.linkedin.com/search/results/companies/?keywords=Sport+Import+GmbH" TargetMode="External" Id="rId233"/><Relationship Type="http://schemas.openxmlformats.org/officeDocument/2006/relationships/hyperlink" Target="https://www.linkedin.com/search/results/people/?keywords=Sport+Import+GmbH+sales+OR+%22account+manager%22+OR+%22business+development%22" TargetMode="External" Id="rId234"/><Relationship Type="http://schemas.openxmlformats.org/officeDocument/2006/relationships/hyperlink" Target="https://www.linkedin.com/search/results/companies/?keywords=Absolut+Bikes+GmbH" TargetMode="External" Id="rId235"/><Relationship Type="http://schemas.openxmlformats.org/officeDocument/2006/relationships/hyperlink" Target="https://www.linkedin.com/search/results/people/?keywords=Absolut+Bikes+GmbH+sales+OR+%22account+manager%22+OR+%22business+development%22" TargetMode="External" Id="rId236"/><Relationship Type="http://schemas.openxmlformats.org/officeDocument/2006/relationships/hyperlink" Target="https://www.linkedin.com/search/results/companies/?keywords=AceCamp+GmbH" TargetMode="External" Id="rId237"/><Relationship Type="http://schemas.openxmlformats.org/officeDocument/2006/relationships/hyperlink" Target="https://www.linkedin.com/search/results/people/?keywords=AceCamp+GmbH+sales+OR+%22account+manager%22+OR+%22business+development%22" TargetMode="External" Id="rId238"/><Relationship Type="http://schemas.openxmlformats.org/officeDocument/2006/relationships/hyperlink" Target="https://www.linkedin.com/search/results/companies/?keywords=Fitshop+GmbH" TargetMode="External" Id="rId239"/><Relationship Type="http://schemas.openxmlformats.org/officeDocument/2006/relationships/hyperlink" Target="https://www.linkedin.com/search/results/people/?keywords=Fitshop+GmbH+sales+OR+%22account+manager%22+OR+%22business+development%22" TargetMode="External" Id="rId240"/><Relationship Type="http://schemas.openxmlformats.org/officeDocument/2006/relationships/hyperlink" Target="https://www.linkedin.com/search/results/companies/?keywords=HAMMER+SPORT+AG" TargetMode="External" Id="rId241"/><Relationship Type="http://schemas.openxmlformats.org/officeDocument/2006/relationships/hyperlink" Target="https://www.linkedin.com/search/results/people/?keywords=HAMMER+SPORT+AG+sales+OR+%22account+manager%22+OR+%22business+development%22" TargetMode="External" Id="rId242"/><Relationship Type="http://schemas.openxmlformats.org/officeDocument/2006/relationships/hyperlink" Target="https://www.linkedin.com/search/results/companies/?keywords=HUDORA+GmbH" TargetMode="External" Id="rId243"/><Relationship Type="http://schemas.openxmlformats.org/officeDocument/2006/relationships/hyperlink" Target="https://www.linkedin.com/search/results/people/?keywords=HUDORA+GmbH+sales+OR+%22account+manager%22+OR+%22business+development%22" TargetMode="External" Id="rId244"/><Relationship Type="http://schemas.openxmlformats.org/officeDocument/2006/relationships/hyperlink" Target="https://www.linkedin.com/search/results/companies/?keywords=Sport-Thieme+GmbH" TargetMode="External" Id="rId245"/><Relationship Type="http://schemas.openxmlformats.org/officeDocument/2006/relationships/hyperlink" Target="https://www.linkedin.com/search/results/people/?keywords=Sport-Thieme+GmbH+sales+OR+%22account+manager%22+OR+%22business+development%22" TargetMode="External" Id="rId246"/><Relationship Type="http://schemas.openxmlformats.org/officeDocument/2006/relationships/hyperlink" Target="https://www.linkedin.com/search/results/companies/?keywords=DURABLE+Hunke+%26+Jochheim+GmbH+%26+Co.+KG" TargetMode="External" Id="rId247"/><Relationship Type="http://schemas.openxmlformats.org/officeDocument/2006/relationships/hyperlink" Target="https://www.linkedin.com/search/results/people/?keywords=DURABLE+Hunke+%26+Jochheim+GmbH+%26+Co.+KG+sales+OR+%22account+manager%22+OR+%22business+development%22" TargetMode="External" Id="rId248"/><Relationship Type="http://schemas.openxmlformats.org/officeDocument/2006/relationships/hyperlink" Target="https://www.linkedin.com/search/results/companies/?keywords=edding+International+GmbH" TargetMode="External" Id="rId249"/><Relationship Type="http://schemas.openxmlformats.org/officeDocument/2006/relationships/hyperlink" Target="https://www.linkedin.com/search/results/people/?keywords=edding+International+GmbH+sales+OR+%22account+manager%22+OR+%22business+development%22" TargetMode="External" Id="rId250"/><Relationship Type="http://schemas.openxmlformats.org/officeDocument/2006/relationships/hyperlink" Target="https://www.linkedin.com/search/results/companies/?keywords=Schneider+Schreibger%C3%A4te+GmbH" TargetMode="External" Id="rId251"/><Relationship Type="http://schemas.openxmlformats.org/officeDocument/2006/relationships/hyperlink" Target="https://www.linkedin.com/search/results/people/?keywords=Schneider+Schreibger%C3%A4te+GmbH+sales+OR+%22account+manager%22+OR+%22business+development%22" TargetMode="External" Id="rId252"/><Relationship Type="http://schemas.openxmlformats.org/officeDocument/2006/relationships/hyperlink" Target="https://www.linkedin.com/search/results/companies/?keywords=STAEDTLER+Mars+GmbH+%26+Co.+KG" TargetMode="External" Id="rId253"/><Relationship Type="http://schemas.openxmlformats.org/officeDocument/2006/relationships/hyperlink" Target="https://www.linkedin.com/search/results/people/?keywords=STAEDTLER+Mars+GmbH+%26+Co.+KG+sales+OR+%22account+manager%22+OR+%22business+development%22" TargetMode="External" Id="rId254"/><Relationship Type="http://schemas.openxmlformats.org/officeDocument/2006/relationships/hyperlink" Target="https://www.linkedin.com/search/results/companies/?keywords=Pelikan+Group+GmbH" TargetMode="External" Id="rId255"/><Relationship Type="http://schemas.openxmlformats.org/officeDocument/2006/relationships/hyperlink" Target="https://www.linkedin.com/search/results/people/?keywords=Pelikan+Group+GmbH+sales+OR+%22account+manager%22+OR+%22business+development%22" TargetMode="External" Id="rId256"/><Relationship Type="http://schemas.openxmlformats.org/officeDocument/2006/relationships/hyperlink" Target="https://www.linkedin.com/search/results/companies/?keywords=Franckh-Kosmos+Verlags-GmbH+%26+Co.+KG" TargetMode="External" Id="rId257"/><Relationship Type="http://schemas.openxmlformats.org/officeDocument/2006/relationships/hyperlink" Target="https://www.linkedin.com/search/results/people/?keywords=Franckh-Kosmos+Verlags-GmbH+%26+Co.+KG+sales+OR+%22account+manager%22+OR+%22business+development%22" TargetMode="External" Id="rId258"/><Relationship Type="http://schemas.openxmlformats.org/officeDocument/2006/relationships/hyperlink" Target="https://www.linkedin.com/search/results/companies/?keywords=Carrera+Revell+Europe+GmbH" TargetMode="External" Id="rId259"/><Relationship Type="http://schemas.openxmlformats.org/officeDocument/2006/relationships/hyperlink" Target="https://www.linkedin.com/search/results/people/?keywords=Carrera+Revell+Europe+GmbH+sales+OR+%22account+manager%22+OR+%22business+development%22" TargetMode="External" Id="rId260"/><Relationship Type="http://schemas.openxmlformats.org/officeDocument/2006/relationships/hyperlink" Target="https://www.linkedin.com/search/results/companies/?keywords=Depesche+Vertrieb+GmbH+%26+Co.+KG" TargetMode="External" Id="rId261"/><Relationship Type="http://schemas.openxmlformats.org/officeDocument/2006/relationships/hyperlink" Target="https://www.linkedin.com/search/results/people/?keywords=Depesche+Vertrieb+GmbH+%26+Co.+KG+sales+OR+%22account+manager%22+OR+%22business+development%22" TargetMode="External" Id="rId262"/><Relationship Type="http://schemas.openxmlformats.org/officeDocument/2006/relationships/hyperlink" Target="https://www.linkedin.com/search/results/companies/?keywords=Gollnest+%26+Kiesel+GmbH+%26+Co.+KG" TargetMode="External" Id="rId263"/><Relationship Type="http://schemas.openxmlformats.org/officeDocument/2006/relationships/hyperlink" Target="https://www.linkedin.com/search/results/people/?keywords=Gollnest+%26+Kiesel+GmbH+%26+Co.+KG+sales+OR+%22account+manager%22+OR+%22business+development%22" TargetMode="External" Id="rId264"/><Relationship Type="http://schemas.openxmlformats.org/officeDocument/2006/relationships/hyperlink" Target="https://www.linkedin.com/search/results/companies/?keywords=Pegasus+Spiele+GmbH" TargetMode="External" Id="rId265"/><Relationship Type="http://schemas.openxmlformats.org/officeDocument/2006/relationships/hyperlink" Target="https://www.linkedin.com/search/results/people/?keywords=Pegasus+Spiele+GmbH+sales+OR+%22account+manager%22+OR+%22business+development%22" TargetMode="External" Id="rId266"/><Relationship Type="http://schemas.openxmlformats.org/officeDocument/2006/relationships/hyperlink" Target="https://www.linkedin.com/search/results/companies/?keywords=Simba+Dickie+Group+GmbH" TargetMode="External" Id="rId267"/><Relationship Type="http://schemas.openxmlformats.org/officeDocument/2006/relationships/hyperlink" Target="https://www.linkedin.com/search/results/people/?keywords=Simba+Dickie+Group+GmbH+sales+OR+%22account+manager%22+OR+%22business+development%22" TargetMode="External" Id="rId268"/><Relationship Type="http://schemas.openxmlformats.org/officeDocument/2006/relationships/hyperlink" Target="https://www.linkedin.com/search/results/companies/?keywords=small+foot+GmbH+%26+Co.+KG" TargetMode="External" Id="rId269"/><Relationship Type="http://schemas.openxmlformats.org/officeDocument/2006/relationships/hyperlink" Target="https://www.linkedin.com/search/results/people/?keywords=small+foot+GmbH+%26+Co.+KG+sales+OR+%22account+manager%22+OR+%22business+development%22" TargetMode="External" Id="rId270"/><Relationship Type="http://schemas.openxmlformats.org/officeDocument/2006/relationships/hyperlink" Target="https://www.linkedin.com/search/results/companies/?keywords=VEDES+Gro%C3%9Fhandel+GmbH" TargetMode="External" Id="rId271"/><Relationship Type="http://schemas.openxmlformats.org/officeDocument/2006/relationships/hyperlink" Target="https://www.linkedin.com/search/results/people/?keywords=VEDES+Gro%C3%9Fhandel+GmbH+sales+OR+%22account+manager%22+OR+%22business+development%22" TargetMode="External" Id="rId272"/><Relationship Type="http://schemas.openxmlformats.org/officeDocument/2006/relationships/hyperlink" Target="https://www.linkedin.com/search/results/companies/?keywords=Landahl+%26+Baumann+Spielwaren+GmbH" TargetMode="External" Id="rId273"/><Relationship Type="http://schemas.openxmlformats.org/officeDocument/2006/relationships/hyperlink" Target="https://www.linkedin.com/search/results/people/?keywords=Landahl+%26+Baumann+Spielwaren+GmbH+sales+OR+%22account+manager%22+OR+%22business+development%22" TargetMode="External" Id="rId274"/><Relationship Type="http://schemas.openxmlformats.org/officeDocument/2006/relationships/hyperlink" Target="https://www.linkedin.com/search/results/companies/?keywords=KORRES+S.A.+Natural+Products" TargetMode="External" Id="rId275"/><Relationship Type="http://schemas.openxmlformats.org/officeDocument/2006/relationships/hyperlink" Target="https://www.linkedin.com/search/results/people/?keywords=KORRES+S.A.+Natural+Products+sales+OR+%22account+manager%22+OR+%22business+development%22" TargetMode="External" Id="rId276"/><Relationship Type="http://schemas.openxmlformats.org/officeDocument/2006/relationships/hyperlink" Target="https://www.linkedin.com/search/results/companies/?keywords=Papoutsanis+S.A." TargetMode="External" Id="rId277"/><Relationship Type="http://schemas.openxmlformats.org/officeDocument/2006/relationships/hyperlink" Target="https://www.linkedin.com/search/results/people/?keywords=Papoutsanis+S.A.+sales+OR+%22account+manager%22+OR+%22business+development%22" TargetMode="External" Id="rId278"/><Relationship Type="http://schemas.openxmlformats.org/officeDocument/2006/relationships/hyperlink" Target="https://www.linkedin.com/search/results/companies/?keywords=APIVITA+S.A." TargetMode="External" Id="rId279"/><Relationship Type="http://schemas.openxmlformats.org/officeDocument/2006/relationships/hyperlink" Target="https://www.linkedin.com/search/results/people/?keywords=APIVITA+S.A.+sales+OR+%22account+manager%22+OR+%22business+development%22" TargetMode="External" Id="rId280"/><Relationship Type="http://schemas.openxmlformats.org/officeDocument/2006/relationships/hyperlink" Target="https://www.linkedin.com/search/results/companies/?keywords=FREZYDERM+S.A." TargetMode="External" Id="rId281"/><Relationship Type="http://schemas.openxmlformats.org/officeDocument/2006/relationships/hyperlink" Target="https://www.linkedin.com/search/results/people/?keywords=FREZYDERM+S.A.+sales+OR+%22account+manager%22+OR+%22business+development%22" TargetMode="External" Id="rId282"/><Relationship Type="http://schemas.openxmlformats.org/officeDocument/2006/relationships/hyperlink" Target="https://www.linkedin.com/search/results/companies/?keywords=HELIA-D+Kft." TargetMode="External" Id="rId283"/><Relationship Type="http://schemas.openxmlformats.org/officeDocument/2006/relationships/hyperlink" Target="https://www.linkedin.com/search/results/people/?keywords=HELIA-D+Kft.+sales+OR+%22account+manager%22+OR+%22business+development%22" TargetMode="External" Id="rId284"/><Relationship Type="http://schemas.openxmlformats.org/officeDocument/2006/relationships/hyperlink" Target="https://www.linkedin.com/search/results/companies/?keywords=BioTechUSA+Kft." TargetMode="External" Id="rId285"/><Relationship Type="http://schemas.openxmlformats.org/officeDocument/2006/relationships/hyperlink" Target="https://www.linkedin.com/search/results/people/?keywords=BioTechUSA+Kft.+sales+OR+%22account+manager%22+OR+%22business+development%22" TargetMode="External" Id="rId286"/><Relationship Type="http://schemas.openxmlformats.org/officeDocument/2006/relationships/hyperlink" Target="https://www.linkedin.com/search/results/companies/?keywords=Herb%C3%A1ria+Zrt." TargetMode="External" Id="rId287"/><Relationship Type="http://schemas.openxmlformats.org/officeDocument/2006/relationships/hyperlink" Target="https://www.linkedin.com/search/results/people/?keywords=Herb%C3%A1ria+Zrt.+sales+OR+%22account+manager%22+OR+%22business+development%22" TargetMode="External" Id="rId288"/><Relationship Type="http://schemas.openxmlformats.org/officeDocument/2006/relationships/hyperlink" Target="https://www.linkedin.com/search/results/companies/?keywords=National+Beauty+Distribution+Ltd" TargetMode="External" Id="rId289"/><Relationship Type="http://schemas.openxmlformats.org/officeDocument/2006/relationships/hyperlink" Target="https://www.linkedin.com/search/results/people/?keywords=National+Beauty+Distribution+Ltd+sales+OR+%22account+manager%22+OR+%22business+development%22" TargetMode="External" Id="rId290"/><Relationship Type="http://schemas.openxmlformats.org/officeDocument/2006/relationships/hyperlink" Target="https://www.linkedin.com/search/results/companies/?keywords=Xpert+Professional" TargetMode="External" Id="rId291"/><Relationship Type="http://schemas.openxmlformats.org/officeDocument/2006/relationships/hyperlink" Target="https://www.linkedin.com/search/results/people/?keywords=Xpert+Professional+sales+OR+%22account+manager%22+OR+%22business+development%22" TargetMode="External" Id="rId292"/><Relationship Type="http://schemas.openxmlformats.org/officeDocument/2006/relationships/hyperlink" Target="https://www.linkedin.com/search/results/companies/?keywords=Uniphar+Wholesale+Limited" TargetMode="External" Id="rId293"/><Relationship Type="http://schemas.openxmlformats.org/officeDocument/2006/relationships/hyperlink" Target="https://www.linkedin.com/search/results/people/?keywords=Uniphar+Wholesale+Limited+sales+OR+%22account+manager%22+OR+%22business+development%22" TargetMode="External" Id="rId294"/><Relationship Type="http://schemas.openxmlformats.org/officeDocument/2006/relationships/hyperlink" Target="https://www.linkedin.com/search/results/companies/?keywords=Brandsdistribution" TargetMode="External" Id="rId295"/><Relationship Type="http://schemas.openxmlformats.org/officeDocument/2006/relationships/hyperlink" Target="https://www.linkedin.com/search/results/people/?keywords=Brandsdistribution+sales+OR+%22account+manager%22+OR+%22business+development%22" TargetMode="External" Id="rId296"/><Relationship Type="http://schemas.openxmlformats.org/officeDocument/2006/relationships/hyperlink" Target="https://www.linkedin.com/search/results/companies/?keywords=Artsana+S.p.A." TargetMode="External" Id="rId297"/><Relationship Type="http://schemas.openxmlformats.org/officeDocument/2006/relationships/hyperlink" Target="https://www.linkedin.com/search/results/people/?keywords=Artsana+S.p.A.+sales+OR+%22account+manager%22+OR+%22business+development%22" TargetMode="External" Id="rId298"/><Relationship Type="http://schemas.openxmlformats.org/officeDocument/2006/relationships/hyperlink" Target="https://www.linkedin.com/search/results/companies/?keywords=Foppapedretti+S.p.A." TargetMode="External" Id="rId299"/><Relationship Type="http://schemas.openxmlformats.org/officeDocument/2006/relationships/hyperlink" Target="https://www.linkedin.com/search/results/people/?keywords=Foppapedretti+S.p.A.+sales+OR+%22account+manager%22+OR+%22business+development%22" TargetMode="External" Id="rId300"/><Relationship Type="http://schemas.openxmlformats.org/officeDocument/2006/relationships/hyperlink" Target="https://www.linkedin.com/search/results/companies/?keywords=L%27inglesina+Baby+S.p.A." TargetMode="External" Id="rId301"/><Relationship Type="http://schemas.openxmlformats.org/officeDocument/2006/relationships/hyperlink" Target="https://www.linkedin.com/search/results/people/?keywords=L%27inglesina+Baby+S.p.A.+sales+OR+%22account+manager%22+OR+%22business+development%22" TargetMode="External" Id="rId302"/><Relationship Type="http://schemas.openxmlformats.org/officeDocument/2006/relationships/hyperlink" Target="https://www.linkedin.com/search/results/companies/?keywords=Deborah+Group+S.p.A." TargetMode="External" Id="rId303"/><Relationship Type="http://schemas.openxmlformats.org/officeDocument/2006/relationships/hyperlink" Target="https://www.linkedin.com/search/results/people/?keywords=Deborah+Group+S.p.A.+sales+OR+%22account+manager%22+OR+%22business+development%22" TargetMode="External" Id="rId304"/><Relationship Type="http://schemas.openxmlformats.org/officeDocument/2006/relationships/hyperlink" Target="https://www.linkedin.com/search/results/companies/?keywords=Beta+Utensili+S.p.A." TargetMode="External" Id="rId305"/><Relationship Type="http://schemas.openxmlformats.org/officeDocument/2006/relationships/hyperlink" Target="https://www.linkedin.com/search/results/people/?keywords=Beta+Utensili+S.p.A.+sales+OR+%22account+manager%22+OR+%22business+development%22" TargetMode="External" Id="rId306"/><Relationship Type="http://schemas.openxmlformats.org/officeDocument/2006/relationships/hyperlink" Target="https://www.linkedin.com/search/results/companies/?keywords=Fervi+S.p.A." TargetMode="External" Id="rId307"/><Relationship Type="http://schemas.openxmlformats.org/officeDocument/2006/relationships/hyperlink" Target="https://www.linkedin.com/search/results/people/?keywords=Fervi+S.p.A.+sales+OR+%22account+manager%22+OR+%22business+development%22" TargetMode="External" Id="rId308"/><Relationship Type="http://schemas.openxmlformats.org/officeDocument/2006/relationships/hyperlink" Target="https://www.linkedin.com/search/results/companies/?keywords=Profumerie+P+%26+P+Srl" TargetMode="External" Id="rId309"/><Relationship Type="http://schemas.openxmlformats.org/officeDocument/2006/relationships/hyperlink" Target="https://www.linkedin.com/search/results/people/?keywords=Profumerie+P+%26+P+Srl+sales+OR+%22account+manager%22+OR+%22business+development%22" TargetMode="External" Id="rId310"/><Relationship Type="http://schemas.openxmlformats.org/officeDocument/2006/relationships/hyperlink" Target="https://www.linkedin.com/search/results/companies/?keywords=The+Italian+Factory" TargetMode="External" Id="rId311"/><Relationship Type="http://schemas.openxmlformats.org/officeDocument/2006/relationships/hyperlink" Target="https://www.linkedin.com/search/results/people/?keywords=The+Italian+Factory+sales+OR+%22account+manager%22+OR+%22business+development%22" TargetMode="External" Id="rId312"/><Relationship Type="http://schemas.openxmlformats.org/officeDocument/2006/relationships/hyperlink" Target="https://www.linkedin.com/search/results/companies/?keywords=Aboca+S.p.A.+Societ%C3%A0+Agricola" TargetMode="External" Id="rId313"/><Relationship Type="http://schemas.openxmlformats.org/officeDocument/2006/relationships/hyperlink" Target="https://www.linkedin.com/search/results/people/?keywords=Aboca+S.p.A.+Societ%C3%A0+Agricola+sales+OR+%22account+manager%22+OR+%22business+development%22" TargetMode="External" Id="rId314"/><Relationship Type="http://schemas.openxmlformats.org/officeDocument/2006/relationships/hyperlink" Target="https://www.linkedin.com/search/results/companies/?keywords=Laica+S.p.A." TargetMode="External" Id="rId315"/><Relationship Type="http://schemas.openxmlformats.org/officeDocument/2006/relationships/hyperlink" Target="https://www.linkedin.com/search/results/people/?keywords=Laica+S.p.A.+sales+OR+%22account+manager%22+OR+%22business+development%22" TargetMode="External" Id="rId316"/><Relationship Type="http://schemas.openxmlformats.org/officeDocument/2006/relationships/hyperlink" Target="https://www.linkedin.com/search/results/companies/?keywords=Bialetti+Industrie+S.p.A." TargetMode="External" Id="rId317"/><Relationship Type="http://schemas.openxmlformats.org/officeDocument/2006/relationships/hyperlink" Target="https://www.linkedin.com/search/results/people/?keywords=Bialetti+Industrie+S.p.A.+sales+OR+%22account+manager%22+OR+%22business+development%22" TargetMode="External" Id="rId318"/><Relationship Type="http://schemas.openxmlformats.org/officeDocument/2006/relationships/hyperlink" Target="https://www.linkedin.com/search/results/companies/?keywords=Tenacta+Group+S.p.A." TargetMode="External" Id="rId319"/><Relationship Type="http://schemas.openxmlformats.org/officeDocument/2006/relationships/hyperlink" Target="https://www.linkedin.com/search/results/people/?keywords=Tenacta+Group+S.p.A.+sales+OR+%22account+manager%22+OR+%22business+development%22" TargetMode="External" Id="rId320"/><Relationship Type="http://schemas.openxmlformats.org/officeDocument/2006/relationships/hyperlink" Target="https://www.linkedin.com/search/results/companies/?keywords=ALESSI+S.p.A." TargetMode="External" Id="rId321"/><Relationship Type="http://schemas.openxmlformats.org/officeDocument/2006/relationships/hyperlink" Target="https://www.linkedin.com/search/results/people/?keywords=ALESSI+S.p.A.+sales+OR+%22account+manager%22+OR+%22business+development%22" TargetMode="External" Id="rId322"/><Relationship Type="http://schemas.openxmlformats.org/officeDocument/2006/relationships/hyperlink" Target="https://www.linkedin.com/search/results/companies/?keywords=Ariete+S.p.A." TargetMode="External" Id="rId323"/><Relationship Type="http://schemas.openxmlformats.org/officeDocument/2006/relationships/hyperlink" Target="https://www.linkedin.com/search/results/people/?keywords=Ariete+S.p.A.+sales+OR+%22account+manager%22+OR+%22business+development%22" TargetMode="External" Id="rId324"/><Relationship Type="http://schemas.openxmlformats.org/officeDocument/2006/relationships/hyperlink" Target="https://www.linkedin.com/search/results/companies/?keywords=Ferplast+S.p.A." TargetMode="External" Id="rId325"/><Relationship Type="http://schemas.openxmlformats.org/officeDocument/2006/relationships/hyperlink" Target="https://www.linkedin.com/search/results/people/?keywords=Ferplast+S.p.A.+sales+OR+%22account+manager%22+OR+%22business+development%22" TargetMode="External" Id="rId326"/><Relationship Type="http://schemas.openxmlformats.org/officeDocument/2006/relationships/hyperlink" Target="https://www.linkedin.com/search/results/companies/?keywords=Georplast+s.r.l." TargetMode="External" Id="rId327"/><Relationship Type="http://schemas.openxmlformats.org/officeDocument/2006/relationships/hyperlink" Target="https://www.linkedin.com/search/results/people/?keywords=Georplast+s.r.l.+sales+OR+%22account+manager%22+OR+%22business+development%22" TargetMode="External" Id="rId328"/><Relationship Type="http://schemas.openxmlformats.org/officeDocument/2006/relationships/hyperlink" Target="https://www.linkedin.com/search/results/companies/?keywords=Camon+%26+Croci+Pet+Group+S.p.A." TargetMode="External" Id="rId329"/><Relationship Type="http://schemas.openxmlformats.org/officeDocument/2006/relationships/hyperlink" Target="https://www.linkedin.com/search/results/people/?keywords=Camon+%26+Croci+Pet+Group+S.p.A.+sales+OR+%22account+manager%22+OR+%22business+development%22" TargetMode="External" Id="rId330"/><Relationship Type="http://schemas.openxmlformats.org/officeDocument/2006/relationships/hyperlink" Target="https://www.linkedin.com/search/results/companies/?keywords=IMAC+S.r.l." TargetMode="External" Id="rId331"/><Relationship Type="http://schemas.openxmlformats.org/officeDocument/2006/relationships/hyperlink" Target="https://www.linkedin.com/search/results/people/?keywords=IMAC+S.r.l.+sales+OR+%22account+manager%22+OR+%22business+development%22" TargetMode="External" Id="rId332"/><Relationship Type="http://schemas.openxmlformats.org/officeDocument/2006/relationships/hyperlink" Target="https://www.linkedin.com/search/results/companies/?keywords=United+Pets+S.r.l." TargetMode="External" Id="rId333"/><Relationship Type="http://schemas.openxmlformats.org/officeDocument/2006/relationships/hyperlink" Target="https://www.linkedin.com/search/results/people/?keywords=United+Pets+S.r.l.+sales+OR+%22account+manager%22+OR+%22business+development%22" TargetMode="External" Id="rId334"/><Relationship Type="http://schemas.openxmlformats.org/officeDocument/2006/relationships/hyperlink" Target="https://www.linkedin.com/search/results/companies/?keywords=Cressi+Sub+S.p.A." TargetMode="External" Id="rId335"/><Relationship Type="http://schemas.openxmlformats.org/officeDocument/2006/relationships/hyperlink" Target="https://www.linkedin.com/search/results/people/?keywords=Cressi+Sub+S.p.A.+sales+OR+%22account+manager%22+OR+%22business+development%22" TargetMode="External" Id="rId336"/><Relationship Type="http://schemas.openxmlformats.org/officeDocument/2006/relationships/hyperlink" Target="https://www.linkedin.com/search/results/companies/?keywords=Brunner+GmbH%2FSrl" TargetMode="External" Id="rId337"/><Relationship Type="http://schemas.openxmlformats.org/officeDocument/2006/relationships/hyperlink" Target="https://www.linkedin.com/search/results/people/?keywords=Brunner+GmbH%2FSrl+sales+OR+%22account+manager%22+OR+%22business+development%22" TargetMode="External" Id="rId338"/><Relationship Type="http://schemas.openxmlformats.org/officeDocument/2006/relationships/hyperlink" Target="https://www.linkedin.com/search/results/companies/?keywords=CARIOCA+S.p.A." TargetMode="External" Id="rId339"/><Relationship Type="http://schemas.openxmlformats.org/officeDocument/2006/relationships/hyperlink" Target="https://www.linkedin.com/search/results/people/?keywords=CARIOCA+S.p.A.+sales+OR+%22account+manager%22+OR+%22business+development%22" TargetMode="External" Id="rId340"/><Relationship Type="http://schemas.openxmlformats.org/officeDocument/2006/relationships/hyperlink" Target="https://www.linkedin.com/search/results/companies/?keywords=F.I.L.A.+S.p.A." TargetMode="External" Id="rId341"/><Relationship Type="http://schemas.openxmlformats.org/officeDocument/2006/relationships/hyperlink" Target="https://www.linkedin.com/search/results/people/?keywords=F.I.L.A.+S.p.A.+sales+OR+%22account+manager%22+OR+%22business+development%22" TargetMode="External" Id="rId342"/><Relationship Type="http://schemas.openxmlformats.org/officeDocument/2006/relationships/hyperlink" Target="https://www.linkedin.com/search/results/companies/?keywords=Clementoni+S.p.A." TargetMode="External" Id="rId343"/><Relationship Type="http://schemas.openxmlformats.org/officeDocument/2006/relationships/hyperlink" Target="https://www.linkedin.com/search/results/people/?keywords=Clementoni+S.p.A.+sales+OR+%22account+manager%22+OR+%22business+development%22" TargetMode="External" Id="rId344"/><Relationship Type="http://schemas.openxmlformats.org/officeDocument/2006/relationships/hyperlink" Target="https://www.linkedin.com/search/results/companies/?keywords=Quercetti+%26+C.+S.p.A." TargetMode="External" Id="rId345"/><Relationship Type="http://schemas.openxmlformats.org/officeDocument/2006/relationships/hyperlink" Target="https://www.linkedin.com/search/results/people/?keywords=Quercetti+%26+C.+S.p.A.+sales+OR+%22account+manager%22+OR+%22business+development%22" TargetMode="External" Id="rId346"/><Relationship Type="http://schemas.openxmlformats.org/officeDocument/2006/relationships/hyperlink" Target="https://www.linkedin.com/search/results/companies/?keywords=Liscianigiochi+S.p.A." TargetMode="External" Id="rId347"/><Relationship Type="http://schemas.openxmlformats.org/officeDocument/2006/relationships/hyperlink" Target="https://www.linkedin.com/search/results/people/?keywords=Liscianigiochi+S.p.A.+sales+OR+%22account+manager%22+OR+%22business+development%22" TargetMode="External" Id="rId348"/><Relationship Type="http://schemas.openxmlformats.org/officeDocument/2006/relationships/hyperlink" Target="https://www.linkedin.com/search/results/companies/?keywords=Joy+Toy+SpA" TargetMode="External" Id="rId349"/><Relationship Type="http://schemas.openxmlformats.org/officeDocument/2006/relationships/hyperlink" Target="https://www.linkedin.com/search/results/people/?keywords=Joy+Toy+SpA+sales+OR+%22account+manager%22+OR+%22business+development%22" TargetMode="External" Id="rId350"/><Relationship Type="http://schemas.openxmlformats.org/officeDocument/2006/relationships/hyperlink" Target="https://www.linkedin.com/search/results/companies/?keywords=AS+MADARA+Cosmetics" TargetMode="External" Id="rId351"/><Relationship Type="http://schemas.openxmlformats.org/officeDocument/2006/relationships/hyperlink" Target="https://www.linkedin.com/search/results/people/?keywords=AS+MADARA+Cosmetics+sales+OR+%22account+manager%22+OR+%22business+development%22" TargetMode="External" Id="rId352"/><Relationship Type="http://schemas.openxmlformats.org/officeDocument/2006/relationships/hyperlink" Target="https://www.linkedin.com/search/results/companies/?keywords=Doho" TargetMode="External" Id="rId353"/><Relationship Type="http://schemas.openxmlformats.org/officeDocument/2006/relationships/hyperlink" Target="https://www.linkedin.com/search/results/people/?keywords=Doho+sales+OR+%22account+manager%22+OR+%22business+development%22" TargetMode="External" Id="rId354"/><Relationship Type="http://schemas.openxmlformats.org/officeDocument/2006/relationships/hyperlink" Target="https://www.linkedin.com/search/results/companies/?keywords=Keter+Luxembourg+SARL" TargetMode="External" Id="rId355"/><Relationship Type="http://schemas.openxmlformats.org/officeDocument/2006/relationships/hyperlink" Target="https://www.linkedin.com/search/results/people/?keywords=Keter+Luxembourg+SARL+sales+OR+%22account+manager%22+OR+%22business+development%22" TargetMode="External" Id="rId356"/><Relationship Type="http://schemas.openxmlformats.org/officeDocument/2006/relationships/hyperlink" Target="https://www.linkedin.com/search/results/companies/?keywords=Difrax+B.V." TargetMode="External" Id="rId357"/><Relationship Type="http://schemas.openxmlformats.org/officeDocument/2006/relationships/hyperlink" Target="https://www.linkedin.com/search/results/people/?keywords=Difrax+B.V.+sales+OR+%22account+manager%22+OR+%22business+development%22" TargetMode="External" Id="rId358"/><Relationship Type="http://schemas.openxmlformats.org/officeDocument/2006/relationships/hyperlink" Target="https://www.linkedin.com/search/results/companies/?keywords=Atelier+49+Nederland+B.V." TargetMode="External" Id="rId359"/><Relationship Type="http://schemas.openxmlformats.org/officeDocument/2006/relationships/hyperlink" Target="https://www.linkedin.com/search/results/people/?keywords=Atelier+49+Nederland+B.V.+sales+OR+%22account+manager%22+OR+%22business+development%22" TargetMode="External" Id="rId360"/><Relationship Type="http://schemas.openxmlformats.org/officeDocument/2006/relationships/hyperlink" Target="https://www.linkedin.com/search/results/companies/?keywords=AH+Beaut%C3%A9+BV" TargetMode="External" Id="rId361"/><Relationship Type="http://schemas.openxmlformats.org/officeDocument/2006/relationships/hyperlink" Target="https://www.linkedin.com/search/results/people/?keywords=AH+Beaut%C3%A9+BV+sales+OR+%22account+manager%22+OR+%22business+development%22" TargetMode="External" Id="rId362"/><Relationship Type="http://schemas.openxmlformats.org/officeDocument/2006/relationships/hyperlink" Target="https://www.linkedin.com/search/results/companies/?keywords=Groothandel+Beauty" TargetMode="External" Id="rId363"/><Relationship Type="http://schemas.openxmlformats.org/officeDocument/2006/relationships/hyperlink" Target="https://www.linkedin.com/search/results/people/?keywords=Groothandel+Beauty+sales+OR+%22account+manager%22+OR+%22business+development%22" TargetMode="External" Id="rId364"/><Relationship Type="http://schemas.openxmlformats.org/officeDocument/2006/relationships/hyperlink" Target="https://www.linkedin.com/search/results/companies/?keywords=Beautinow+B.V." TargetMode="External" Id="rId365"/><Relationship Type="http://schemas.openxmlformats.org/officeDocument/2006/relationships/hyperlink" Target="https://www.linkedin.com/search/results/people/?keywords=Beautinow+B.V.+sales+OR+%22account+manager%22+OR+%22business+development%22" TargetMode="External" Id="rId366"/><Relationship Type="http://schemas.openxmlformats.org/officeDocument/2006/relationships/hyperlink" Target="https://www.linkedin.com/search/results/companies/?keywords=B%26S+Group" TargetMode="External" Id="rId367"/><Relationship Type="http://schemas.openxmlformats.org/officeDocument/2006/relationships/hyperlink" Target="https://www.linkedin.com/search/results/people/?keywords=B%26S+Group+sales+OR+%22account+manager%22+OR+%22business+development%22" TargetMode="External" Id="rId368"/><Relationship Type="http://schemas.openxmlformats.org/officeDocument/2006/relationships/hyperlink" Target="https://www.linkedin.com/search/results/companies/?keywords=EleganceWholesale" TargetMode="External" Id="rId369"/><Relationship Type="http://schemas.openxmlformats.org/officeDocument/2006/relationships/hyperlink" Target="https://www.linkedin.com/search/results/people/?keywords=EleganceWholesale+sales+OR+%22account+manager%22+OR+%22business+development%22" TargetMode="External" Id="rId370"/><Relationship Type="http://schemas.openxmlformats.org/officeDocument/2006/relationships/hyperlink" Target="https://www.linkedin.com/search/results/companies/?keywords=Join+Stadskanaal+B.V." TargetMode="External" Id="rId371"/><Relationship Type="http://schemas.openxmlformats.org/officeDocument/2006/relationships/hyperlink" Target="https://www.linkedin.com/search/results/people/?keywords=Join+Stadskanaal+B.V.+sales+OR+%22account+manager%22+OR+%22business+development%22" TargetMode="External" Id="rId372"/><Relationship Type="http://schemas.openxmlformats.org/officeDocument/2006/relationships/hyperlink" Target="https://www.linkedin.com/search/results/companies/?keywords=West+Coast+Supply+Group" TargetMode="External" Id="rId373"/><Relationship Type="http://schemas.openxmlformats.org/officeDocument/2006/relationships/hyperlink" Target="https://www.linkedin.com/search/results/people/?keywords=West+Coast+Supply+Group+sales+OR+%22account+manager%22+OR+%22business+development%22" TargetMode="External" Id="rId374"/><Relationship Type="http://schemas.openxmlformats.org/officeDocument/2006/relationships/hyperlink" Target="https://www.linkedin.com/search/results/companies/?keywords=METRO+%2F+Makro" TargetMode="External" Id="rId375"/><Relationship Type="http://schemas.openxmlformats.org/officeDocument/2006/relationships/hyperlink" Target="https://www.linkedin.com/search/results/people/?keywords=METRO+%2F+Makro+sales+OR+%22account+manager%22+OR+%22business+development%22" TargetMode="External" Id="rId376"/><Relationship Type="http://schemas.openxmlformats.org/officeDocument/2006/relationships/hyperlink" Target="https://www.linkedin.com/search/results/companies/?keywords=NaskorSports+B.V." TargetMode="External" Id="rId377"/><Relationship Type="http://schemas.openxmlformats.org/officeDocument/2006/relationships/hyperlink" Target="https://www.linkedin.com/search/results/people/?keywords=NaskorSports+B.V.+sales+OR+%22account+manager%22+OR+%22business+development%22" TargetMode="External" Id="rId378"/><Relationship Type="http://schemas.openxmlformats.org/officeDocument/2006/relationships/hyperlink" Target="https://www.linkedin.com/search/results/companies/?keywords=Parallel+B.V." TargetMode="External" Id="rId379"/><Relationship Type="http://schemas.openxmlformats.org/officeDocument/2006/relationships/hyperlink" Target="https://www.linkedin.com/search/results/people/?keywords=Parallel+B.V.+sales+OR+%22account+manager%22+OR+%22business+development%22" TargetMode="External" Id="rId380"/><Relationship Type="http://schemas.openxmlformats.org/officeDocument/2006/relationships/hyperlink" Target="https://www.linkedin.com/search/results/companies/?keywords=Topbrands" TargetMode="External" Id="rId381"/><Relationship Type="http://schemas.openxmlformats.org/officeDocument/2006/relationships/hyperlink" Target="https://www.linkedin.com/search/results/people/?keywords=Topbrands+sales+OR+%22account+manager%22+OR+%22business+development%22" TargetMode="External" Id="rId382"/><Relationship Type="http://schemas.openxmlformats.org/officeDocument/2006/relationships/hyperlink" Target="https://www.linkedin.com/search/results/companies/?keywords=Van+der+Tang+Trading" TargetMode="External" Id="rId383"/><Relationship Type="http://schemas.openxmlformats.org/officeDocument/2006/relationships/hyperlink" Target="https://www.linkedin.com/search/results/people/?keywords=Van+der+Tang+Trading+sales+OR+%22account+manager%22+OR+%22business+development%22" TargetMode="External" Id="rId384"/><Relationship Type="http://schemas.openxmlformats.org/officeDocument/2006/relationships/hyperlink" Target="https://www.linkedin.com/search/results/companies/?keywords=W+Pharma+Europe" TargetMode="External" Id="rId385"/><Relationship Type="http://schemas.openxmlformats.org/officeDocument/2006/relationships/hyperlink" Target="https://www.linkedin.com/search/results/people/?keywords=W+Pharma+Europe+sales+OR+%22account+manager%22+OR+%22business+development%22" TargetMode="External" Id="rId386"/><Relationship Type="http://schemas.openxmlformats.org/officeDocument/2006/relationships/hyperlink" Target="https://www.linkedin.com/search/results/companies/?keywords=Europe+Pharma+Group+B.V." TargetMode="External" Id="rId387"/><Relationship Type="http://schemas.openxmlformats.org/officeDocument/2006/relationships/hyperlink" Target="https://www.linkedin.com/search/results/people/?keywords=Europe+Pharma+Group+B.V.+sales+OR+%22account+manager%22+OR+%22business+development%22" TargetMode="External" Id="rId388"/><Relationship Type="http://schemas.openxmlformats.org/officeDocument/2006/relationships/hyperlink" Target="https://www.linkedin.com/search/results/companies/?keywords=Bolsius+Nederland+BV" TargetMode="External" Id="rId389"/><Relationship Type="http://schemas.openxmlformats.org/officeDocument/2006/relationships/hyperlink" Target="https://www.linkedin.com/search/results/people/?keywords=Bolsius+Nederland+BV+sales+OR+%22account+manager%22+OR+%22business+development%22" TargetMode="External" Id="rId390"/><Relationship Type="http://schemas.openxmlformats.org/officeDocument/2006/relationships/hyperlink" Target="https://www.linkedin.com/search/results/companies/?keywords=Koopman+International+B.V." TargetMode="External" Id="rId391"/><Relationship Type="http://schemas.openxmlformats.org/officeDocument/2006/relationships/hyperlink" Target="https://www.linkedin.com/search/results/people/?keywords=Koopman+International+B.V.+sales+OR+%22account+manager%22+OR+%22business+development%22" TargetMode="External" Id="rId392"/><Relationship Type="http://schemas.openxmlformats.org/officeDocument/2006/relationships/hyperlink" Target="https://www.linkedin.com/search/results/companies/?keywords=Mepal+B.V." TargetMode="External" Id="rId393"/><Relationship Type="http://schemas.openxmlformats.org/officeDocument/2006/relationships/hyperlink" Target="https://www.linkedin.com/search/results/people/?keywords=Mepal+B.V.+sales+OR+%22account+manager%22+OR+%22business+development%22" TargetMode="External" Id="rId394"/><Relationship Type="http://schemas.openxmlformats.org/officeDocument/2006/relationships/hyperlink" Target="https://www.linkedin.com/search/results/companies/?keywords=Tristar+Europe+B.V." TargetMode="External" Id="rId395"/><Relationship Type="http://schemas.openxmlformats.org/officeDocument/2006/relationships/hyperlink" Target="https://www.linkedin.com/search/results/people/?keywords=Tristar+Europe+B.V.+sales+OR+%22account+manager%22+OR+%22business+development%22" TargetMode="External" Id="rId396"/><Relationship Type="http://schemas.openxmlformats.org/officeDocument/2006/relationships/hyperlink" Target="https://www.linkedin.com/search/results/companies/?keywords=Brabantia+Export+BV" TargetMode="External" Id="rId397"/><Relationship Type="http://schemas.openxmlformats.org/officeDocument/2006/relationships/hyperlink" Target="https://www.linkedin.com/search/results/people/?keywords=Brabantia+Export+BV+sales+OR+%22account+manager%22+OR+%22business+development%22" TargetMode="External" Id="rId398"/><Relationship Type="http://schemas.openxmlformats.org/officeDocument/2006/relationships/hyperlink" Target="https://www.linkedin.com/search/results/companies/?keywords=Sunware+B.V." TargetMode="External" Id="rId399"/><Relationship Type="http://schemas.openxmlformats.org/officeDocument/2006/relationships/hyperlink" Target="https://www.linkedin.com/search/results/people/?keywords=Sunware+B.V.+sales+OR+%22account+manager%22+OR+%22business+development%22" TargetMode="External" Id="rId400"/><Relationship Type="http://schemas.openxmlformats.org/officeDocument/2006/relationships/hyperlink" Target="https://www.linkedin.com/search/results/companies/?keywords=vidaXL+%2F+dropshippingXL" TargetMode="External" Id="rId401"/><Relationship Type="http://schemas.openxmlformats.org/officeDocument/2006/relationships/hyperlink" Target="https://www.linkedin.com/search/results/people/?keywords=vidaXL+%2F+dropshippingXL+sales+OR+%22account+manager%22+OR+%22business+development%22" TargetMode="External" Id="rId402"/><Relationship Type="http://schemas.openxmlformats.org/officeDocument/2006/relationships/hyperlink" Target="https://www.linkedin.com/search/results/companies/?keywords=Beaphar+B.V." TargetMode="External" Id="rId403"/><Relationship Type="http://schemas.openxmlformats.org/officeDocument/2006/relationships/hyperlink" Target="https://www.linkedin.com/search/results/people/?keywords=Beaphar+B.V.+sales+OR+%22account+manager%22+OR+%22business+development%22" TargetMode="External" Id="rId404"/><Relationship Type="http://schemas.openxmlformats.org/officeDocument/2006/relationships/hyperlink" Target="https://www.linkedin.com/search/results/companies/?keywords=Beeztees" TargetMode="External" Id="rId405"/><Relationship Type="http://schemas.openxmlformats.org/officeDocument/2006/relationships/hyperlink" Target="https://www.linkedin.com/search/results/people/?keywords=Beeztees+sales+OR+%22account+manager%22+OR+%22business+development%22" TargetMode="External" Id="rId406"/><Relationship Type="http://schemas.openxmlformats.org/officeDocument/2006/relationships/hyperlink" Target="https://www.linkedin.com/search/results/companies/?keywords=Van+der+Meer+Groothandel+in+Dierbenodigdheden+B.V." TargetMode="External" Id="rId407"/><Relationship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 Id="rId408"/><Relationship Type="http://schemas.openxmlformats.org/officeDocument/2006/relationships/hyperlink" Target="https://www.linkedin.com/search/results/companies/?keywords=Papillon+Pet+Products+B.V." TargetMode="External" Id="rId409"/><Relationship Type="http://schemas.openxmlformats.org/officeDocument/2006/relationships/hyperlink" Target="https://www.linkedin.com/search/results/people/?keywords=Papillon+Pet+Products+B.V.+sales+OR+%22account+manager%22+OR+%22business+development%22" TargetMode="External" Id="rId410"/><Relationship Type="http://schemas.openxmlformats.org/officeDocument/2006/relationships/hyperlink" Target="https://www.linkedin.com/search/results/companies/?keywords=Tunturi+New+Fitness+B.V." TargetMode="External" Id="rId411"/><Relationship Type="http://schemas.openxmlformats.org/officeDocument/2006/relationships/hyperlink" Target="https://www.linkedin.com/search/results/people/?keywords=Tunturi+New+Fitness+B.V.+sales+OR+%22account+manager%22+OR+%22business+development%22" TargetMode="External" Id="rId412"/><Relationship Type="http://schemas.openxmlformats.org/officeDocument/2006/relationships/hyperlink" Target="https://www.linkedin.com/search/results/companies/?keywords=NRG+Fitness+B.V." TargetMode="External" Id="rId413"/><Relationship Type="http://schemas.openxmlformats.org/officeDocument/2006/relationships/hyperlink" Target="https://www.linkedin.com/search/results/people/?keywords=NRG+Fitness+B.V.+sales+OR+%22account+manager%22+OR+%22business+development%22" TargetMode="External" Id="rId414"/><Relationship Type="http://schemas.openxmlformats.org/officeDocument/2006/relationships/hyperlink" Target="https://www.linkedin.com/search/results/companies/?keywords=ALSO+Nederland" TargetMode="External" Id="rId415"/><Relationship Type="http://schemas.openxmlformats.org/officeDocument/2006/relationships/hyperlink" Target="https://www.linkedin.com/search/results/people/?keywords=ALSO+Nederland+sales+OR+%22account+manager%22+OR+%22business+development%22" TargetMode="External" Id="rId416"/><Relationship Type="http://schemas.openxmlformats.org/officeDocument/2006/relationships/hyperlink" Target="https://www.linkedin.com/search/results/companies/?keywords=Complies+BV" TargetMode="External" Id="rId417"/><Relationship Type="http://schemas.openxmlformats.org/officeDocument/2006/relationships/hyperlink" Target="https://www.linkedin.com/search/results/people/?keywords=Complies+BV+sales+OR+%22account+manager%22+OR+%22business+development%22" TargetMode="External" Id="rId418"/><Relationship Type="http://schemas.openxmlformats.org/officeDocument/2006/relationships/hyperlink" Target="https://www.linkedin.com/search/results/companies/?keywords=European+Player+Network" TargetMode="External" Id="rId419"/><Relationship Type="http://schemas.openxmlformats.org/officeDocument/2006/relationships/hyperlink" Target="https://www.linkedin.com/search/results/people/?keywords=European+Player+Network+sales+OR+%22account+manager%22+OR+%22business+development%22" TargetMode="External" Id="rId420"/><Relationship Type="http://schemas.openxmlformats.org/officeDocument/2006/relationships/hyperlink" Target="https://www.linkedin.com/search/results/companies/?keywords=Koninklijke+Jumbo+B.V." TargetMode="External" Id="rId421"/><Relationship Type="http://schemas.openxmlformats.org/officeDocument/2006/relationships/hyperlink" Target="https://www.linkedin.com/search/results/people/?keywords=Koninklijke+Jumbo+B.V.+sales+OR+%22account+manager%22+OR+%22business+development%22" TargetMode="External" Id="rId422"/><Relationship Type="http://schemas.openxmlformats.org/officeDocument/2006/relationships/hyperlink" Target="https://www.linkedin.com/search/results/companies/?keywords=SES+Creative+B.V." TargetMode="External" Id="rId423"/><Relationship Type="http://schemas.openxmlformats.org/officeDocument/2006/relationships/hyperlink" Target="https://www.linkedin.com/search/results/people/?keywords=SES+Creative+B.V.+sales+OR+%22account+manager%22+OR+%22business+development%22" TargetMode="External" Id="rId424"/><Relationship Type="http://schemas.openxmlformats.org/officeDocument/2006/relationships/hyperlink" Target="https://www.linkedin.com/search/results/companies/?keywords=Spectron+The+Toy+Company" TargetMode="External" Id="rId425"/><Relationship Type="http://schemas.openxmlformats.org/officeDocument/2006/relationships/hyperlink" Target="https://www.linkedin.com/search/results/people/?keywords=Spectron+The+Toy+Company+sales+OR+%22account+manager%22+OR+%22business+development%22" TargetMode="External" Id="rId426"/><Relationship Type="http://schemas.openxmlformats.org/officeDocument/2006/relationships/hyperlink" Target="https://www.linkedin.com/search/results/companies/?keywords=Toi-Toys" TargetMode="External" Id="rId427"/><Relationship Type="http://schemas.openxmlformats.org/officeDocument/2006/relationships/hyperlink" Target="https://www.linkedin.com/search/results/people/?keywords=Toi-Toys+sales+OR+%22account+manager%22+OR+%22business+development%22" TargetMode="External" Id="rId428"/><Relationship Type="http://schemas.openxmlformats.org/officeDocument/2006/relationships/hyperlink" Target="https://www.linkedin.com/search/results/companies/?keywords=Bellus+Toys+B.V." TargetMode="External" Id="rId429"/><Relationship Type="http://schemas.openxmlformats.org/officeDocument/2006/relationships/hyperlink" Target="https://www.linkedin.com/search/results/people/?keywords=Bellus+Toys+B.V.+sales+OR+%22account+manager%22+OR+%22business+development%22" TargetMode="External" Id="rId430"/><Relationship Type="http://schemas.openxmlformats.org/officeDocument/2006/relationships/hyperlink" Target="https://www.linkedin.com/search/results/companies/?keywords=Channel+Distribution+B.V." TargetMode="External" Id="rId431"/><Relationship Type="http://schemas.openxmlformats.org/officeDocument/2006/relationships/hyperlink" Target="https://www.linkedin.com/search/results/people/?keywords=Channel+Distribution+B.V.+sales+OR+%22account+manager%22+OR+%22business+development%22" TargetMode="External" Id="rId432"/><Relationship Type="http://schemas.openxmlformats.org/officeDocument/2006/relationships/hyperlink" Target="https://www.linkedin.com/search/results/companies/?keywords=Merkandi" TargetMode="External" Id="rId433"/><Relationship Type="http://schemas.openxmlformats.org/officeDocument/2006/relationships/hyperlink" Target="https://www.linkedin.com/search/results/people/?keywords=Merkandi+sales+OR+%22account+manager%22+OR+%22business+development%22" TargetMode="External" Id="rId434"/><Relationship Type="http://schemas.openxmlformats.org/officeDocument/2006/relationships/hyperlink" Target="https://www.linkedin.com/search/results/companies/?keywords=BrandLine+Group+Sp.+z+o.o." TargetMode="External" Id="rId435"/><Relationship Type="http://schemas.openxmlformats.org/officeDocument/2006/relationships/hyperlink" Target="https://www.linkedin.com/search/results/people/?keywords=BrandLine+Group+Sp.+z+o.o.+sales+OR+%22account+manager%22+OR+%22business+development%22" TargetMode="External" Id="rId436"/><Relationship Type="http://schemas.openxmlformats.org/officeDocument/2006/relationships/hyperlink" Target="https://www.linkedin.com/search/results/companies/?keywords=4Kraft+Sp.+z+o.o." TargetMode="External" Id="rId437"/><Relationship Type="http://schemas.openxmlformats.org/officeDocument/2006/relationships/hyperlink" Target="https://www.linkedin.com/search/results/people/?keywords=4Kraft+Sp.+z+o.o.+sales+OR+%22account+manager%22+OR+%22business+development%22" TargetMode="External" Id="rId438"/><Relationship Type="http://schemas.openxmlformats.org/officeDocument/2006/relationships/hyperlink" Target="https://www.linkedin.com/search/results/companies/?keywords=Canpol+Sp.+z+o.o." TargetMode="External" Id="rId439"/><Relationship Type="http://schemas.openxmlformats.org/officeDocument/2006/relationships/hyperlink" Target="https://www.linkedin.com/search/results/people/?keywords=Canpol+Sp.+z+o.o.+sales+OR+%22account+manager%22+OR+%22business+development%22" TargetMode="External" Id="rId440"/><Relationship Type="http://schemas.openxmlformats.org/officeDocument/2006/relationships/hyperlink" Target="https://www.linkedin.com/search/results/companies/?keywords=BabyOno" TargetMode="External" Id="rId441"/><Relationship Type="http://schemas.openxmlformats.org/officeDocument/2006/relationships/hyperlink" Target="https://www.linkedin.com/search/results/people/?keywords=BabyOno+sales+OR+%22account+manager%22+OR+%22business+development%22" TargetMode="External" Id="rId442"/><Relationship Type="http://schemas.openxmlformats.org/officeDocument/2006/relationships/hyperlink" Target="https://www.linkedin.com/search/results/companies/?keywords=Kids+Inspirations+Sp.+z+o.o." TargetMode="External" Id="rId443"/><Relationship Type="http://schemas.openxmlformats.org/officeDocument/2006/relationships/hyperlink" Target="https://www.linkedin.com/search/results/people/?keywords=Kids+Inspirations+Sp.+z+o.o.+sales+OR+%22account+manager%22+OR+%22business+development%22" TargetMode="External" Id="rId444"/><Relationship Type="http://schemas.openxmlformats.org/officeDocument/2006/relationships/hyperlink" Target="https://www.linkedin.com/search/results/companies/?keywords=Bielenda+Group+S.A." TargetMode="External" Id="rId445"/><Relationship Type="http://schemas.openxmlformats.org/officeDocument/2006/relationships/hyperlink" Target="https://www.linkedin.com/search/results/people/?keywords=Bielenda+Group+S.A.+sales+OR+%22account+manager%22+OR+%22business+development%22" TargetMode="External" Id="rId446"/><Relationship Type="http://schemas.openxmlformats.org/officeDocument/2006/relationships/hyperlink" Target="https://www.linkedin.com/search/results/companies/?keywords=Delia+Cosmetics+Sp.+z+o.o." TargetMode="External" Id="rId447"/><Relationship Type="http://schemas.openxmlformats.org/officeDocument/2006/relationships/hyperlink" Target="https://www.linkedin.com/search/results/people/?keywords=Delia+Cosmetics+Sp.+z+o.o.+sales+OR+%22account+manager%22+OR+%22business+development%22" TargetMode="External" Id="rId448"/><Relationship Type="http://schemas.openxmlformats.org/officeDocument/2006/relationships/hyperlink" Target="https://www.linkedin.com/search/results/companies/?keywords=Eveline+Cosmetics" TargetMode="External" Id="rId449"/><Relationship Type="http://schemas.openxmlformats.org/officeDocument/2006/relationships/hyperlink" Target="https://www.linkedin.com/search/results/people/?keywords=Eveline+Cosmetics+sales+OR+%22account+manager%22+OR+%22business+development%22" TargetMode="External" Id="rId450"/><Relationship Type="http://schemas.openxmlformats.org/officeDocument/2006/relationships/hyperlink" Target="https://www.linkedin.com/search/results/companies/?keywords=Laboratorium+Kosmetyk%C3%B3w+Naturalnych+Farmona+Sp.+z+o.o." TargetMode="External" Id="rId451"/><Relationship Type="http://schemas.openxmlformats.org/officeDocument/2006/relationships/hyperlink" Target="https://www.linkedin.com/search/results/people/?keywords=Laboratorium+Kosmetyk%C3%B3w+Naturalnych+Farmona+Sp.+z+o.o.+sales+OR+%22account+manager%22+OR+%22business+development%22" TargetMode="External" Id="rId452"/><Relationship Type="http://schemas.openxmlformats.org/officeDocument/2006/relationships/hyperlink" Target="https://www.linkedin.com/search/results/companies/?keywords=Davi" TargetMode="External" Id="rId453"/><Relationship Type="http://schemas.openxmlformats.org/officeDocument/2006/relationships/hyperlink" Target="https://www.linkedin.com/search/results/people/?keywords=Davi+sales+OR+%22account+manager%22+OR+%22business+development%22" TargetMode="External" Id="rId454"/><Relationship Type="http://schemas.openxmlformats.org/officeDocument/2006/relationships/hyperlink" Target="https://www.linkedin.com/search/results/companies/?keywords=INGLOT+Sp.+z+o.o." TargetMode="External" Id="rId455"/><Relationship Type="http://schemas.openxmlformats.org/officeDocument/2006/relationships/hyperlink" Target="https://www.linkedin.com/search/results/people/?keywords=INGLOT+Sp.+z+o.o.+sales+OR+%22account+manager%22+OR+%22business+development%22" TargetMode="External" Id="rId456"/><Relationship Type="http://schemas.openxmlformats.org/officeDocument/2006/relationships/hyperlink" Target="https://www.linkedin.com/search/results/companies/?keywords=Laboratorium+Kosmetyczne+Joanna+sp.j." TargetMode="External" Id="rId457"/><Relationship Type="http://schemas.openxmlformats.org/officeDocument/2006/relationships/hyperlink" Target="https://www.linkedin.com/search/results/people/?keywords=Laboratorium+Kosmetyczne+Joanna+sp.j.+sales+OR+%22account+manager%22+OR+%22business+development%22" TargetMode="External" Id="rId458"/><Relationship Type="http://schemas.openxmlformats.org/officeDocument/2006/relationships/hyperlink" Target="https://www.linkedin.com/search/results/companies/?keywords=Ziaja+Ltd" TargetMode="External" Id="rId459"/><Relationship Type="http://schemas.openxmlformats.org/officeDocument/2006/relationships/hyperlink" Target="https://www.linkedin.com/search/results/people/?keywords=Ziaja+Ltd+sales+OR+%22account+manager%22+OR+%22business+development%22" TargetMode="External" Id="rId460"/><Relationship Type="http://schemas.openxmlformats.org/officeDocument/2006/relationships/hyperlink" Target="https://www.linkedin.com/search/results/companies/?keywords=TOYA+S.A." TargetMode="External" Id="rId461"/><Relationship Type="http://schemas.openxmlformats.org/officeDocument/2006/relationships/hyperlink" Target="https://www.linkedin.com/search/results/people/?keywords=TOYA+S.A.+sales+OR+%22account+manager%22+OR+%22business+development%22" TargetMode="External" Id="rId462"/><Relationship Type="http://schemas.openxmlformats.org/officeDocument/2006/relationships/hyperlink" Target="https://www.linkedin.com/search/results/companies/?keywords=GTX+Poland+Sp.+z+o.o.+Sp.+k." TargetMode="External" Id="rId463"/><Relationship Type="http://schemas.openxmlformats.org/officeDocument/2006/relationships/hyperlink" Target="https://www.linkedin.com/search/results/people/?keywords=GTX+Poland+Sp.+z+o.o.+Sp.+k.+sales+OR+%22account+manager%22+OR+%22business+development%22" TargetMode="External" Id="rId464"/><Relationship Type="http://schemas.openxmlformats.org/officeDocument/2006/relationships/hyperlink" Target="https://www.linkedin.com/search/results/companies/?keywords=Dedra+Exim+Sp.+z+o.o." TargetMode="External" Id="rId465"/><Relationship Type="http://schemas.openxmlformats.org/officeDocument/2006/relationships/hyperlink" Target="https://www.linkedin.com/search/results/people/?keywords=Dedra+Exim+Sp.+z+o.o.+sales+OR+%22account+manager%22+OR+%22business+development%22" TargetMode="External" Id="rId466"/><Relationship Type="http://schemas.openxmlformats.org/officeDocument/2006/relationships/hyperlink" Target="https://www.linkedin.com/search/results/companies/?keywords=Logo-Tools+Sp.+z+o.o." TargetMode="External" Id="rId467"/><Relationship Type="http://schemas.openxmlformats.org/officeDocument/2006/relationships/hyperlink" Target="https://www.linkedin.com/search/results/people/?keywords=Logo-Tools+Sp.+z+o.o.+sales+OR+%22account+manager%22+OR+%22business+development%22" TargetMode="External" Id="rId468"/><Relationship Type="http://schemas.openxmlformats.org/officeDocument/2006/relationships/hyperlink" Target="https://www.linkedin.com/search/results/companies/?keywords=Alpex-Tools" TargetMode="External" Id="rId469"/><Relationship Type="http://schemas.openxmlformats.org/officeDocument/2006/relationships/hyperlink" Target="https://www.linkedin.com/search/results/people/?keywords=Alpex-Tools+sales+OR+%22account+manager%22+OR+%22business+development%22" TargetMode="External" Id="rId470"/><Relationship Type="http://schemas.openxmlformats.org/officeDocument/2006/relationships/hyperlink" Target="https://www.linkedin.com/search/results/companies/?keywords=MisterM+Plus+Sp.+z+o.o.+Sp.k." TargetMode="External" Id="rId471"/><Relationship Type="http://schemas.openxmlformats.org/officeDocument/2006/relationships/hyperlink" Target="https://www.linkedin.com/search/results/people/?keywords=MisterM+Plus+Sp.+z+o.o.+Sp.k.+sales+OR+%22account+manager%22+OR+%22business+development%22" TargetMode="External" Id="rId472"/><Relationship Type="http://schemas.openxmlformats.org/officeDocument/2006/relationships/hyperlink" Target="https://www.linkedin.com/search/results/companies/?keywords=Parfum+Company+Sp.+z+o.o.+S.K.A." TargetMode="External" Id="rId473"/><Relationship Type="http://schemas.openxmlformats.org/officeDocument/2006/relationships/hyperlink" Target="https://www.linkedin.com/search/results/people/?keywords=Parfum+Company+Sp.+z+o.o.+S.K.A.+sales+OR+%22account+manager%22+OR+%22business+development%22" TargetMode="External" Id="rId474"/><Relationship Type="http://schemas.openxmlformats.org/officeDocument/2006/relationships/hyperlink" Target="https://www.linkedin.com/search/results/companies/?keywords=Olimp+Laboratories+Sp.+z+o.o." TargetMode="External" Id="rId475"/><Relationship Type="http://schemas.openxmlformats.org/officeDocument/2006/relationships/hyperlink" Target="https://www.linkedin.com/search/results/people/?keywords=Olimp+Laboratories+Sp.+z+o.o.+sales+OR+%22account+manager%22+OR+%22business+development%22" TargetMode="External" Id="rId476"/><Relationship Type="http://schemas.openxmlformats.org/officeDocument/2006/relationships/hyperlink" Target="https://www.linkedin.com/search/results/companies/?keywords=Olivit+Sp.+z+o.o." TargetMode="External" Id="rId477"/><Relationship Type="http://schemas.openxmlformats.org/officeDocument/2006/relationships/hyperlink" Target="https://www.linkedin.com/search/results/people/?keywords=Olivit+Sp.+z+o.o.+sales+OR+%22account+manager%22+OR+%22business+development%22" TargetMode="External" Id="rId478"/><Relationship Type="http://schemas.openxmlformats.org/officeDocument/2006/relationships/hyperlink" Target="https://www.linkedin.com/search/results/companies/?keywords=Trec+Nutrition+Sp.+z+o.o." TargetMode="External" Id="rId479"/><Relationship Type="http://schemas.openxmlformats.org/officeDocument/2006/relationships/hyperlink" Target="https://www.linkedin.com/search/results/people/?keywords=Trec+Nutrition+Sp.+z+o.o.+sales+OR+%22account+manager%22+OR+%22business+development%22" TargetMode="External" Id="rId480"/><Relationship Type="http://schemas.openxmlformats.org/officeDocument/2006/relationships/hyperlink" Target="https://www.linkedin.com/search/results/companies/?keywords=ZIP+Wieczorek+Sp.+z+o.o." TargetMode="External" Id="rId481"/><Relationship Type="http://schemas.openxmlformats.org/officeDocument/2006/relationships/hyperlink" Target="https://www.linkedin.com/search/results/people/?keywords=ZIP+Wieczorek+Sp.+z+o.o.+sales+OR+%22account+manager%22+OR+%22business+development%22" TargetMode="External" Id="rId482"/><Relationship Type="http://schemas.openxmlformats.org/officeDocument/2006/relationships/hyperlink" Target="https://www.linkedin.com/search/results/companies/?keywords=Profimed" TargetMode="External" Id="rId483"/><Relationship Type="http://schemas.openxmlformats.org/officeDocument/2006/relationships/hyperlink" Target="https://www.linkedin.com/search/results/people/?keywords=Profimed+sales+OR+%22account+manager%22+OR+%22business+development%22" TargetMode="External" Id="rId484"/><Relationship Type="http://schemas.openxmlformats.org/officeDocument/2006/relationships/hyperlink" Target="https://www.linkedin.com/search/results/companies/?keywords=KONEX+Sp.+z+o.o." TargetMode="External" Id="rId485"/><Relationship Type="http://schemas.openxmlformats.org/officeDocument/2006/relationships/hyperlink" Target="https://www.linkedin.com/search/results/people/?keywords=KONEX+Sp.+z+o.o.+sales+OR+%22account+manager%22+OR+%22business+development%22" TargetMode="External" Id="rId486"/><Relationship Type="http://schemas.openxmlformats.org/officeDocument/2006/relationships/hyperlink" Target="https://www.linkedin.com/search/results/companies/?keywords=Florentyna+Sp.+z+o.o." TargetMode="External" Id="rId487"/><Relationship Type="http://schemas.openxmlformats.org/officeDocument/2006/relationships/hyperlink" Target="https://www.linkedin.com/search/results/people/?keywords=Florentyna+Sp.+z+o.o.+sales+OR+%22account+manager%22+OR+%22business+development%22" TargetMode="External" Id="rId488"/><Relationship Type="http://schemas.openxmlformats.org/officeDocument/2006/relationships/hyperlink" Target="https://www.linkedin.com/search/results/companies/?keywords=Gerlach+S.A." TargetMode="External" Id="rId489"/><Relationship Type="http://schemas.openxmlformats.org/officeDocument/2006/relationships/hyperlink" Target="https://www.linkedin.com/search/results/people/?keywords=Gerlach+S.A.+sales+OR+%22account+manager%22+OR+%22business+development%22" TargetMode="External" Id="rId490"/><Relationship Type="http://schemas.openxmlformats.org/officeDocument/2006/relationships/hyperlink" Target="https://www.linkedin.com/search/results/companies/?keywords=M.T.M.+Sp.+z+o.o.+Sp.K." TargetMode="External" Id="rId491"/><Relationship Type="http://schemas.openxmlformats.org/officeDocument/2006/relationships/hyperlink" Target="https://www.linkedin.com/search/results/people/?keywords=M.T.M.+Sp.+z+o.o.+Sp.K.+sales+OR+%22account+manager%22+OR+%22business+development%22" TargetMode="External" Id="rId492"/><Relationship Type="http://schemas.openxmlformats.org/officeDocument/2006/relationships/hyperlink" Target="https://www.linkedin.com/search/results/companies/?keywords=N2H+Sp.+z+o.o." TargetMode="External" Id="rId493"/><Relationship Type="http://schemas.openxmlformats.org/officeDocument/2006/relationships/hyperlink" Target="https://www.linkedin.com/search/results/people/?keywords=N2H+Sp.+z+o.o.+sales+OR+%22account+manager%22+OR+%22business+development%22" TargetMode="External" Id="rId494"/><Relationship Type="http://schemas.openxmlformats.org/officeDocument/2006/relationships/hyperlink" Target="https://www.linkedin.com/search/results/companies/?keywords=Amiplay+Sp.+z+o.o." TargetMode="External" Id="rId495"/><Relationship Type="http://schemas.openxmlformats.org/officeDocument/2006/relationships/hyperlink" Target="https://www.linkedin.com/search/results/people/?keywords=Amiplay+Sp.+z+o.o.+sales+OR+%22account+manager%22+OR+%22business+development%22" TargetMode="External" Id="rId496"/><Relationship Type="http://schemas.openxmlformats.org/officeDocument/2006/relationships/hyperlink" Target="https://www.linkedin.com/search/results/companies/?keywords=Cazo+Sp.+z+o.o." TargetMode="External" Id="rId497"/><Relationship Type="http://schemas.openxmlformats.org/officeDocument/2006/relationships/hyperlink" Target="https://www.linkedin.com/search/results/people/?keywords=Cazo+Sp.+z+o.o.+sales+OR+%22account+manager%22+OR+%22business+development%22" TargetMode="External" Id="rId498"/><Relationship Type="http://schemas.openxmlformats.org/officeDocument/2006/relationships/hyperlink" Target="https://www.linkedin.com/search/results/companies/?keywords=EMPETS+Group" TargetMode="External" Id="rId499"/><Relationship Type="http://schemas.openxmlformats.org/officeDocument/2006/relationships/hyperlink" Target="https://www.linkedin.com/search/results/people/?keywords=EMPETS+Group+sales+OR+%22account+manager%22+OR+%22business+development%22" TargetMode="External" Id="rId500"/><Relationship Type="http://schemas.openxmlformats.org/officeDocument/2006/relationships/hyperlink" Target="https://www.linkedin.com/search/results/companies/?keywords=Laboratorium+DermaPharm+Sp.+z+o.o." TargetMode="External" Id="rId501"/><Relationship Type="http://schemas.openxmlformats.org/officeDocument/2006/relationships/hyperlink" Target="https://www.linkedin.com/search/results/people/?keywords=Laboratorium+DermaPharm+Sp.+z+o.o.+sales+OR+%22account+manager%22+OR+%22business+development%22" TargetMode="External" Id="rId502"/><Relationship Type="http://schemas.openxmlformats.org/officeDocument/2006/relationships/hyperlink" Target="https://www.linkedin.com/search/results/companies/?keywords=Vet+Planet+Sp.+z+o.o." TargetMode="External" Id="rId503"/><Relationship Type="http://schemas.openxmlformats.org/officeDocument/2006/relationships/hyperlink" Target="https://www.linkedin.com/search/results/people/?keywords=Vet+Planet+Sp.+z+o.o.+sales+OR+%22account+manager%22+OR+%22business+development%22" TargetMode="External" Id="rId504"/><Relationship Type="http://schemas.openxmlformats.org/officeDocument/2006/relationships/hyperlink" Target="https://www.linkedin.com/search/results/companies/?keywords=Dingo+Sp.+z+o.o." TargetMode="External" Id="rId505"/><Relationship Type="http://schemas.openxmlformats.org/officeDocument/2006/relationships/hyperlink" Target="https://www.linkedin.com/search/results/people/?keywords=Dingo+Sp.+z+o.o.+sales+OR+%22account+manager%22+OR+%22business+development%22" TargetMode="External" Id="rId506"/><Relationship Type="http://schemas.openxmlformats.org/officeDocument/2006/relationships/hyperlink" Target="https://www.linkedin.com/search/results/companies/?keywords=MPPK+Group+Sp.+z+o.o." TargetMode="External" Id="rId507"/><Relationship Type="http://schemas.openxmlformats.org/officeDocument/2006/relationships/hyperlink" Target="https://www.linkedin.com/search/results/people/?keywords=MPPK+Group+Sp.+z+o.o.+sales+OR+%22account+manager%22+OR+%22business+development%22" TargetMode="External" Id="rId508"/><Relationship Type="http://schemas.openxmlformats.org/officeDocument/2006/relationships/hyperlink" Target="https://www.linkedin.com/search/results/companies/?keywords=P.W.+Hobby" TargetMode="External" Id="rId509"/><Relationship Type="http://schemas.openxmlformats.org/officeDocument/2006/relationships/hyperlink" Target="https://www.linkedin.com/search/results/people/?keywords=P.W.+Hobby+sales+OR+%22account+manager%22+OR+%22business+development%22" TargetMode="External" Id="rId510"/><Relationship Type="http://schemas.openxmlformats.org/officeDocument/2006/relationships/hyperlink" Target="https://www.linkedin.com/search/results/companies/?keywords=Hurtowniakarm.pl" TargetMode="External" Id="rId511"/><Relationship Type="http://schemas.openxmlformats.org/officeDocument/2006/relationships/hyperlink" Target="https://www.linkedin.com/search/results/people/?keywords=Hurtowniakarm.pl+sales+OR+%22account+manager%22+OR+%22business+development%22" TargetMode="External" Id="rId512"/><Relationship Type="http://schemas.openxmlformats.org/officeDocument/2006/relationships/hyperlink" Target="https://www.linkedin.com/search/results/companies/?keywords=Bacha+Sport+Sp.+z+o.o." TargetMode="External" Id="rId513"/><Relationship Type="http://schemas.openxmlformats.org/officeDocument/2006/relationships/hyperlink" Target="https://www.linkedin.com/search/results/people/?keywords=Bacha+Sport+Sp.+z+o.o.+sales+OR+%22account+manager%22+OR+%22business+development%22" TargetMode="External" Id="rId514"/><Relationship Type="http://schemas.openxmlformats.org/officeDocument/2006/relationships/hyperlink" Target="https://www.linkedin.com/search/results/companies/?keywords=Meteor" TargetMode="External" Id="rId515"/><Relationship Type="http://schemas.openxmlformats.org/officeDocument/2006/relationships/hyperlink" Target="https://www.linkedin.com/search/results/people/?keywords=Meteor+sales+OR+%22account+manager%22+OR+%22business+development%22" TargetMode="External" Id="rId516"/><Relationship Type="http://schemas.openxmlformats.org/officeDocument/2006/relationships/hyperlink" Target="https://www.linkedin.com/search/results/companies/?keywords=Spokey+Sp.+z+o.o." TargetMode="External" Id="rId517"/><Relationship Type="http://schemas.openxmlformats.org/officeDocument/2006/relationships/hyperlink" Target="https://www.linkedin.com/search/results/people/?keywords=Spokey+Sp.+z+o.o.+sales+OR+%22account+manager%22+OR+%22business+development%22" TargetMode="External" Id="rId518"/><Relationship Type="http://schemas.openxmlformats.org/officeDocument/2006/relationships/hyperlink" Target="https://www.linkedin.com/search/results/companies/?keywords=Marba-Sport" TargetMode="External" Id="rId519"/><Relationship Type="http://schemas.openxmlformats.org/officeDocument/2006/relationships/hyperlink" Target="https://www.linkedin.com/search/results/people/?keywords=Marba-Sport+sales+OR+%22account+manager%22+OR+%22business+development%22" TargetMode="External" Id="rId520"/><Relationship Type="http://schemas.openxmlformats.org/officeDocument/2006/relationships/hyperlink" Target="https://www.linkedin.com/search/results/companies/?keywords=Euro-Trade+Sp.+z+o.o.+Sp.K." TargetMode="External" Id="rId521"/><Relationship Type="http://schemas.openxmlformats.org/officeDocument/2006/relationships/hyperlink" Target="https://www.linkedin.com/search/results/people/?keywords=Euro-Trade+Sp.+z+o.o.+Sp.K.+sales+OR+%22account+manager%22+OR+%22business+development%22" TargetMode="External" Id="rId522"/><Relationship Type="http://schemas.openxmlformats.org/officeDocument/2006/relationships/hyperlink" Target="https://www.linkedin.com/search/results/companies/?keywords=Interdruk+S.A." TargetMode="External" Id="rId523"/><Relationship Type="http://schemas.openxmlformats.org/officeDocument/2006/relationships/hyperlink" Target="https://www.linkedin.com/search/results/people/?keywords=Interdruk+S.A.+sales+OR+%22account+manager%22+OR+%22business+development%22" TargetMode="External" Id="rId524"/><Relationship Type="http://schemas.openxmlformats.org/officeDocument/2006/relationships/hyperlink" Target="https://www.linkedin.com/search/results/companies/?keywords=Extrabiuro.pl" TargetMode="External" Id="rId525"/><Relationship Type="http://schemas.openxmlformats.org/officeDocument/2006/relationships/hyperlink" Target="https://www.linkedin.com/search/results/people/?keywords=Extrabiuro.pl+sales+OR+%22account+manager%22+OR+%22business+development%22" TargetMode="External" Id="rId526"/><Relationship Type="http://schemas.openxmlformats.org/officeDocument/2006/relationships/hyperlink" Target="https://www.linkedin.com/search/results/companies/?keywords=COBI+S.A." TargetMode="External" Id="rId527"/><Relationship Type="http://schemas.openxmlformats.org/officeDocument/2006/relationships/hyperlink" Target="https://www.linkedin.com/search/results/people/?keywords=COBI+S.A.+sales+OR+%22account+manager%22+OR+%22business+development%22" TargetMode="External" Id="rId528"/><Relationship Type="http://schemas.openxmlformats.org/officeDocument/2006/relationships/hyperlink" Target="https://www.linkedin.com/search/results/companies/?keywords=ANEK+Sp.+z+o.o." TargetMode="External" Id="rId529"/><Relationship Type="http://schemas.openxmlformats.org/officeDocument/2006/relationships/hyperlink" Target="https://www.linkedin.com/search/results/people/?keywords=ANEK+Sp.+z+o.o.+sales+OR+%22account+manager%22+OR+%22business+development%22" TargetMode="External" Id="rId530"/><Relationship Type="http://schemas.openxmlformats.org/officeDocument/2006/relationships/hyperlink" Target="https://www.linkedin.com/search/results/companies/?keywords=Granna+Sp.+z+o.o." TargetMode="External" Id="rId531"/><Relationship Type="http://schemas.openxmlformats.org/officeDocument/2006/relationships/hyperlink" Target="https://www.linkedin.com/search/results/people/?keywords=Granna+Sp.+z+o.o.+sales+OR+%22account+manager%22+OR+%22business+development%22" TargetMode="External" Id="rId532"/><Relationship Type="http://schemas.openxmlformats.org/officeDocument/2006/relationships/hyperlink" Target="https://www.linkedin.com/search/results/companies/?keywords=Trefl+S.A." TargetMode="External" Id="rId533"/><Relationship Type="http://schemas.openxmlformats.org/officeDocument/2006/relationships/hyperlink" Target="https://www.linkedin.com/search/results/people/?keywords=Trefl+S.A.+sales+OR+%22account+manager%22+OR+%22business+development%22" TargetMode="External" Id="rId534"/><Relationship Type="http://schemas.openxmlformats.org/officeDocument/2006/relationships/hyperlink" Target="https://www.linkedin.com/search/results/companies/?keywords=Wader-Wo%C5%BAniak+Sp.+z+o.o." TargetMode="External" Id="rId535"/><Relationship Type="http://schemas.openxmlformats.org/officeDocument/2006/relationships/hyperlink" Target="https://www.linkedin.com/search/results/people/?keywords=Wader-Wo%C5%BAniak+Sp.+z+o.o.+sales+OR+%22account+manager%22+OR+%22business+development%22" TargetMode="External" Id="rId536"/><Relationship Type="http://schemas.openxmlformats.org/officeDocument/2006/relationships/hyperlink" Target="https://www.linkedin.com/search/results/companies/?keywords=TM+Toys+Sp.+z+o.o." TargetMode="External" Id="rId537"/><Relationship Type="http://schemas.openxmlformats.org/officeDocument/2006/relationships/hyperlink" Target="https://www.linkedin.com/search/results/people/?keywords=TM+Toys+Sp.+z+o.o.+sales+OR+%22account+manager%22+OR+%22business+development%22" TargetMode="External" Id="rId538"/><Relationship Type="http://schemas.openxmlformats.org/officeDocument/2006/relationships/hyperlink" Target="https://www.linkedin.com/search/results/companies/?keywords=YAMANN+Sp.+z+o.o." TargetMode="External" Id="rId539"/><Relationship Type="http://schemas.openxmlformats.org/officeDocument/2006/relationships/hyperlink" Target="https://www.linkedin.com/search/results/people/?keywords=YAMANN+Sp.+z+o.o.+sales+OR+%22account+manager%22+OR+%22business+development%22" TargetMode="External" Id="rId540"/><Relationship Type="http://schemas.openxmlformats.org/officeDocument/2006/relationships/hyperlink" Target="https://www.linkedin.com/search/results/companies/?keywords=Zabawkarstwo+Wies%C5%82aw+Suchanek" TargetMode="External" Id="rId541"/><Relationship Type="http://schemas.openxmlformats.org/officeDocument/2006/relationships/hyperlink" Target="https://www.linkedin.com/search/results/people/?keywords=Zabawkarstwo+Wies%C5%82aw+Suchanek+sales+OR+%22account+manager%22+OR+%22business+development%22" TargetMode="External" Id="rId542"/><Relationship Type="http://schemas.openxmlformats.org/officeDocument/2006/relationships/hyperlink" Target="https://www.linkedin.com/search/results/companies/?keywords=Hurtownia+Ikonka" TargetMode="External" Id="rId543"/><Relationship Type="http://schemas.openxmlformats.org/officeDocument/2006/relationships/hyperlink" Target="https://www.linkedin.com/search/results/people/?keywords=Hurtownia+Ikonka+sales+OR+%22account+manager%22+OR+%22business+development%22" TargetMode="External" Id="rId544"/><Relationship Type="http://schemas.openxmlformats.org/officeDocument/2006/relationships/hyperlink" Target="https://www.linkedin.com/search/results/companies/?keywords=Filip+i+S-ka+Dromader+Sp.+j." TargetMode="External" Id="rId545"/><Relationship Type="http://schemas.openxmlformats.org/officeDocument/2006/relationships/hyperlink" Target="https://www.linkedin.com/search/results/people/?keywords=Filip+i+S-ka+Dromader+Sp.+j.+sales+OR+%22account+manager%22+OR+%22business+development%22" TargetMode="External" Id="rId546"/><Relationship Type="http://schemas.openxmlformats.org/officeDocument/2006/relationships/hyperlink" Target="https://www.linkedin.com/search/results/companies/?keywords=Ach.+Brito+%26+C.%C2%AA%2C+S.A." TargetMode="External" Id="rId547"/><Relationship Type="http://schemas.openxmlformats.org/officeDocument/2006/relationships/hyperlink" Target="https://www.linkedin.com/search/results/people/?keywords=Ach.+Brito+%26+C.%C2%AA%2C+S.A.+sales+OR+%22account+manager%22+OR+%22business+development%22" TargetMode="External" Id="rId548"/><Relationship Type="http://schemas.openxmlformats.org/officeDocument/2006/relationships/hyperlink" Target="https://www.linkedin.com/search/results/companies/?keywords=Silampos+S.A." TargetMode="External" Id="rId549"/><Relationship Type="http://schemas.openxmlformats.org/officeDocument/2006/relationships/hyperlink" Target="https://www.linkedin.com/search/results/people/?keywords=Silampos+S.A.+sales+OR+%22account+manager%22+OR+%22business+development%22" TargetMode="External" Id="rId550"/><Relationship Type="http://schemas.openxmlformats.org/officeDocument/2006/relationships/hyperlink" Target="https://www.linkedin.com/search/results/companies/?keywords=Ambar+-+Passion+S.A." TargetMode="External" Id="rId551"/><Relationship Type="http://schemas.openxmlformats.org/officeDocument/2006/relationships/hyperlink" Target="https://www.linkedin.com/search/results/people/?keywords=Ambar+-+Passion+S.A.+sales+OR+%22account+manager%22+OR+%22business+development%22" TargetMode="External" Id="rId552"/><Relationship Type="http://schemas.openxmlformats.org/officeDocument/2006/relationships/hyperlink" Target="https://www.linkedin.com/search/results/companies/?keywords=Bi-silque+-+Produtos+de+Comunica%C3%A7%C3%A3o+Visual%2C+S.A." TargetMode="External" Id="rId553"/><Relationship Type="http://schemas.openxmlformats.org/officeDocument/2006/relationships/hyperlink" Target="https://www.linkedin.com/search/results/people/?keywords=Bi-silque+-+Produtos+de+Comunica%C3%A7%C3%A3o+Visual%2C+S.A.+sales+OR+%22account+manager%22+OR+%22business+development%22" TargetMode="External" Id="rId554"/><Relationship Type="http://schemas.openxmlformats.org/officeDocument/2006/relationships/hyperlink" Target="https://www.linkedin.com/search/results/companies/?keywords=Science4you+S.A." TargetMode="External" Id="rId555"/><Relationship Type="http://schemas.openxmlformats.org/officeDocument/2006/relationships/hyperlink" Target="https://www.linkedin.com/search/results/people/?keywords=Science4you+S.A.+sales+OR+%22account+manager%22+OR+%22business+development%22" TargetMode="External" Id="rId556"/><Relationship Type="http://schemas.openxmlformats.org/officeDocument/2006/relationships/hyperlink" Target="https://www.linkedin.com/search/results/companies/?keywords=QudoBeauty" TargetMode="External" Id="rId557"/><Relationship Type="http://schemas.openxmlformats.org/officeDocument/2006/relationships/hyperlink" Target="https://www.linkedin.com/search/results/people/?keywords=QudoBeauty+sales+OR+%22account+manager%22+OR+%22business+development%22" TargetMode="External" Id="rId558"/><Relationship Type="http://schemas.openxmlformats.org/officeDocument/2006/relationships/hyperlink" Target="https://www.linkedin.com/search/results/companies/?keywords=FARMEC+S.A." TargetMode="External" Id="rId559"/><Relationship Type="http://schemas.openxmlformats.org/officeDocument/2006/relationships/hyperlink" Target="https://www.linkedin.com/search/results/people/?keywords=FARMEC+S.A.+sales+OR+%22account+manager%22+OR+%22business+development%22" TargetMode="External" Id="rId560"/><Relationship Type="http://schemas.openxmlformats.org/officeDocument/2006/relationships/hyperlink" Target="https://www.linkedin.com/search/results/companies/?keywords=Hofigal+Export+Import+S.A." TargetMode="External" Id="rId561"/><Relationship Type="http://schemas.openxmlformats.org/officeDocument/2006/relationships/hyperlink" Target="https://www.linkedin.com/search/results/people/?keywords=Hofigal+Export+Import+S.A.+sales+OR+%22account+manager%22+OR+%22business+development%22" TargetMode="External" Id="rId562"/><Relationship Type="http://schemas.openxmlformats.org/officeDocument/2006/relationships/hyperlink" Target="https://www.linkedin.com/search/results/companies/?keywords=TOSAMA+d.o.o." TargetMode="External" Id="rId563"/><Relationship Type="http://schemas.openxmlformats.org/officeDocument/2006/relationships/hyperlink" Target="https://www.linkedin.com/search/results/people/?keywords=TOSAMA+d.o.o.+sales+OR+%22account+manager%22+OR+%22business+development%22" TargetMode="External" Id="rId564"/><Relationship Type="http://schemas.openxmlformats.org/officeDocument/2006/relationships/hyperlink" Target="https://www.linkedin.com/search/results/companies/?keywords=BigBuy" TargetMode="External" Id="rId565"/><Relationship Type="http://schemas.openxmlformats.org/officeDocument/2006/relationships/hyperlink" Target="https://www.linkedin.com/search/results/people/?keywords=BigBuy+sales+OR+%22account+manager%22+OR+%22business+development%22" TargetMode="External" Id="rId566"/><Relationship Type="http://schemas.openxmlformats.org/officeDocument/2006/relationships/hyperlink" Target="https://www.linkedin.com/search/results/companies/?keywords=AC+Marca+Personal+Care+S.L." TargetMode="External" Id="rId567"/><Relationship Type="http://schemas.openxmlformats.org/officeDocument/2006/relationships/hyperlink" Target="https://www.linkedin.com/search/results/people/?keywords=AC+Marca+Personal+Care+S.L.+sales+OR+%22account+manager%22+OR+%22business+development%22" TargetMode="External" Id="rId568"/><Relationship Type="http://schemas.openxmlformats.org/officeDocument/2006/relationships/hyperlink" Target="https://www.linkedin.com/search/results/companies/?keywords=Jan%C3%A9+Group" TargetMode="External" Id="rId569"/><Relationship Type="http://schemas.openxmlformats.org/officeDocument/2006/relationships/hyperlink" Target="https://www.linkedin.com/search/results/people/?keywords=Jan%C3%A9+Group+sales+OR+%22account+manager%22+OR+%22business+development%22" TargetMode="External" Id="rId570"/><Relationship Type="http://schemas.openxmlformats.org/officeDocument/2006/relationships/hyperlink" Target="https://www.linkedin.com/search/results/companies/?keywords=Suavinex" TargetMode="External" Id="rId571"/><Relationship Type="http://schemas.openxmlformats.org/officeDocument/2006/relationships/hyperlink" Target="https://www.linkedin.com/search/results/people/?keywords=Suavinex+sales+OR+%22account+manager%22+OR+%22business+development%22" TargetMode="External" Id="rId572"/><Relationship Type="http://schemas.openxmlformats.org/officeDocument/2006/relationships/hyperlink" Target="https://www.linkedin.com/search/results/companies/?keywords=Smart+Baby+Brands" TargetMode="External" Id="rId573"/><Relationship Type="http://schemas.openxmlformats.org/officeDocument/2006/relationships/hyperlink" Target="https://www.linkedin.com/search/results/people/?keywords=Smart+Baby+Brands+sales+OR+%22account+manager%22+OR+%22business+development%22" TargetMode="External" Id="rId574"/><Relationship Type="http://schemas.openxmlformats.org/officeDocument/2006/relationships/hyperlink" Target="https://www.linkedin.com/search/results/companies/?keywords=Tata+Batata" TargetMode="External" Id="rId575"/><Relationship Type="http://schemas.openxmlformats.org/officeDocument/2006/relationships/hyperlink" Target="https://www.linkedin.com/search/results/people/?keywords=Tata+Batata+sales+OR+%22account+manager%22+OR+%22business+development%22" TargetMode="External" Id="rId576"/><Relationship Type="http://schemas.openxmlformats.org/officeDocument/2006/relationships/hyperlink" Target="https://www.linkedin.com/search/results/companies/?keywords=ISDIN+S.A." TargetMode="External" Id="rId577"/><Relationship Type="http://schemas.openxmlformats.org/officeDocument/2006/relationships/hyperlink" Target="https://www.linkedin.com/search/results/people/?keywords=ISDIN+S.A.+sales+OR+%22account+manager%22+OR+%22business+development%22" TargetMode="External" Id="rId578"/><Relationship Type="http://schemas.openxmlformats.org/officeDocument/2006/relationships/hyperlink" Target="https://www.linkedin.com/search/results/companies/?keywords=Bella+Aurora+Labs+S.A." TargetMode="External" Id="rId579"/><Relationship Type="http://schemas.openxmlformats.org/officeDocument/2006/relationships/hyperlink" Target="https://www.linkedin.com/search/results/people/?keywords=Bella+Aurora+Labs+S.A.+sales+OR+%22account+manager%22+OR+%22business+development%22" TargetMode="External" Id="rId580"/><Relationship Type="http://schemas.openxmlformats.org/officeDocument/2006/relationships/hyperlink" Target="https://www.linkedin.com/search/results/companies/?keywords=Berioska+S.L." TargetMode="External" Id="rId581"/><Relationship Type="http://schemas.openxmlformats.org/officeDocument/2006/relationships/hyperlink" Target="https://www.linkedin.com/search/results/people/?keywords=Berioska+S.L.+sales+OR+%22account+manager%22+OR+%22business+development%22" TargetMode="External" Id="rId582"/><Relationship Type="http://schemas.openxmlformats.org/officeDocument/2006/relationships/hyperlink" Target="https://www.linkedin.com/search/results/companies/?keywords=Instituto+Espa%C3%B1ol+S.A." TargetMode="External" Id="rId583"/><Relationship Type="http://schemas.openxmlformats.org/officeDocument/2006/relationships/hyperlink" Target="https://www.linkedin.com/search/results/people/?keywords=Instituto+Espa%C3%B1ol+S.A.+sales+OR+%22account+manager%22+OR+%22business+development%22" TargetMode="External" Id="rId584"/><Relationship Type="http://schemas.openxmlformats.org/officeDocument/2006/relationships/hyperlink" Target="https://www.linkedin.com/search/results/companies/?keywords=Bellota+Herramientas+S.L.U." TargetMode="External" Id="rId585"/><Relationship Type="http://schemas.openxmlformats.org/officeDocument/2006/relationships/hyperlink" Target="https://www.linkedin.com/search/results/people/?keywords=Bellota+Herramientas+S.L.U.+sales+OR+%22account+manager%22+OR+%22business+development%22" TargetMode="External" Id="rId586"/><Relationship Type="http://schemas.openxmlformats.org/officeDocument/2006/relationships/hyperlink" Target="https://www.linkedin.com/search/results/companies/?keywords=EGA+Master+S.L." TargetMode="External" Id="rId587"/><Relationship Type="http://schemas.openxmlformats.org/officeDocument/2006/relationships/hyperlink" Target="https://www.linkedin.com/search/results/people/?keywords=EGA+Master+S.L.+sales+OR+%22account+manager%22+OR+%22business+development%22" TargetMode="External" Id="rId588"/><Relationship Type="http://schemas.openxmlformats.org/officeDocument/2006/relationships/hyperlink" Target="https://www.linkedin.com/search/results/companies/?keywords=Patner+Iberia+SL" TargetMode="External" Id="rId589"/><Relationship Type="http://schemas.openxmlformats.org/officeDocument/2006/relationships/hyperlink" Target="https://www.linkedin.com/search/results/people/?keywords=Patner+Iberia+SL+sales+OR+%22account+manager%22+OR+%22business+development%22" TargetMode="External" Id="rId590"/><Relationship Type="http://schemas.openxmlformats.org/officeDocument/2006/relationships/hyperlink" Target="https://www.linkedin.com/search/results/companies/?keywords=RUBI+Tools+Group+S.A." TargetMode="External" Id="rId591"/><Relationship Type="http://schemas.openxmlformats.org/officeDocument/2006/relationships/hyperlink" Target="https://www.linkedin.com/search/results/people/?keywords=RUBI+Tools+Group+S.A.+sales+OR+%22account+manager%22+OR+%22business+development%22" TargetMode="External" Id="rId592"/><Relationship Type="http://schemas.openxmlformats.org/officeDocument/2006/relationships/hyperlink" Target="https://www.linkedin.com/search/results/companies/?keywords=OrientFragance" TargetMode="External" Id="rId593"/><Relationship Type="http://schemas.openxmlformats.org/officeDocument/2006/relationships/hyperlink" Target="https://www.linkedin.com/search/results/people/?keywords=OrientFragance+sales+OR+%22account+manager%22+OR+%22business+development%22" TargetMode="External" Id="rId594"/><Relationship Type="http://schemas.openxmlformats.org/officeDocument/2006/relationships/hyperlink" Target="https://www.linkedin.com/search/results/companies/?keywords=Laboratorios+Byly+S.A." TargetMode="External" Id="rId595"/><Relationship Type="http://schemas.openxmlformats.org/officeDocument/2006/relationships/hyperlink" Target="https://www.linkedin.com/search/results/people/?keywords=Laboratorios+Byly+S.A.+sales+OR+%22account+manager%22+OR+%22business+development%22" TargetMode="External" Id="rId596"/><Relationship Type="http://schemas.openxmlformats.org/officeDocument/2006/relationships/hyperlink" Target="https://www.linkedin.com/search/results/companies/?keywords=IBILI+Menaje+S.A." TargetMode="External" Id="rId597"/><Relationship Type="http://schemas.openxmlformats.org/officeDocument/2006/relationships/hyperlink" Target="https://www.linkedin.com/search/results/people/?keywords=IBILI+Menaje+S.A.+sales+OR+%22account+manager%22+OR+%22business+development%22" TargetMode="External" Id="rId598"/><Relationship Type="http://schemas.openxmlformats.org/officeDocument/2006/relationships/hyperlink" Target="https://www.linkedin.com/search/results/companies/?keywords=L%C3%A9ku%C3%A9+S.L." TargetMode="External" Id="rId599"/><Relationship Type="http://schemas.openxmlformats.org/officeDocument/2006/relationships/hyperlink" Target="https://www.linkedin.com/search/results/people/?keywords=L%C3%A9ku%C3%A9+S.L.+sales+OR+%22account+manager%22+OR+%22business+development%22" TargetMode="External" Id="rId600"/><Relationship Type="http://schemas.openxmlformats.org/officeDocument/2006/relationships/hyperlink" Target="https://www.linkedin.com/search/results/companies/?keywords=Cecotec+Innovaciones+S.L." TargetMode="External" Id="rId601"/><Relationship Type="http://schemas.openxmlformats.org/officeDocument/2006/relationships/hyperlink" Target="https://www.linkedin.com/search/results/people/?keywords=Cecotec+Innovaciones+S.L.+sales+OR+%22account+manager%22+OR+%22business+development%22" TargetMode="External" Id="rId602"/><Relationship Type="http://schemas.openxmlformats.org/officeDocument/2006/relationships/hyperlink" Target="https://www.linkedin.com/search/results/companies/?keywords=Arquivet+SLU" TargetMode="External" Id="rId603"/><Relationship Type="http://schemas.openxmlformats.org/officeDocument/2006/relationships/hyperlink" Target="https://www.linkedin.com/search/results/people/?keywords=Arquivet+SLU+sales+OR+%22account+manager%22+OR+%22business+development%22" TargetMode="External" Id="rId604"/><Relationship Type="http://schemas.openxmlformats.org/officeDocument/2006/relationships/hyperlink" Target="https://www.linkedin.com/search/results/companies/?keywords=Gaun+S.A." TargetMode="External" Id="rId605"/><Relationship Type="http://schemas.openxmlformats.org/officeDocument/2006/relationships/hyperlink" Target="https://www.linkedin.com/search/results/people/?keywords=Gaun+S.A.+sales+OR+%22account+manager%22+OR+%22business+development%22" TargetMode="External" Id="rId606"/><Relationship Type="http://schemas.openxmlformats.org/officeDocument/2006/relationships/hyperlink" Target="https://www.linkedin.com/search/results/companies/?keywords=GOSBI+PET+FOOD+S.A." TargetMode="External" Id="rId607"/><Relationship Type="http://schemas.openxmlformats.org/officeDocument/2006/relationships/hyperlink" Target="https://www.linkedin.com/search/results/people/?keywords=GOSBI+PET+FOOD+S.A.+sales+OR+%22account+manager%22+OR+%22business+development%22" TargetMode="External" Id="rId608"/><Relationship Type="http://schemas.openxmlformats.org/officeDocument/2006/relationships/hyperlink" Target="https://www.linkedin.com/search/results/companies/?keywords=Nayeco+S.L." TargetMode="External" Id="rId609"/><Relationship Type="http://schemas.openxmlformats.org/officeDocument/2006/relationships/hyperlink" Target="https://www.linkedin.com/search/results/people/?keywords=Nayeco+S.L.+sales+OR+%22account+manager%22+OR+%22business+development%22" TargetMode="External" Id="rId610"/><Relationship Type="http://schemas.openxmlformats.org/officeDocument/2006/relationships/hyperlink" Target="https://www.linkedin.com/search/results/companies/?keywords=Jim+Sports+Group" TargetMode="External" Id="rId611"/><Relationship Type="http://schemas.openxmlformats.org/officeDocument/2006/relationships/hyperlink" Target="https://www.linkedin.com/search/results/people/?keywords=Jim+Sports+Group+sales+OR+%22account+manager%22+OR+%22business+development%22" TargetMode="External" Id="rId612"/><Relationship Type="http://schemas.openxmlformats.org/officeDocument/2006/relationships/hyperlink" Target="https://www.linkedin.com/search/results/companies/?keywords=APLI+Paper+S.A.U." TargetMode="External" Id="rId613"/><Relationship Type="http://schemas.openxmlformats.org/officeDocument/2006/relationships/hyperlink" Target="https://www.linkedin.com/search/results/people/?keywords=APLI+Paper+S.A.U.+sales+OR+%22account+manager%22+OR+%22business+development%22" TargetMode="External" Id="rId614"/><Relationship Type="http://schemas.openxmlformats.org/officeDocument/2006/relationships/hyperlink" Target="https://www.linkedin.com/search/results/companies/?keywords=Factis+S.A." TargetMode="External" Id="rId615"/><Relationship Type="http://schemas.openxmlformats.org/officeDocument/2006/relationships/hyperlink" Target="https://www.linkedin.com/search/results/people/?keywords=Factis+S.A.+sales+OR+%22account+manager%22+OR+%22business+development%22" TargetMode="External" Id="rId616"/><Relationship Type="http://schemas.openxmlformats.org/officeDocument/2006/relationships/hyperlink" Target="https://www.linkedin.com/search/results/companies/?keywords=JOVI+S.A." TargetMode="External" Id="rId617"/><Relationship Type="http://schemas.openxmlformats.org/officeDocument/2006/relationships/hyperlink" Target="https://www.linkedin.com/search/results/people/?keywords=JOVI+S.A.+sales+OR+%22account+manager%22+OR+%22business+development%22" TargetMode="External" Id="rId618"/><Relationship Type="http://schemas.openxmlformats.org/officeDocument/2006/relationships/hyperlink" Target="https://www.linkedin.com/search/results/companies/?keywords=CSP+-+Comercial+del+Sur+de+Papeler%C3%ADa" TargetMode="External" Id="rId619"/><Relationship Type="http://schemas.openxmlformats.org/officeDocument/2006/relationships/hyperlink" Target="https://www.linkedin.com/search/results/people/?keywords=CSP+-+Comercial+del+Sur+de+Papeler%C3%ADa+sales+OR+%22account+manager%22+OR+%22business+development%22" TargetMode="External" Id="rId620"/><Relationship Type="http://schemas.openxmlformats.org/officeDocument/2006/relationships/hyperlink" Target="https://www.linkedin.com/search/results/companies/?keywords=Distribuidora+Universal+S.L." TargetMode="External" Id="rId621"/><Relationship Type="http://schemas.openxmlformats.org/officeDocument/2006/relationships/hyperlink" Target="https://www.linkedin.com/search/results/people/?keywords=Distribuidora+Universal+S.L.+sales+OR+%22account+manager%22+OR+%22business+development%22" TargetMode="External" Id="rId622"/><Relationship Type="http://schemas.openxmlformats.org/officeDocument/2006/relationships/hyperlink" Target="https://www.linkedin.com/search/results/companies/?keywords=Colorbaby+S.L." TargetMode="External" Id="rId623"/><Relationship Type="http://schemas.openxmlformats.org/officeDocument/2006/relationships/hyperlink" Target="https://www.linkedin.com/search/results/people/?keywords=Colorbaby+S.L.+sales+OR+%22account+manager%22+OR+%22business+development%22" TargetMode="External" Id="rId624"/><Relationship Type="http://schemas.openxmlformats.org/officeDocument/2006/relationships/hyperlink" Target="https://www.linkedin.com/search/results/companies/?keywords=Educa+Borr%C3%A1s+S.A.U." TargetMode="External" Id="rId625"/><Relationship Type="http://schemas.openxmlformats.org/officeDocument/2006/relationships/hyperlink" Target="https://www.linkedin.com/search/results/people/?keywords=Educa+Borr%C3%A1s+S.A.U.+sales+OR+%22account+manager%22+OR+%22business+development%22" TargetMode="External" Id="rId626"/><Relationship Type="http://schemas.openxmlformats.org/officeDocument/2006/relationships/hyperlink" Target="https://www.linkedin.com/search/results/companies/?keywords=Miniland+S.A." TargetMode="External" Id="rId627"/><Relationship Type="http://schemas.openxmlformats.org/officeDocument/2006/relationships/hyperlink" Target="https://www.linkedin.com/search/results/people/?keywords=Miniland+S.A.+sales+OR+%22account+manager%22+OR+%22business+development%22" TargetMode="External" Id="rId628"/><Relationship Type="http://schemas.openxmlformats.org/officeDocument/2006/relationships/hyperlink" Target="https://www.linkedin.com/search/results/companies/?keywords=Cefa+Toys+S.A." TargetMode="External" Id="rId629"/><Relationship Type="http://schemas.openxmlformats.org/officeDocument/2006/relationships/hyperlink" Target="https://www.linkedin.com/search/results/people/?keywords=Cefa+Toys+S.A.+sales+OR+%22account+manager%22+OR+%22business+development%22" TargetMode="External" Id="rId630"/><Relationship Type="http://schemas.openxmlformats.org/officeDocument/2006/relationships/hyperlink" Target="https://www.linkedin.com/search/results/companies/?keywords=DISET+S.A." TargetMode="External" Id="rId631"/><Relationship Type="http://schemas.openxmlformats.org/officeDocument/2006/relationships/hyperlink" Target="https://www.linkedin.com/search/results/people/?keywords=DISET+S.A.+sales+OR+%22account+manager%22+OR+%22business+development%22" TargetMode="External" Id="rId632"/><Relationship Type="http://schemas.openxmlformats.org/officeDocument/2006/relationships/hyperlink" Target="https://www.linkedin.com/search/results/companies/?keywords=Famosa" TargetMode="External" Id="rId633"/><Relationship Type="http://schemas.openxmlformats.org/officeDocument/2006/relationships/hyperlink" Target="https://www.linkedin.com/search/results/people/?keywords=Famosa+sales+OR+%22account+manager%22+OR+%22business+development%22" TargetMode="External" Id="rId634"/><Relationship Type="http://schemas.openxmlformats.org/officeDocument/2006/relationships/hyperlink" Target="https://www.linkedin.com/search/results/companies/?keywords=Industrial+Juguetera+S.A." TargetMode="External" Id="rId635"/><Relationship Type="http://schemas.openxmlformats.org/officeDocument/2006/relationships/hyperlink" Target="https://www.linkedin.com/search/results/people/?keywords=Industrial+Juguetera+S.A.+sales+OR+%22account+manager%22+OR+%22business+development%22" TargetMode="External" Id="rId636"/><Relationship Type="http://schemas.openxmlformats.org/officeDocument/2006/relationships/hyperlink" Target="https://www.linkedin.com/search/results/companies/?keywords=Bizak+S.A." TargetMode="External" Id="rId637"/><Relationship Type="http://schemas.openxmlformats.org/officeDocument/2006/relationships/hyperlink" Target="https://www.linkedin.com/search/results/people/?keywords=Bizak+S.A.+sales+OR+%22account+manager%22+OR+%22business+development%22" TargetMode="External" Id="rId638"/><Relationship Type="http://schemas.openxmlformats.org/officeDocument/2006/relationships/hyperlink" Target="https://www.linkedin.com/search/results/companies/?keywords=Nomaco+Spain" TargetMode="External" Id="rId639"/><Relationship Type="http://schemas.openxmlformats.org/officeDocument/2006/relationships/hyperlink" Target="https://www.linkedin.com/search/results/people/?keywords=Nomaco+Spain+sales+OR+%22account+manager%22+OR+%22business+development%22" TargetMode="External" Id="rId640"/><Relationship Type="http://schemas.openxmlformats.org/officeDocument/2006/relationships/hyperlink" Target="https://www.linkedin.com/search/results/companies/?keywords=IsaDora+AB" TargetMode="External" Id="rId641"/><Relationship Type="http://schemas.openxmlformats.org/officeDocument/2006/relationships/hyperlink" Target="https://www.linkedin.com/search/results/people/?keywords=IsaDora+AB+sales+OR+%22account+manager%22+OR+%22business+development%22" TargetMode="External" Id="rId642"/><Relationship Type="http://schemas.openxmlformats.org/officeDocument/2006/relationships/hyperlink" Target="https://www.linkedin.com/search/results/companies/?keywords=Scandinavian+Cosmetics+AB" TargetMode="External" Id="rId643"/><Relationship Type="http://schemas.openxmlformats.org/officeDocument/2006/relationships/hyperlink" Target="https://www.linkedin.com/search/results/people/?keywords=Scandinavian+Cosmetics+AB+sales+OR+%22account+manager%22+OR+%22business+development%22" TargetMode="External" Id="rId644"/><Relationship Type="http://schemas.openxmlformats.org/officeDocument/2006/relationships/hyperlink" Target="https://www.linkedin.com/search/results/companies/?keywords=TePe+Munhygienprodukter+AB" TargetMode="External" Id="rId645"/><Relationship Type="http://schemas.openxmlformats.org/officeDocument/2006/relationships/hyperlink" Target="https://www.linkedin.com/search/results/people/?keywords=TePe+Munhygienprodukter+AB+sales+OR+%22account+manager%22+OR+%22business+development%22" TargetMode="External" Id="rId646"/><Relationship Type="http://schemas.openxmlformats.org/officeDocument/2006/relationships/hyperlink" Target="https://www.linkedin.com/search/results/companies/?keywords=Cederroth+AB" TargetMode="External" Id="rId647"/><Relationship Type="http://schemas.openxmlformats.org/officeDocument/2006/relationships/hyperlink" Target="https://www.linkedin.com/search/results/people/?keywords=Cederroth+AB+sales+OR+%22account+manager%22+OR+%22business+development%22" TargetMode="External" Id="rId648"/><Relationship Type="http://schemas.openxmlformats.org/officeDocument/2006/relationships/hyperlink" Target="https://www.linkedin.com/search/results/companies/?keywords=STIGA+Sports+AB" TargetMode="External" Id="rId649"/><Relationship Type="http://schemas.openxmlformats.org/officeDocument/2006/relationships/hyperlink" Target="https://www.linkedin.com/search/results/people/?keywords=STIGA+Sports+AB+sales+OR+%22account+manager%22+OR+%22business+development%22" TargetMode="External" Id="rId650"/><Relationship Type="http://schemas.openxmlformats.org/officeDocument/2006/relationships/hyperlink" Target="https://www.linkedin.com/search/results/companies/?keywords=BRIO+AB" TargetMode="External" Id="rId651"/><Relationship Type="http://schemas.openxmlformats.org/officeDocument/2006/relationships/hyperlink" Target="https://www.linkedin.com/search/results/people/?keywords=BRIO+AB+sales+OR+%22account+manager%22+OR+%22business+development%22" TargetMode="External" Id="rId652"/><Relationship Type="http://schemas.openxmlformats.org/officeDocument/2006/relationships/hyperlink" Target="https://www.linkedin.com/search/results/companies/?keywords=Micki+Leksaker+AB" TargetMode="External" Id="rId653"/><Relationship Type="http://schemas.openxmlformats.org/officeDocument/2006/relationships/hyperlink" Target="https://www.linkedin.com/search/results/people/?keywords=Micki+Leksaker+AB+sales+OR+%22account+manager%22+OR+%22business+development%22" TargetMode="External" Id="rId654"/><Relationship Type="http://schemas.openxmlformats.org/officeDocument/2006/relationships/hyperlink" Target="https://www.linkedin.com/search/results/companies/?keywords=Carletto+AG" TargetMode="External" Id="rId655"/><Relationship Type="http://schemas.openxmlformats.org/officeDocument/2006/relationships/hyperlink" Target="https://www.linkedin.com/search/results/people/?keywords=Carletto+AG+sales+OR+%22account+manager%22+OR+%22business+development%22" TargetMode="External" Id="rId656"/><Relationship Type="http://schemas.openxmlformats.org/officeDocument/2006/relationships/hyperlink" Target="https://www.linkedin.com/search/results/companies/?keywords=Qogita" TargetMode="External" Id="rId657"/><Relationship Type="http://schemas.openxmlformats.org/officeDocument/2006/relationships/hyperlink" Target="https://www.linkedin.com/search/results/people/?keywords=Qogita+sales+OR+%22account+manager%22+OR+%22business+development%22" TargetMode="External" Id="rId658"/><Relationship Type="http://schemas.openxmlformats.org/officeDocument/2006/relationships/hyperlink" Target="https://www.linkedin.com/search/results/companies/?keywords=Babybase+Ltd" TargetMode="External" Id="rId659"/><Relationship Type="http://schemas.openxmlformats.org/officeDocument/2006/relationships/hyperlink" Target="https://www.linkedin.com/search/results/people/?keywords=Babybase+Ltd+sales+OR+%22account+manager%22+OR+%22business+development%22" TargetMode="External" Id="rId660"/><Relationship Type="http://schemas.openxmlformats.org/officeDocument/2006/relationships/hyperlink" Target="https://www.linkedin.com/search/results/companies/?keywords=Baby+Brands+Direct" TargetMode="External" Id="rId661"/><Relationship Type="http://schemas.openxmlformats.org/officeDocument/2006/relationships/hyperlink" Target="https://www.linkedin.com/search/results/people/?keywords=Baby+Brands+Direct+sales+OR+%22account+manager%22+OR+%22business+development%22" TargetMode="External" Id="rId662"/><Relationship Type="http://schemas.openxmlformats.org/officeDocument/2006/relationships/hyperlink" Target="https://www.linkedin.com/search/results/companies/?keywords=Wholesale+Baby+Products" TargetMode="External" Id="rId663"/><Relationship Type="http://schemas.openxmlformats.org/officeDocument/2006/relationships/hyperlink" Target="https://www.linkedin.com/search/results/people/?keywords=Wholesale+Baby+Products+sales+OR+%22account+manager%22+OR+%22business+development%22" TargetMode="External" Id="rId664"/><Relationship Type="http://schemas.openxmlformats.org/officeDocument/2006/relationships/hyperlink" Target="https://www.linkedin.com/search/results/companies/?keywords=Aston+%26+Fincher" TargetMode="External" Id="rId665"/><Relationship Type="http://schemas.openxmlformats.org/officeDocument/2006/relationships/hyperlink" Target="https://www.linkedin.com/search/results/people/?keywords=Aston+%26+Fincher+sales+OR+%22account+manager%22+OR+%22business+development%22" TargetMode="External" Id="rId666"/><Relationship Type="http://schemas.openxmlformats.org/officeDocument/2006/relationships/hyperlink" Target="https://www.linkedin.com/search/results/companies/?keywords=Capital+Hair+%26+Beauty" TargetMode="External" Id="rId667"/><Relationship Type="http://schemas.openxmlformats.org/officeDocument/2006/relationships/hyperlink" Target="https://www.linkedin.com/search/results/people/?keywords=Capital+Hair+%26+Beauty+sales+OR+%22account+manager%22+OR+%22business+development%22" TargetMode="External" Id="rId668"/><Relationship Type="http://schemas.openxmlformats.org/officeDocument/2006/relationships/hyperlink" Target="https://www.linkedin.com/search/results/companies/?keywords=Cherry+Cosmetics" TargetMode="External" Id="rId669"/><Relationship Type="http://schemas.openxmlformats.org/officeDocument/2006/relationships/hyperlink" Target="https://www.linkedin.com/search/results/people/?keywords=Cherry+Cosmetics+sales+OR+%22account+manager%22+OR+%22business+development%22" TargetMode="External" Id="rId670"/><Relationship Type="http://schemas.openxmlformats.org/officeDocument/2006/relationships/hyperlink" Target="https://www.linkedin.com/search/results/companies/?keywords=Exquisite+Cosmetics+Ltd" TargetMode="External" Id="rId671"/><Relationship Type="http://schemas.openxmlformats.org/officeDocument/2006/relationships/hyperlink" Target="https://www.linkedin.com/search/results/people/?keywords=Exquisite+Cosmetics+Ltd+sales+OR+%22account+manager%22+OR+%22business+development%22" TargetMode="External" Id="rId672"/><Relationship Type="http://schemas.openxmlformats.org/officeDocument/2006/relationships/hyperlink" Target="https://www.linkedin.com/search/results/companies/?keywords=LookinStyle" TargetMode="External" Id="rId673"/><Relationship Type="http://schemas.openxmlformats.org/officeDocument/2006/relationships/hyperlink" Target="https://www.linkedin.com/search/results/people/?keywords=LookinStyle+sales+OR+%22account+manager%22+OR+%22business+development%22" TargetMode="External" Id="rId674"/><Relationship Type="http://schemas.openxmlformats.org/officeDocument/2006/relationships/hyperlink" Target="https://www.linkedin.com/search/results/companies/?keywords=Ludonex+Ltd" TargetMode="External" Id="rId675"/><Relationship Type="http://schemas.openxmlformats.org/officeDocument/2006/relationships/hyperlink" Target="https://www.linkedin.com/search/results/people/?keywords=Ludonex+Ltd+sales+OR+%22account+manager%22+OR+%22business+development%22" TargetMode="External" Id="rId676"/><Relationship Type="http://schemas.openxmlformats.org/officeDocument/2006/relationships/hyperlink" Target="https://www.linkedin.com/search/results/companies/?keywords=Shure+Cosmetics" TargetMode="External" Id="rId677"/><Relationship Type="http://schemas.openxmlformats.org/officeDocument/2006/relationships/hyperlink" Target="https://www.linkedin.com/search/results/people/?keywords=Shure+Cosmetics+sales+OR+%22account+manager%22+OR+%22business+development%22" TargetMode="External" Id="rId678"/><Relationship Type="http://schemas.openxmlformats.org/officeDocument/2006/relationships/hyperlink" Target="https://www.linkedin.com/search/results/companies/?keywords=Toolbank+Ltd" TargetMode="External" Id="rId679"/><Relationship Type="http://schemas.openxmlformats.org/officeDocument/2006/relationships/hyperlink" Target="https://www.linkedin.com/search/results/people/?keywords=Toolbank+Ltd+sales+OR+%22account+manager%22+OR+%22business+development%22" TargetMode="External" Id="rId680"/><Relationship Type="http://schemas.openxmlformats.org/officeDocument/2006/relationships/hyperlink" Target="https://www.linkedin.com/search/results/companies/?keywords=Draper+Tools" TargetMode="External" Id="rId681"/><Relationship Type="http://schemas.openxmlformats.org/officeDocument/2006/relationships/hyperlink" Target="https://www.linkedin.com/search/results/people/?keywords=Draper+Tools+sales+OR+%22account+manager%22+OR+%22business+development%22" TargetMode="External" Id="rId682"/><Relationship Type="http://schemas.openxmlformats.org/officeDocument/2006/relationships/hyperlink" Target="https://www.linkedin.com/search/results/companies/?keywords=Campbell+Miller+Tools" TargetMode="External" Id="rId683"/><Relationship Type="http://schemas.openxmlformats.org/officeDocument/2006/relationships/hyperlink" Target="https://www.linkedin.com/search/results/people/?keywords=Campbell+Miller+Tools+sales+OR+%22account+manager%22+OR+%22business+development%22" TargetMode="External" Id="rId684"/><Relationship Type="http://schemas.openxmlformats.org/officeDocument/2006/relationships/hyperlink" Target="https://www.linkedin.com/search/results/companies/?keywords=Toolstek" TargetMode="External" Id="rId685"/><Relationship Type="http://schemas.openxmlformats.org/officeDocument/2006/relationships/hyperlink" Target="https://www.linkedin.com/search/results/people/?keywords=Toolstek+sales+OR+%22account+manager%22+OR+%22business+development%22" TargetMode="External" Id="rId686"/><Relationship Type="http://schemas.openxmlformats.org/officeDocument/2006/relationships/hyperlink" Target="https://www.linkedin.com/search/results/companies/?keywords=Toolstream+%2F+Silverline+Tools" TargetMode="External" Id="rId687"/><Relationship Type="http://schemas.openxmlformats.org/officeDocument/2006/relationships/hyperlink" Target="https://www.linkedin.com/search/results/people/?keywords=Toolstream+%2F+Silverline+Tools+sales+OR+%22account+manager%22+OR+%22business+development%22" TargetMode="External" Id="rId688"/><Relationship Type="http://schemas.openxmlformats.org/officeDocument/2006/relationships/hyperlink" Target="https://www.linkedin.com/search/results/companies/?keywords=Knights+Fragrances" TargetMode="External" Id="rId689"/><Relationship Type="http://schemas.openxmlformats.org/officeDocument/2006/relationships/hyperlink" Target="https://www.linkedin.com/search/results/people/?keywords=Knights+Fragrances+sales+OR+%22account+manager%22+OR+%22business+development%22" TargetMode="External" Id="rId690"/><Relationship Type="http://schemas.openxmlformats.org/officeDocument/2006/relationships/hyperlink" Target="https://www.linkedin.com/search/results/companies/?keywords=Star+Perfumes" TargetMode="External" Id="rId691"/><Relationship Type="http://schemas.openxmlformats.org/officeDocument/2006/relationships/hyperlink" Target="https://www.linkedin.com/search/results/people/?keywords=Star+Perfumes+sales+OR+%22account+manager%22+OR+%22business+development%22" TargetMode="External" Id="rId692"/><Relationship Type="http://schemas.openxmlformats.org/officeDocument/2006/relationships/hyperlink" Target="https://www.linkedin.com/search/results/companies/?keywords=Affinity+Fragrances" TargetMode="External" Id="rId693"/><Relationship Type="http://schemas.openxmlformats.org/officeDocument/2006/relationships/hyperlink" Target="https://www.linkedin.com/search/results/people/?keywords=Affinity+Fragrances+sales+OR+%22account+manager%22+OR+%22business+development%22" TargetMode="External" Id="rId694"/><Relationship Type="http://schemas.openxmlformats.org/officeDocument/2006/relationships/hyperlink" Target="https://www.linkedin.com/search/results/companies/?keywords=Shaneel+Group" TargetMode="External" Id="rId695"/><Relationship Type="http://schemas.openxmlformats.org/officeDocument/2006/relationships/hyperlink" Target="https://www.linkedin.com/search/results/people/?keywords=Shaneel+Group+sales+OR+%22account+manager%22+OR+%22business+development%22" TargetMode="External" Id="rId696"/><Relationship Type="http://schemas.openxmlformats.org/officeDocument/2006/relationships/hyperlink" Target="https://www.linkedin.com/search/results/companies/?keywords=Agence+de+Parfumerie" TargetMode="External" Id="rId697"/><Relationship Type="http://schemas.openxmlformats.org/officeDocument/2006/relationships/hyperlink" Target="https://www.linkedin.com/search/results/people/?keywords=Agence+de+Parfumerie+sales+OR+%22account+manager%22+OR+%22business+development%22" TargetMode="External" Id="rId698"/><Relationship Type="http://schemas.openxmlformats.org/officeDocument/2006/relationships/hyperlink" Target="https://www.linkedin.com/search/results/companies/?keywords=Booker+Wholesale" TargetMode="External" Id="rId699"/><Relationship Type="http://schemas.openxmlformats.org/officeDocument/2006/relationships/hyperlink" Target="https://www.linkedin.com/search/results/people/?keywords=Booker+Wholesale+sales+OR+%22account+manager%22+OR+%22business+development%22" TargetMode="External" Id="rId700"/><Relationship Type="http://schemas.openxmlformats.org/officeDocument/2006/relationships/hyperlink" Target="https://www.linkedin.com/search/results/companies/?keywords=Bestway+Wholesale" TargetMode="External" Id="rId701"/><Relationship Type="http://schemas.openxmlformats.org/officeDocument/2006/relationships/hyperlink" Target="https://www.linkedin.com/search/results/people/?keywords=Bestway+Wholesale+sales+OR+%22account+manager%22+OR+%22business+development%22" TargetMode="External" Id="rId702"/><Relationship Type="http://schemas.openxmlformats.org/officeDocument/2006/relationships/hyperlink" Target="https://www.linkedin.com/search/results/companies/?keywords=Costco+UK" TargetMode="External" Id="rId703"/><Relationship Type="http://schemas.openxmlformats.org/officeDocument/2006/relationships/hyperlink" Target="https://www.linkedin.com/search/results/people/?keywords=Costco+UK+sales+OR+%22account+manager%22+OR+%22business+development%22" TargetMode="External" Id="rId704"/><Relationship Type="http://schemas.openxmlformats.org/officeDocument/2006/relationships/hyperlink" Target="https://www.linkedin.com/search/results/companies/?keywords=Dhamecha+Cash+%26+Carry" TargetMode="External" Id="rId705"/><Relationship Type="http://schemas.openxmlformats.org/officeDocument/2006/relationships/hyperlink" Target="https://www.linkedin.com/search/results/people/?keywords=Dhamecha+Cash+%26+Carry+sales+OR+%22account+manager%22+OR+%22business+development%22" TargetMode="External" Id="rId706"/><Relationship Type="http://schemas.openxmlformats.org/officeDocument/2006/relationships/hyperlink" Target="https://www.linkedin.com/search/results/companies/?keywords=DK+Wholesale" TargetMode="External" Id="rId707"/><Relationship Type="http://schemas.openxmlformats.org/officeDocument/2006/relationships/hyperlink" Target="https://www.linkedin.com/search/results/people/?keywords=DK+Wholesale+sales+OR+%22account+manager%22+OR+%22business+development%22" TargetMode="External" Id="rId708"/><Relationship Type="http://schemas.openxmlformats.org/officeDocument/2006/relationships/hyperlink" Target="https://www.linkedin.com/search/results/companies/?keywords=Hancocks" TargetMode="External" Id="rId709"/><Relationship Type="http://schemas.openxmlformats.org/officeDocument/2006/relationships/hyperlink" Target="https://www.linkedin.com/search/results/people/?keywords=Hancocks+sales+OR+%22account+manager%22+OR+%22business+development%22" TargetMode="External" Id="rId710"/><Relationship Type="http://schemas.openxmlformats.org/officeDocument/2006/relationships/hyperlink" Target="https://www.linkedin.com/search/results/companies/?keywords=Parfetts" TargetMode="External" Id="rId711"/><Relationship Type="http://schemas.openxmlformats.org/officeDocument/2006/relationships/hyperlink" Target="https://www.linkedin.com/search/results/people/?keywords=Parfetts+sales+OR+%22account+manager%22+OR+%22business+development%22" TargetMode="External" Id="rId712"/><Relationship Type="http://schemas.openxmlformats.org/officeDocument/2006/relationships/hyperlink" Target="https://www.linkedin.com/search/results/companies/?keywords=Wholesale+Clearance+UK" TargetMode="External" Id="rId713"/><Relationship Type="http://schemas.openxmlformats.org/officeDocument/2006/relationships/hyperlink" Target="https://www.linkedin.com/search/results/people/?keywords=Wholesale+Clearance+UK+sales+OR+%22account+manager%22+OR+%22business+development%22" TargetMode="External" Id="rId714"/><Relationship Type="http://schemas.openxmlformats.org/officeDocument/2006/relationships/hyperlink" Target="https://www.linkedin.com/search/results/companies/?keywords=Harrisons+Direct" TargetMode="External" Id="rId715"/><Relationship Type="http://schemas.openxmlformats.org/officeDocument/2006/relationships/hyperlink" Target="https://www.linkedin.com/search/results/people/?keywords=Harrisons+Direct+sales+OR+%22account+manager%22+OR+%22business+development%22" TargetMode="External" Id="rId716"/><Relationship Type="http://schemas.openxmlformats.org/officeDocument/2006/relationships/hyperlink" Target="https://www.linkedin.com/search/results/companies/?keywords=PB+Wholesale" TargetMode="External" Id="rId717"/><Relationship Type="http://schemas.openxmlformats.org/officeDocument/2006/relationships/hyperlink" Target="https://www.linkedin.com/search/results/people/?keywords=PB+Wholesale+sales+OR+%22account+manager%22+OR+%22business+development%22" TargetMode="External" Id="rId718"/><Relationship Type="http://schemas.openxmlformats.org/officeDocument/2006/relationships/hyperlink" Target="https://www.linkedin.com/search/results/companies/?keywords=Reliance+Medical+Ltd" TargetMode="External" Id="rId719"/><Relationship Type="http://schemas.openxmlformats.org/officeDocument/2006/relationships/hyperlink" Target="https://www.linkedin.com/search/results/people/?keywords=Reliance+Medical+Ltd+sales+OR+%22account+manager%22+OR+%22business+development%22" TargetMode="External" Id="rId720"/><Relationship Type="http://schemas.openxmlformats.org/officeDocument/2006/relationships/hyperlink" Target="https://www.linkedin.com/search/results/companies/?keywords=CLF+Distribution" TargetMode="External" Id="rId721"/><Relationship Type="http://schemas.openxmlformats.org/officeDocument/2006/relationships/hyperlink" Target="https://www.linkedin.com/search/results/people/?keywords=CLF+Distribution+sales+OR+%22account+manager%22+OR+%22business+development%22" TargetMode="External" Id="rId722"/><Relationship Type="http://schemas.openxmlformats.org/officeDocument/2006/relationships/hyperlink" Target="https://www.linkedin.com/search/results/companies/?keywords=Lexon" TargetMode="External" Id="rId723"/><Relationship Type="http://schemas.openxmlformats.org/officeDocument/2006/relationships/hyperlink" Target="https://www.linkedin.com/search/results/people/?keywords=Lexon+sales+OR+%22account+manager%22+OR+%22business+development%22" TargetMode="External" Id="rId724"/><Relationship Type="http://schemas.openxmlformats.org/officeDocument/2006/relationships/hyperlink" Target="https://www.linkedin.com/search/results/companies/?keywords=Predator+Nutrition" TargetMode="External" Id="rId725"/><Relationship Type="http://schemas.openxmlformats.org/officeDocument/2006/relationships/hyperlink" Target="https://www.linkedin.com/search/results/people/?keywords=Predator+Nutrition+sales+OR+%22account+manager%22+OR+%22business+development%22" TargetMode="External" Id="rId726"/><Relationship Type="http://schemas.openxmlformats.org/officeDocument/2006/relationships/hyperlink" Target="https://www.linkedin.com/search/results/companies/?keywords=GP+Supplies" TargetMode="External" Id="rId727"/><Relationship Type="http://schemas.openxmlformats.org/officeDocument/2006/relationships/hyperlink" Target="https://www.linkedin.com/search/results/people/?keywords=GP+Supplies+sales+OR+%22account+manager%22+OR+%22business+development%22" TargetMode="External" Id="rId728"/><Relationship Type="http://schemas.openxmlformats.org/officeDocument/2006/relationships/hyperlink" Target="https://www.linkedin.com/search/results/companies/?keywords=Karysrol+Ltd" TargetMode="External" Id="rId729"/><Relationship Type="http://schemas.openxmlformats.org/officeDocument/2006/relationships/hyperlink" Target="https://www.linkedin.com/search/results/people/?keywords=Karysrol+Ltd+sales+OR+%22account+manager%22+OR+%22business+development%22" TargetMode="External" Id="rId730"/><Relationship Type="http://schemas.openxmlformats.org/officeDocument/2006/relationships/hyperlink" Target="https://www.linkedin.com/search/results/companies/?keywords=Kinetic+Natural+Product+Distributor" TargetMode="External" Id="rId731"/><Relationship Type="http://schemas.openxmlformats.org/officeDocument/2006/relationships/hyperlink" Target="https://www.linkedin.com/search/results/people/?keywords=Kinetic+Natural+Product+Distributor+sales+OR+%22account+manager%22+OR+%22business+development%22" TargetMode="External" Id="rId732"/><Relationship Type="http://schemas.openxmlformats.org/officeDocument/2006/relationships/hyperlink" Target="https://www.linkedin.com/search/results/companies/?keywords=Suma+Wholefoods" TargetMode="External" Id="rId733"/><Relationship Type="http://schemas.openxmlformats.org/officeDocument/2006/relationships/hyperlink" Target="https://www.linkedin.com/search/results/people/?keywords=Suma+Wholefoods+sales+OR+%22account+manager%22+OR+%22business+development%22" TargetMode="External" Id="rId734"/><Relationship Type="http://schemas.openxmlformats.org/officeDocument/2006/relationships/hyperlink" Target="https://www.linkedin.com/search/results/companies/?keywords=RKW+Ltd" TargetMode="External" Id="rId735"/><Relationship Type="http://schemas.openxmlformats.org/officeDocument/2006/relationships/hyperlink" Target="https://www.linkedin.com/search/results/people/?keywords=RKW+Ltd+sales+OR+%22account+manager%22+OR+%22business+development%22" TargetMode="External" Id="rId736"/><Relationship Type="http://schemas.openxmlformats.org/officeDocument/2006/relationships/hyperlink" Target="https://www.linkedin.com/search/results/companies/?keywords=EPE+International+Ltd" TargetMode="External" Id="rId737"/><Relationship Type="http://schemas.openxmlformats.org/officeDocument/2006/relationships/hyperlink" Target="https://www.linkedin.com/search/results/people/?keywords=EPE+International+Ltd+sales+OR+%22account+manager%22+OR+%22business+development%22" TargetMode="External" Id="rId738"/><Relationship Type="http://schemas.openxmlformats.org/officeDocument/2006/relationships/hyperlink" Target="https://www.linkedin.com/search/results/companies/?keywords=Bluestem+Group" TargetMode="External" Id="rId739"/><Relationship Type="http://schemas.openxmlformats.org/officeDocument/2006/relationships/hyperlink" Target="https://www.linkedin.com/search/results/people/?keywords=Bluestem+Group+sales+OR+%22account+manager%22+OR+%22business+development%22" TargetMode="External" Id="rId740"/><Relationship Type="http://schemas.openxmlformats.org/officeDocument/2006/relationships/hyperlink" Target="https://www.linkedin.com/search/results/companies/?keywords=Burton+McCall" TargetMode="External" Id="rId741"/><Relationship Type="http://schemas.openxmlformats.org/officeDocument/2006/relationships/hyperlink" Target="https://www.linkedin.com/search/results/people/?keywords=Burton+McCall+sales+OR+%22account+manager%22+OR+%22business+development%22" TargetMode="External" Id="rId742"/><Relationship Type="http://schemas.openxmlformats.org/officeDocument/2006/relationships/hyperlink" Target="https://www.linkedin.com/search/results/companies/?keywords=Connect+Distribution" TargetMode="External" Id="rId743"/><Relationship Type="http://schemas.openxmlformats.org/officeDocument/2006/relationships/hyperlink" Target="https://www.linkedin.com/search/results/people/?keywords=Connect+Distribution+sales+OR+%22account+manager%22+OR+%22business+development%22" TargetMode="External" Id="rId744"/><Relationship Type="http://schemas.openxmlformats.org/officeDocument/2006/relationships/hyperlink" Target="https://www.linkedin.com/search/results/companies/?keywords=HAUS+Marketing+%26+Distribution" TargetMode="External" Id="rId745"/><Relationship Type="http://schemas.openxmlformats.org/officeDocument/2006/relationships/hyperlink" Target="https://www.linkedin.com/search/results/people/?keywords=HAUS+Marketing+%26+Distribution+sales+OR+%22account+manager%22+OR+%22business+development%22" TargetMode="External" Id="rId746"/><Relationship Type="http://schemas.openxmlformats.org/officeDocument/2006/relationships/hyperlink" Target="https://www.linkedin.com/search/results/companies/?keywords=SQ+Professional+Ltd" TargetMode="External" Id="rId747"/><Relationship Type="http://schemas.openxmlformats.org/officeDocument/2006/relationships/hyperlink" Target="https://www.linkedin.com/search/results/people/?keywords=SQ+Professional+Ltd+sales+OR+%22account+manager%22+OR+%22business+development%22" TargetMode="External" Id="rId748"/><Relationship Type="http://schemas.openxmlformats.org/officeDocument/2006/relationships/hyperlink" Target="https://www.linkedin.com/search/results/companies/?keywords=Pedigree+Wholesale" TargetMode="External" Id="rId749"/><Relationship Type="http://schemas.openxmlformats.org/officeDocument/2006/relationships/hyperlink" Target="https://www.linkedin.com/search/results/people/?keywords=Pedigree+Wholesale+sales+OR+%22account+manager%22+OR+%22business+development%22" TargetMode="External" Id="rId750"/><Relationship Type="http://schemas.openxmlformats.org/officeDocument/2006/relationships/hyperlink" Target="https://www.linkedin.com/search/results/companies/?keywords=Paws+Products+Wholesale" TargetMode="External" Id="rId751"/><Relationship Type="http://schemas.openxmlformats.org/officeDocument/2006/relationships/hyperlink" Target="https://www.linkedin.com/search/results/people/?keywords=Paws+Products+Wholesale+sales+OR+%22account+manager%22+OR+%22business+development%22" TargetMode="External" Id="rId752"/><Relationship Type="http://schemas.openxmlformats.org/officeDocument/2006/relationships/hyperlink" Target="https://www.linkedin.com/search/results/companies/?keywords=PMS+International" TargetMode="External" Id="rId753"/><Relationship Type="http://schemas.openxmlformats.org/officeDocument/2006/relationships/hyperlink" Target="https://www.linkedin.com/search/results/people/?keywords=PMS+International+sales+OR+%22account+manager%22+OR+%22business+development%22" TargetMode="External" Id="rId754"/><Relationship Type="http://schemas.openxmlformats.org/officeDocument/2006/relationships/hyperlink" Target="https://www.linkedin.com/search/results/companies/?keywords=Gymkit+UK" TargetMode="External" Id="rId755"/><Relationship Type="http://schemas.openxmlformats.org/officeDocument/2006/relationships/hyperlink" Target="https://www.linkedin.com/search/results/people/?keywords=Gymkit+UK+sales+OR+%22account+manager%22+OR+%22business+development%22" TargetMode="External" Id="rId756"/><Relationship Type="http://schemas.openxmlformats.org/officeDocument/2006/relationships/hyperlink" Target="https://www.linkedin.com/search/results/companies/?keywords=Hykeham+Wholesale+Ltd" TargetMode="External" Id="rId757"/><Relationship Type="http://schemas.openxmlformats.org/officeDocument/2006/relationships/hyperlink" Target="https://www.linkedin.com/search/results/people/?keywords=Hykeham+Wholesale+Ltd+sales+OR+%22account+manager%22+OR+%22business+development%22" TargetMode="External" Id="rId758"/><Relationship Type="http://schemas.openxmlformats.org/officeDocument/2006/relationships/hyperlink" Target="https://www.linkedin.com/search/results/companies/?keywords=Vango" TargetMode="External" Id="rId759"/><Relationship Type="http://schemas.openxmlformats.org/officeDocument/2006/relationships/hyperlink" Target="https://www.linkedin.com/search/results/people/?keywords=Vango+sales+OR+%22account+manager%22+OR+%22business+development%22" TargetMode="External" Id="rId760"/><Relationship Type="http://schemas.openxmlformats.org/officeDocument/2006/relationships/hyperlink" Target="https://www.linkedin.com/search/results/companies/?keywords=Galaxy+Wholesalers+Ltd" TargetMode="External" Id="rId761"/><Relationship Type="http://schemas.openxmlformats.org/officeDocument/2006/relationships/hyperlink" Target="https://www.linkedin.com/search/results/people/?keywords=Galaxy+Wholesalers+Ltd+sales+OR+%22account+manager%22+OR+%22business+development%22" TargetMode="External" Id="rId762"/><Relationship Type="http://schemas.openxmlformats.org/officeDocument/2006/relationships/hyperlink" Target="https://www.linkedin.com/search/results/companies/?keywords=VOW+Wholesale" TargetMode="External" Id="rId763"/><Relationship Type="http://schemas.openxmlformats.org/officeDocument/2006/relationships/hyperlink" Target="https://www.linkedin.com/search/results/people/?keywords=VOW+Wholesale+sales+OR+%22account+manager%22+OR+%22business+development%22" TargetMode="External" Id="rId764"/><Relationship Type="http://schemas.openxmlformats.org/officeDocument/2006/relationships/hyperlink" Target="https://www.linkedin.com/search/results/companies/?keywords=The+Impact+Distribution+Group" TargetMode="External" Id="rId765"/><Relationship Type="http://schemas.openxmlformats.org/officeDocument/2006/relationships/hyperlink" Target="https://www.linkedin.com/search/results/people/?keywords=The+Impact+Distribution+Group+sales+OR+%22account+manager%22+OR+%22business+development%22" TargetMode="External" Id="rId766"/><Relationship Type="http://schemas.openxmlformats.org/officeDocument/2006/relationships/hyperlink" Target="https://www.linkedin.com/search/results/companies/?keywords=West+Design+Products" TargetMode="External" Id="rId767"/><Relationship Type="http://schemas.openxmlformats.org/officeDocument/2006/relationships/hyperlink" Target="https://www.linkedin.com/search/results/people/?keywords=West+Design+Products+sales+OR+%22account+manager%22+OR+%22business+development%22" TargetMode="External" Id="rId768"/><Relationship Type="http://schemas.openxmlformats.org/officeDocument/2006/relationships/hyperlink" Target="https://www.linkedin.com/search/results/companies/?keywords=A.B.+Gee+of+Ripley+Ltd" TargetMode="External" Id="rId769"/><Relationship Type="http://schemas.openxmlformats.org/officeDocument/2006/relationships/hyperlink" Target="https://www.linkedin.com/search/results/people/?keywords=A.B.+Gee+of+Ripley+Ltd+sales+OR+%22account+manager%22+OR+%22business+development%22" TargetMode="External" Id="rId770"/><Relationship Type="http://schemas.openxmlformats.org/officeDocument/2006/relationships/hyperlink" Target="https://www.linkedin.com/search/results/companies/?keywords=NDA+Toys" TargetMode="External" Id="rId771"/><Relationship Type="http://schemas.openxmlformats.org/officeDocument/2006/relationships/hyperlink" Target="https://www.linkedin.com/search/results/people/?keywords=NDA+Toys+sales+OR+%22account+manager%22+OR+%22business+development%22" TargetMode="External" Id="rId772"/><Relationship Type="http://schemas.openxmlformats.org/officeDocument/2006/relationships/hyperlink" Target="https://www.linkedin.com/search/results/companies/?keywords=Wind+Designs+Ltd" TargetMode="External" Id="rId773"/><Relationship Type="http://schemas.openxmlformats.org/officeDocument/2006/relationships/hyperlink" Target="https://www.linkedin.com/search/results/people/?keywords=Wind+Designs+Ltd+sales+OR+%22account+manager%22+OR+%22business+development%22" TargetMode="External" Id="rId774"/><Relationship Type="http://schemas.openxmlformats.org/officeDocument/2006/relationships/hyperlink" Target="https://www.linkedin.com/search/results/companies/?keywords=John+Adams+Leisure+Ltd" TargetMode="External" Id="rId775"/><Relationship Type="http://schemas.openxmlformats.org/officeDocument/2006/relationships/hyperlink" Target="https://www.linkedin.com/search/results/people/?keywords=John+Adams+Leisure+Ltd+sales+OR+%22account+manager%22+OR+%22business+development%22" TargetMode="External" Id="rId776"/><Relationship Type="http://schemas.openxmlformats.org/officeDocument/2006/relationships/hyperlink" Target="https://www.linkedin.com/search/results/companies/?keywords=One+For+Fun" TargetMode="External" Id="rId777"/><Relationship Type="http://schemas.openxmlformats.org/officeDocument/2006/relationships/hyperlink" Target="https://www.linkedin.com/search/results/people/?keywords=One+For+Fun+sales+OR+%22account+manager%22+OR+%22business+development%22" TargetMode="External" Id="rId778"/><Relationship Type="http://schemas.openxmlformats.org/officeDocument/2006/relationships/hyperlink" Target="https://www.linkedin.com/search/results/companies/?keywords=Peterkin+UK+Ltd" TargetMode="External" Id="rId779"/><Relationship Type="http://schemas.openxmlformats.org/officeDocument/2006/relationships/hyperlink" Target="https://www.linkedin.com/search/results/people/?keywords=Peterkin+UK+Ltd+sales+OR+%22account+manager%22+OR+%22business+development%22" TargetMode="External" Id="rId780"/><Relationship Type="http://schemas.openxmlformats.org/officeDocument/2006/relationships/hyperlink" Target="https://www.linkedin.com/search/results/companies/?keywords=Character+Options+Ltd" TargetMode="External" Id="rId781"/><Relationship Type="http://schemas.openxmlformats.org/officeDocument/2006/relationships/hyperlink" Target="https://www.linkedin.com/search/results/people/?keywords=Character+Options+Ltd+sales+OR+%22account+manager%22+OR+%22business+development%22" TargetMode="External" Id="rId782"/><Relationship Type="http://schemas.openxmlformats.org/officeDocument/2006/relationships/hyperlink" Target="https://www.linkedin.com/search/results/companies/?keywords=Keycraft" TargetMode="External" Id="rId783"/><Relationship Type="http://schemas.openxmlformats.org/officeDocument/2006/relationships/hyperlink" Target="https://www.linkedin.com/search/results/people/?keywords=Keycraft+sales+OR+%22account+manager%22+OR+%22business+development%22" TargetMode="External" Id="rId784"/><Relationship Type="http://schemas.openxmlformats.org/officeDocument/2006/relationships/hyperlink" Target="https://www.linkedin.com/search/results/companies/?keywords=Puckator+Ltd" TargetMode="External" Id="rId785"/><Relationship Type="http://schemas.openxmlformats.org/officeDocument/2006/relationships/hyperlink" Target="https://www.linkedin.com/search/results/people/?keywords=Puckator+Ltd+sales+OR+%22account+manager%22+OR+%22business+development%22" TargetMode="External" Id="rId786"/><Relationship Type="http://schemas.openxmlformats.org/officeDocument/2006/relationships/hyperlink" Target="https://www.linkedin.com/search/results/companies/?keywords=B-Stock+-+Amazon+EU+Liquidation+Auctions" TargetMode="External" Id="rId787"/><Relationship Type="http://schemas.openxmlformats.org/officeDocument/2006/relationships/hyperlink" Target="https://www.linkedin.com/search/results/people/?keywords=B-Stock+-+Amazon+EU+Liquidation+Auctions+sales+OR+%22account+manager%22+OR+%22business+development%22" TargetMode="External" Id="rId788"/><Relationship Type="http://schemas.openxmlformats.org/officeDocument/2006/relationships/hyperlink" Target="https://www.linkedin.com/search/results/companies/?keywords=Faire" TargetMode="External" Id="rId789"/><Relationship Type="http://schemas.openxmlformats.org/officeDocument/2006/relationships/hyperlink" Target="https://www.linkedin.com/search/results/people/?keywords=Faire+sales+OR+%22account+manager%22+OR+%22business+development%22" TargetMode="External" Id="rId790"/><Relationship Type="http://schemas.openxmlformats.org/officeDocument/2006/relationships/hyperlink" Target="https://www.linkedin.com/search/results/companies/?keywords=Symphonya.eu" TargetMode="External" Id="rId791"/><Relationship Type="http://schemas.openxmlformats.org/officeDocument/2006/relationships/hyperlink" Target="https://www.linkedin.com/search/results/people/?keywords=Symphonya.eu+sales+OR+%22account+manager%22+OR+%22business+development%22" TargetMode="External" Id="rId792"/></Relationships>
</file>

<file path=xl/worksheets/_rels/sheet4.xml.rels><Relationships xmlns="http://schemas.openxmlformats.org/package/2006/relationships"><Relationship Type="http://schemas.openxmlformats.org/officeDocument/2006/relationships/hyperlink" Target="#Suppliers!A2" TargetMode="External" Id="rId1"/><Relationship Type="http://schemas.openxmlformats.org/officeDocument/2006/relationships/hyperlink" Target="#Suppliers!A6" TargetMode="External" Id="rId2"/><Relationship Type="http://schemas.openxmlformats.org/officeDocument/2006/relationships/hyperlink" Target="#Suppliers!A16" TargetMode="External" Id="rId3"/><Relationship Type="http://schemas.openxmlformats.org/officeDocument/2006/relationships/hyperlink" Target="#Suppliers!A20" TargetMode="External" Id="rId4"/><Relationship Type="http://schemas.openxmlformats.org/officeDocument/2006/relationships/hyperlink" Target="#Suppliers!A21" TargetMode="External" Id="rId5"/><Relationship Type="http://schemas.openxmlformats.org/officeDocument/2006/relationships/hyperlink" Target="#Suppliers!A42" TargetMode="External" Id="rId6"/><Relationship Type="http://schemas.openxmlformats.org/officeDocument/2006/relationships/hyperlink" Target="#Suppliers!A50" TargetMode="External" Id="rId7"/><Relationship Type="http://schemas.openxmlformats.org/officeDocument/2006/relationships/hyperlink" Target="#Suppliers!A54" TargetMode="External" Id="rId8"/><Relationship Type="http://schemas.openxmlformats.org/officeDocument/2006/relationships/hyperlink" Target="#Suppliers!A68" TargetMode="External" Id="rId9"/><Relationship Type="http://schemas.openxmlformats.org/officeDocument/2006/relationships/hyperlink" Target="#Suppliers!A139" TargetMode="External" Id="rId10"/><Relationship Type="http://schemas.openxmlformats.org/officeDocument/2006/relationships/hyperlink" Target="#Suppliers!A143" TargetMode="External" Id="rId11"/><Relationship Type="http://schemas.openxmlformats.org/officeDocument/2006/relationships/hyperlink" Target="#Suppliers!A146" TargetMode="External" Id="rId12"/><Relationship Type="http://schemas.openxmlformats.org/officeDocument/2006/relationships/hyperlink" Target="#Suppliers!A149" TargetMode="External" Id="rId13"/><Relationship Type="http://schemas.openxmlformats.org/officeDocument/2006/relationships/hyperlink" Target="#Suppliers!A177" TargetMode="External" Id="rId14"/><Relationship Type="http://schemas.openxmlformats.org/officeDocument/2006/relationships/hyperlink" Target="#Suppliers!A178" TargetMode="External" Id="rId15"/><Relationship Type="http://schemas.openxmlformats.org/officeDocument/2006/relationships/hyperlink" Target="#Suppliers!A179" TargetMode="External" Id="rId16"/><Relationship Type="http://schemas.openxmlformats.org/officeDocument/2006/relationships/hyperlink" Target="#Suppliers!A180" TargetMode="External" Id="rId17"/><Relationship Type="http://schemas.openxmlformats.org/officeDocument/2006/relationships/hyperlink" Target="#Suppliers!A218" TargetMode="External" Id="rId18"/><Relationship Type="http://schemas.openxmlformats.org/officeDocument/2006/relationships/hyperlink" Target="#Suppliers!A275" TargetMode="External" Id="rId19"/><Relationship Type="http://schemas.openxmlformats.org/officeDocument/2006/relationships/hyperlink" Target="#Suppliers!A280" TargetMode="External" Id="rId20"/><Relationship Type="http://schemas.openxmlformats.org/officeDocument/2006/relationships/hyperlink" Target="#Suppliers!A283" TargetMode="External" Id="rId21"/><Relationship Type="http://schemas.openxmlformats.org/officeDocument/2006/relationships/hyperlink" Target="#Suppliers!A284" TargetMode="External" Id="rId22"/><Relationship Type="http://schemas.openxmlformats.org/officeDocument/2006/relationships/hyperlink" Target="#Suppliers!A322" TargetMode="External" Id="rId23"/><Relationship Type="http://schemas.openxmlformats.org/officeDocument/2006/relationships/hyperlink" Target="#Suppliers!A329" TargetMode="External" Id="rId24"/><Relationship Type="http://schemas.openxmlformats.org/officeDocument/2006/relationships/hyperlink" Target="#Suppliers!A330" TargetMode="External" Id="rId25"/><Relationship Type="http://schemas.openxmlformats.org/officeDocument/2006/relationships/hyperlink" Target="#Suppliers!A395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find-and-update.company-information.service.gov.uk/" TargetMode="External" Id="rId1"/><Relationship Type="http://schemas.openxmlformats.org/officeDocument/2006/relationships/hyperlink" Target="https://ec.europa.eu/taxation_customs/vies/" TargetMode="External" Id="rId2"/><Relationship Type="http://schemas.openxmlformats.org/officeDocument/2006/relationships/hyperlink" Target="https://www.kvk.nl/en/" TargetMode="External" Id="rId3"/><Relationship Type="http://schemas.openxmlformats.org/officeDocument/2006/relationships/hyperlink" Target="https://rejestr.io/" TargetMode="External" Id="rId4"/><Relationship Type="http://schemas.openxmlformats.org/officeDocument/2006/relationships/hyperlink" Target="https://www.handelsregister.de/" TargetMode="External" Id="rId5"/><Relationship Type="http://schemas.openxmlformats.org/officeDocument/2006/relationships/hyperlink" Target="https://search.gleif.org/" TargetMode="External" Id="rId6"/><Relationship Type="http://schemas.openxmlformats.org/officeDocument/2006/relationships/hyperlink" Target="https://cms.mhra.gov.uk/mhra/wholesale-dealer-licences" TargetMode="External" Id="rId7"/><Relationship Type="http://schemas.openxmlformats.org/officeDocument/2006/relationships/hyperlink" Target="https://www.gov.uk/trade-tariff" TargetMode="External" Id="rId8"/><Relationship Type="http://schemas.openxmlformats.org/officeDocument/2006/relationships/hyperlink" Target="https://supplier-directory.betterretailing.com/" TargetMode="External" Id="rId9"/><Relationship Type="http://schemas.openxmlformats.org/officeDocument/2006/relationships/hyperlink" Target="https://bira.co.uk/" TargetMode="External" Id="rId10"/><Relationship Type="http://schemas.openxmlformats.org/officeDocument/2006/relationships/hyperlink" Target="https://www.bheta.co.uk/" TargetMode="External" Id="rId11"/><Relationship Type="http://schemas.openxmlformats.org/officeDocument/2006/relationships/hyperlink" Target="https://www.petbusinessworld.co.uk/trade-directory/" TargetMode="External" Id="rId12"/><Relationship Type="http://schemas.openxmlformats.org/officeDocument/2006/relationships/hyperlink" Target="https://www.great.gov.uk/international/buy-from-the-uk/find-a-supplier/" TargetMode="External" Id="rId13"/><Relationship Type="http://schemas.openxmlformats.org/officeDocument/2006/relationships/hyperlink" Target="https://www.trade.gov.pl/en/" TargetMode="External" Id="rId14"/><Relationship Type="http://schemas.openxmlformats.org/officeDocument/2006/relationships/hyperlink" Target="https://exporters.czechtrade.cz/en" TargetMode="External" Id="rId15"/><Relationship Type="http://schemas.openxmlformats.org/officeDocument/2006/relationships/hyperlink" Target="https://een.ec.europa.eu/partnering-opportunities" TargetMode="External" Id="rId16"/><Relationship Type="http://schemas.openxmlformats.org/officeDocument/2006/relationships/hyperlink" Target="https://www.europages.co.uk/" TargetMode="External" Id="rId17"/><Relationship Type="http://schemas.openxmlformats.org/officeDocument/2006/relationships/hyperlink" Target="https://www.wlw.de/" TargetMode="External" Id="rId18"/><Relationship Type="http://schemas.openxmlformats.org/officeDocument/2006/relationships/hyperlink" Target="https://www.kompass.com/" TargetMode="External" Id="rId19"/><Relationship Type="http://schemas.openxmlformats.org/officeDocument/2006/relationships/hyperlink" Target="https://www.cosmeticindex.com/~cosmetic-distributors-wholesalers_Europe" TargetMode="External" Id="rId20"/><Relationship Type="http://schemas.openxmlformats.org/officeDocument/2006/relationships/hyperlink" Target="https://www.interzoo.com/en/exhibitors" TargetMode="External" Id="rId21"/><Relationship Type="http://schemas.openxmlformats.org/officeDocument/2006/relationships/hyperlink" Target="https://www.zoomark.it/en/" TargetMode="External" Id="rId22"/><Relationship Type="http://schemas.openxmlformats.org/officeDocument/2006/relationships/hyperlink" Target="https://ambiente.messefrankfurt.com/" TargetMode="External" Id="rId23"/><Relationship Type="http://schemas.openxmlformats.org/officeDocument/2006/relationships/hyperlink" Target="https://www.ifa-berlin.com/" TargetMode="External" Id="rId24"/><Relationship Type="http://schemas.openxmlformats.org/officeDocument/2006/relationships/hyperlink" Target="https://www.fibo.com/" TargetMode="External" Id="rId25"/><Relationship Type="http://schemas.openxmlformats.org/officeDocument/2006/relationships/hyperlink" Target="https://www.eurobike.com/" TargetMode="External" Id="rId26"/><Relationship Type="http://schemas.openxmlformats.org/officeDocument/2006/relationships/hyperlink" Target="https://www.kindundjugend.com/" TargetMode="External" Id="rId27"/><Relationship Type="http://schemas.openxmlformats.org/officeDocument/2006/relationships/hyperlink" Target="https://creativeworld.messefrankfurt.com/" TargetMode="External" Id="rId28"/><Relationship Type="http://schemas.openxmlformats.org/officeDocument/2006/relationships/hyperlink" Target="https://www.toyfair.co.uk/" TargetMode="External" Id="rId29"/><Relationship Type="http://schemas.openxmlformats.org/officeDocument/2006/relationships/hyperlink" Target="https://www.spielwarenmesse.de/" TargetMode="External" Id="rId30"/><Relationship Type="http://schemas.openxmlformats.org/officeDocument/2006/relationships/hyperlink" Target="https://www.cosmoprof.com/" TargetMode="External" Id="rId31"/><Relationship Type="http://schemas.openxmlformats.org/officeDocument/2006/relationships/hyperlink" Target="https://www.springfair.com/" TargetMode="External" Id="rId32"/><Relationship Type="http://schemas.openxmlformats.org/officeDocument/2006/relationships/hyperlink" Target="https://www.linkedin.com/search/results/companies/?keywords=distributor" TargetMode="External" Id="rId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Crowsons Distribution - Wholesale Supplier Sourcing List</t>
        </is>
      </c>
    </row>
    <row r="3">
      <c r="B3" s="2" t="inlineStr">
        <is>
          <t>396 UK &amp; EU suppliers for Amazon UK wholesale across 12 niches. Researched Oct 2026.</t>
        </is>
      </c>
    </row>
    <row r="5">
      <c r="B5" s="3" t="inlineStr">
        <is>
          <t>What's new in this version</t>
        </is>
      </c>
    </row>
    <row r="6" ht="32" customHeight="1">
      <c r="B6" s="4" t="inlineStr">
        <is>
          <t>Sorted Country &gt; Category &gt; Priority</t>
        </is>
      </c>
      <c r="C6" s="5" t="inlineStr">
        <is>
          <t>The Suppliers tab is sorted by Country A-Z, then Category A-Z within each country, then Priority (best first). Country is the first column and each country is shaded in alternating bands, so you can work through one country - and one niche - at a time. Pan-European / online platforms are at the bottom.</t>
        </is>
      </c>
    </row>
    <row r="7" ht="32" customHeight="1">
      <c r="B7" s="4" t="inlineStr">
        <is>
          <t>Round 5: cheapest-country sourcing</t>
        </is>
      </c>
      <c r="C7" s="5" t="inlineStr">
        <is>
          <t>Round 5 targets the EU countries where stock is cheapest to buy - mainly Poland, Czech Republic, Bulgaria, Romania, the Baltics, Portugal and Greece - and their home-grown manufacturers. Most Round 5 suppliers are verified through a government export agency (CzechTrade, Poland's trade.gov.pl, Bulgarian/Lithuanian registries) or a major trade fair, which is the best protection against fake 'wholesalers'. Round 5 rows are shaded green in the Company column.</t>
        </is>
      </c>
    </row>
    <row r="8" ht="32" customHeight="1">
      <c r="B8" s="4" t="inlineStr">
        <is>
          <t>Country Price Level column + Best-Value Countries tab</t>
        </is>
      </c>
      <c r="C8" s="5" t="inlineStr">
        <is>
          <t>Each supplier now shows whether its country is Low-cost, Mid or Higher for buying stock. The new Best-Value Countries tab lists, for every niche, the cheapest EU countries to source from, why, and how many suppliers you already have there.</t>
        </is>
      </c>
    </row>
    <row r="9" ht="32" customHeight="1">
      <c r="B9" s="4" t="inlineStr">
        <is>
          <t>Round 4: quality-filtered EU brands</t>
        </is>
      </c>
      <c r="C9" s="5" t="inlineStr">
        <is>
          <t>Round 4 added EU-only suppliers that passed a strict quality bar: identifiable company + proof of establishment (trade-fair exhibitor, official registry, years trading or recognised brand) + a usable contact route. Weak / directory-only leads were left out.</t>
        </is>
      </c>
    </row>
    <row r="10" ht="32" customHeight="1">
      <c r="B10" s="4" t="inlineStr">
        <is>
          <t>Country Index tab</t>
        </is>
      </c>
      <c r="C10" s="5" t="inlineStr">
        <is>
          <t>Lists every country with supplier counts - click 'Go to' to jump straight to that country's first row.</t>
        </is>
      </c>
    </row>
    <row r="11" ht="32" customHeight="1">
      <c r="B11" s="4" t="inlineStr">
        <is>
          <t>Also operates in</t>
        </is>
      </c>
      <c r="C11" s="5" t="inlineStr">
        <is>
          <t>New column showing other countries a supplier covers (the Country column now holds one main country so the grouping works).</t>
        </is>
      </c>
    </row>
    <row r="12" ht="32" customHeight="1">
      <c r="B12" s="4" t="inlineStr">
        <is>
          <t>Keeping your tracker notes</t>
        </is>
      </c>
      <c r="C12" s="5" t="inlineStr">
        <is>
          <t>If you already filled in the tracker in the previous file, copy the yellow columns across by matching the Company name - or send me the old file and I'll merge it.</t>
        </is>
      </c>
    </row>
    <row r="14">
      <c r="B14" s="3" t="inlineStr">
        <is>
          <t>How to use this workbook</t>
        </is>
      </c>
    </row>
    <row r="15">
      <c r="B15" s="4" t="inlineStr">
        <is>
          <t>1. Suppliers</t>
        </is>
      </c>
      <c r="C15" s="5" t="inlineStr">
        <is>
          <t>The master list, grouped by Country A-Z, then Category A-Z, then Priority (5 = best fit for Amazon). Use the filter arrows to filter by Category, Country, Priority or Added.</t>
        </is>
      </c>
    </row>
    <row r="16">
      <c r="B16" s="4" t="inlineStr">
        <is>
          <t>1b. Country Index</t>
        </is>
      </c>
      <c r="C16" s="5" t="inlineStr">
        <is>
          <t>Jump to any country's block of suppliers with one click.</t>
        </is>
      </c>
    </row>
    <row r="17">
      <c r="B17" s="4" t="inlineStr">
        <is>
          <t>2. Yellow columns</t>
        </is>
      </c>
      <c r="C17" s="5" t="inlineStr">
        <is>
          <t>Your outreach tracker. Status, Method and Account Approved have drop-down lists. 'Suggested Follow-up' fills in automatically (5 working days after Date Contacted) and turns red when overdue.</t>
        </is>
      </c>
    </row>
    <row r="18">
      <c r="B18" s="4" t="inlineStr">
        <is>
          <t>3. LinkedIn Outreach</t>
        </is>
      </c>
      <c r="C18" s="5" t="inlineStr">
        <is>
          <t>One-click LinkedIn searches for each company page and its sales / account-manager staff, plus a tracker.</t>
        </is>
      </c>
    </row>
    <row r="19">
      <c r="B19" s="4" t="inlineStr">
        <is>
          <t>4. Niche Guide</t>
        </is>
      </c>
      <c r="C19" s="5" t="inlineStr">
        <is>
          <t>Read before contacting suppliers in a new niche - it lists the compliance documents to ask for.</t>
        </is>
      </c>
    </row>
    <row r="20">
      <c r="B20" s="4" t="inlineStr">
        <is>
          <t>5. Profit Calculator</t>
        </is>
      </c>
      <c r="C20" s="5" t="inlineStr">
        <is>
          <t>Check every product before ordering. Blue cells are inputs; black cells are formulas.</t>
        </is>
      </c>
    </row>
    <row r="21">
      <c r="B21" s="4" t="inlineStr">
        <is>
          <t>6. Templates</t>
        </is>
      </c>
      <c r="C21" s="5" t="inlineStr">
        <is>
          <t>Copy-paste first-contact email, follow-up, LinkedIn notes and invoice / ungating request.</t>
        </is>
      </c>
    </row>
    <row r="22">
      <c r="B22" s="4" t="inlineStr">
        <is>
          <t>7. Dashboard</t>
        </is>
      </c>
      <c r="C22" s="5" t="inlineStr">
        <is>
          <t>Live counts by niche, region and outreach status.</t>
        </is>
      </c>
    </row>
    <row r="23">
      <c r="B23" s="4" t="inlineStr">
        <is>
          <t>8. Find More Suppliers / Due Diligence</t>
        </is>
      </c>
      <c r="C23" s="5" t="inlineStr">
        <is>
          <t>Directories &amp; trade shows to keep growing the list, and a checklist to vet suppliers before paying.</t>
        </is>
      </c>
    </row>
    <row r="25">
      <c r="B25" s="3" t="inlineStr">
        <is>
          <t>Priority score (1-5)</t>
        </is>
      </c>
    </row>
    <row r="26">
      <c r="B26" s="4" t="inlineStr">
        <is>
          <t>5</t>
        </is>
      </c>
      <c r="C26" s="5" t="inlineStr">
        <is>
          <t>Established, branded stock, sells to online / Amazon sellers or provides invoices suitable for ungating. Contact first.</t>
        </is>
      </c>
    </row>
    <row r="27">
      <c r="B27" s="4" t="inlineStr">
        <is>
          <t>4</t>
        </is>
      </c>
      <c r="C27" s="5" t="inlineStr">
        <is>
          <t>Established and branded, but may have higher MOQs, selective accounts or a narrower range.</t>
        </is>
      </c>
    </row>
    <row r="28">
      <c r="B28" s="4" t="inlineStr">
        <is>
          <t>3</t>
        </is>
      </c>
      <c r="C28" s="5" t="inlineStr">
        <is>
          <t>Credible, worth contacting - confirm terms, online-selling policy and invoice details.</t>
        </is>
      </c>
    </row>
    <row r="29">
      <c r="B29" s="4" t="inlineStr">
        <is>
          <t>2</t>
        </is>
      </c>
      <c r="C29" s="5" t="inlineStr">
        <is>
          <t>Lower fit (territory-limited, pro-only brands, limited info) or larger-scale target for later.</t>
        </is>
      </c>
    </row>
    <row r="30">
      <c r="B30" s="4" t="inlineStr">
        <is>
          <t>1</t>
        </is>
      </c>
      <c r="C30" s="5" t="inlineStr">
        <is>
          <t>Low confidence, known red flag, or not suitable for Amazon - kept so you know to avoid / verify.</t>
        </is>
      </c>
    </row>
    <row r="32">
      <c r="B32" s="3" t="inlineStr">
        <is>
          <t>Data confidence</t>
        </is>
      </c>
    </row>
    <row r="33">
      <c r="B33" s="4" t="inlineStr">
        <is>
          <t>Official / company website</t>
        </is>
      </c>
      <c r="C33" s="5" t="inlineStr">
        <is>
          <t>Details came from the supplier's own site or an official register (Companies House, KRS, MHRA, LEI).</t>
        </is>
      </c>
    </row>
    <row r="34">
      <c r="B34" s="4" t="inlineStr">
        <is>
          <t>Directory / press / trade show</t>
        </is>
      </c>
      <c r="C34" s="5" t="inlineStr">
        <is>
          <t>From trade press, exhibitor lists or business directories - confirm on the company website before relying on them.</t>
        </is>
      </c>
    </row>
    <row r="35">
      <c r="B35" s="4" t="inlineStr">
        <is>
          <t>Marketplace / unverified</t>
        </is>
      </c>
      <c r="C35" s="5" t="inlineStr">
        <is>
          <t>Self-published profile only. Verify registration (Companies House / KvK / KRS / VIES VAT) before engaging.</t>
        </is>
      </c>
    </row>
    <row r="36">
      <c r="B36" s="4" t="inlineStr">
        <is>
          <t>Blank cells</t>
        </is>
      </c>
      <c r="C36" s="5" t="inlineStr">
        <is>
          <t>Not publicly available. MOQs are usually only shared once a trade account is approved - ask in your first email.</t>
        </is>
      </c>
    </row>
    <row r="38">
      <c r="B38" s="3" t="inlineStr">
        <is>
          <t>Key Amazon UK considerations</t>
        </is>
      </c>
    </row>
    <row r="39" ht="45" customHeight="1">
      <c r="B39" s="4" t="inlineStr">
        <is>
          <t>Brand / category gating</t>
        </is>
      </c>
      <c r="C39" s="5" t="inlineStr">
        <is>
          <t>Many brands in fragrance, beauty, toys, baby and health need approval. Amazon wants invoices from a real wholesaler/distributor (not a retailer) dated within 180 days, showing supplier name, address, phone, website, your business details and 10+ units.</t>
        </is>
      </c>
    </row>
    <row r="40" ht="45" customHeight="1">
      <c r="B40" s="4" t="inlineStr">
        <is>
          <t>EU suppliers after Brexit</t>
        </is>
      </c>
      <c r="C40" s="5" t="inlineStr">
        <is>
          <t>Buying from the EU means import VAT, possible duty and customs paperwork. Ask for DDP (delivered duty paid) quotes or use a freight forwarder, and get an EORI number. Use the Profit Calculator's freight &amp; duty columns.</t>
        </is>
      </c>
    </row>
    <row r="41" ht="45" customHeight="1">
      <c r="B41" s="4" t="inlineStr">
        <is>
          <t>UK product compliance</t>
        </is>
      </c>
      <c r="C41" s="5" t="inlineStr">
        <is>
          <t>Cosmetics need a UK Responsible Person + SCPN notification; toys need UKCA/CE marking + EN71; electricals need UK plugs + UKCA/CE. EU-only labelled stock may not be compliant for the UK.</t>
        </is>
      </c>
    </row>
    <row r="42" ht="45" customHeight="1">
      <c r="B42" s="4" t="inlineStr">
        <is>
          <t>Online-selling policies</t>
        </is>
      </c>
      <c r="C42" s="5" t="inlineStr">
        <is>
          <t>Some suppliers forbid Amazon resale (see 'Sells to Online/Amazon Sellers?' column). Ask before applying.</t>
        </is>
      </c>
    </row>
    <row r="43" ht="45" customHeight="1">
      <c r="B43" s="4" t="inlineStr">
        <is>
          <t>Hazmat</t>
        </is>
      </c>
      <c r="C43" s="5" t="inlineStr">
        <is>
          <t>Perfume, aerosols, lithium batteries (power tools) and gas canisters are dangerous goods on Amazon - ask suppliers for Safety Data Sheets.</t>
        </is>
      </c>
    </row>
    <row r="45">
      <c r="B45" s="3" t="inlineStr">
        <is>
          <t>About LinkedIn outreach</t>
        </is>
      </c>
    </row>
    <row r="46" ht="45" customHeight="1">
      <c r="B46" s="4" t="inlineStr"/>
      <c r="C46" s="5" t="inlineStr">
        <is>
          <t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9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9" customWidth="1" min="3" max="3"/>
    <col width="18" customWidth="1" min="4" max="4"/>
    <col width="30" customWidth="1" min="5" max="5"/>
    <col width="30" customWidth="1" min="6" max="6"/>
    <col width="20" customWidth="1" min="7" max="7"/>
    <col width="16" customWidth="1" min="8" max="8"/>
    <col width="10" customWidth="1" min="9" max="9"/>
    <col width="12" customWidth="1" min="10" max="10"/>
    <col width="34" customWidth="1" min="11" max="11"/>
    <col width="18" customWidth="1" min="12" max="12"/>
    <col width="28" customWidth="1" min="13" max="13"/>
    <col width="20" customWidth="1" min="14" max="14"/>
    <col width="38" customWidth="1" min="15" max="15"/>
    <col width="20" customWidth="1" min="16" max="16"/>
    <col width="22" customWidth="1" min="17" max="17"/>
    <col width="28" customWidth="1" min="18" max="18"/>
    <col width="18" customWidth="1" min="19" max="19"/>
    <col width="16" customWidth="1" min="20" max="20"/>
    <col width="11" customWidth="1" min="21" max="21"/>
    <col width="18" customWidth="1" min="22" max="22"/>
    <col width="34" customWidth="1" min="23" max="23"/>
    <col width="36" customWidth="1" min="24" max="24"/>
    <col width="36" customWidth="1" min="25" max="25"/>
    <col width="22" customWidth="1" min="26" max="26"/>
    <col width="13" customWidth="1" min="27" max="27"/>
    <col width="15" customWidth="1" min="28" max="28"/>
    <col width="10" customWidth="1" min="29" max="29"/>
    <col width="18" customWidth="1" min="30" max="30"/>
    <col width="13" customWidth="1" min="31" max="31"/>
    <col width="13" customWidth="1" min="32" max="32"/>
    <col width="18" customWidth="1" min="33" max="33"/>
    <col width="30" customWidth="1" min="34" max="34"/>
    <col width="13" customWidth="1" min="35" max="35"/>
    <col width="12" customWidth="1" min="36" max="36"/>
    <col width="26" customWidth="1" min="37" max="37"/>
  </cols>
  <sheetData>
    <row r="1" ht="32" customHeight="1">
      <c r="A1" s="6" t="inlineStr">
        <is>
          <t>Country</t>
        </is>
      </c>
      <c r="B1" s="6" t="inlineStr">
        <is>
          <t>ID</t>
        </is>
      </c>
      <c r="C1" s="6" t="inlineStr">
        <is>
          <t>Priority (1-5)</t>
        </is>
      </c>
      <c r="D1" s="6" t="inlineStr">
        <is>
          <t>Category</t>
        </is>
      </c>
      <c r="E1" s="6" t="inlineStr">
        <is>
          <t>Company</t>
        </is>
      </c>
      <c r="F1" s="6" t="inlineStr">
        <is>
          <t>Website</t>
        </is>
      </c>
      <c r="G1" s="6" t="inlineStr">
        <is>
          <t>City / Region</t>
        </is>
      </c>
      <c r="H1" s="6" t="inlineStr">
        <is>
          <t>Also operates in</t>
        </is>
      </c>
      <c r="I1" s="6" t="inlineStr">
        <is>
          <t>Region</t>
        </is>
      </c>
      <c r="J1" s="6" t="inlineStr">
        <is>
          <t>Country Price Level</t>
        </is>
      </c>
      <c r="K1" s="6" t="inlineStr">
        <is>
          <t>Address</t>
        </is>
      </c>
      <c r="L1" s="6" t="inlineStr">
        <is>
          <t>Phone</t>
        </is>
      </c>
      <c r="M1" s="6" t="inlineStr">
        <is>
          <t>Email</t>
        </is>
      </c>
      <c r="N1" s="6" t="inlineStr">
        <is>
          <t>Supplier Type</t>
        </is>
      </c>
      <c r="O1" s="6" t="inlineStr">
        <is>
          <t>Key Brands / Products</t>
        </is>
      </c>
      <c r="P1" s="6" t="inlineStr">
        <is>
          <t>Segment</t>
        </is>
      </c>
      <c r="Q1" s="6" t="inlineStr">
        <is>
          <t>MOQ / Min. Order</t>
        </is>
      </c>
      <c r="R1" s="6" t="inlineStr">
        <is>
          <t>Account Requirements</t>
        </is>
      </c>
      <c r="S1" s="6" t="inlineStr">
        <is>
          <t>Ships to UK?</t>
        </is>
      </c>
      <c r="T1" s="6" t="inlineStr">
        <is>
          <t>Sells to Online/Amazon Sellers?</t>
        </is>
      </c>
      <c r="U1" s="6" t="inlineStr">
        <is>
          <t>Dropship?</t>
        </is>
      </c>
      <c r="V1" s="6" t="inlineStr">
        <is>
          <t>Registry ID</t>
        </is>
      </c>
      <c r="W1" s="6" t="inlineStr">
        <is>
          <t>Legitimacy Evidence</t>
        </is>
      </c>
      <c r="X1" s="6" t="inlineStr">
        <is>
          <t>Amazon Fit Notes</t>
        </is>
      </c>
      <c r="Y1" s="6" t="inlineStr">
        <is>
          <t>Notes / Red Flags</t>
        </is>
      </c>
      <c r="Z1" s="6" t="inlineStr">
        <is>
          <t>Data Confidence</t>
        </is>
      </c>
      <c r="AA1" s="6" t="inlineStr">
        <is>
          <t>Source</t>
        </is>
      </c>
      <c r="AB1" s="6" t="inlineStr">
        <is>
          <t>LinkedIn Company Search</t>
        </is>
      </c>
      <c r="AC1" s="6" t="inlineStr">
        <is>
          <t>Added</t>
        </is>
      </c>
      <c r="AD1" s="7" t="inlineStr">
        <is>
          <t>Status</t>
        </is>
      </c>
      <c r="AE1" s="7" t="inlineStr">
        <is>
          <t>Date Contacted</t>
        </is>
      </c>
      <c r="AF1" s="7" t="inlineStr">
        <is>
          <t>Method</t>
        </is>
      </c>
      <c r="AG1" s="7" t="inlineStr">
        <is>
          <t>Contact Name</t>
        </is>
      </c>
      <c r="AH1" s="7" t="inlineStr">
        <is>
          <t>Response / Notes</t>
        </is>
      </c>
      <c r="AI1" s="7" t="inlineStr">
        <is>
          <t>Suggested Follow-up</t>
        </is>
      </c>
      <c r="AJ1" s="7" t="inlineStr">
        <is>
          <t>Account Approved?</t>
        </is>
      </c>
      <c r="AK1" s="7" t="inlineStr">
        <is>
          <t>Next Step</t>
        </is>
      </c>
    </row>
    <row r="2">
      <c r="A2" s="8" t="inlineStr">
        <is>
          <t>Austria</t>
        </is>
      </c>
      <c r="B2" s="9" t="n">
        <v>1</v>
      </c>
      <c r="C2" s="10" t="n">
        <v>2</v>
      </c>
      <c r="D2" s="11" t="inlineStr">
        <is>
          <t>Sports &amp; Outdoors</t>
        </is>
      </c>
      <c r="E2" s="11" t="inlineStr">
        <is>
          <t>SWAROVSKI OPTIK Vertriebs GmbH</t>
        </is>
      </c>
      <c r="F2" s="12" t="inlineStr">
        <is>
          <t>https://www.swarovskioptik.com</t>
        </is>
      </c>
      <c r="G2" s="11" t="inlineStr">
        <is>
          <t>Absam (Tyrol)</t>
        </is>
      </c>
      <c r="H2" s="11" t="inlineStr"/>
      <c r="I2" s="11" t="inlineStr">
        <is>
          <t>EU / Europe</t>
        </is>
      </c>
      <c r="J2" s="11" t="inlineStr">
        <is>
          <t>Higher</t>
        </is>
      </c>
      <c r="K2" s="11" t="inlineStr">
        <is>
          <t>Absam, Tyrol (see website)</t>
        </is>
      </c>
      <c r="L2" s="11" t="inlineStr">
        <is>
          <t>+43 5223 511-0</t>
        </is>
      </c>
      <c r="M2" s="11" t="inlineStr">
        <is>
          <t>info@swarovskioptik.com</t>
        </is>
      </c>
      <c r="N2" s="11" t="inlineStr">
        <is>
          <t>Brand owner / manufacturer</t>
        </is>
      </c>
      <c r="O2" s="11" t="inlineStr">
        <is>
          <t>Swarovski Optik binoculars, scopes</t>
        </is>
      </c>
      <c r="P2" s="11" t="inlineStr">
        <is>
          <t>Premium optics (birding, hunting)</t>
        </is>
      </c>
      <c r="Q2" s="11" t="inlineStr">
        <is>
          <t>Authorised dealer</t>
        </is>
      </c>
      <c r="R2" s="11" t="inlineStr">
        <is>
          <t>Specialist dealer accounts</t>
        </is>
      </c>
      <c r="S2" s="11" t="inlineStr">
        <is>
          <t>Has UK distribution - ask</t>
        </is>
      </c>
      <c r="T2" s="11" t="inlineStr">
        <is>
          <t>Unknown</t>
        </is>
      </c>
      <c r="U2" s="11" t="inlineStr">
        <is>
          <t>Unknown</t>
        </is>
      </c>
      <c r="V2" s="11" t="inlineStr"/>
      <c r="W2" s="11" t="inlineStr">
        <is>
          <t>Swarovski group company</t>
        </is>
      </c>
      <c r="X2" s="11" t="inlineStr">
        <is>
          <t>High-ticket, low volume; brand control is strict</t>
        </is>
      </c>
      <c r="Y2" s="11" t="inlineStr">
        <is>
          <t>Selective distribution - Amazon resale may be restricted</t>
        </is>
      </c>
      <c r="Z2" s="11" t="inlineStr">
        <is>
          <t>Official sales office listing</t>
        </is>
      </c>
      <c r="AA2" s="12" t="inlineStr">
        <is>
          <t>Source link</t>
        </is>
      </c>
      <c r="AB2" s="12" t="inlineStr">
        <is>
          <t>Search LinkedIn</t>
        </is>
      </c>
      <c r="AC2" s="11" t="inlineStr">
        <is>
          <t>Round 4</t>
        </is>
      </c>
      <c r="AD2" s="13" t="inlineStr">
        <is>
          <t>Not contacted</t>
        </is>
      </c>
      <c r="AE2" s="14" t="n"/>
      <c r="AF2" s="13" t="n"/>
      <c r="AG2" s="13" t="n"/>
      <c r="AH2" s="13" t="n"/>
      <c r="AI2" s="14">
        <f>IF(AE2="","",WORKDAY(AE2,5))</f>
        <v/>
      </c>
      <c r="AJ2" s="13" t="n"/>
      <c r="AK2" s="13" t="n"/>
    </row>
    <row r="3">
      <c r="A3" s="15" t="inlineStr">
        <is>
          <t>Austria</t>
        </is>
      </c>
      <c r="B3" s="16" t="n">
        <v>2</v>
      </c>
      <c r="C3" s="17" t="n">
        <v>3</v>
      </c>
      <c r="D3" s="18" t="inlineStr">
        <is>
          <t>Stationery &amp; Office</t>
        </is>
      </c>
      <c r="E3" s="18" t="inlineStr">
        <is>
          <t>KORES GmbH</t>
        </is>
      </c>
      <c r="F3" s="19" t="inlineStr">
        <is>
          <t>https://www.kores.com</t>
        </is>
      </c>
      <c r="G3" s="18" t="inlineStr">
        <is>
          <t>Vienna</t>
        </is>
      </c>
      <c r="H3" s="18" t="inlineStr"/>
      <c r="I3" s="18" t="inlineStr">
        <is>
          <t>EU / Europe</t>
        </is>
      </c>
      <c r="J3" s="18" t="inlineStr">
        <is>
          <t>Higher</t>
        </is>
      </c>
      <c r="K3" s="18" t="inlineStr">
        <is>
          <t>Leopold-Ungar-Platz 2/Top 334, 1190 Wien</t>
        </is>
      </c>
      <c r="L3" s="18" t="inlineStr"/>
      <c r="M3" s="18" t="inlineStr"/>
      <c r="N3" s="18" t="inlineStr">
        <is>
          <t>Brand owner / manufacturer</t>
        </is>
      </c>
      <c r="O3" s="18" t="inlineStr">
        <is>
          <t>Kores glue sticks, correction tape, office &amp; school supplies, printer supplies</t>
        </is>
      </c>
      <c r="P3" s="18" t="inlineStr">
        <is>
          <t>Office &amp; school supplies</t>
        </is>
      </c>
      <c r="Q3" s="18" t="inlineStr">
        <is>
          <t>Account based</t>
        </is>
      </c>
      <c r="R3" s="18" t="inlineStr">
        <is>
          <t>Distributors &amp; retailers</t>
        </is>
      </c>
      <c r="S3" s="18" t="inlineStr">
        <is>
          <t>Sold in 80+ countries - ask</t>
        </is>
      </c>
      <c r="T3" s="18" t="inlineStr">
        <is>
          <t>Unknown</t>
        </is>
      </c>
      <c r="U3" s="18" t="inlineStr">
        <is>
          <t>Unknown</t>
        </is>
      </c>
      <c r="V3" s="18" t="inlineStr"/>
      <c r="W3" s="18" t="inlineStr">
        <is>
          <t>Advantage Austria company profile; production in CZ &amp; MX</t>
        </is>
      </c>
      <c r="X3" s="18" t="inlineStr"/>
      <c r="Y3" s="18" t="inlineStr"/>
      <c r="Z3" s="18" t="inlineStr">
        <is>
          <t>Government trade agency + company catalogue</t>
        </is>
      </c>
      <c r="AA3" s="19" t="inlineStr">
        <is>
          <t>Source link</t>
        </is>
      </c>
      <c r="AB3" s="19" t="inlineStr">
        <is>
          <t>Search LinkedIn</t>
        </is>
      </c>
      <c r="AC3" s="18" t="inlineStr">
        <is>
          <t>Round 4</t>
        </is>
      </c>
      <c r="AD3" s="20" t="inlineStr">
        <is>
          <t>Not contacted</t>
        </is>
      </c>
      <c r="AE3" s="21" t="n"/>
      <c r="AF3" s="20" t="n"/>
      <c r="AG3" s="20" t="n"/>
      <c r="AH3" s="20" t="n"/>
      <c r="AI3" s="21">
        <f>IF(AE3="","",WORKDAY(AE3,5))</f>
        <v/>
      </c>
      <c r="AJ3" s="20" t="n"/>
      <c r="AK3" s="20" t="n"/>
    </row>
    <row r="4">
      <c r="A4" s="15" t="inlineStr">
        <is>
          <t>Austria</t>
        </is>
      </c>
      <c r="B4" s="16" t="n">
        <v>3</v>
      </c>
      <c r="C4" s="17" t="n">
        <v>3</v>
      </c>
      <c r="D4" s="18" t="inlineStr">
        <is>
          <t>Toys &amp; Games</t>
        </is>
      </c>
      <c r="E4" s="18" t="inlineStr">
        <is>
          <t>Stadlbauer Marketing + Vertrieb GmbH</t>
        </is>
      </c>
      <c r="F4" s="19" t="inlineStr">
        <is>
          <t>https://www.stadlbauer.at</t>
        </is>
      </c>
      <c r="G4" s="18" t="inlineStr">
        <is>
          <t>Puch bei Hallein (Salzburg)</t>
        </is>
      </c>
      <c r="H4" s="18" t="inlineStr"/>
      <c r="I4" s="18" t="inlineStr">
        <is>
          <t>EU / Europe</t>
        </is>
      </c>
      <c r="J4" s="18" t="inlineStr">
        <is>
          <t>Higher</t>
        </is>
      </c>
      <c r="K4" s="18" t="inlineStr">
        <is>
          <t>Rennbahn Allee 1, 5412 Puch bei Hallein</t>
        </is>
      </c>
      <c r="L4" s="18" t="inlineStr"/>
      <c r="M4" s="18" t="inlineStr"/>
      <c r="N4" s="18" t="inlineStr">
        <is>
          <t>Distributor &amp; brand owner</t>
        </is>
      </c>
      <c r="O4" s="18" t="inlineStr">
        <is>
          <t>Exclusive Playmobil (Austria); Carrera, Pustefix, Schildkröt, Bburago, Disney &amp; Nintendo licences</t>
        </is>
      </c>
      <c r="P4" s="18" t="inlineStr">
        <is>
          <t>Branded toys</t>
        </is>
      </c>
      <c r="Q4" s="18" t="inlineStr">
        <is>
          <t>Account based</t>
        </is>
      </c>
      <c r="R4" s="18" t="inlineStr">
        <is>
          <t>Retailers (DACH)</t>
        </is>
      </c>
      <c r="S4" s="18" t="inlineStr">
        <is>
          <t>DACH territory</t>
        </is>
      </c>
      <c r="T4" s="18" t="inlineStr">
        <is>
          <t>Unknown</t>
        </is>
      </c>
      <c r="U4" s="18" t="inlineStr">
        <is>
          <t>Unknown</t>
        </is>
      </c>
      <c r="V4" s="18" t="inlineStr"/>
      <c r="W4" s="18" t="inlineStr">
        <is>
          <t>Part of Carrera Revell group (Quantum Capital) since 2019</t>
        </is>
      </c>
      <c r="X4" s="18" t="inlineStr">
        <is>
          <t>Useful for Amazon.de</t>
        </is>
      </c>
      <c r="Y4" s="18" t="inlineStr"/>
      <c r="Z4" s="18" t="inlineStr">
        <is>
          <t>Investor announcement + press</t>
        </is>
      </c>
      <c r="AA4" s="19" t="inlineStr">
        <is>
          <t>Source link</t>
        </is>
      </c>
      <c r="AB4" s="19" t="inlineStr">
        <is>
          <t>Search LinkedIn</t>
        </is>
      </c>
      <c r="AC4" s="18" t="inlineStr">
        <is>
          <t>Round 4</t>
        </is>
      </c>
      <c r="AD4" s="20" t="inlineStr">
        <is>
          <t>Not contacted</t>
        </is>
      </c>
      <c r="AE4" s="21" t="n"/>
      <c r="AF4" s="20" t="n"/>
      <c r="AG4" s="20" t="n"/>
      <c r="AH4" s="20" t="n"/>
      <c r="AI4" s="21">
        <f>IF(AE4="","",WORKDAY(AE4,5))</f>
        <v/>
      </c>
      <c r="AJ4" s="20" t="n"/>
      <c r="AK4" s="20" t="n"/>
    </row>
    <row r="5">
      <c r="A5" s="15" t="inlineStr">
        <is>
          <t>Austria</t>
        </is>
      </c>
      <c r="B5" s="16" t="n">
        <v>4</v>
      </c>
      <c r="C5" s="17" t="n">
        <v>3</v>
      </c>
      <c r="D5" s="18" t="inlineStr">
        <is>
          <t>Toys &amp; Games</t>
        </is>
      </c>
      <c r="E5" s="18" t="inlineStr">
        <is>
          <t>Wiener Spielkartenfabrik Ferd. Piatnik &amp; Söhne</t>
        </is>
      </c>
      <c r="F5" s="19" t="inlineStr">
        <is>
          <t>https://www.piatnik.com</t>
        </is>
      </c>
      <c r="G5" s="18" t="inlineStr">
        <is>
          <t>Vienna</t>
        </is>
      </c>
      <c r="H5" s="18" t="inlineStr"/>
      <c r="I5" s="18" t="inlineStr">
        <is>
          <t>EU / Europe</t>
        </is>
      </c>
      <c r="J5" s="18" t="inlineStr">
        <is>
          <t>Higher</t>
        </is>
      </c>
      <c r="K5" s="18" t="inlineStr">
        <is>
          <t>Vienna</t>
        </is>
      </c>
      <c r="L5" s="18" t="inlineStr"/>
      <c r="M5" s="18" t="inlineStr"/>
      <c r="N5" s="18" t="inlineStr">
        <is>
          <t>Brand owner / manufacturer</t>
        </is>
      </c>
      <c r="O5" s="18" t="inlineStr">
        <is>
          <t>Piatnik playing cards, Activity, puzzles, party games</t>
        </is>
      </c>
      <c r="P5" s="18" t="inlineStr">
        <is>
          <t>Games &amp; puzzles</t>
        </is>
      </c>
      <c r="Q5" s="18" t="inlineStr">
        <is>
          <t>On request</t>
        </is>
      </c>
      <c r="R5" s="18" t="inlineStr">
        <is>
          <t>Retailers &amp; distributors</t>
        </is>
      </c>
      <c r="S5" s="18" t="inlineStr">
        <is>
          <t>Exports 80% of output to 72 countries - ask</t>
        </is>
      </c>
      <c r="T5" s="18" t="inlineStr">
        <is>
          <t>Unknown</t>
        </is>
      </c>
      <c r="U5" s="18" t="inlineStr">
        <is>
          <t>Unknown</t>
        </is>
      </c>
      <c r="V5" s="18" t="inlineStr"/>
      <c r="W5" s="18" t="inlineStr">
        <is>
          <t>200-year-old Austrian company; featured by Advantage Austria (gov trade agency)</t>
        </is>
      </c>
      <c r="X5" s="18" t="inlineStr"/>
      <c r="Y5" s="18" t="inlineStr"/>
      <c r="Z5" s="18" t="inlineStr">
        <is>
          <t>Government trade agency article</t>
        </is>
      </c>
      <c r="AA5" s="19" t="inlineStr">
        <is>
          <t>Source link</t>
        </is>
      </c>
      <c r="AB5" s="19" t="inlineStr">
        <is>
          <t>Search LinkedIn</t>
        </is>
      </c>
      <c r="AC5" s="18" t="inlineStr">
        <is>
          <t>Round 4</t>
        </is>
      </c>
      <c r="AD5" s="20" t="inlineStr">
        <is>
          <t>Not contacted</t>
        </is>
      </c>
      <c r="AE5" s="21" t="n"/>
      <c r="AF5" s="20" t="n"/>
      <c r="AG5" s="20" t="n"/>
      <c r="AH5" s="20" t="n"/>
      <c r="AI5" s="21">
        <f>IF(AE5="","",WORKDAY(AE5,5))</f>
        <v/>
      </c>
      <c r="AJ5" s="20" t="n"/>
      <c r="AK5" s="20" t="n"/>
    </row>
    <row r="6">
      <c r="A6" s="22" t="inlineStr">
        <is>
          <t>Belgium</t>
        </is>
      </c>
      <c r="B6" s="23" t="n">
        <v>5</v>
      </c>
      <c r="C6" s="10" t="n">
        <v>3</v>
      </c>
      <c r="D6" s="11" t="inlineStr">
        <is>
          <t>Beauty</t>
        </is>
      </c>
      <c r="E6" s="11" t="inlineStr">
        <is>
          <t>Baekho Beauty</t>
        </is>
      </c>
      <c r="F6" s="12" t="inlineStr">
        <is>
          <t>https://www.baekhobeauty.com</t>
        </is>
      </c>
      <c r="G6" s="11" t="inlineStr">
        <is>
          <t>Brussels (showroom near Grand Place)</t>
        </is>
      </c>
      <c r="H6" s="11" t="inlineStr"/>
      <c r="I6" s="11" t="inlineStr">
        <is>
          <t>EU / Europe</t>
        </is>
      </c>
      <c r="J6" s="11" t="inlineStr">
        <is>
          <t>Higher</t>
        </is>
      </c>
      <c r="K6" s="11" t="inlineStr">
        <is>
          <t>Registered address listed in Arlon - confirm</t>
        </is>
      </c>
      <c r="L6" s="11" t="inlineStr"/>
      <c r="M6" s="11" t="inlineStr">
        <is>
          <t>via website</t>
        </is>
      </c>
      <c r="N6" s="11" t="inlineStr">
        <is>
          <t>K-beauty wholesaler / B2B supplier</t>
        </is>
      </c>
      <c r="O6" s="11" t="inlineStr">
        <is>
          <t>Anua, Beauty of Joseon, VT, Tocobo, Tirtir, Round Lab, Medicube, COSRX</t>
        </is>
      </c>
      <c r="P6" s="11" t="inlineStr">
        <is>
          <t>K-beauty skincare &amp; makeup</t>
        </is>
      </c>
      <c r="Q6" s="11" t="inlineStr">
        <is>
          <t>On request</t>
        </is>
      </c>
      <c r="R6" s="11" t="inlineStr">
        <is>
          <t>Retailers (Benelux &amp; France focus)</t>
        </is>
      </c>
      <c r="S6" s="11" t="inlineStr">
        <is>
          <t>Ask</t>
        </is>
      </c>
      <c r="T6" s="11" t="inlineStr">
        <is>
          <t>Unknown</t>
        </is>
      </c>
      <c r="U6" s="11" t="inlineStr">
        <is>
          <t>Unknown</t>
        </is>
      </c>
      <c r="V6" s="11" t="inlineStr"/>
      <c r="W6" s="11" t="inlineStr">
        <is>
          <t>Brussels showroom 'Gumiho'; founders Hana Tolio &amp; Soukaina El Garisi</t>
        </is>
      </c>
      <c r="X6" s="11" t="inlineStr"/>
      <c r="Y6" s="11" t="inlineStr">
        <is>
          <t>Offers retailer training &amp; marketing support.</t>
        </is>
      </c>
      <c r="Z6" s="11" t="inlineStr">
        <is>
          <t>Directory + company site (via search)</t>
        </is>
      </c>
      <c r="AA6" s="12" t="inlineStr">
        <is>
          <t>Source link</t>
        </is>
      </c>
      <c r="AB6" s="12" t="inlineStr">
        <is>
          <t>Search LinkedIn</t>
        </is>
      </c>
      <c r="AC6" s="11" t="inlineStr">
        <is>
          <t>Round 2</t>
        </is>
      </c>
      <c r="AD6" s="13" t="inlineStr">
        <is>
          <t>Not contacted</t>
        </is>
      </c>
      <c r="AE6" s="14" t="n"/>
      <c r="AF6" s="13" t="n"/>
      <c r="AG6" s="13" t="n"/>
      <c r="AH6" s="13" t="n"/>
      <c r="AI6" s="14">
        <f>IF(AE6="","",WORKDAY(AE6,5))</f>
        <v/>
      </c>
      <c r="AJ6" s="13" t="n"/>
      <c r="AK6" s="13" t="n"/>
    </row>
    <row r="7">
      <c r="A7" s="24" t="inlineStr">
        <is>
          <t>Belgium</t>
        </is>
      </c>
      <c r="B7" s="25" t="n">
        <v>6</v>
      </c>
      <c r="C7" s="17" t="n">
        <v>2</v>
      </c>
      <c r="D7" s="18" t="inlineStr">
        <is>
          <t>Beauty</t>
        </is>
      </c>
      <c r="E7" s="18" t="inlineStr">
        <is>
          <t>Euro Cosmetic</t>
        </is>
      </c>
      <c r="F7" s="19" t="inlineStr">
        <is>
          <t>https://www.eurocosmetic.be</t>
        </is>
      </c>
      <c r="G7" s="18" t="inlineStr">
        <is>
          <t>Ghent</t>
        </is>
      </c>
      <c r="H7" s="18" t="inlineStr"/>
      <c r="I7" s="18" t="inlineStr">
        <is>
          <t>EU / Europe</t>
        </is>
      </c>
      <c r="J7" s="18" t="inlineStr">
        <is>
          <t>Higher</t>
        </is>
      </c>
      <c r="K7" s="18" t="inlineStr">
        <is>
          <t>Tentoonstellingslaan 136, Ghent</t>
        </is>
      </c>
      <c r="L7" s="18" t="inlineStr">
        <is>
          <t>+32 472 ... (see website)</t>
        </is>
      </c>
      <c r="M7" s="18" t="inlineStr"/>
      <c r="N7" s="18" t="inlineStr">
        <is>
          <t>Distributor / wholesaler</t>
        </is>
      </c>
      <c r="O7" s="18" t="inlineStr">
        <is>
          <t>Cosmetic brands (salons &amp; retailers)</t>
        </is>
      </c>
      <c r="P7" s="18" t="inlineStr">
        <is>
          <t>Beauty</t>
        </is>
      </c>
      <c r="Q7" s="18" t="inlineStr">
        <is>
          <t>On request</t>
        </is>
      </c>
      <c r="R7" s="18" t="inlineStr">
        <is>
          <t>Salons &amp; retailers</t>
        </is>
      </c>
      <c r="S7" s="18" t="inlineStr">
        <is>
          <t>Ask</t>
        </is>
      </c>
      <c r="T7" s="18" t="inlineStr">
        <is>
          <t>Unknown</t>
        </is>
      </c>
      <c r="U7" s="18" t="inlineStr">
        <is>
          <t>Unknown</t>
        </is>
      </c>
      <c r="V7" s="18" t="inlineStr"/>
      <c r="W7" s="18" t="inlineStr">
        <is>
          <t>Founded 1979 (directory)</t>
        </is>
      </c>
      <c r="X7" s="18" t="inlineStr"/>
      <c r="Y7" s="18" t="inlineStr"/>
      <c r="Z7" s="18" t="inlineStr">
        <is>
          <t>Directory only</t>
        </is>
      </c>
      <c r="AA7" s="19" t="inlineStr">
        <is>
          <t>Source link</t>
        </is>
      </c>
      <c r="AB7" s="19" t="inlineStr">
        <is>
          <t>Search LinkedIn</t>
        </is>
      </c>
      <c r="AC7" s="18" t="inlineStr">
        <is>
          <t>Round 2</t>
        </is>
      </c>
      <c r="AD7" s="20" t="inlineStr">
        <is>
          <t>Not contacted</t>
        </is>
      </c>
      <c r="AE7" s="21" t="n"/>
      <c r="AF7" s="20" t="n"/>
      <c r="AG7" s="20" t="n"/>
      <c r="AH7" s="20" t="n"/>
      <c r="AI7" s="21">
        <f>IF(AE7="","",WORKDAY(AE7,5))</f>
        <v/>
      </c>
      <c r="AJ7" s="20" t="n"/>
      <c r="AK7" s="20" t="n"/>
    </row>
    <row r="8">
      <c r="A8" s="24" t="inlineStr">
        <is>
          <t>Belgium</t>
        </is>
      </c>
      <c r="B8" s="25" t="n">
        <v>7</v>
      </c>
      <c r="C8" s="17" t="n">
        <v>4</v>
      </c>
      <c r="D8" s="18" t="inlineStr">
        <is>
          <t>DIY &amp; Tools</t>
        </is>
      </c>
      <c r="E8" s="18" t="inlineStr">
        <is>
          <t>Varo (Vic Van Rompuy NV)</t>
        </is>
      </c>
      <c r="F8" s="19" t="inlineStr">
        <is>
          <t>https://varo.com/contact</t>
        </is>
      </c>
      <c r="G8" s="18" t="inlineStr">
        <is>
          <t>Lier</t>
        </is>
      </c>
      <c r="H8" s="18" t="inlineStr"/>
      <c r="I8" s="18" t="inlineStr">
        <is>
          <t>EU / Europe</t>
        </is>
      </c>
      <c r="J8" s="18" t="inlineStr">
        <is>
          <t>Higher</t>
        </is>
      </c>
      <c r="K8" s="18" t="inlineStr">
        <is>
          <t>Joseph Van Instraat 9, 2500 Lier</t>
        </is>
      </c>
      <c r="L8" s="18" t="inlineStr">
        <is>
          <t>+32 3 292 92 90</t>
        </is>
      </c>
      <c r="M8" s="18" t="inlineStr">
        <is>
          <t>info@varo.com</t>
        </is>
      </c>
      <c r="N8" s="18" t="inlineStr">
        <is>
          <t>Brand owner / distributor</t>
        </is>
      </c>
      <c r="O8" s="18" t="inlineStr">
        <is>
          <t>Powerplus, Kreator, Premion tools &amp; garden equipment</t>
        </is>
      </c>
      <c r="P8" s="18" t="inlineStr">
        <is>
          <t>Power &amp; garden tools</t>
        </is>
      </c>
      <c r="Q8" s="18" t="inlineStr">
        <is>
          <t>On request</t>
        </is>
      </c>
      <c r="R8" s="18" t="inlineStr">
        <is>
          <t>Retailers &amp; distributors</t>
        </is>
      </c>
      <c r="S8" s="18" t="inlineStr">
        <is>
          <t>Sold across Europe - ask</t>
        </is>
      </c>
      <c r="T8" s="18" t="inlineStr">
        <is>
          <t>Unknown</t>
        </is>
      </c>
      <c r="U8" s="18" t="inlineStr">
        <is>
          <t>Unknown</t>
        </is>
      </c>
      <c r="V8" s="18" t="inlineStr"/>
      <c r="W8" s="18" t="inlineStr">
        <is>
          <t>Sold via major EU DIY chains &amp; e-tailers (Bricomarché, Alza)</t>
        </is>
      </c>
      <c r="X8" s="18" t="inlineStr">
        <is>
          <t>Budget-friendly tool brands suit Amazon</t>
        </is>
      </c>
      <c r="Y8" s="18" t="inlineStr"/>
      <c r="Z8" s="18" t="inlineStr">
        <is>
          <t>Company website (via search)</t>
        </is>
      </c>
      <c r="AA8" s="19" t="inlineStr">
        <is>
          <t>Source link</t>
        </is>
      </c>
      <c r="AB8" s="19" t="inlineStr">
        <is>
          <t>Search LinkedIn</t>
        </is>
      </c>
      <c r="AC8" s="18" t="inlineStr">
        <is>
          <t>Round 4</t>
        </is>
      </c>
      <c r="AD8" s="20" t="inlineStr">
        <is>
          <t>Not contacted</t>
        </is>
      </c>
      <c r="AE8" s="21" t="n"/>
      <c r="AF8" s="20" t="n"/>
      <c r="AG8" s="20" t="n"/>
      <c r="AH8" s="20" t="n"/>
      <c r="AI8" s="21">
        <f>IF(AE8="","",WORKDAY(AE8,5))</f>
        <v/>
      </c>
      <c r="AJ8" s="20" t="n"/>
      <c r="AK8" s="20" t="n"/>
    </row>
    <row r="9">
      <c r="A9" s="24" t="inlineStr">
        <is>
          <t>Belgium</t>
        </is>
      </c>
      <c r="B9" s="25" t="n">
        <v>8</v>
      </c>
      <c r="C9" s="17" t="n">
        <v>3</v>
      </c>
      <c r="D9" s="18" t="inlineStr">
        <is>
          <t>Fragrance</t>
        </is>
      </c>
      <c r="E9" s="18" t="inlineStr">
        <is>
          <t>Beautylux</t>
        </is>
      </c>
      <c r="F9" s="19" t="inlineStr">
        <is>
          <t>https://www.beautylux.be</t>
        </is>
      </c>
      <c r="G9" s="18" t="inlineStr">
        <is>
          <t>Brussels (Schaerbeek)</t>
        </is>
      </c>
      <c r="H9" s="18" t="inlineStr"/>
      <c r="I9" s="18" t="inlineStr">
        <is>
          <t>EU / Europe</t>
        </is>
      </c>
      <c r="J9" s="18" t="inlineStr">
        <is>
          <t>Higher</t>
        </is>
      </c>
      <c r="K9" s="18" t="inlineStr">
        <is>
          <t>Rue François Bossaerts, Schaerbeek, Brussels (confirm)</t>
        </is>
      </c>
      <c r="L9" s="18" t="inlineStr">
        <is>
          <t>+32 2 732 .... (see website)</t>
        </is>
      </c>
      <c r="M9" s="18" t="inlineStr"/>
      <c r="N9" s="18" t="inlineStr">
        <is>
          <t>Importer / Distributor</t>
        </is>
      </c>
      <c r="O9" s="18" t="inlineStr">
        <is>
          <t>Pure Altitude, Berdoues, Ariana Grande, Bentley + others; 2,500+ refs</t>
        </is>
      </c>
      <c r="P9" s="18" t="inlineStr">
        <is>
          <t>Designer / celebrity fragrance</t>
        </is>
      </c>
      <c r="Q9" s="18" t="inlineStr">
        <is>
          <t>On request</t>
        </is>
      </c>
      <c r="R9" s="18" t="inlineStr">
        <is>
          <t>Retail accounts</t>
        </is>
      </c>
      <c r="S9" s="18" t="inlineStr">
        <is>
          <t>Check</t>
        </is>
      </c>
      <c r="T9" s="18" t="inlineStr">
        <is>
          <t>Unknown</t>
        </is>
      </c>
      <c r="U9" s="18" t="inlineStr">
        <is>
          <t>Unknown</t>
        </is>
      </c>
      <c r="V9" s="18" t="inlineStr"/>
      <c r="W9" s="18" t="inlineStr">
        <is>
          <t>Established 1980; 450+ points of sale in Benelux</t>
        </is>
      </c>
      <c r="X9" s="18" t="inlineStr">
        <is>
          <t>Official importer for some brands - good invoices</t>
        </is>
      </c>
      <c r="Y9" s="18" t="inlineStr"/>
      <c r="Z9" s="18" t="inlineStr">
        <is>
          <t>Directory - confirm on website</t>
        </is>
      </c>
      <c r="AA9" s="19" t="inlineStr">
        <is>
          <t>Source link</t>
        </is>
      </c>
      <c r="AB9" s="19" t="inlineStr">
        <is>
          <t>Search LinkedIn</t>
        </is>
      </c>
      <c r="AC9" s="18" t="inlineStr">
        <is>
          <t>Round 1</t>
        </is>
      </c>
      <c r="AD9" s="20" t="inlineStr">
        <is>
          <t>Not contacted</t>
        </is>
      </c>
      <c r="AE9" s="21" t="n"/>
      <c r="AF9" s="20" t="n"/>
      <c r="AG9" s="20" t="n"/>
      <c r="AH9" s="20" t="n"/>
      <c r="AI9" s="21">
        <f>IF(AE9="","",WORKDAY(AE9,5))</f>
        <v/>
      </c>
      <c r="AJ9" s="20" t="n"/>
      <c r="AK9" s="20" t="n"/>
    </row>
    <row r="10">
      <c r="A10" s="24" t="inlineStr">
        <is>
          <t>Belgium</t>
        </is>
      </c>
      <c r="B10" s="25" t="n">
        <v>9</v>
      </c>
      <c r="C10" s="17" t="n">
        <v>3</v>
      </c>
      <c r="D10" s="18" t="inlineStr">
        <is>
          <t>Home &amp; Kitchen</t>
        </is>
      </c>
      <c r="E10" s="18" t="inlineStr">
        <is>
          <t>Galico NV</t>
        </is>
      </c>
      <c r="F10" s="19" t="inlineStr">
        <is>
          <t>https://galico.be</t>
        </is>
      </c>
      <c r="G10" s="18" t="inlineStr">
        <is>
          <t>Vichte (West Flanders)</t>
        </is>
      </c>
      <c r="H10" s="18" t="inlineStr"/>
      <c r="I10" s="18" t="inlineStr">
        <is>
          <t>EU / Europe</t>
        </is>
      </c>
      <c r="J10" s="18" t="inlineStr">
        <is>
          <t>Higher</t>
        </is>
      </c>
      <c r="K10" s="18" t="inlineStr">
        <is>
          <t>Oudenaardestraat 49b, B-8570 Vichte</t>
        </is>
      </c>
      <c r="L10" s="18" t="inlineStr">
        <is>
          <t>+32 56 62 69 69</t>
        </is>
      </c>
      <c r="M10" s="18" t="inlineStr">
        <is>
          <t>info@galico.be</t>
        </is>
      </c>
      <c r="N10" s="18" t="inlineStr">
        <is>
          <t>Brand owner / distributor</t>
        </is>
      </c>
      <c r="O10" s="18" t="inlineStr">
        <is>
          <t>Escalo (ladders), Practo Home (storage), Practo Garden, Casibel (household); distributes Grosfillex, Mottez, Garantia, Kendo tools</t>
        </is>
      </c>
      <c r="P10" s="18" t="inlineStr">
        <is>
          <t>Household, storage, ladders, garden, hand tools</t>
        </is>
      </c>
      <c r="Q10" s="18" t="inlineStr">
        <is>
          <t>On request</t>
        </is>
      </c>
      <c r="R10" s="18" t="inlineStr">
        <is>
          <t>Retailers (BE/FR/LU)</t>
        </is>
      </c>
      <c r="S10" s="18" t="inlineStr">
        <is>
          <t>Ask</t>
        </is>
      </c>
      <c r="T10" s="18" t="inlineStr">
        <is>
          <t>Unknown</t>
        </is>
      </c>
      <c r="U10" s="18" t="inlineStr">
        <is>
          <t>Unknown</t>
        </is>
      </c>
      <c r="V10" s="18" t="inlineStr">
        <is>
          <t>BE 0453.670.483</t>
        </is>
      </c>
      <c r="W10" s="18" t="inlineStr">
        <is>
          <t>VAT BE 0453.670.483; B2B portal</t>
        </is>
      </c>
      <c r="X10" s="18" t="inlineStr">
        <is>
          <t>Own brands = direct invoices</t>
        </is>
      </c>
      <c r="Y10" s="18" t="inlineStr">
        <is>
          <t>Also covers DIY (Kendo hand tools, Escalo ladders).</t>
        </is>
      </c>
      <c r="Z10" s="18" t="inlineStr">
        <is>
          <t>Company website (via search)</t>
        </is>
      </c>
      <c r="AA10" s="19" t="inlineStr">
        <is>
          <t>Source link</t>
        </is>
      </c>
      <c r="AB10" s="19" t="inlineStr">
        <is>
          <t>Search LinkedIn</t>
        </is>
      </c>
      <c r="AC10" s="18" t="inlineStr">
        <is>
          <t>Round 2</t>
        </is>
      </c>
      <c r="AD10" s="20" t="inlineStr">
        <is>
          <t>Not contacted</t>
        </is>
      </c>
      <c r="AE10" s="21" t="n"/>
      <c r="AF10" s="20" t="n"/>
      <c r="AG10" s="20" t="n"/>
      <c r="AH10" s="20" t="n"/>
      <c r="AI10" s="21">
        <f>IF(AE10="","",WORKDAY(AE10,5))</f>
        <v/>
      </c>
      <c r="AJ10" s="20" t="n"/>
      <c r="AK10" s="20" t="n"/>
    </row>
    <row r="11">
      <c r="A11" s="24" t="inlineStr">
        <is>
          <t>Belgium</t>
        </is>
      </c>
      <c r="B11" s="25" t="n">
        <v>10</v>
      </c>
      <c r="C11" s="17" t="n">
        <v>4</v>
      </c>
      <c r="D11" s="18" t="inlineStr">
        <is>
          <t>Pet Supplies</t>
        </is>
      </c>
      <c r="E11" s="18" t="inlineStr">
        <is>
          <t>Flamingo Pet Products NV</t>
        </is>
      </c>
      <c r="F11" s="19" t="inlineStr">
        <is>
          <t>https://www.flamingo.be/en/for-companies</t>
        </is>
      </c>
      <c r="G11" s="18" t="inlineStr">
        <is>
          <t>Olen</t>
        </is>
      </c>
      <c r="H11" s="18" t="inlineStr"/>
      <c r="I11" s="18" t="inlineStr">
        <is>
          <t>EU / Europe</t>
        </is>
      </c>
      <c r="J11" s="18" t="inlineStr">
        <is>
          <t>Higher</t>
        </is>
      </c>
      <c r="K11" s="18" t="inlineStr">
        <is>
          <t>Lammerdries-Winkelstraat 25, 2250 Olen</t>
        </is>
      </c>
      <c r="L11" s="18" t="inlineStr">
        <is>
          <t>+32 14 25 84 80</t>
        </is>
      </c>
      <c r="M11" s="18" t="inlineStr">
        <is>
          <t>info@flamingo.be</t>
        </is>
      </c>
      <c r="N11" s="18" t="inlineStr">
        <is>
          <t>Wholesaler / manufacturer</t>
        </is>
      </c>
      <c r="O11" s="18" t="inlineStr">
        <is>
          <t>Flamingo - 10,000+ pet products; private label available</t>
        </is>
      </c>
      <c r="P11" s="18" t="inlineStr">
        <is>
          <t>Pet accessories &amp; toys</t>
        </is>
      </c>
      <c r="Q11" s="18" t="inlineStr">
        <is>
          <t>On request</t>
        </is>
      </c>
      <c r="R11" s="18" t="inlineStr">
        <is>
          <t>Companies - B2B section on website</t>
        </is>
      </c>
      <c r="S11" s="18" t="inlineStr">
        <is>
          <t>Ask</t>
        </is>
      </c>
      <c r="T11" s="18" t="inlineStr">
        <is>
          <t>Unknown</t>
        </is>
      </c>
      <c r="U11" s="18" t="inlineStr">
        <is>
          <t>Unknown</t>
        </is>
      </c>
      <c r="V11" s="18" t="inlineStr"/>
      <c r="W11" s="18" t="inlineStr">
        <is>
          <t>Interzoo &amp; Zoomark exhibitor; long-established</t>
        </is>
      </c>
      <c r="X11" s="18" t="inlineStr"/>
      <c r="Y11" s="18" t="inlineStr"/>
      <c r="Z11" s="18" t="inlineStr">
        <is>
          <t>Trade show listings</t>
        </is>
      </c>
      <c r="AA11" s="19" t="inlineStr">
        <is>
          <t>Source link</t>
        </is>
      </c>
      <c r="AB11" s="19" t="inlineStr">
        <is>
          <t>Search LinkedIn</t>
        </is>
      </c>
      <c r="AC11" s="18" t="inlineStr">
        <is>
          <t>Round 2</t>
        </is>
      </c>
      <c r="AD11" s="20" t="inlineStr">
        <is>
          <t>Not contacted</t>
        </is>
      </c>
      <c r="AE11" s="21" t="n"/>
      <c r="AF11" s="20" t="n"/>
      <c r="AG11" s="20" t="n"/>
      <c r="AH11" s="20" t="n"/>
      <c r="AI11" s="21">
        <f>IF(AE11="","",WORKDAY(AE11,5))</f>
        <v/>
      </c>
      <c r="AJ11" s="20" t="n"/>
      <c r="AK11" s="20" t="n"/>
    </row>
    <row r="12">
      <c r="A12" s="24" t="inlineStr">
        <is>
          <t>Belgium</t>
        </is>
      </c>
      <c r="B12" s="25" t="n">
        <v>11</v>
      </c>
      <c r="C12" s="17" t="n">
        <v>4</v>
      </c>
      <c r="D12" s="18" t="inlineStr">
        <is>
          <t>Pet Supplies</t>
        </is>
      </c>
      <c r="E12" s="18" t="inlineStr">
        <is>
          <t>Savic NV</t>
        </is>
      </c>
      <c r="F12" s="19" t="inlineStr">
        <is>
          <t>https://www.savic.be</t>
        </is>
      </c>
      <c r="G12" s="18" t="inlineStr">
        <is>
          <t>Heule (Kortrijk)</t>
        </is>
      </c>
      <c r="H12" s="18" t="inlineStr"/>
      <c r="I12" s="18" t="inlineStr">
        <is>
          <t>EU / Europe</t>
        </is>
      </c>
      <c r="J12" s="18" t="inlineStr">
        <is>
          <t>Higher</t>
        </is>
      </c>
      <c r="K12" s="18" t="inlineStr">
        <is>
          <t>Ringlaan 10, 8501 Heule</t>
        </is>
      </c>
      <c r="L12" s="18" t="inlineStr">
        <is>
          <t>+32 65 35 33 45</t>
        </is>
      </c>
      <c r="M12" s="18" t="inlineStr">
        <is>
          <t>info@savic.be (verify)</t>
        </is>
      </c>
      <c r="N12" s="18" t="inlineStr">
        <is>
          <t>Brand owner / manufacturer</t>
        </is>
      </c>
      <c r="O12" s="18" t="inlineStr">
        <is>
          <t>Savic small-animal cages, cat litter trays, dog &amp; bird products</t>
        </is>
      </c>
      <c r="P12" s="18" t="inlineStr">
        <is>
          <t>Pet habitats &amp; accessories</t>
        </is>
      </c>
      <c r="Q12" s="18" t="inlineStr">
        <is>
          <t>On request</t>
        </is>
      </c>
      <c r="R12" s="18" t="inlineStr">
        <is>
          <t>Distributors &amp; retailers</t>
        </is>
      </c>
      <c r="S12" s="18" t="inlineStr">
        <is>
          <t>Sold in 73-80+ countries - ask</t>
        </is>
      </c>
      <c r="T12" s="18" t="inlineStr">
        <is>
          <t>Unknown</t>
        </is>
      </c>
      <c r="U12" s="18" t="inlineStr">
        <is>
          <t>Unknown</t>
        </is>
      </c>
      <c r="V12" s="18" t="inlineStr"/>
      <c r="W12" s="18" t="inlineStr">
        <is>
          <t>Family business; Interzoo exhibitor; Head of Intl Sales Pascal Nichelson</t>
        </is>
      </c>
      <c r="X12" s="18" t="inlineStr"/>
      <c r="Y12" s="18" t="inlineStr"/>
      <c r="Z12" s="18" t="inlineStr">
        <is>
          <t>Trade directories + trade fair</t>
        </is>
      </c>
      <c r="AA12" s="19" t="inlineStr">
        <is>
          <t>Source link</t>
        </is>
      </c>
      <c r="AB12" s="19" t="inlineStr">
        <is>
          <t>Search LinkedIn</t>
        </is>
      </c>
      <c r="AC12" s="18" t="inlineStr">
        <is>
          <t>Round 4</t>
        </is>
      </c>
      <c r="AD12" s="20" t="inlineStr">
        <is>
          <t>Not contacted</t>
        </is>
      </c>
      <c r="AE12" s="21" t="n"/>
      <c r="AF12" s="20" t="n"/>
      <c r="AG12" s="20" t="n"/>
      <c r="AH12" s="20" t="n"/>
      <c r="AI12" s="21">
        <f>IF(AE12="","",WORKDAY(AE12,5))</f>
        <v/>
      </c>
      <c r="AJ12" s="20" t="n"/>
      <c r="AK12" s="20" t="n"/>
    </row>
    <row r="13">
      <c r="A13" s="24" t="inlineStr">
        <is>
          <t>Belgium</t>
        </is>
      </c>
      <c r="B13" s="25" t="n">
        <v>12</v>
      </c>
      <c r="C13" s="17" t="n">
        <v>3</v>
      </c>
      <c r="D13" s="18" t="inlineStr">
        <is>
          <t>Pet Supplies</t>
        </is>
      </c>
      <c r="E13" s="18" t="inlineStr">
        <is>
          <t>Laroy Group (Duvo+)</t>
        </is>
      </c>
      <c r="F13" s="18" t="inlineStr">
        <is>
          <t>Not confirmed - search company name</t>
        </is>
      </c>
      <c r="G13" s="18" t="inlineStr">
        <is>
          <t>Wondelgem (Ghent)</t>
        </is>
      </c>
      <c r="H13" s="18" t="inlineStr"/>
      <c r="I13" s="18" t="inlineStr">
        <is>
          <t>EU / Europe</t>
        </is>
      </c>
      <c r="J13" s="18" t="inlineStr">
        <is>
          <t>Higher</t>
        </is>
      </c>
      <c r="K13" s="18" t="inlineStr">
        <is>
          <t>Industrieweg 98-100, 9032 Wondelgem</t>
        </is>
      </c>
      <c r="L13" s="18" t="inlineStr"/>
      <c r="M13" s="18" t="inlineStr"/>
      <c r="N13" s="18" t="inlineStr">
        <is>
          <t>Manufacturer &amp; distributor</t>
        </is>
      </c>
      <c r="O13" s="18" t="inlineStr">
        <is>
          <t>Duvo+, Witte Molen, CéDé - 10,000+ products</t>
        </is>
      </c>
      <c r="P13" s="18" t="inlineStr">
        <is>
          <t>Pet food &amp; accessories</t>
        </is>
      </c>
      <c r="Q13" s="18" t="inlineStr">
        <is>
          <t>On request</t>
        </is>
      </c>
      <c r="R13" s="18" t="inlineStr">
        <is>
          <t>Pet shops &amp; international trade partners</t>
        </is>
      </c>
      <c r="S13" s="18" t="inlineStr">
        <is>
          <t>Ask</t>
        </is>
      </c>
      <c r="T13" s="18" t="inlineStr">
        <is>
          <t>Unknown</t>
        </is>
      </c>
      <c r="U13" s="18" t="inlineStr">
        <is>
          <t>Unknown</t>
        </is>
      </c>
      <c r="V13" s="18" t="inlineStr"/>
      <c r="W13" s="18" t="inlineStr">
        <is>
          <t>Major Belgian pet group (Laroy Duvo + CéDé + Witte Molen)</t>
        </is>
      </c>
      <c r="X13" s="18" t="inlineStr"/>
      <c r="Y13" s="18" t="inlineStr"/>
      <c r="Z13" s="18" t="inlineStr">
        <is>
          <t>Trade press</t>
        </is>
      </c>
      <c r="AA13" s="19" t="inlineStr">
        <is>
          <t>Source link</t>
        </is>
      </c>
      <c r="AB13" s="19" t="inlineStr">
        <is>
          <t>Search LinkedIn</t>
        </is>
      </c>
      <c r="AC13" s="18" t="inlineStr">
        <is>
          <t>Round 3</t>
        </is>
      </c>
      <c r="AD13" s="20" t="inlineStr">
        <is>
          <t>Not contacted</t>
        </is>
      </c>
      <c r="AE13" s="21" t="n"/>
      <c r="AF13" s="20" t="n"/>
      <c r="AG13" s="20" t="n"/>
      <c r="AH13" s="20" t="n"/>
      <c r="AI13" s="21">
        <f>IF(AE13="","",WORKDAY(AE13,5))</f>
        <v/>
      </c>
      <c r="AJ13" s="20" t="n"/>
      <c r="AK13" s="20" t="n"/>
    </row>
    <row r="14">
      <c r="A14" s="24" t="inlineStr">
        <is>
          <t>Belgium</t>
        </is>
      </c>
      <c r="B14" s="25" t="n">
        <v>13</v>
      </c>
      <c r="C14" s="17" t="n">
        <v>3</v>
      </c>
      <c r="D14" s="18" t="inlineStr">
        <is>
          <t>Pet Supplies</t>
        </is>
      </c>
      <c r="E14" s="18" t="inlineStr">
        <is>
          <t>Moderna Products NV</t>
        </is>
      </c>
      <c r="F14" s="19" t="inlineStr">
        <is>
          <t>https://www.modernaproducts.com</t>
        </is>
      </c>
      <c r="G14" s="18" t="inlineStr">
        <is>
          <t>Izegem</t>
        </is>
      </c>
      <c r="H14" s="18" t="inlineStr"/>
      <c r="I14" s="18" t="inlineStr">
        <is>
          <t>EU / Europe</t>
        </is>
      </c>
      <c r="J14" s="18" t="inlineStr">
        <is>
          <t>Higher</t>
        </is>
      </c>
      <c r="K14" s="18" t="inlineStr">
        <is>
          <t>Zuidkaai 35, 8870 Izegem</t>
        </is>
      </c>
      <c r="L14" s="18" t="inlineStr"/>
      <c r="M14" s="18" t="inlineStr"/>
      <c r="N14" s="18" t="inlineStr">
        <is>
          <t>Manufacturer &amp; distributor</t>
        </is>
      </c>
      <c r="O14" s="18" t="inlineStr">
        <is>
          <t>Moderna litter boxes, bowls, carriers, storage (also private label)</t>
        </is>
      </c>
      <c r="P14" s="18" t="inlineStr">
        <is>
          <t>Pet plastics</t>
        </is>
      </c>
      <c r="Q14" s="18" t="inlineStr">
        <is>
          <t>On request</t>
        </is>
      </c>
      <c r="R14" s="18" t="inlineStr">
        <is>
          <t>Distributors &amp; retailers</t>
        </is>
      </c>
      <c r="S14" s="18" t="inlineStr">
        <is>
          <t>Exports to 60-79 countries - ask</t>
        </is>
      </c>
      <c r="T14" s="18" t="inlineStr">
        <is>
          <t>Unknown</t>
        </is>
      </c>
      <c r="U14" s="18" t="inlineStr">
        <is>
          <t>Unknown</t>
        </is>
      </c>
      <c r="V14" s="18" t="inlineStr"/>
      <c r="W14" s="18" t="inlineStr">
        <is>
          <t>3rd-generation family business; production in BE &amp; US; Interzoo exhibitor</t>
        </is>
      </c>
      <c r="X14" s="18" t="inlineStr"/>
      <c r="Y14" s="18" t="inlineStr"/>
      <c r="Z14" s="18" t="inlineStr">
        <is>
          <t>Trade fair listing</t>
        </is>
      </c>
      <c r="AA14" s="19" t="inlineStr">
        <is>
          <t>Source link</t>
        </is>
      </c>
      <c r="AB14" s="19" t="inlineStr">
        <is>
          <t>Search LinkedIn</t>
        </is>
      </c>
      <c r="AC14" s="18" t="inlineStr">
        <is>
          <t>Round 4</t>
        </is>
      </c>
      <c r="AD14" s="20" t="inlineStr">
        <is>
          <t>Not contacted</t>
        </is>
      </c>
      <c r="AE14" s="21" t="n"/>
      <c r="AF14" s="20" t="n"/>
      <c r="AG14" s="20" t="n"/>
      <c r="AH14" s="20" t="n"/>
      <c r="AI14" s="21">
        <f>IF(AE14="","",WORKDAY(AE14,5))</f>
        <v/>
      </c>
      <c r="AJ14" s="20" t="n"/>
      <c r="AK14" s="20" t="n"/>
    </row>
    <row r="15">
      <c r="A15" s="24" t="inlineStr">
        <is>
          <t>Belgium</t>
        </is>
      </c>
      <c r="B15" s="25" t="n">
        <v>14</v>
      </c>
      <c r="C15" s="17" t="n">
        <v>3</v>
      </c>
      <c r="D15" s="18" t="inlineStr">
        <is>
          <t>Pet Supplies</t>
        </is>
      </c>
      <c r="E15" s="18" t="inlineStr">
        <is>
          <t>Vadigran NV</t>
        </is>
      </c>
      <c r="F15" s="19" t="inlineStr">
        <is>
          <t>https://www.vadigran.com</t>
        </is>
      </c>
      <c r="G15" s="18" t="inlineStr">
        <is>
          <t>Ghislenghien</t>
        </is>
      </c>
      <c r="H15" s="18" t="inlineStr"/>
      <c r="I15" s="18" t="inlineStr">
        <is>
          <t>EU / Europe</t>
        </is>
      </c>
      <c r="J15" s="18" t="inlineStr">
        <is>
          <t>Higher</t>
        </is>
      </c>
      <c r="K15" s="18" t="inlineStr">
        <is>
          <t>Chemin Preuscamps 20B, 7822 Ghislenghien (BE0431.312.379)</t>
        </is>
      </c>
      <c r="L15" s="18" t="inlineStr">
        <is>
          <t>+32 68 26 96 40</t>
        </is>
      </c>
      <c r="M15" s="18" t="inlineStr"/>
      <c r="N15" s="18" t="inlineStr">
        <is>
          <t>Distributor / manufacturer</t>
        </is>
      </c>
      <c r="O15" s="18" t="inlineStr">
        <is>
          <t>~6,000 pet products (food &amp; accessories) in 40 countries</t>
        </is>
      </c>
      <c r="P15" s="18" t="inlineStr">
        <is>
          <t>Pet food &amp; accessories</t>
        </is>
      </c>
      <c r="Q15" s="18" t="inlineStr">
        <is>
          <t>On request</t>
        </is>
      </c>
      <c r="R15" s="18" t="inlineStr">
        <is>
          <t>Retailers; currently recruiting distributors</t>
        </is>
      </c>
      <c r="S15" s="18" t="inlineStr">
        <is>
          <t>Ask</t>
        </is>
      </c>
      <c r="T15" s="18" t="inlineStr">
        <is>
          <t>Unknown</t>
        </is>
      </c>
      <c r="U15" s="18" t="inlineStr">
        <is>
          <t>Unknown</t>
        </is>
      </c>
      <c r="V15" s="18" t="inlineStr">
        <is>
          <t>BE0431.312.379</t>
        </is>
      </c>
      <c r="W15" s="18" t="inlineStr">
        <is>
          <t>Interzoo exhibitor; Belgian registry</t>
        </is>
      </c>
      <c r="X15" s="18" t="inlineStr"/>
      <c r="Y15" s="18" t="inlineStr">
        <is>
          <t>Actively recruiting distributors.</t>
        </is>
      </c>
      <c r="Z15" s="18" t="inlineStr">
        <is>
          <t>Trade directory + registry + trade fair</t>
        </is>
      </c>
      <c r="AA15" s="19" t="inlineStr">
        <is>
          <t>Source link</t>
        </is>
      </c>
      <c r="AB15" s="19" t="inlineStr">
        <is>
          <t>Search LinkedIn</t>
        </is>
      </c>
      <c r="AC15" s="18" t="inlineStr">
        <is>
          <t>Round 4</t>
        </is>
      </c>
      <c r="AD15" s="20" t="inlineStr">
        <is>
          <t>Not contacted</t>
        </is>
      </c>
      <c r="AE15" s="21" t="n"/>
      <c r="AF15" s="20" t="n"/>
      <c r="AG15" s="20" t="n"/>
      <c r="AH15" s="20" t="n"/>
      <c r="AI15" s="21">
        <f>IF(AE15="","",WORKDAY(AE15,5))</f>
        <v/>
      </c>
      <c r="AJ15" s="20" t="n"/>
      <c r="AK15" s="20" t="n"/>
    </row>
    <row r="16">
      <c r="A16" s="8" t="inlineStr">
        <is>
          <t>Bulgaria</t>
        </is>
      </c>
      <c r="B16" s="9" t="n">
        <v>15</v>
      </c>
      <c r="C16" s="10" t="n">
        <v>2</v>
      </c>
      <c r="D16" s="11" t="inlineStr">
        <is>
          <t>Baby Products</t>
        </is>
      </c>
      <c r="E16" s="11" t="inlineStr">
        <is>
          <t>Iventas</t>
        </is>
      </c>
      <c r="F16" s="12" t="inlineStr">
        <is>
          <t>https://bulmedica.bg/en/main/iventas-2/</t>
        </is>
      </c>
      <c r="G16" s="11" t="inlineStr">
        <is>
          <t>Sofia</t>
        </is>
      </c>
      <c r="H16" s="11" t="inlineStr"/>
      <c r="I16" s="11" t="inlineStr">
        <is>
          <t>EU / Europe</t>
        </is>
      </c>
      <c r="J16" s="11" t="inlineStr">
        <is>
          <t>Low-cost</t>
        </is>
      </c>
      <c r="K16" s="11" t="inlineStr"/>
      <c r="L16" s="11" t="inlineStr"/>
      <c r="M16" s="11" t="inlineStr"/>
      <c r="N16" s="11" t="inlineStr">
        <is>
          <t>Importer / national distributor</t>
        </is>
      </c>
      <c r="O16" s="11" t="inlineStr">
        <is>
          <t>Philips AVENT, Philips Sonicare, Tommee Tippee + others</t>
        </is>
      </c>
      <c r="P16" s="11" t="inlineStr">
        <is>
          <t>Baby feeding / personal care</t>
        </is>
      </c>
      <c r="Q16" s="11" t="inlineStr">
        <is>
          <t>On request</t>
        </is>
      </c>
      <c r="R16" s="11" t="inlineStr">
        <is>
          <t>Trade</t>
        </is>
      </c>
      <c r="S16" s="11" t="inlineStr">
        <is>
          <t>Bulgaria territory - ask about export</t>
        </is>
      </c>
      <c r="T16" s="11" t="inlineStr">
        <is>
          <t>Unknown</t>
        </is>
      </c>
      <c r="U16" s="11" t="inlineStr">
        <is>
          <t>Unknown</t>
        </is>
      </c>
      <c r="V16" s="11" t="inlineStr"/>
      <c r="W16" s="11" t="inlineStr">
        <is>
          <t>Official national distributor (Bulmedica group)</t>
        </is>
      </c>
      <c r="X16" s="11" t="inlineStr"/>
      <c r="Y16" s="11" t="inlineStr"/>
      <c r="Z16" s="11" t="inlineStr">
        <is>
          <t>Company website (via search)</t>
        </is>
      </c>
      <c r="AA16" s="12" t="inlineStr">
        <is>
          <t>Source link</t>
        </is>
      </c>
      <c r="AB16" s="12" t="inlineStr">
        <is>
          <t>Search LinkedIn</t>
        </is>
      </c>
      <c r="AC16" s="11" t="inlineStr">
        <is>
          <t>Round 2</t>
        </is>
      </c>
      <c r="AD16" s="13" t="inlineStr">
        <is>
          <t>Not contacted</t>
        </is>
      </c>
      <c r="AE16" s="14" t="n"/>
      <c r="AF16" s="13" t="n"/>
      <c r="AG16" s="13" t="n"/>
      <c r="AH16" s="13" t="n"/>
      <c r="AI16" s="14">
        <f>IF(AE16="","",WORKDAY(AE16,5))</f>
        <v/>
      </c>
      <c r="AJ16" s="13" t="n"/>
      <c r="AK16" s="13" t="n"/>
    </row>
    <row r="17">
      <c r="A17" s="15" t="inlineStr">
        <is>
          <t>Bulgaria</t>
        </is>
      </c>
      <c r="B17" s="16" t="n">
        <v>16</v>
      </c>
      <c r="C17" s="17" t="n">
        <v>4</v>
      </c>
      <c r="D17" s="18" t="inlineStr">
        <is>
          <t>Beauty</t>
        </is>
      </c>
      <c r="E17" s="26" t="inlineStr">
        <is>
          <t>Bulgarian Rose AD (Bulgarska Roza Karlovo)</t>
        </is>
      </c>
      <c r="F17" s="18" t="inlineStr">
        <is>
          <t>Not confirmed - search company name</t>
        </is>
      </c>
      <c r="G17" s="18" t="inlineStr">
        <is>
          <t>Karlovo</t>
        </is>
      </c>
      <c r="H17" s="18" t="inlineStr"/>
      <c r="I17" s="18" t="inlineStr">
        <is>
          <t>EU / Europe</t>
        </is>
      </c>
      <c r="J17" s="18" t="inlineStr">
        <is>
          <t>Low-cost</t>
        </is>
      </c>
      <c r="K17" s="18" t="inlineStr">
        <is>
          <t>Industrial Zone 1, 4300 Karlovo</t>
        </is>
      </c>
      <c r="L17" s="18" t="inlineStr"/>
      <c r="M17" s="18" t="inlineStr"/>
      <c r="N17" s="18" t="inlineStr">
        <is>
          <t>Manufacturer (listed)</t>
        </is>
      </c>
      <c r="O17" s="18" t="inlineStr">
        <is>
          <t>Bulgarian Rose rose-oil skincare, hair &amp; body care</t>
        </is>
      </c>
      <c r="P17" s="18" t="inlineStr">
        <is>
          <t>Rose cosmetics</t>
        </is>
      </c>
      <c r="Q17" s="18" t="inlineStr">
        <is>
          <t>On request</t>
        </is>
      </c>
      <c r="R17" s="18" t="inlineStr">
        <is>
          <t>Export to 40+ countries; distributors</t>
        </is>
      </c>
      <c r="S17" s="18" t="inlineStr">
        <is>
          <t>Ask</t>
        </is>
      </c>
      <c r="T17" s="18" t="inlineStr">
        <is>
          <t>Unknown</t>
        </is>
      </c>
      <c r="U17" s="18" t="inlineStr">
        <is>
          <t>Unknown</t>
        </is>
      </c>
      <c r="V17" s="18" t="inlineStr">
        <is>
          <t>EIK 115009344</t>
        </is>
      </c>
      <c r="W17" s="18" t="inlineStr">
        <is>
          <t>Listed on Bulgarian Stock Exchange; EIK 115009344; Stara Planina Hold group; founded 1948</t>
        </is>
      </c>
      <c r="X17" s="18" t="inlineStr">
        <is>
          <t>Rose skincare at very low unit cost - good margin on gift sets</t>
        </is>
      </c>
      <c r="Y17" s="18" t="inlineStr"/>
      <c r="Z17" s="18" t="inlineStr">
        <is>
          <t>Stock exchange profile + business registry</t>
        </is>
      </c>
      <c r="AA17" s="19" t="inlineStr">
        <is>
          <t>Source link</t>
        </is>
      </c>
      <c r="AB17" s="19" t="inlineStr">
        <is>
          <t>Search LinkedIn</t>
        </is>
      </c>
      <c r="AC17" s="18" t="inlineStr">
        <is>
          <t>Round 5</t>
        </is>
      </c>
      <c r="AD17" s="20" t="inlineStr">
        <is>
          <t>Not contacted</t>
        </is>
      </c>
      <c r="AE17" s="21" t="n"/>
      <c r="AF17" s="20" t="n"/>
      <c r="AG17" s="20" t="n"/>
      <c r="AH17" s="20" t="n"/>
      <c r="AI17" s="21">
        <f>IF(AE17="","",WORKDAY(AE17,5))</f>
        <v/>
      </c>
      <c r="AJ17" s="20" t="n"/>
      <c r="AK17" s="20" t="n"/>
    </row>
    <row r="18">
      <c r="A18" s="15" t="inlineStr">
        <is>
          <t>Bulgaria</t>
        </is>
      </c>
      <c r="B18" s="16" t="n">
        <v>17</v>
      </c>
      <c r="C18" s="17" t="n">
        <v>3</v>
      </c>
      <c r="D18" s="18" t="inlineStr">
        <is>
          <t>Beauty</t>
        </is>
      </c>
      <c r="E18" s="26" t="inlineStr">
        <is>
          <t>Lema Kazanlak (rose distillery)</t>
        </is>
      </c>
      <c r="F18" s="19" t="inlineStr">
        <is>
          <t>http://www.lemabg.com</t>
        </is>
      </c>
      <c r="G18" s="18" t="inlineStr">
        <is>
          <t>Kazanlak</t>
        </is>
      </c>
      <c r="H18" s="18" t="inlineStr"/>
      <c r="I18" s="18" t="inlineStr">
        <is>
          <t>EU / Europe</t>
        </is>
      </c>
      <c r="J18" s="18" t="inlineStr">
        <is>
          <t>Low-cost</t>
        </is>
      </c>
      <c r="K18" s="18" t="inlineStr">
        <is>
          <t>Southern Industrial Zone, Kazanlak</t>
        </is>
      </c>
      <c r="L18" s="18" t="inlineStr"/>
      <c r="M18" s="18" t="inlineStr"/>
      <c r="N18" s="18" t="inlineStr">
        <is>
          <t>Producer / manufacturer</t>
        </is>
      </c>
      <c r="O18" s="18" t="inlineStr">
        <is>
          <t>Lema rose oil, rose water, rose cosmetics</t>
        </is>
      </c>
      <c r="P18" s="18" t="inlineStr">
        <is>
          <t>Rose water &amp; oils</t>
        </is>
      </c>
      <c r="Q18" s="18" t="inlineStr">
        <is>
          <t>On request</t>
        </is>
      </c>
      <c r="R18" s="18" t="inlineStr">
        <is>
          <t>Direct inquiry</t>
        </is>
      </c>
      <c r="S18" s="18" t="inlineStr">
        <is>
          <t>Ask</t>
        </is>
      </c>
      <c r="T18" s="18" t="inlineStr">
        <is>
          <t>Unknown</t>
        </is>
      </c>
      <c r="U18" s="18" t="inlineStr">
        <is>
          <t>Unknown</t>
        </is>
      </c>
      <c r="V18" s="18" t="inlineStr"/>
      <c r="W18" s="18" t="inlineStr">
        <is>
          <t>Listed by the Bulgarian Ministry of Tourism; own Rosa Damascena plantations</t>
        </is>
      </c>
      <c r="X18" s="18" t="inlineStr">
        <is>
          <t>Rose water toners sell well; check cosmetics compliance (UK RP / CPNP)</t>
        </is>
      </c>
      <c r="Y18" s="18" t="inlineStr">
        <is>
          <t>Make sure UK cosmetics labelling and a Responsible Person are in place</t>
        </is>
      </c>
      <c r="Z18" s="18" t="inlineStr">
        <is>
          <t>Government tourism listing + distributor page</t>
        </is>
      </c>
      <c r="AA18" s="19" t="inlineStr">
        <is>
          <t>Source link</t>
        </is>
      </c>
      <c r="AB18" s="19" t="inlineStr">
        <is>
          <t>Search LinkedIn</t>
        </is>
      </c>
      <c r="AC18" s="18" t="inlineStr">
        <is>
          <t>Round 5</t>
        </is>
      </c>
      <c r="AD18" s="20" t="inlineStr">
        <is>
          <t>Not contacted</t>
        </is>
      </c>
      <c r="AE18" s="21" t="n"/>
      <c r="AF18" s="20" t="n"/>
      <c r="AG18" s="20" t="n"/>
      <c r="AH18" s="20" t="n"/>
      <c r="AI18" s="21">
        <f>IF(AE18="","",WORKDAY(AE18,5))</f>
        <v/>
      </c>
      <c r="AJ18" s="20" t="n"/>
      <c r="AK18" s="20" t="n"/>
    </row>
    <row r="19">
      <c r="A19" s="15" t="inlineStr">
        <is>
          <t>Bulgaria</t>
        </is>
      </c>
      <c r="B19" s="16" t="n">
        <v>18</v>
      </c>
      <c r="C19" s="17" t="n">
        <v>3</v>
      </c>
      <c r="D19" s="18" t="inlineStr">
        <is>
          <t>Home &amp; Kitchen</t>
        </is>
      </c>
      <c r="E19" s="26" t="inlineStr">
        <is>
          <t>Parmash AD</t>
        </is>
      </c>
      <c r="F19" s="18" t="inlineStr">
        <is>
          <t>Not confirmed - search company name</t>
        </is>
      </c>
      <c r="G19" s="18" t="inlineStr">
        <is>
          <t>Sliven</t>
        </is>
      </c>
      <c r="H19" s="18" t="inlineStr"/>
      <c r="I19" s="18" t="inlineStr">
        <is>
          <t>EU / Europe</t>
        </is>
      </c>
      <c r="J19" s="18" t="inlineStr">
        <is>
          <t>Low-cost</t>
        </is>
      </c>
      <c r="K19" s="18" t="inlineStr">
        <is>
          <t>Debela Koria, Stopanski dvor 1, 8800 Sliven</t>
        </is>
      </c>
      <c r="L19" s="18" t="inlineStr">
        <is>
          <t>+359 44 667 308</t>
        </is>
      </c>
      <c r="M19" s="18" t="inlineStr"/>
      <c r="N19" s="18" t="inlineStr">
        <is>
          <t>Manufacturer</t>
        </is>
      </c>
      <c r="O19" s="18" t="inlineStr">
        <is>
          <t>Clothes dryers/airers, ironing boards, plate racks, household ladders</t>
        </is>
      </c>
      <c r="P19" s="18" t="inlineStr">
        <is>
          <t>Laundry &amp; household</t>
        </is>
      </c>
      <c r="Q19" s="18" t="inlineStr">
        <is>
          <t>On request</t>
        </is>
      </c>
      <c r="R19" s="18" t="inlineStr">
        <is>
          <t>Retail chains in BG, DE, RO, IT, RS, MK</t>
        </is>
      </c>
      <c r="S19" s="18" t="inlineStr">
        <is>
          <t>Ask</t>
        </is>
      </c>
      <c r="T19" s="18" t="inlineStr">
        <is>
          <t>Unknown</t>
        </is>
      </c>
      <c r="U19" s="18" t="inlineStr">
        <is>
          <t>Unknown</t>
        </is>
      </c>
      <c r="V19" s="18" t="inlineStr"/>
      <c r="W19" s="18" t="inlineStr">
        <is>
          <t>Ambiente 2025 exhibitor; joint-stock company (AD)</t>
        </is>
      </c>
      <c r="X19" s="18" t="inlineStr">
        <is>
          <t>Airers &amp; ironing boards are oversize - compare FBM vs FBA</t>
        </is>
      </c>
      <c r="Y19" s="18" t="inlineStr"/>
      <c r="Z19" s="18" t="inlineStr">
        <is>
          <t>Trade fair exhibitor listing</t>
        </is>
      </c>
      <c r="AA19" s="19" t="inlineStr">
        <is>
          <t>Source link</t>
        </is>
      </c>
      <c r="AB19" s="19" t="inlineStr">
        <is>
          <t>Search LinkedIn</t>
        </is>
      </c>
      <c r="AC19" s="18" t="inlineStr">
        <is>
          <t>Round 5</t>
        </is>
      </c>
      <c r="AD19" s="20" t="inlineStr">
        <is>
          <t>Not contacted</t>
        </is>
      </c>
      <c r="AE19" s="21" t="n"/>
      <c r="AF19" s="20" t="n"/>
      <c r="AG19" s="20" t="n"/>
      <c r="AH19" s="20" t="n"/>
      <c r="AI19" s="21">
        <f>IF(AE19="","",WORKDAY(AE19,5))</f>
        <v/>
      </c>
      <c r="AJ19" s="20" t="n"/>
      <c r="AK19" s="20" t="n"/>
    </row>
    <row r="20">
      <c r="A20" s="22" t="inlineStr">
        <is>
          <t>Croatia</t>
        </is>
      </c>
      <c r="B20" s="23" t="n">
        <v>19</v>
      </c>
      <c r="C20" s="10" t="n">
        <v>3</v>
      </c>
      <c r="D20" s="11" t="inlineStr">
        <is>
          <t>Health &amp; Personal Care</t>
        </is>
      </c>
      <c r="E20" s="27" t="inlineStr">
        <is>
          <t>Saponia d.d.</t>
        </is>
      </c>
      <c r="F20" s="12" t="inlineStr">
        <is>
          <t>https://www.saponia.hr</t>
        </is>
      </c>
      <c r="G20" s="11" t="inlineStr">
        <is>
          <t>Osijek</t>
        </is>
      </c>
      <c r="H20" s="11" t="inlineStr"/>
      <c r="I20" s="11" t="inlineStr">
        <is>
          <t>EU / Europe</t>
        </is>
      </c>
      <c r="J20" s="11" t="inlineStr">
        <is>
          <t>Low-cost</t>
        </is>
      </c>
      <c r="K20" s="11" t="inlineStr">
        <is>
          <t>M. Gupca 2, 31000 Osijek</t>
        </is>
      </c>
      <c r="L20" s="11" t="inlineStr">
        <is>
          <t>+385 31 513 513</t>
        </is>
      </c>
      <c r="M20" s="11" t="inlineStr"/>
      <c r="N20" s="11" t="inlineStr">
        <is>
          <t>Manufacturer (listed)</t>
        </is>
      </c>
      <c r="O20" s="11" t="inlineStr">
        <is>
          <t>Kalodont toothpaste, Arf, Faks, Ornel, liquid soaps, detergents</t>
        </is>
      </c>
      <c r="P20" s="11" t="inlineStr">
        <is>
          <t>Personal &amp; home care</t>
        </is>
      </c>
      <c r="Q20" s="11" t="inlineStr">
        <is>
          <t>Pallet / account based</t>
        </is>
      </c>
      <c r="R20" s="11" t="inlineStr">
        <is>
          <t>Export to 15+ countries incl. DE, PL, HU, US</t>
        </is>
      </c>
      <c r="S20" s="11" t="inlineStr">
        <is>
          <t>Ask</t>
        </is>
      </c>
      <c r="T20" s="11" t="inlineStr">
        <is>
          <t>Unknown</t>
        </is>
      </c>
      <c r="U20" s="11" t="inlineStr">
        <is>
          <t>Unknown</t>
        </is>
      </c>
      <c r="V20" s="11" t="inlineStr"/>
      <c r="W20" s="11" t="inlineStr">
        <is>
          <t>Listed on Zagreb Stock Exchange; ~EUR 133m revenue (2024); 725 staff</t>
        </is>
      </c>
      <c r="X20" s="11" t="inlineStr">
        <is>
          <t>Toothpaste &amp; soaps: low unit cost; detergents are heavy</t>
        </is>
      </c>
      <c r="Y20" s="11" t="inlineStr"/>
      <c r="Z20" s="11" t="inlineStr">
        <is>
          <t>Stock exchange filings + business registry</t>
        </is>
      </c>
      <c r="AA20" s="12" t="inlineStr">
        <is>
          <t>Source link</t>
        </is>
      </c>
      <c r="AB20" s="12" t="inlineStr">
        <is>
          <t>Search LinkedIn</t>
        </is>
      </c>
      <c r="AC20" s="11" t="inlineStr">
        <is>
          <t>Round 5</t>
        </is>
      </c>
      <c r="AD20" s="13" t="inlineStr">
        <is>
          <t>Not contacted</t>
        </is>
      </c>
      <c r="AE20" s="14" t="n"/>
      <c r="AF20" s="13" t="n"/>
      <c r="AG20" s="13" t="n"/>
      <c r="AH20" s="13" t="n"/>
      <c r="AI20" s="14">
        <f>IF(AE20="","",WORKDAY(AE20,5))</f>
        <v/>
      </c>
      <c r="AJ20" s="13" t="n"/>
      <c r="AK20" s="13" t="n"/>
    </row>
    <row r="21">
      <c r="A21" s="8" t="inlineStr">
        <is>
          <t>Czech Republic</t>
        </is>
      </c>
      <c r="B21" s="9" t="n">
        <v>20</v>
      </c>
      <c r="C21" s="10" t="n">
        <v>3</v>
      </c>
      <c r="D21" s="11" t="inlineStr">
        <is>
          <t>Beauty</t>
        </is>
      </c>
      <c r="E21" s="27" t="inlineStr">
        <is>
          <t>Dermacol a.s.</t>
        </is>
      </c>
      <c r="F21" s="12" t="inlineStr">
        <is>
          <t>https://www.dermacol.cz</t>
        </is>
      </c>
      <c r="G21" s="11" t="inlineStr">
        <is>
          <t>Prague</t>
        </is>
      </c>
      <c r="H21" s="11" t="inlineStr"/>
      <c r="I21" s="11" t="inlineStr">
        <is>
          <t>EU / Europe</t>
        </is>
      </c>
      <c r="J21" s="11" t="inlineStr">
        <is>
          <t>Low-cost</t>
        </is>
      </c>
      <c r="K21" s="11" t="inlineStr">
        <is>
          <t>Vytvarna 1023/4, 161 00 Praha 6 (verify)</t>
        </is>
      </c>
      <c r="L21" s="11" t="inlineStr"/>
      <c r="M21" s="11" t="inlineStr"/>
      <c r="N21" s="11" t="inlineStr">
        <is>
          <t>Brand owner / manufacturer</t>
        </is>
      </c>
      <c r="O21" s="11" t="inlineStr">
        <is>
          <t>Dermacol Make-up Cover, foundations, skincare</t>
        </is>
      </c>
      <c r="P21" s="11" t="inlineStr">
        <is>
          <t>Make-up &amp; skincare</t>
        </is>
      </c>
      <c r="Q21" s="11" t="inlineStr">
        <is>
          <t>Account based</t>
        </is>
      </c>
      <c r="R21" s="11" t="inlineStr">
        <is>
          <t>Regional distributors (60+ countries)</t>
        </is>
      </c>
      <c r="S21" s="11" t="inlineStr">
        <is>
          <t>Ask</t>
        </is>
      </c>
      <c r="T21" s="11" t="inlineStr">
        <is>
          <t>Unknown</t>
        </is>
      </c>
      <c r="U21" s="11" t="inlineStr">
        <is>
          <t>Unknown</t>
        </is>
      </c>
      <c r="V21" s="11" t="inlineStr"/>
      <c r="W21" s="11" t="inlineStr">
        <is>
          <t>Brand since 1966 (Barrandov film studio); Cosmoprof exhibitor; sold via Notino</t>
        </is>
      </c>
      <c r="X21" s="11" t="inlineStr">
        <is>
          <t>Make-up Cover is a known cult product; low Czech prices</t>
        </is>
      </c>
      <c r="Y21" s="11" t="inlineStr">
        <is>
          <t>Check the Czech register (ARES) before ordering</t>
        </is>
      </c>
      <c r="Z21" s="11" t="inlineStr">
        <is>
          <t>Business press + retailer data</t>
        </is>
      </c>
      <c r="AA21" s="12" t="inlineStr">
        <is>
          <t>Source link</t>
        </is>
      </c>
      <c r="AB21" s="12" t="inlineStr">
        <is>
          <t>Search LinkedIn</t>
        </is>
      </c>
      <c r="AC21" s="11" t="inlineStr">
        <is>
          <t>Round 5</t>
        </is>
      </c>
      <c r="AD21" s="13" t="inlineStr">
        <is>
          <t>Not contacted</t>
        </is>
      </c>
      <c r="AE21" s="14" t="n"/>
      <c r="AF21" s="13" t="n"/>
      <c r="AG21" s="13" t="n"/>
      <c r="AH21" s="13" t="n"/>
      <c r="AI21" s="14">
        <f>IF(AE21="","",WORKDAY(AE21,5))</f>
        <v/>
      </c>
      <c r="AJ21" s="13" t="n"/>
      <c r="AK21" s="13" t="n"/>
    </row>
    <row r="22">
      <c r="A22" s="15" t="inlineStr">
        <is>
          <t>Czech Republic</t>
        </is>
      </c>
      <c r="B22" s="16" t="n">
        <v>21</v>
      </c>
      <c r="C22" s="17" t="n">
        <v>3</v>
      </c>
      <c r="D22" s="18" t="inlineStr">
        <is>
          <t>Beauty</t>
        </is>
      </c>
      <c r="E22" s="26" t="inlineStr">
        <is>
          <t>MANUFAKTURA (Czech cosmetics)</t>
        </is>
      </c>
      <c r="F22" s="18" t="inlineStr">
        <is>
          <t>Not confirmed - search company name</t>
        </is>
      </c>
      <c r="G22" s="18" t="inlineStr">
        <is>
          <t>Prague</t>
        </is>
      </c>
      <c r="H22" s="18" t="inlineStr"/>
      <c r="I22" s="18" t="inlineStr">
        <is>
          <t>EU / Europe</t>
        </is>
      </c>
      <c r="J22" s="18" t="inlineStr">
        <is>
          <t>Low-cost</t>
        </is>
      </c>
      <c r="K22" s="18" t="inlineStr">
        <is>
          <t>Melantrichova 17, 110 00 Praha 1</t>
        </is>
      </c>
      <c r="L22" s="18" t="inlineStr"/>
      <c r="M22" s="18" t="inlineStr"/>
      <c r="N22" s="18" t="inlineStr">
        <is>
          <t>Manufacturer / brand owner</t>
        </is>
      </c>
      <c r="O22" s="18" t="inlineStr">
        <is>
          <t>Manufaktura beer, wine &amp; herbal cosmetics, bath salts, gift sets</t>
        </is>
      </c>
      <c r="P22" s="18" t="inlineStr">
        <is>
          <t>Natural cosmetics &amp; gift sets</t>
        </is>
      </c>
      <c r="Q22" s="18" t="inlineStr">
        <is>
          <t>On request</t>
        </is>
      </c>
      <c r="R22" s="18" t="inlineStr">
        <is>
          <t>Head of Sales: David Rožek</t>
        </is>
      </c>
      <c r="S22" s="18" t="inlineStr">
        <is>
          <t>Ask</t>
        </is>
      </c>
      <c r="T22" s="18" t="inlineStr">
        <is>
          <t>Unknown</t>
        </is>
      </c>
      <c r="U22" s="18" t="inlineStr">
        <is>
          <t>Unknown</t>
        </is>
      </c>
      <c r="V22" s="18" t="inlineStr">
        <is>
          <t>IČO 49687387</t>
        </is>
      </c>
      <c r="W22" s="18" t="inlineStr">
        <is>
          <t>CzechTrade listing; IČO 49687387; 250+ staff; own shop chain since 1991</t>
        </is>
      </c>
      <c r="X22" s="18" t="inlineStr">
        <is>
          <t>Gift sets do well in Q4</t>
        </is>
      </c>
      <c r="Y22" s="18" t="inlineStr"/>
      <c r="Z22" s="18" t="inlineStr">
        <is>
          <t>Government export directory</t>
        </is>
      </c>
      <c r="AA22" s="19" t="inlineStr">
        <is>
          <t>Source link</t>
        </is>
      </c>
      <c r="AB22" s="19" t="inlineStr">
        <is>
          <t>Search LinkedIn</t>
        </is>
      </c>
      <c r="AC22" s="18" t="inlineStr">
        <is>
          <t>Round 5</t>
        </is>
      </c>
      <c r="AD22" s="20" t="inlineStr">
        <is>
          <t>Not contacted</t>
        </is>
      </c>
      <c r="AE22" s="21" t="n"/>
      <c r="AF22" s="20" t="n"/>
      <c r="AG22" s="20" t="n"/>
      <c r="AH22" s="20" t="n"/>
      <c r="AI22" s="21">
        <f>IF(AE22="","",WORKDAY(AE22,5))</f>
        <v/>
      </c>
      <c r="AJ22" s="20" t="n"/>
      <c r="AK22" s="20" t="n"/>
    </row>
    <row r="23">
      <c r="A23" s="15" t="inlineStr">
        <is>
          <t>Czech Republic</t>
        </is>
      </c>
      <c r="B23" s="16" t="n">
        <v>22</v>
      </c>
      <c r="C23" s="17" t="n">
        <v>4</v>
      </c>
      <c r="D23" s="18" t="inlineStr">
        <is>
          <t>DIY &amp; Tools</t>
        </is>
      </c>
      <c r="E23" s="26" t="inlineStr">
        <is>
          <t>NAREX s.r.o.</t>
        </is>
      </c>
      <c r="F23" s="19" t="inlineStr">
        <is>
          <t>https://www.narex.cz</t>
        </is>
      </c>
      <c r="G23" s="18" t="inlineStr">
        <is>
          <t>Česká Lípa</t>
        </is>
      </c>
      <c r="H23" s="18" t="inlineStr"/>
      <c r="I23" s="18" t="inlineStr">
        <is>
          <t>EU / Europe</t>
        </is>
      </c>
      <c r="J23" s="18" t="inlineStr">
        <is>
          <t>Low-cost</t>
        </is>
      </c>
      <c r="K23" s="18" t="inlineStr">
        <is>
          <t>Chelčického 1932, 470 01 Česká Lípa</t>
        </is>
      </c>
      <c r="L23" s="18" t="inlineStr">
        <is>
          <t>+420 481 645 183</t>
        </is>
      </c>
      <c r="M23" s="18" t="inlineStr">
        <is>
          <t>narex@narex.cz</t>
        </is>
      </c>
      <c r="N23" s="18" t="inlineStr">
        <is>
          <t>Manufacturer / brand owner</t>
        </is>
      </c>
      <c r="O23" s="18" t="inlineStr">
        <is>
          <t>Narex power tools (drills, grinders, saws); Narex Bystřice chisels &amp; woodworking tools</t>
        </is>
      </c>
      <c r="P23" s="18" t="inlineStr">
        <is>
          <t>Power tools &amp; woodworking</t>
        </is>
      </c>
      <c r="Q23" s="18" t="inlineStr">
        <is>
          <t>Dealer account</t>
        </is>
      </c>
      <c r="R23" s="18" t="inlineStr">
        <is>
          <t>Sales partners; commercial terms via sales team</t>
        </is>
      </c>
      <c r="S23" s="18" t="inlineStr">
        <is>
          <t>Ask - Narex chisels already sold in UK</t>
        </is>
      </c>
      <c r="T23" s="18" t="inlineStr">
        <is>
          <t>Unknown</t>
        </is>
      </c>
      <c r="U23" s="18" t="inlineStr">
        <is>
          <t>Unknown</t>
        </is>
      </c>
      <c r="V23" s="18" t="inlineStr"/>
      <c r="W23" s="18" t="inlineStr">
        <is>
          <t>Official company contacts page; long-established Czech tool maker</t>
        </is>
      </c>
      <c r="X23" s="18" t="inlineStr">
        <is>
          <t>Narex chisels have a strong UK woodworking following at lower prices than UK brands</t>
        </is>
      </c>
      <c r="Y23" s="18" t="inlineStr">
        <is>
          <t>Power tools need UK plugs / UKCA</t>
        </is>
      </c>
      <c r="Z23" s="18" t="inlineStr">
        <is>
          <t>Official company website</t>
        </is>
      </c>
      <c r="AA23" s="19" t="inlineStr">
        <is>
          <t>Source link</t>
        </is>
      </c>
      <c r="AB23" s="19" t="inlineStr">
        <is>
          <t>Search LinkedIn</t>
        </is>
      </c>
      <c r="AC23" s="18" t="inlineStr">
        <is>
          <t>Round 5</t>
        </is>
      </c>
      <c r="AD23" s="20" t="inlineStr">
        <is>
          <t>Not contacted</t>
        </is>
      </c>
      <c r="AE23" s="21" t="n"/>
      <c r="AF23" s="20" t="n"/>
      <c r="AG23" s="20" t="n"/>
      <c r="AH23" s="20" t="n"/>
      <c r="AI23" s="21">
        <f>IF(AE23="","",WORKDAY(AE23,5))</f>
        <v/>
      </c>
      <c r="AJ23" s="20" t="n"/>
      <c r="AK23" s="20" t="n"/>
    </row>
    <row r="24">
      <c r="A24" s="15" t="inlineStr">
        <is>
          <t>Czech Republic</t>
        </is>
      </c>
      <c r="B24" s="16" t="n">
        <v>23</v>
      </c>
      <c r="C24" s="17" t="n">
        <v>5</v>
      </c>
      <c r="D24" s="18" t="inlineStr">
        <is>
          <t>Fragrance</t>
        </is>
      </c>
      <c r="E24" s="18" t="inlineStr">
        <is>
          <t>BJUTIP a.s.</t>
        </is>
      </c>
      <c r="F24" s="19" t="inlineStr">
        <is>
          <t>https://www.bjutip.com</t>
        </is>
      </c>
      <c r="G24" s="18" t="inlineStr">
        <is>
          <t>Brno - Modřice</t>
        </is>
      </c>
      <c r="H24" s="18" t="inlineStr"/>
      <c r="I24" s="18" t="inlineStr">
        <is>
          <t>EU / Europe</t>
        </is>
      </c>
      <c r="J24" s="18" t="inlineStr">
        <is>
          <t>Low-cost</t>
        </is>
      </c>
      <c r="K24" s="18" t="inlineStr">
        <is>
          <t>Tyršova 1182, 664 42 Brno - Modřice (visit: Vintrovna 395/25, Popůvky 664 41)</t>
        </is>
      </c>
      <c r="L24" s="18" t="inlineStr">
        <is>
          <t>+420 724 076 367</t>
        </is>
      </c>
      <c r="M24" s="18" t="inlineStr">
        <is>
          <t>sales@bjutip.com (wholesale); info@bjutip.com</t>
        </is>
      </c>
      <c r="N24" s="18" t="inlineStr">
        <is>
          <t>Distributor</t>
        </is>
      </c>
      <c r="O24" s="18" t="inlineStr">
        <is>
          <t>Armaf, Afnan, Lattafa, Paris Corner, French Avenue, Khadlaj, Maison Asrar + others</t>
        </is>
      </c>
      <c r="P24" s="18" t="inlineStr">
        <is>
          <t>Arabian / niche fragrance</t>
        </is>
      </c>
      <c r="Q24" s="18" t="inlineStr">
        <is>
          <t>Min. order value €1,000</t>
        </is>
      </c>
      <c r="R24" s="18" t="inlineStr">
        <is>
          <t>B2B registration on website</t>
        </is>
      </c>
      <c r="S24" s="18" t="inlineStr">
        <is>
          <t>Check - EU based (post-Brexit customs apply)</t>
        </is>
      </c>
      <c r="T24" s="18" t="inlineStr">
        <is>
          <t>Unknown</t>
        </is>
      </c>
      <c r="U24" s="18" t="inlineStr">
        <is>
          <t>Unknown</t>
        </is>
      </c>
      <c r="V24" s="18" t="inlineStr"/>
      <c r="W24" s="18" t="inlineStr">
        <is>
          <t>Registered Regional Court Brno, B 8541; dedicated e-commerce seller programme</t>
        </is>
      </c>
      <c r="X24" s="18" t="inlineStr">
        <is>
          <t>Has an e-commerce seller programme - Arabian brands popular &amp; often easier to list on Amazon</t>
        </is>
      </c>
      <c r="Y24" s="18" t="inlineStr">
        <is>
          <t>Strong fit for Lattafa/Armaf etc. Register at bjutip.com/register.</t>
        </is>
      </c>
      <c r="Z24" s="18" t="inlineStr">
        <is>
          <t>Company website (via search)</t>
        </is>
      </c>
      <c r="AA24" s="19" t="inlineStr">
        <is>
          <t>Source link</t>
        </is>
      </c>
      <c r="AB24" s="19" t="inlineStr">
        <is>
          <t>Search LinkedIn</t>
        </is>
      </c>
      <c r="AC24" s="18" t="inlineStr">
        <is>
          <t>Round 1</t>
        </is>
      </c>
      <c r="AD24" s="20" t="inlineStr">
        <is>
          <t>Not contacted</t>
        </is>
      </c>
      <c r="AE24" s="21" t="n"/>
      <c r="AF24" s="20" t="n"/>
      <c r="AG24" s="20" t="n"/>
      <c r="AH24" s="20" t="n"/>
      <c r="AI24" s="21">
        <f>IF(AE24="","",WORKDAY(AE24,5))</f>
        <v/>
      </c>
      <c r="AJ24" s="20" t="n"/>
      <c r="AK24" s="20" t="n"/>
    </row>
    <row r="25">
      <c r="A25" s="15" t="inlineStr">
        <is>
          <t>Czech Republic</t>
        </is>
      </c>
      <c r="B25" s="16" t="n">
        <v>24</v>
      </c>
      <c r="C25" s="17" t="n">
        <v>4</v>
      </c>
      <c r="D25" s="18" t="inlineStr">
        <is>
          <t>Health &amp; Personal Care</t>
        </is>
      </c>
      <c r="E25" s="18" t="inlineStr">
        <is>
          <t>NUTREND D.S., a.s.</t>
        </is>
      </c>
      <c r="F25" s="19" t="inlineStr">
        <is>
          <t>https://www.nutrend-supplements.com</t>
        </is>
      </c>
      <c r="G25" s="18" t="inlineStr">
        <is>
          <t>Olomouc</t>
        </is>
      </c>
      <c r="H25" s="18" t="inlineStr"/>
      <c r="I25" s="18" t="inlineStr">
        <is>
          <t>EU / Europe</t>
        </is>
      </c>
      <c r="J25" s="18" t="inlineStr">
        <is>
          <t>Low-cost</t>
        </is>
      </c>
      <c r="K25" s="18" t="inlineStr">
        <is>
          <t>Chválkovice 604, 779 00 Olomouc</t>
        </is>
      </c>
      <c r="L25" s="18" t="inlineStr">
        <is>
          <t>+420 583 842 592</t>
        </is>
      </c>
      <c r="M25" s="18" t="inlineStr">
        <is>
          <t>export@nutrend.eu</t>
        </is>
      </c>
      <c r="N25" s="18" t="inlineStr">
        <is>
          <t>Brand owner / manufacturer</t>
        </is>
      </c>
      <c r="O25" s="18" t="inlineStr">
        <is>
          <t>Nutrend sports nutrition, bars, supplements</t>
        </is>
      </c>
      <c r="P25" s="18" t="inlineStr">
        <is>
          <t>Sports nutrition</t>
        </is>
      </c>
      <c r="Q25" s="18" t="inlineStr">
        <is>
          <t>On request</t>
        </is>
      </c>
      <c r="R25" s="18" t="inlineStr">
        <is>
          <t>Distributors (export dept.)</t>
        </is>
      </c>
      <c r="S25" s="18" t="inlineStr">
        <is>
          <t>Exports to 60-74 countries - ask</t>
        </is>
      </c>
      <c r="T25" s="18" t="inlineStr">
        <is>
          <t>Unknown</t>
        </is>
      </c>
      <c r="U25" s="18" t="inlineStr">
        <is>
          <t>Unknown</t>
        </is>
      </c>
      <c r="V25" s="18" t="inlineStr"/>
      <c r="W25" s="18" t="inlineStr">
        <is>
          <t>~52% exported; record CZK 1.26bn revenue; Gulfood exhibitor</t>
        </is>
      </c>
      <c r="X25" s="18" t="inlineStr"/>
      <c r="Y25" s="18" t="inlineStr"/>
      <c r="Z25" s="18" t="inlineStr">
        <is>
          <t>Catalogue + trade fair + business press</t>
        </is>
      </c>
      <c r="AA25" s="19" t="inlineStr">
        <is>
          <t>Source link</t>
        </is>
      </c>
      <c r="AB25" s="19" t="inlineStr">
        <is>
          <t>Search LinkedIn</t>
        </is>
      </c>
      <c r="AC25" s="18" t="inlineStr">
        <is>
          <t>Round 4</t>
        </is>
      </c>
      <c r="AD25" s="20" t="inlineStr">
        <is>
          <t>Not contacted</t>
        </is>
      </c>
      <c r="AE25" s="21" t="n"/>
      <c r="AF25" s="20" t="n"/>
      <c r="AG25" s="20" t="n"/>
      <c r="AH25" s="20" t="n"/>
      <c r="AI25" s="21">
        <f>IF(AE25="","",WORKDAY(AE25,5))</f>
        <v/>
      </c>
      <c r="AJ25" s="20" t="n"/>
      <c r="AK25" s="20" t="n"/>
    </row>
    <row r="26">
      <c r="A26" s="15" t="inlineStr">
        <is>
          <t>Czech Republic</t>
        </is>
      </c>
      <c r="B26" s="16" t="n">
        <v>25</v>
      </c>
      <c r="C26" s="17" t="n">
        <v>4</v>
      </c>
      <c r="D26" s="18" t="inlineStr">
        <is>
          <t>Health &amp; Personal Care</t>
        </is>
      </c>
      <c r="E26" s="26" t="inlineStr">
        <is>
          <t>SPOKAR a.s.</t>
        </is>
      </c>
      <c r="F26" s="18" t="inlineStr">
        <is>
          <t>Not confirmed - search company name</t>
        </is>
      </c>
      <c r="G26" s="18" t="inlineStr">
        <is>
          <t>Pelhřimov</t>
        </is>
      </c>
      <c r="H26" s="18" t="inlineStr"/>
      <c r="I26" s="18" t="inlineStr">
        <is>
          <t>EU / Europe</t>
        </is>
      </c>
      <c r="J26" s="18" t="inlineStr">
        <is>
          <t>Low-cost</t>
        </is>
      </c>
      <c r="K26" s="18" t="inlineStr">
        <is>
          <t>Libkovodská 1428, 393 01 Pelhřimov</t>
        </is>
      </c>
      <c r="L26" s="18" t="inlineStr"/>
      <c r="M26" s="18" t="inlineStr"/>
      <c r="N26" s="18" t="inlineStr">
        <is>
          <t>Manufacturer</t>
        </is>
      </c>
      <c r="O26" s="18" t="inlineStr">
        <is>
          <t>Spokar toothbrushes, interdental brushes, household &amp; paint brushes</t>
        </is>
      </c>
      <c r="P26" s="18" t="inlineStr">
        <is>
          <t>Oral care &amp; brushes</t>
        </is>
      </c>
      <c r="Q26" s="18" t="inlineStr">
        <is>
          <t>On request</t>
        </is>
      </c>
      <c r="R26" s="18" t="inlineStr">
        <is>
          <t>Key Account Manager: Jan Canek; exports to DE, DK, NO, US, MX</t>
        </is>
      </c>
      <c r="S26" s="18" t="inlineStr">
        <is>
          <t>Ask</t>
        </is>
      </c>
      <c r="T26" s="18" t="inlineStr">
        <is>
          <t>Unknown</t>
        </is>
      </c>
      <c r="U26" s="18" t="inlineStr">
        <is>
          <t>Unknown</t>
        </is>
      </c>
      <c r="V26" s="18" t="inlineStr">
        <is>
          <t>IČO 25183427</t>
        </is>
      </c>
      <c r="W26" s="18" t="inlineStr">
        <is>
          <t>CzechTrade listing; IČO 25183427; producing since 1882</t>
        </is>
      </c>
      <c r="X26" s="18" t="inlineStr">
        <is>
          <t>Toothbrush multipacks &amp; cleaning brushes - low cost, repeat buys; private label possible</t>
        </is>
      </c>
      <c r="Y26" s="18" t="inlineStr"/>
      <c r="Z26" s="18" t="inlineStr">
        <is>
          <t>Government export directory</t>
        </is>
      </c>
      <c r="AA26" s="19" t="inlineStr">
        <is>
          <t>Source link</t>
        </is>
      </c>
      <c r="AB26" s="19" t="inlineStr">
        <is>
          <t>Search LinkedIn</t>
        </is>
      </c>
      <c r="AC26" s="18" t="inlineStr">
        <is>
          <t>Round 5</t>
        </is>
      </c>
      <c r="AD26" s="20" t="inlineStr">
        <is>
          <t>Not contacted</t>
        </is>
      </c>
      <c r="AE26" s="21" t="n"/>
      <c r="AF26" s="20" t="n"/>
      <c r="AG26" s="20" t="n"/>
      <c r="AH26" s="20" t="n"/>
      <c r="AI26" s="21">
        <f>IF(AE26="","",WORKDAY(AE26,5))</f>
        <v/>
      </c>
      <c r="AJ26" s="20" t="n"/>
      <c r="AK26" s="20" t="n"/>
    </row>
    <row r="27">
      <c r="A27" s="15" t="inlineStr">
        <is>
          <t>Czech Republic</t>
        </is>
      </c>
      <c r="B27" s="16" t="n">
        <v>26</v>
      </c>
      <c r="C27" s="17" t="n">
        <v>3</v>
      </c>
      <c r="D27" s="18" t="inlineStr">
        <is>
          <t>Health &amp; Personal Care</t>
        </is>
      </c>
      <c r="E27" s="26" t="inlineStr">
        <is>
          <t>ALPA, a.s.</t>
        </is>
      </c>
      <c r="F27" s="18" t="inlineStr">
        <is>
          <t>Not confirmed - search company name</t>
        </is>
      </c>
      <c r="G27" s="18" t="inlineStr">
        <is>
          <t>Velké Meziříčí</t>
        </is>
      </c>
      <c r="H27" s="18" t="inlineStr"/>
      <c r="I27" s="18" t="inlineStr">
        <is>
          <t>EU / Europe</t>
        </is>
      </c>
      <c r="J27" s="18" t="inlineStr">
        <is>
          <t>Low-cost</t>
        </is>
      </c>
      <c r="K27" s="18" t="inlineStr">
        <is>
          <t>Hornoměstská 378, 594 01 Velké Meziříčí</t>
        </is>
      </c>
      <c r="L27" s="18" t="inlineStr"/>
      <c r="M27" s="18" t="inlineStr"/>
      <c r="N27" s="18" t="inlineStr">
        <is>
          <t>Manufacturer / brand owner</t>
        </is>
      </c>
      <c r="O27" s="18" t="inlineStr">
        <is>
          <t>Alpa Francovka (herbal rub), Pedik foot care, Alpa kids cosmetics</t>
        </is>
      </c>
      <c r="P27" s="18" t="inlineStr">
        <is>
          <t>Herbal body care &amp; kids toiletries</t>
        </is>
      </c>
      <c r="Q27" s="18" t="inlineStr">
        <is>
          <t>On request</t>
        </is>
      </c>
      <c r="R27" s="18" t="inlineStr">
        <is>
          <t>Business manager: Ing. Pavel Smažil</t>
        </is>
      </c>
      <c r="S27" s="18" t="inlineStr">
        <is>
          <t>Ask - sold on Notino UK</t>
        </is>
      </c>
      <c r="T27" s="18" t="inlineStr">
        <is>
          <t>Unknown</t>
        </is>
      </c>
      <c r="U27" s="18" t="inlineStr">
        <is>
          <t>Unknown</t>
        </is>
      </c>
      <c r="V27" s="18" t="inlineStr">
        <is>
          <t>IČO 27666468</t>
        </is>
      </c>
      <c r="W27" s="18" t="inlineStr">
        <is>
          <t>CzechTrade listing; IČO 27666468; Francovka trademark since 1913</t>
        </is>
      </c>
      <c r="X27" s="18" t="inlineStr">
        <is>
          <t>Niche herbal products; little UK competition</t>
        </is>
      </c>
      <c r="Y27" s="18" t="inlineStr">
        <is>
          <t>Liquids with alcohol - check hazmat</t>
        </is>
      </c>
      <c r="Z27" s="18" t="inlineStr">
        <is>
          <t>Government export directory</t>
        </is>
      </c>
      <c r="AA27" s="19" t="inlineStr">
        <is>
          <t>Source link</t>
        </is>
      </c>
      <c r="AB27" s="19" t="inlineStr">
        <is>
          <t>Search LinkedIn</t>
        </is>
      </c>
      <c r="AC27" s="18" t="inlineStr">
        <is>
          <t>Round 5</t>
        </is>
      </c>
      <c r="AD27" s="20" t="inlineStr">
        <is>
          <t>Not contacted</t>
        </is>
      </c>
      <c r="AE27" s="21" t="n"/>
      <c r="AF27" s="20" t="n"/>
      <c r="AG27" s="20" t="n"/>
      <c r="AH27" s="20" t="n"/>
      <c r="AI27" s="21">
        <f>IF(AE27="","",WORKDAY(AE27,5))</f>
        <v/>
      </c>
      <c r="AJ27" s="20" t="n"/>
      <c r="AK27" s="20" t="n"/>
    </row>
    <row r="28">
      <c r="A28" s="15" t="inlineStr">
        <is>
          <t>Czech Republic</t>
        </is>
      </c>
      <c r="B28" s="16" t="n">
        <v>27</v>
      </c>
      <c r="C28" s="17" t="n">
        <v>4</v>
      </c>
      <c r="D28" s="18" t="inlineStr">
        <is>
          <t>Home &amp; Kitchen</t>
        </is>
      </c>
      <c r="E28" s="18" t="inlineStr">
        <is>
          <t>Tescoma s.r.o. (export centre Tescoma S.p.A., Italy)</t>
        </is>
      </c>
      <c r="F28" s="19" t="inlineStr">
        <is>
          <t>https://www.tescoma.cz</t>
        </is>
      </c>
      <c r="G28" s="18" t="inlineStr">
        <is>
          <t>Zlín (HQ); export centre Brescia, Italy</t>
        </is>
      </c>
      <c r="H28" s="18" t="inlineStr"/>
      <c r="I28" s="18" t="inlineStr">
        <is>
          <t>EU / Europe</t>
        </is>
      </c>
      <c r="J28" s="18" t="inlineStr">
        <is>
          <t>Low-cost</t>
        </is>
      </c>
      <c r="K28" s="18" t="inlineStr">
        <is>
          <t>U Tescomy 241, 760 01 Zlín / Export: Via Traversa Caduti del Lavoro 3, 25046 Cazzago San Martino (IT)</t>
        </is>
      </c>
      <c r="L28" s="18" t="inlineStr">
        <is>
          <t>+39 030 775 1394 (export centre)</t>
        </is>
      </c>
      <c r="M28" s="18" t="inlineStr"/>
      <c r="N28" s="18" t="inlineStr">
        <is>
          <t>Brand owner / manufacturer</t>
        </is>
      </c>
      <c r="O28" s="18" t="inlineStr">
        <is>
          <t>Tescoma kitchen utensils, cookware, baking, storage (thousands of SKUs)</t>
        </is>
      </c>
      <c r="P28" s="18" t="inlineStr">
        <is>
          <t>Kitchenware</t>
        </is>
      </c>
      <c r="Q28" s="18" t="inlineStr">
        <is>
          <t>On request</t>
        </is>
      </c>
      <c r="R28" s="18" t="inlineStr">
        <is>
          <t>Distributors &amp; retailers</t>
        </is>
      </c>
      <c r="S28" s="18" t="inlineStr">
        <is>
          <t>Sold in 100-130 countries - ask</t>
        </is>
      </c>
      <c r="T28" s="18" t="inlineStr">
        <is>
          <t>Unknown</t>
        </is>
      </c>
      <c r="U28" s="18" t="inlineStr">
        <is>
          <t>Unknown</t>
        </is>
      </c>
      <c r="V28" s="18" t="inlineStr"/>
      <c r="W28" s="18" t="inlineStr">
        <is>
          <t>Ambiente exhibitor; branches in IT, ES, PT, SK, PL, DE, CN</t>
        </is>
      </c>
      <c r="X28" s="18" t="inlineStr">
        <is>
          <t>Kitchen gadgets largely ungated - brand-direct invoices</t>
        </is>
      </c>
      <c r="Y28" s="18" t="inlineStr">
        <is>
          <t>Use the Italian export centre for foreign accounts.</t>
        </is>
      </c>
      <c r="Z28" s="18" t="inlineStr">
        <is>
          <t>Trade fair profile + Wikipedia</t>
        </is>
      </c>
      <c r="AA28" s="19" t="inlineStr">
        <is>
          <t>Source link</t>
        </is>
      </c>
      <c r="AB28" s="19" t="inlineStr">
        <is>
          <t>Search LinkedIn</t>
        </is>
      </c>
      <c r="AC28" s="18" t="inlineStr">
        <is>
          <t>Round 4</t>
        </is>
      </c>
      <c r="AD28" s="20" t="inlineStr">
        <is>
          <t>Not contacted</t>
        </is>
      </c>
      <c r="AE28" s="21" t="n"/>
      <c r="AF28" s="20" t="n"/>
      <c r="AG28" s="20" t="n"/>
      <c r="AH28" s="20" t="n"/>
      <c r="AI28" s="21">
        <f>IF(AE28="","",WORKDAY(AE28,5))</f>
        <v/>
      </c>
      <c r="AJ28" s="20" t="n"/>
      <c r="AK28" s="20" t="n"/>
    </row>
    <row r="29">
      <c r="A29" s="15" t="inlineStr">
        <is>
          <t>Czech Republic</t>
        </is>
      </c>
      <c r="B29" s="16" t="n">
        <v>28</v>
      </c>
      <c r="C29" s="17" t="n">
        <v>3</v>
      </c>
      <c r="D29" s="18" t="inlineStr">
        <is>
          <t>Home &amp; Kitchen</t>
        </is>
      </c>
      <c r="E29" s="18" t="inlineStr">
        <is>
          <t>BLEX, a.s.</t>
        </is>
      </c>
      <c r="F29" s="18" t="inlineStr">
        <is>
          <t>Not confirmed - search company name</t>
        </is>
      </c>
      <c r="G29" s="18" t="inlineStr">
        <is>
          <t>Karlovy Vary</t>
        </is>
      </c>
      <c r="H29" s="18" t="inlineStr"/>
      <c r="I29" s="18" t="inlineStr">
        <is>
          <t>EU / Europe</t>
        </is>
      </c>
      <c r="J29" s="18" t="inlineStr">
        <is>
          <t>Low-cost</t>
        </is>
      </c>
      <c r="K29" s="18" t="inlineStr">
        <is>
          <t>Závodu míru 327/4, Karlovy Vary</t>
        </is>
      </c>
      <c r="L29" s="18" t="inlineStr"/>
      <c r="M29" s="18" t="inlineStr"/>
      <c r="N29" s="18" t="inlineStr">
        <is>
          <t>Manufacturer</t>
        </is>
      </c>
      <c r="O29" s="18" t="inlineStr">
        <is>
          <t>Tinplate &amp; non-stick bakeware, wire kitchenware</t>
        </is>
      </c>
      <c r="P29" s="18" t="inlineStr">
        <is>
          <t>Bakeware</t>
        </is>
      </c>
      <c r="Q29" s="18" t="inlineStr">
        <is>
          <t>On request</t>
        </is>
      </c>
      <c r="R29" s="18" t="inlineStr">
        <is>
          <t>Export buyers (export manager: Kateřina Veselá)</t>
        </is>
      </c>
      <c r="S29" s="18" t="inlineStr">
        <is>
          <t>Ask - exports worldwide</t>
        </is>
      </c>
      <c r="T29" s="18" t="inlineStr">
        <is>
          <t>Unknown</t>
        </is>
      </c>
      <c r="U29" s="18" t="inlineStr">
        <is>
          <t>Unknown</t>
        </is>
      </c>
      <c r="V29" s="18" t="inlineStr"/>
      <c r="W29" s="18" t="inlineStr">
        <is>
          <t>Listed in the CzechTrade (government agency) exporter directory</t>
        </is>
      </c>
      <c r="X29" s="18" t="inlineStr">
        <is>
          <t>Baking tins &amp; moulds are a steady category; possible private label</t>
        </is>
      </c>
      <c r="Y29" s="18" t="inlineStr"/>
      <c r="Z29" s="18" t="inlineStr">
        <is>
          <t>Government export directory</t>
        </is>
      </c>
      <c r="AA29" s="19" t="inlineStr">
        <is>
          <t>Source link</t>
        </is>
      </c>
      <c r="AB29" s="19" t="inlineStr">
        <is>
          <t>Search LinkedIn</t>
        </is>
      </c>
      <c r="AC29" s="18" t="inlineStr">
        <is>
          <t>Round 4</t>
        </is>
      </c>
      <c r="AD29" s="20" t="inlineStr">
        <is>
          <t>Not contacted</t>
        </is>
      </c>
      <c r="AE29" s="21" t="n"/>
      <c r="AF29" s="20" t="n"/>
      <c r="AG29" s="20" t="n"/>
      <c r="AH29" s="20" t="n"/>
      <c r="AI29" s="21">
        <f>IF(AE29="","",WORKDAY(AE29,5))</f>
        <v/>
      </c>
      <c r="AJ29" s="20" t="n"/>
      <c r="AK29" s="20" t="n"/>
    </row>
    <row r="30">
      <c r="A30" s="15" t="inlineStr">
        <is>
          <t>Czech Republic</t>
        </is>
      </c>
      <c r="B30" s="16" t="n">
        <v>29</v>
      </c>
      <c r="C30" s="17" t="n">
        <v>3</v>
      </c>
      <c r="D30" s="18" t="inlineStr">
        <is>
          <t>Home &amp; Kitchen</t>
        </is>
      </c>
      <c r="E30" s="18" t="inlineStr">
        <is>
          <t>Dřevotvar družstvo</t>
        </is>
      </c>
      <c r="F30" s="18" t="inlineStr">
        <is>
          <t>Not confirmed - search company name</t>
        </is>
      </c>
      <c r="G30" s="18" t="inlineStr">
        <is>
          <t>Jablonné nad Orlicí</t>
        </is>
      </c>
      <c r="H30" s="18" t="inlineStr"/>
      <c r="I30" s="18" t="inlineStr">
        <is>
          <t>EU / Europe</t>
        </is>
      </c>
      <c r="J30" s="18" t="inlineStr">
        <is>
          <t>Low-cost</t>
        </is>
      </c>
      <c r="K30" s="18" t="inlineStr">
        <is>
          <t>Slezská 535, Jablonné nad Orlicí</t>
        </is>
      </c>
      <c r="L30" s="18" t="inlineStr"/>
      <c r="M30" s="18" t="inlineStr"/>
      <c r="N30" s="18" t="inlineStr">
        <is>
          <t>Manufacturer (cooperative)</t>
        </is>
      </c>
      <c r="O30" s="18" t="inlineStr">
        <is>
          <t>Wooden kitchen utensils &amp; boards</t>
        </is>
      </c>
      <c r="P30" s="18" t="inlineStr">
        <is>
          <t>Wooden kitchenware</t>
        </is>
      </c>
      <c r="Q30" s="18" t="inlineStr">
        <is>
          <t>On request</t>
        </is>
      </c>
      <c r="R30" s="18" t="inlineStr">
        <is>
          <t>Export buyers (85% of output exported)</t>
        </is>
      </c>
      <c r="S30" s="18" t="inlineStr">
        <is>
          <t>Ask</t>
        </is>
      </c>
      <c r="T30" s="18" t="inlineStr">
        <is>
          <t>Unknown</t>
        </is>
      </c>
      <c r="U30" s="18" t="inlineStr">
        <is>
          <t>Unknown</t>
        </is>
      </c>
      <c r="V30" s="18" t="inlineStr"/>
      <c r="W30" s="18" t="inlineStr">
        <is>
          <t>Listed in the CzechTrade exporter directory</t>
        </is>
      </c>
      <c r="X30" s="18" t="inlineStr">
        <is>
          <t>Wooden utensils &amp; chopping boards - possible private label</t>
        </is>
      </c>
      <c r="Y30" s="18" t="inlineStr"/>
      <c r="Z30" s="18" t="inlineStr">
        <is>
          <t>Government export directory</t>
        </is>
      </c>
      <c r="AA30" s="19" t="inlineStr">
        <is>
          <t>Source link</t>
        </is>
      </c>
      <c r="AB30" s="19" t="inlineStr">
        <is>
          <t>Search LinkedIn</t>
        </is>
      </c>
      <c r="AC30" s="18" t="inlineStr">
        <is>
          <t>Round 4</t>
        </is>
      </c>
      <c r="AD30" s="20" t="inlineStr">
        <is>
          <t>Not contacted</t>
        </is>
      </c>
      <c r="AE30" s="21" t="n"/>
      <c r="AF30" s="20" t="n"/>
      <c r="AG30" s="20" t="n"/>
      <c r="AH30" s="20" t="n"/>
      <c r="AI30" s="21">
        <f>IF(AE30="","",WORKDAY(AE30,5))</f>
        <v/>
      </c>
      <c r="AJ30" s="20" t="n"/>
      <c r="AK30" s="20" t="n"/>
    </row>
    <row r="31">
      <c r="A31" s="15" t="inlineStr">
        <is>
          <t>Czech Republic</t>
        </is>
      </c>
      <c r="B31" s="16" t="n">
        <v>30</v>
      </c>
      <c r="C31" s="17" t="n">
        <v>3</v>
      </c>
      <c r="D31" s="18" t="inlineStr">
        <is>
          <t>Home &amp; Kitchen</t>
        </is>
      </c>
      <c r="E31" s="26" t="inlineStr">
        <is>
          <t>Remoska s.r.o.</t>
        </is>
      </c>
      <c r="F31" s="18" t="inlineStr">
        <is>
          <t>Not confirmed - search company name</t>
        </is>
      </c>
      <c r="G31" s="18" t="inlineStr">
        <is>
          <t>Kopřivnice (moved from Frenštát p. R.)</t>
        </is>
      </c>
      <c r="H31" s="18" t="inlineStr"/>
      <c r="I31" s="18" t="inlineStr">
        <is>
          <t>EU / Europe</t>
        </is>
      </c>
      <c r="J31" s="18" t="inlineStr">
        <is>
          <t>Low-cost</t>
        </is>
      </c>
      <c r="K31" s="18" t="inlineStr">
        <is>
          <t>Markova 1768, 744 01 Frenštát p. R. (old - company moved to Kopřivnice)</t>
        </is>
      </c>
      <c r="L31" s="18" t="inlineStr"/>
      <c r="M31" s="18" t="inlineStr"/>
      <c r="N31" s="18" t="inlineStr">
        <is>
          <t>Manufacturer</t>
        </is>
      </c>
      <c r="O31" s="18" t="inlineStr">
        <is>
          <t>Remoska portable electric ovens, pans</t>
        </is>
      </c>
      <c r="P31" s="18" t="inlineStr">
        <is>
          <t>Small cooking appliances</t>
        </is>
      </c>
      <c r="Q31" s="18" t="inlineStr">
        <is>
          <t>On request</t>
        </is>
      </c>
      <c r="R31" s="18" t="inlineStr">
        <is>
          <t>~40% exported, half of that to the UK</t>
        </is>
      </c>
      <c r="S31" s="18" t="inlineStr">
        <is>
          <t>Yes - already strong UK market</t>
        </is>
      </c>
      <c r="T31" s="18" t="inlineStr">
        <is>
          <t>Unknown</t>
        </is>
      </c>
      <c r="U31" s="18" t="inlineStr">
        <is>
          <t>Unknown</t>
        </is>
      </c>
      <c r="V31" s="18" t="inlineStr">
        <is>
          <t>IČO 01885219</t>
        </is>
      </c>
      <c r="W31" s="18" t="inlineStr">
        <is>
          <t>CzechTrade listing; IČO 01885219; brand since 1957; Forbes CZ coverage</t>
        </is>
      </c>
      <c r="X31" s="18" t="inlineStr">
        <is>
          <t>Remoska has a UK following - check existing UK distributor exclusivity</t>
        </is>
      </c>
      <c r="Y31" s="18" t="inlineStr">
        <is>
          <t>UK may have an exclusive distributor</t>
        </is>
      </c>
      <c r="Z31" s="18" t="inlineStr">
        <is>
          <t>Government export directory + business press</t>
        </is>
      </c>
      <c r="AA31" s="19" t="inlineStr">
        <is>
          <t>Source link</t>
        </is>
      </c>
      <c r="AB31" s="19" t="inlineStr">
        <is>
          <t>Search LinkedIn</t>
        </is>
      </c>
      <c r="AC31" s="18" t="inlineStr">
        <is>
          <t>Round 5</t>
        </is>
      </c>
      <c r="AD31" s="20" t="inlineStr">
        <is>
          <t>Not contacted</t>
        </is>
      </c>
      <c r="AE31" s="21" t="n"/>
      <c r="AF31" s="20" t="n"/>
      <c r="AG31" s="20" t="n"/>
      <c r="AH31" s="20" t="n"/>
      <c r="AI31" s="21">
        <f>IF(AE31="","",WORKDAY(AE31,5))</f>
        <v/>
      </c>
      <c r="AJ31" s="20" t="n"/>
      <c r="AK31" s="20" t="n"/>
    </row>
    <row r="32">
      <c r="A32" s="15" t="inlineStr">
        <is>
          <t>Czech Republic</t>
        </is>
      </c>
      <c r="B32" s="16" t="n">
        <v>31</v>
      </c>
      <c r="C32" s="17" t="n">
        <v>3</v>
      </c>
      <c r="D32" s="18" t="inlineStr">
        <is>
          <t>Pet Supplies</t>
        </is>
      </c>
      <c r="E32" s="26" t="inlineStr">
        <is>
          <t>Funky Dog (Czech eco pet accessories)</t>
        </is>
      </c>
      <c r="F32" s="18" t="inlineStr">
        <is>
          <t>Not confirmed - search company name</t>
        </is>
      </c>
      <c r="G32" s="18" t="inlineStr">
        <is>
          <t>Prague</t>
        </is>
      </c>
      <c r="H32" s="18" t="inlineStr"/>
      <c r="I32" s="18" t="inlineStr">
        <is>
          <t>EU / Europe</t>
        </is>
      </c>
      <c r="J32" s="18" t="inlineStr">
        <is>
          <t>Low-cost</t>
        </is>
      </c>
      <c r="K32" s="18" t="inlineStr">
        <is>
          <t>Braunerova 7, 180 00 Praha</t>
        </is>
      </c>
      <c r="L32" s="18" t="inlineStr"/>
      <c r="M32" s="18" t="inlineStr"/>
      <c r="N32" s="18" t="inlineStr">
        <is>
          <t>Manufacturer / brand owner</t>
        </is>
      </c>
      <c r="O32" s="18" t="inlineStr">
        <is>
          <t>Funky Dog vegan collars, leads, beds</t>
        </is>
      </c>
      <c r="P32" s="18" t="inlineStr">
        <is>
          <t>Eco pet accessories</t>
        </is>
      </c>
      <c r="Q32" s="18" t="inlineStr">
        <is>
          <t>On request</t>
        </is>
      </c>
      <c r="R32" s="18" t="inlineStr">
        <is>
          <t>Distributors (SK, AT, IT, SI); CEO Katarína Králová</t>
        </is>
      </c>
      <c r="S32" s="18" t="inlineStr">
        <is>
          <t>Ask</t>
        </is>
      </c>
      <c r="T32" s="18" t="inlineStr">
        <is>
          <t>Unknown</t>
        </is>
      </c>
      <c r="U32" s="18" t="inlineStr">
        <is>
          <t>Unknown</t>
        </is>
      </c>
      <c r="V32" s="18" t="inlineStr">
        <is>
          <t>IČO 03688623</t>
        </is>
      </c>
      <c r="W32" s="18" t="inlineStr">
        <is>
          <t>CzechTrade listing; IČO 03688623; since 2015</t>
        </is>
      </c>
      <c r="X32" s="18" t="inlineStr">
        <is>
          <t>Eco/vegan collars are a growing niche</t>
        </is>
      </c>
      <c r="Y32" s="18" t="inlineStr">
        <is>
          <t>Small firm - check capacity</t>
        </is>
      </c>
      <c r="Z32" s="18" t="inlineStr">
        <is>
          <t>Government export directory</t>
        </is>
      </c>
      <c r="AA32" s="19" t="inlineStr">
        <is>
          <t>Source link</t>
        </is>
      </c>
      <c r="AB32" s="19" t="inlineStr">
        <is>
          <t>Search LinkedIn</t>
        </is>
      </c>
      <c r="AC32" s="18" t="inlineStr">
        <is>
          <t>Round 5</t>
        </is>
      </c>
      <c r="AD32" s="20" t="inlineStr">
        <is>
          <t>Not contacted</t>
        </is>
      </c>
      <c r="AE32" s="21" t="n"/>
      <c r="AF32" s="20" t="n"/>
      <c r="AG32" s="20" t="n"/>
      <c r="AH32" s="20" t="n"/>
      <c r="AI32" s="21">
        <f>IF(AE32="","",WORKDAY(AE32,5))</f>
        <v/>
      </c>
      <c r="AJ32" s="20" t="n"/>
      <c r="AK32" s="20" t="n"/>
    </row>
    <row r="33">
      <c r="A33" s="15" t="inlineStr">
        <is>
          <t>Czech Republic</t>
        </is>
      </c>
      <c r="B33" s="16" t="n">
        <v>32</v>
      </c>
      <c r="C33" s="17" t="n">
        <v>3</v>
      </c>
      <c r="D33" s="18" t="inlineStr">
        <is>
          <t>Pet Supplies</t>
        </is>
      </c>
      <c r="E33" s="26" t="inlineStr">
        <is>
          <t>JUKO petfood s.r.o.</t>
        </is>
      </c>
      <c r="F33" s="18" t="inlineStr">
        <is>
          <t>Not confirmed - search company name</t>
        </is>
      </c>
      <c r="G33" s="18" t="inlineStr">
        <is>
          <t>Sokolnice (Brno)</t>
        </is>
      </c>
      <c r="H33" s="18" t="inlineStr"/>
      <c r="I33" s="18" t="inlineStr">
        <is>
          <t>EU / Europe</t>
        </is>
      </c>
      <c r="J33" s="18" t="inlineStr">
        <is>
          <t>Low-cost</t>
        </is>
      </c>
      <c r="K33" s="18" t="inlineStr">
        <is>
          <t>U Cihelny 768, Sokolnice</t>
        </is>
      </c>
      <c r="L33" s="18" t="inlineStr"/>
      <c r="M33" s="18" t="inlineStr"/>
      <c r="N33" s="18" t="inlineStr">
        <is>
          <t>Wholesaler / distributor + own brands</t>
        </is>
      </c>
      <c r="O33" s="18" t="inlineStr">
        <is>
          <t>~100 pet food &amp; accessory brands incl. own labels</t>
        </is>
      </c>
      <c r="P33" s="18" t="inlineStr">
        <is>
          <t>Pet food &amp; accessories wholesale</t>
        </is>
      </c>
      <c r="Q33" s="18" t="inlineStr">
        <is>
          <t>Trade account</t>
        </is>
      </c>
      <c r="R33" s="18" t="inlineStr">
        <is>
          <t>Pet shops in CZ, SK, DK, SE, LT, BE, PL, HU, HR, RO, BG</t>
        </is>
      </c>
      <c r="S33" s="18" t="inlineStr">
        <is>
          <t>Ask</t>
        </is>
      </c>
      <c r="T33" s="18" t="inlineStr">
        <is>
          <t>Unknown</t>
        </is>
      </c>
      <c r="U33" s="18" t="inlineStr">
        <is>
          <t>Unknown</t>
        </is>
      </c>
      <c r="V33" s="18" t="inlineStr"/>
      <c r="W33" s="18" t="inlineStr">
        <is>
          <t>Forbes Czech profile; supplies pet shops across 10+ EU countries</t>
        </is>
      </c>
      <c r="X33" s="18" t="inlineStr">
        <is>
          <t>Multi-brand pet wholesaler - one account, many brands</t>
        </is>
      </c>
      <c r="Y33" s="18" t="inlineStr">
        <is>
          <t>Check the IČO in ARES before ordering</t>
        </is>
      </c>
      <c r="Z33" s="18" t="inlineStr">
        <is>
          <t>Business press + business directory</t>
        </is>
      </c>
      <c r="AA33" s="19" t="inlineStr">
        <is>
          <t>Source link</t>
        </is>
      </c>
      <c r="AB33" s="19" t="inlineStr">
        <is>
          <t>Search LinkedIn</t>
        </is>
      </c>
      <c r="AC33" s="18" t="inlineStr">
        <is>
          <t>Round 5</t>
        </is>
      </c>
      <c r="AD33" s="20" t="inlineStr">
        <is>
          <t>Not contacted</t>
        </is>
      </c>
      <c r="AE33" s="21" t="n"/>
      <c r="AF33" s="20" t="n"/>
      <c r="AG33" s="20" t="n"/>
      <c r="AH33" s="20" t="n"/>
      <c r="AI33" s="21">
        <f>IF(AE33="","",WORKDAY(AE33,5))</f>
        <v/>
      </c>
      <c r="AJ33" s="20" t="n"/>
      <c r="AK33" s="20" t="n"/>
    </row>
    <row r="34">
      <c r="A34" s="15" t="inlineStr">
        <is>
          <t>Czech Republic</t>
        </is>
      </c>
      <c r="B34" s="16" t="n">
        <v>33</v>
      </c>
      <c r="C34" s="17" t="n">
        <v>3</v>
      </c>
      <c r="D34" s="18" t="inlineStr">
        <is>
          <t>Pet Supplies</t>
        </is>
      </c>
      <c r="E34" s="18" t="inlineStr">
        <is>
          <t>Tommi CZ s.r.o. (Tommiland B2B)</t>
        </is>
      </c>
      <c r="F34" s="19" t="inlineStr">
        <is>
          <t>http://www.tommicz.eu</t>
        </is>
      </c>
      <c r="G34" s="18" t="inlineStr">
        <is>
          <t>Písek</t>
        </is>
      </c>
      <c r="H34" s="18" t="inlineStr"/>
      <c r="I34" s="18" t="inlineStr">
        <is>
          <t>EU / Europe</t>
        </is>
      </c>
      <c r="J34" s="18" t="inlineStr">
        <is>
          <t>Low-cost</t>
        </is>
      </c>
      <c r="K34" s="18" t="inlineStr">
        <is>
          <t>Za Nádražím 2569, 397 01 Písek</t>
        </is>
      </c>
      <c r="L34" s="18" t="inlineStr">
        <is>
          <t>+420 382 264 269</t>
        </is>
      </c>
      <c r="M34" s="18" t="inlineStr"/>
      <c r="N34" s="18" t="inlineStr">
        <is>
          <t>Manufacturer / distributor</t>
        </is>
      </c>
      <c r="O34" s="18" t="inlineStr">
        <is>
          <t>Asan, Cat Step, Dr. Jag, Catwill, Doggies + European brands - 3,500+ products</t>
        </is>
      </c>
      <c r="P34" s="18" t="inlineStr">
        <is>
          <t>Pet care &amp; litter</t>
        </is>
      </c>
      <c r="Q34" s="18" t="inlineStr">
        <is>
          <t>Min. order value ~€1,000 (2018 - confirm)</t>
        </is>
      </c>
      <c r="R34" s="18" t="inlineStr">
        <is>
          <t>Registered partners only (B2B e-shop)</t>
        </is>
      </c>
      <c r="S34" s="18" t="inlineStr">
        <is>
          <t>Exports - ask</t>
        </is>
      </c>
      <c r="T34" s="18" t="inlineStr">
        <is>
          <t>Unknown</t>
        </is>
      </c>
      <c r="U34" s="18" t="inlineStr">
        <is>
          <t>Unknown</t>
        </is>
      </c>
      <c r="V34" s="18" t="inlineStr"/>
      <c r="W34" s="18" t="inlineStr">
        <is>
          <t>Founded 1989; CzechTrade exporter; export manager Hana Bečková</t>
        </is>
      </c>
      <c r="X34" s="18" t="inlineStr"/>
      <c r="Y34" s="18" t="inlineStr"/>
      <c r="Z34" s="18" t="inlineStr">
        <is>
          <t>Trade show + CzechTrade directory</t>
        </is>
      </c>
      <c r="AA34" s="19" t="inlineStr">
        <is>
          <t>Source link</t>
        </is>
      </c>
      <c r="AB34" s="19" t="inlineStr">
        <is>
          <t>Search LinkedIn</t>
        </is>
      </c>
      <c r="AC34" s="18" t="inlineStr">
        <is>
          <t>Round 2</t>
        </is>
      </c>
      <c r="AD34" s="20" t="inlineStr">
        <is>
          <t>Not contacted</t>
        </is>
      </c>
      <c r="AE34" s="21" t="n"/>
      <c r="AF34" s="20" t="n"/>
      <c r="AG34" s="20" t="n"/>
      <c r="AH34" s="20" t="n"/>
      <c r="AI34" s="21">
        <f>IF(AE34="","",WORKDAY(AE34,5))</f>
        <v/>
      </c>
      <c r="AJ34" s="20" t="n"/>
      <c r="AK34" s="20" t="n"/>
    </row>
    <row r="35">
      <c r="A35" s="15" t="inlineStr">
        <is>
          <t>Czech Republic</t>
        </is>
      </c>
      <c r="B35" s="16" t="n">
        <v>34</v>
      </c>
      <c r="C35" s="17" t="n">
        <v>2</v>
      </c>
      <c r="D35" s="18" t="inlineStr">
        <is>
          <t>Pet Supplies</t>
        </is>
      </c>
      <c r="E35" s="18" t="inlineStr">
        <is>
          <t>Samohýl Group</t>
        </is>
      </c>
      <c r="F35" s="19" t="inlineStr">
        <is>
          <t>https://samohyl.cz/?lang=en</t>
        </is>
      </c>
      <c r="G35" s="18" t="inlineStr">
        <is>
          <t>Lomnice nad Popelkou</t>
        </is>
      </c>
      <c r="H35" s="18" t="inlineStr"/>
      <c r="I35" s="18" t="inlineStr">
        <is>
          <t>EU / Europe</t>
        </is>
      </c>
      <c r="J35" s="18" t="inlineStr">
        <is>
          <t>Low-cost</t>
        </is>
      </c>
      <c r="K35" s="18" t="inlineStr">
        <is>
          <t>Lomnice nad Popelkou</t>
        </is>
      </c>
      <c r="L35" s="18" t="inlineStr"/>
      <c r="M35" s="18" t="inlineStr"/>
      <c r="N35" s="18" t="inlineStr">
        <is>
          <t>Wholesaler / exclusive distributor</t>
        </is>
      </c>
      <c r="O35" s="18" t="inlineStr">
        <is>
          <t>Exclusive CZ distributor for ~20 brands incl. KONG</t>
        </is>
      </c>
      <c r="P35" s="18" t="inlineStr">
        <is>
          <t>Pet food &amp; accessories, veterinary</t>
        </is>
      </c>
      <c r="Q35" s="18" t="inlineStr">
        <is>
          <t>On request</t>
        </is>
      </c>
      <c r="R35" s="18" t="inlineStr">
        <is>
          <t>Vets &amp; pet shops</t>
        </is>
      </c>
      <c r="S35" s="18" t="inlineStr">
        <is>
          <t>CZ territory - ask about export</t>
        </is>
      </c>
      <c r="T35" s="18" t="inlineStr">
        <is>
          <t>Unknown</t>
        </is>
      </c>
      <c r="U35" s="18" t="inlineStr">
        <is>
          <t>Unknown</t>
        </is>
      </c>
      <c r="V35" s="18" t="inlineStr"/>
      <c r="W35" s="18" t="inlineStr">
        <is>
          <t>Family business founded 1991; Forbes CZ largest family firms list</t>
        </is>
      </c>
      <c r="X35" s="18" t="inlineStr"/>
      <c r="Y35" s="18" t="inlineStr"/>
      <c r="Z35" s="18" t="inlineStr">
        <is>
          <t>Company website (via search)</t>
        </is>
      </c>
      <c r="AA35" s="19" t="inlineStr">
        <is>
          <t>Source link</t>
        </is>
      </c>
      <c r="AB35" s="19" t="inlineStr">
        <is>
          <t>Search LinkedIn</t>
        </is>
      </c>
      <c r="AC35" s="18" t="inlineStr">
        <is>
          <t>Round 2</t>
        </is>
      </c>
      <c r="AD35" s="20" t="inlineStr">
        <is>
          <t>Not contacted</t>
        </is>
      </c>
      <c r="AE35" s="21" t="n"/>
      <c r="AF35" s="20" t="n"/>
      <c r="AG35" s="20" t="n"/>
      <c r="AH35" s="20" t="n"/>
      <c r="AI35" s="21">
        <f>IF(AE35="","",WORKDAY(AE35,5))</f>
        <v/>
      </c>
      <c r="AJ35" s="20" t="n"/>
      <c r="AK35" s="20" t="n"/>
    </row>
    <row r="36">
      <c r="A36" s="15" t="inlineStr">
        <is>
          <t>Czech Republic</t>
        </is>
      </c>
      <c r="B36" s="16" t="n">
        <v>35</v>
      </c>
      <c r="C36" s="17" t="n">
        <v>4</v>
      </c>
      <c r="D36" s="18" t="inlineStr">
        <is>
          <t>Sports &amp; Outdoors</t>
        </is>
      </c>
      <c r="E36" s="26" t="inlineStr">
        <is>
          <t>GALA a.s.</t>
        </is>
      </c>
      <c r="F36" s="19" t="inlineStr">
        <is>
          <t>https://www.gala.cz</t>
        </is>
      </c>
      <c r="G36" s="18" t="inlineStr">
        <is>
          <t>Prostějov</t>
        </is>
      </c>
      <c r="H36" s="18" t="inlineStr"/>
      <c r="I36" s="18" t="inlineStr">
        <is>
          <t>EU / Europe</t>
        </is>
      </c>
      <c r="J36" s="18" t="inlineStr">
        <is>
          <t>Low-cost</t>
        </is>
      </c>
      <c r="K36" s="18" t="inlineStr">
        <is>
          <t>Západní 1/75, 796 04 Prostějov</t>
        </is>
      </c>
      <c r="L36" s="18" t="inlineStr">
        <is>
          <t>+420 739 648 045</t>
        </is>
      </c>
      <c r="M36" s="18" t="inlineStr">
        <is>
          <t>grmelova@gala.cz (sales manager)</t>
        </is>
      </c>
      <c r="N36" s="18" t="inlineStr">
        <is>
          <t>Manufacturer</t>
        </is>
      </c>
      <c r="O36" s="18" t="inlineStr">
        <is>
          <t>Gala volleyballs, basketballs, footballs, handballs</t>
        </is>
      </c>
      <c r="P36" s="18" t="inlineStr">
        <is>
          <t>Sports balls</t>
        </is>
      </c>
      <c r="Q36" s="18" t="inlineStr">
        <is>
          <t>On request</t>
        </is>
      </c>
      <c r="R36" s="18" t="inlineStr">
        <is>
          <t>Sales manager Alena Grmelová</t>
        </is>
      </c>
      <c r="S36" s="18" t="inlineStr">
        <is>
          <t>Ask</t>
        </is>
      </c>
      <c r="T36" s="18" t="inlineStr">
        <is>
          <t>Unknown</t>
        </is>
      </c>
      <c r="U36" s="18" t="inlineStr">
        <is>
          <t>Unknown</t>
        </is>
      </c>
      <c r="V36" s="18" t="inlineStr">
        <is>
          <t>IČO 49969820</t>
        </is>
      </c>
      <c r="W36" s="18" t="inlineStr">
        <is>
          <t>FIBA equipment partner; IČO 49969820; published annual reports</t>
        </is>
      </c>
      <c r="X36" s="18" t="inlineStr">
        <is>
          <t>Volleyballs &amp; beach balls sell well in summer; low cost vs Mikasa/Molten</t>
        </is>
      </c>
      <c r="Y36" s="18" t="inlineStr"/>
      <c r="Z36" s="18" t="inlineStr">
        <is>
          <t>FIBA partner listing + company register</t>
        </is>
      </c>
      <c r="AA36" s="19" t="inlineStr">
        <is>
          <t>Source link</t>
        </is>
      </c>
      <c r="AB36" s="19" t="inlineStr">
        <is>
          <t>Search LinkedIn</t>
        </is>
      </c>
      <c r="AC36" s="18" t="inlineStr">
        <is>
          <t>Round 5</t>
        </is>
      </c>
      <c r="AD36" s="20" t="inlineStr">
        <is>
          <t>Not contacted</t>
        </is>
      </c>
      <c r="AE36" s="21" t="n"/>
      <c r="AF36" s="20" t="n"/>
      <c r="AG36" s="20" t="n"/>
      <c r="AH36" s="20" t="n"/>
      <c r="AI36" s="21">
        <f>IF(AE36="","",WORKDAY(AE36,5))</f>
        <v/>
      </c>
      <c r="AJ36" s="20" t="n"/>
      <c r="AK36" s="20" t="n"/>
    </row>
    <row r="37">
      <c r="A37" s="15" t="inlineStr">
        <is>
          <t>Czech Republic</t>
        </is>
      </c>
      <c r="B37" s="16" t="n">
        <v>36</v>
      </c>
      <c r="C37" s="17" t="n">
        <v>4</v>
      </c>
      <c r="D37" s="18" t="inlineStr">
        <is>
          <t>Stationery &amp; Office</t>
        </is>
      </c>
      <c r="E37" s="18" t="inlineStr">
        <is>
          <t>KOH-I-NOOR HARDTMUTH a.s.</t>
        </is>
      </c>
      <c r="F37" s="19" t="inlineStr">
        <is>
          <t>https://www.koh-i-noor.cz</t>
        </is>
      </c>
      <c r="G37" s="18" t="inlineStr">
        <is>
          <t>České Budějovice</t>
        </is>
      </c>
      <c r="H37" s="18" t="inlineStr"/>
      <c r="I37" s="18" t="inlineStr">
        <is>
          <t>EU / Europe</t>
        </is>
      </c>
      <c r="J37" s="18" t="inlineStr">
        <is>
          <t>Low-cost</t>
        </is>
      </c>
      <c r="K37" s="18" t="inlineStr">
        <is>
          <t>F. A. Gerstnera 21/3, 370 01 České Budějovice</t>
        </is>
      </c>
      <c r="L37" s="18" t="inlineStr"/>
      <c r="M37" s="18" t="inlineStr">
        <is>
          <t>kht@koh-i-noor.cz</t>
        </is>
      </c>
      <c r="N37" s="18" t="inlineStr">
        <is>
          <t>Brand owner / manufacturer</t>
        </is>
      </c>
      <c r="O37" s="18" t="inlineStr">
        <is>
          <t>Koh-i-noor pencils, crayons, art supplies, Progresso</t>
        </is>
      </c>
      <c r="P37" s="18" t="inlineStr">
        <is>
          <t>Art &amp; school supplies</t>
        </is>
      </c>
      <c r="Q37" s="18" t="inlineStr">
        <is>
          <t>On request</t>
        </is>
      </c>
      <c r="R37" s="18" t="inlineStr">
        <is>
          <t>Distributors &amp; retailers (trade arm in Pelhřimov)</t>
        </is>
      </c>
      <c r="S37" s="18" t="inlineStr">
        <is>
          <t>Exports to 90+ countries - ask</t>
        </is>
      </c>
      <c r="T37" s="18" t="inlineStr">
        <is>
          <t>Unknown</t>
        </is>
      </c>
      <c r="U37" s="18" t="inlineStr">
        <is>
          <t>Unknown</t>
        </is>
      </c>
      <c r="V37" s="18" t="inlineStr"/>
      <c r="W37" s="18" t="inlineStr">
        <is>
          <t>Historic Czech manufacturer; factories in CZ &amp; BG</t>
        </is>
      </c>
      <c r="X37" s="18" t="inlineStr">
        <is>
          <t>Art supplies sell well</t>
        </is>
      </c>
      <c r="Y37" s="18" t="inlineStr"/>
      <c r="Z37" s="18" t="inlineStr">
        <is>
          <t>Wikipedia + retailer imprint + registry</t>
        </is>
      </c>
      <c r="AA37" s="19" t="inlineStr">
        <is>
          <t>Source link</t>
        </is>
      </c>
      <c r="AB37" s="19" t="inlineStr">
        <is>
          <t>Search LinkedIn</t>
        </is>
      </c>
      <c r="AC37" s="18" t="inlineStr">
        <is>
          <t>Round 4</t>
        </is>
      </c>
      <c r="AD37" s="20" t="inlineStr">
        <is>
          <t>Not contacted</t>
        </is>
      </c>
      <c r="AE37" s="21" t="n"/>
      <c r="AF37" s="20" t="n"/>
      <c r="AG37" s="20" t="n"/>
      <c r="AH37" s="20" t="n"/>
      <c r="AI37" s="21">
        <f>IF(AE37="","",WORKDAY(AE37,5))</f>
        <v/>
      </c>
      <c r="AJ37" s="20" t="n"/>
      <c r="AK37" s="20" t="n"/>
    </row>
    <row r="38">
      <c r="A38" s="15" t="inlineStr">
        <is>
          <t>Czech Republic</t>
        </is>
      </c>
      <c r="B38" s="16" t="n">
        <v>37</v>
      </c>
      <c r="C38" s="17" t="n">
        <v>4</v>
      </c>
      <c r="D38" s="18" t="inlineStr">
        <is>
          <t>Toys &amp; Games</t>
        </is>
      </c>
      <c r="E38" s="26" t="inlineStr">
        <is>
          <t>Dino Toys s.r.o.</t>
        </is>
      </c>
      <c r="F38" s="19" t="inlineStr">
        <is>
          <t>https://www.dinotoys.cz</t>
        </is>
      </c>
      <c r="G38" s="18" t="inlineStr">
        <is>
          <t>Mnichovo Hradiště</t>
        </is>
      </c>
      <c r="H38" s="18" t="inlineStr"/>
      <c r="I38" s="18" t="inlineStr">
        <is>
          <t>EU / Europe</t>
        </is>
      </c>
      <c r="J38" s="18" t="inlineStr">
        <is>
          <t>Low-cost</t>
        </is>
      </c>
      <c r="K38" s="18" t="inlineStr">
        <is>
          <t>K Pískovně 108, 295 01 Mnichovo Hradiště</t>
        </is>
      </c>
      <c r="L38" s="18" t="inlineStr">
        <is>
          <t>+420 324 709 315 (verify)</t>
        </is>
      </c>
      <c r="M38" s="18" t="inlineStr">
        <is>
          <t>export@dinotoys.cz</t>
        </is>
      </c>
      <c r="N38" s="18" t="inlineStr">
        <is>
          <t>Manufacturer</t>
        </is>
      </c>
      <c r="O38" s="18" t="inlineStr">
        <is>
          <t>Dino puzzles, board games, cards; Disney &amp; Krtek (Little Mole) licences</t>
        </is>
      </c>
      <c r="P38" s="18" t="inlineStr">
        <is>
          <t>Puzzles &amp; board games</t>
        </is>
      </c>
      <c r="Q38" s="18" t="inlineStr">
        <is>
          <t>On request</t>
        </is>
      </c>
      <c r="R38" s="18" t="inlineStr">
        <is>
          <t>Export manager: Barbora Kovaříková; exports to 20+ countries</t>
        </is>
      </c>
      <c r="S38" s="18" t="inlineStr">
        <is>
          <t>Ask</t>
        </is>
      </c>
      <c r="T38" s="18" t="inlineStr">
        <is>
          <t>Unknown</t>
        </is>
      </c>
      <c r="U38" s="18" t="inlineStr">
        <is>
          <t>Unknown</t>
        </is>
      </c>
      <c r="V38" s="18" t="inlineStr">
        <is>
          <t>IČO 49101650</t>
        </is>
      </c>
      <c r="W38" s="18" t="inlineStr">
        <is>
          <t>CzechTrade (government export agency) listing; IČO 49101650; since 1993</t>
        </is>
      </c>
      <c r="X38" s="18" t="inlineStr">
        <is>
          <t>Puzzles are made in CZ at low cost - good margin potential; check licence rules for Disney lines</t>
        </is>
      </c>
      <c r="Y38" s="18" t="inlineStr"/>
      <c r="Z38" s="18" t="inlineStr">
        <is>
          <t>Government export directory + retailer data</t>
        </is>
      </c>
      <c r="AA38" s="19" t="inlineStr">
        <is>
          <t>Source link</t>
        </is>
      </c>
      <c r="AB38" s="19" t="inlineStr">
        <is>
          <t>Search LinkedIn</t>
        </is>
      </c>
      <c r="AC38" s="18" t="inlineStr">
        <is>
          <t>Round 5</t>
        </is>
      </c>
      <c r="AD38" s="20" t="inlineStr">
        <is>
          <t>Not contacted</t>
        </is>
      </c>
      <c r="AE38" s="21" t="n"/>
      <c r="AF38" s="20" t="n"/>
      <c r="AG38" s="20" t="n"/>
      <c r="AH38" s="20" t="n"/>
      <c r="AI38" s="21">
        <f>IF(AE38="","",WORKDAY(AE38,5))</f>
        <v/>
      </c>
      <c r="AJ38" s="20" t="n"/>
      <c r="AK38" s="20" t="n"/>
    </row>
    <row r="39">
      <c r="A39" s="15" t="inlineStr">
        <is>
          <t>Czech Republic</t>
        </is>
      </c>
      <c r="B39" s="16" t="n">
        <v>38</v>
      </c>
      <c r="C39" s="17" t="n">
        <v>3</v>
      </c>
      <c r="D39" s="18" t="inlineStr">
        <is>
          <t>Toys &amp; Games</t>
        </is>
      </c>
      <c r="E39" s="18" t="inlineStr">
        <is>
          <t>Albi Česká republika a.s.</t>
        </is>
      </c>
      <c r="F39" s="19" t="inlineStr">
        <is>
          <t>https://www.albi.cz</t>
        </is>
      </c>
      <c r="G39" s="18" t="inlineStr">
        <is>
          <t>Červený Kostelec (warehouse)</t>
        </is>
      </c>
      <c r="H39" s="18" t="inlineStr"/>
      <c r="I39" s="18" t="inlineStr">
        <is>
          <t>EU / Europe</t>
        </is>
      </c>
      <c r="J39" s="18" t="inlineStr">
        <is>
          <t>Low-cost</t>
        </is>
      </c>
      <c r="K39" s="18" t="inlineStr">
        <is>
          <t>Lhota za Červeným Kostelcem 439 (warehouse)</t>
        </is>
      </c>
      <c r="L39" s="18" t="inlineStr"/>
      <c r="M39" s="18" t="inlineStr"/>
      <c r="N39" s="18" t="inlineStr">
        <is>
          <t>Publisher / distributor / retailer</t>
        </is>
      </c>
      <c r="O39" s="18" t="inlineStr">
        <is>
          <t>Albi board games, gifts, Kouzelné čtení; distributes partner publishers</t>
        </is>
      </c>
      <c r="P39" s="18" t="inlineStr">
        <is>
          <t>Board games &amp; gifts</t>
        </is>
      </c>
      <c r="Q39" s="18" t="inlineStr">
        <is>
          <t>On request</t>
        </is>
      </c>
      <c r="R39" s="18" t="inlineStr">
        <is>
          <t>Bookshops, toy stores, hypermarkets</t>
        </is>
      </c>
      <c r="S39" s="18" t="inlineStr">
        <is>
          <t>CZ/SK/PL focus - ask</t>
        </is>
      </c>
      <c r="T39" s="18" t="inlineStr">
        <is>
          <t>Unknown</t>
        </is>
      </c>
      <c r="U39" s="18" t="inlineStr">
        <is>
          <t>Unknown</t>
        </is>
      </c>
      <c r="V39" s="18" t="inlineStr"/>
      <c r="W39" s="18" t="inlineStr">
        <is>
          <t>Czech business award winner; own shop chain; Ares Games EU distribution partner</t>
        </is>
      </c>
      <c r="X39" s="18" t="inlineStr"/>
      <c r="Y39" s="18" t="inlineStr"/>
      <c r="Z39" s="18" t="inlineStr">
        <is>
          <t>Business press + job listings</t>
        </is>
      </c>
      <c r="AA39" s="19" t="inlineStr">
        <is>
          <t>Source link</t>
        </is>
      </c>
      <c r="AB39" s="19" t="inlineStr">
        <is>
          <t>Search LinkedIn</t>
        </is>
      </c>
      <c r="AC39" s="18" t="inlineStr">
        <is>
          <t>Round 4</t>
        </is>
      </c>
      <c r="AD39" s="20" t="inlineStr">
        <is>
          <t>Not contacted</t>
        </is>
      </c>
      <c r="AE39" s="21" t="n"/>
      <c r="AF39" s="20" t="n"/>
      <c r="AG39" s="20" t="n"/>
      <c r="AH39" s="20" t="n"/>
      <c r="AI39" s="21">
        <f>IF(AE39="","",WORKDAY(AE39,5))</f>
        <v/>
      </c>
      <c r="AJ39" s="20" t="n"/>
      <c r="AK39" s="20" t="n"/>
    </row>
    <row r="40">
      <c r="A40" s="15" t="inlineStr">
        <is>
          <t>Czech Republic</t>
        </is>
      </c>
      <c r="B40" s="16" t="n">
        <v>39</v>
      </c>
      <c r="C40" s="17" t="n">
        <v>3</v>
      </c>
      <c r="D40" s="18" t="inlineStr">
        <is>
          <t>Toys &amp; Games</t>
        </is>
      </c>
      <c r="E40" s="26" t="inlineStr">
        <is>
          <t>Bino Europe k.s.</t>
        </is>
      </c>
      <c r="F40" s="18" t="inlineStr">
        <is>
          <t>Not confirmed - search company name</t>
        </is>
      </c>
      <c r="G40" s="18" t="inlineStr">
        <is>
          <t>Mladá Boleslav</t>
        </is>
      </c>
      <c r="H40" s="18" t="inlineStr"/>
      <c r="I40" s="18" t="inlineStr">
        <is>
          <t>EU / Europe</t>
        </is>
      </c>
      <c r="J40" s="18" t="inlineStr">
        <is>
          <t>Low-cost</t>
        </is>
      </c>
      <c r="K40" s="18" t="inlineStr">
        <is>
          <t>tř. Václava Klementa 836, 293 01 Mladá Boleslav</t>
        </is>
      </c>
      <c r="L40" s="18" t="inlineStr"/>
      <c r="M40" s="18" t="inlineStr"/>
      <c r="N40" s="18" t="inlineStr">
        <is>
          <t>Manufacturer / distributor</t>
        </is>
      </c>
      <c r="O40" s="18" t="inlineStr">
        <is>
          <t>Bino wooden &amp; plastic toys, children's furniture, nursery equipment</t>
        </is>
      </c>
      <c r="P40" s="18" t="inlineStr">
        <is>
          <t>Toddler &amp; wooden toys</t>
        </is>
      </c>
      <c r="Q40" s="18" t="inlineStr">
        <is>
          <t>On request</t>
        </is>
      </c>
      <c r="R40" s="18" t="inlineStr">
        <is>
          <t>Exports to 30+ countries; offices in China &amp; Germany</t>
        </is>
      </c>
      <c r="S40" s="18" t="inlineStr">
        <is>
          <t>Ask</t>
        </is>
      </c>
      <c r="T40" s="18" t="inlineStr">
        <is>
          <t>Unknown</t>
        </is>
      </c>
      <c r="U40" s="18" t="inlineStr">
        <is>
          <t>Unknown</t>
        </is>
      </c>
      <c r="V40" s="18" t="inlineStr">
        <is>
          <t>IČO 24220931 / VAT CZ24220931</t>
        </is>
      </c>
      <c r="W40" s="18" t="inlineStr">
        <is>
          <t>CzechTrade listing; IČO 24220931; VAT CZ24220931; LEI 3157004KB9Y233461R58</t>
        </is>
      </c>
      <c r="X40" s="18" t="inlineStr">
        <is>
          <t>Cheap wooden/toddler toys; ask for EN71 reports (some made in China)</t>
        </is>
      </c>
      <c r="Y40" s="18" t="inlineStr">
        <is>
          <t>Some products made in China - check origin &amp; compliance</t>
        </is>
      </c>
      <c r="Z40" s="18" t="inlineStr">
        <is>
          <t>Government export directory + company register</t>
        </is>
      </c>
      <c r="AA40" s="19" t="inlineStr">
        <is>
          <t>Source link</t>
        </is>
      </c>
      <c r="AB40" s="19" t="inlineStr">
        <is>
          <t>Search LinkedIn</t>
        </is>
      </c>
      <c r="AC40" s="18" t="inlineStr">
        <is>
          <t>Round 5</t>
        </is>
      </c>
      <c r="AD40" s="20" t="inlineStr">
        <is>
          <t>Not contacted</t>
        </is>
      </c>
      <c r="AE40" s="21" t="n"/>
      <c r="AF40" s="20" t="n"/>
      <c r="AG40" s="20" t="n"/>
      <c r="AH40" s="20" t="n"/>
      <c r="AI40" s="21">
        <f>IF(AE40="","",WORKDAY(AE40,5))</f>
        <v/>
      </c>
      <c r="AJ40" s="20" t="n"/>
      <c r="AK40" s="20" t="n"/>
    </row>
    <row r="41">
      <c r="A41" s="15" t="inlineStr">
        <is>
          <t>Czech Republic</t>
        </is>
      </c>
      <c r="B41" s="16" t="n">
        <v>40</v>
      </c>
      <c r="C41" s="17" t="n">
        <v>2</v>
      </c>
      <c r="D41" s="18" t="inlineStr">
        <is>
          <t>Toys &amp; Games</t>
        </is>
      </c>
      <c r="E41" s="18" t="inlineStr">
        <is>
          <t>Teddies s.r.o.</t>
        </is>
      </c>
      <c r="F41" s="18" t="inlineStr">
        <is>
          <t>Not confirmed - search company name</t>
        </is>
      </c>
      <c r="G41" s="18" t="inlineStr">
        <is>
          <t>Brno</t>
        </is>
      </c>
      <c r="H41" s="18" t="inlineStr"/>
      <c r="I41" s="18" t="inlineStr">
        <is>
          <t>EU / Europe</t>
        </is>
      </c>
      <c r="J41" s="18" t="inlineStr">
        <is>
          <t>Low-cost</t>
        </is>
      </c>
      <c r="K41" s="18" t="inlineStr">
        <is>
          <t>Česká 151/16, Brno (IČ 28268164)</t>
        </is>
      </c>
      <c r="L41" s="18" t="inlineStr"/>
      <c r="M41" s="18" t="inlineStr"/>
      <c r="N41" s="18" t="inlineStr">
        <is>
          <t>Toy importer / wholesaler</t>
        </is>
      </c>
      <c r="O41" s="18" t="inlineStr">
        <is>
          <t>Teddies plush &amp; toys range (sold via Alza etc.)</t>
        </is>
      </c>
      <c r="P41" s="18" t="inlineStr">
        <is>
          <t>Toys</t>
        </is>
      </c>
      <c r="Q41" s="18" t="inlineStr">
        <is>
          <t>On request</t>
        </is>
      </c>
      <c r="R41" s="18" t="inlineStr">
        <is>
          <t>Retailers</t>
        </is>
      </c>
      <c r="S41" s="18" t="inlineStr">
        <is>
          <t>Ask</t>
        </is>
      </c>
      <c r="T41" s="18" t="inlineStr">
        <is>
          <t>Unknown</t>
        </is>
      </c>
      <c r="U41" s="18" t="inlineStr">
        <is>
          <t>Unknown</t>
        </is>
      </c>
      <c r="V41" s="18" t="inlineStr">
        <is>
          <t>IČ 28268164</t>
        </is>
      </c>
      <c r="W41" s="18" t="inlineStr">
        <is>
          <t>Registered Jan 2008; sells through major CZ e-tailers</t>
        </is>
      </c>
      <c r="X41" s="18" t="inlineStr"/>
      <c r="Y41" s="18" t="inlineStr"/>
      <c r="Z41" s="18" t="inlineStr">
        <is>
          <t>Business database + job portal</t>
        </is>
      </c>
      <c r="AA41" s="19" t="inlineStr">
        <is>
          <t>Source link</t>
        </is>
      </c>
      <c r="AB41" s="19" t="inlineStr">
        <is>
          <t>Search LinkedIn</t>
        </is>
      </c>
      <c r="AC41" s="18" t="inlineStr">
        <is>
          <t>Round 3</t>
        </is>
      </c>
      <c r="AD41" s="20" t="inlineStr">
        <is>
          <t>Not contacted</t>
        </is>
      </c>
      <c r="AE41" s="21" t="n"/>
      <c r="AF41" s="20" t="n"/>
      <c r="AG41" s="20" t="n"/>
      <c r="AH41" s="20" t="n"/>
      <c r="AI41" s="21">
        <f>IF(AE41="","",WORKDAY(AE41,5))</f>
        <v/>
      </c>
      <c r="AJ41" s="20" t="n"/>
      <c r="AK41" s="20" t="n"/>
    </row>
    <row r="42">
      <c r="A42" s="22" t="inlineStr">
        <is>
          <t>Denmark</t>
        </is>
      </c>
      <c r="B42" s="23" t="n">
        <v>41</v>
      </c>
      <c r="C42" s="10" t="n">
        <v>4</v>
      </c>
      <c r="D42" s="11" t="inlineStr">
        <is>
          <t>Baby Products</t>
        </is>
      </c>
      <c r="E42" s="11" t="inlineStr">
        <is>
          <t>BabyDan A/S</t>
        </is>
      </c>
      <c r="F42" s="12" t="inlineStr">
        <is>
          <t>https://www.babydan.com</t>
        </is>
      </c>
      <c r="G42" s="11" t="inlineStr">
        <is>
          <t>Låsby</t>
        </is>
      </c>
      <c r="H42" s="11" t="inlineStr"/>
      <c r="I42" s="11" t="inlineStr">
        <is>
          <t>EU / Europe</t>
        </is>
      </c>
      <c r="J42" s="11" t="inlineStr">
        <is>
          <t>Higher</t>
        </is>
      </c>
      <c r="K42" s="11" t="inlineStr">
        <is>
          <t>Niels Bohr Vej 14, 8670 Låsby</t>
        </is>
      </c>
      <c r="L42" s="11" t="inlineStr"/>
      <c r="M42" s="11" t="inlineStr">
        <is>
          <t>info@babydan.com</t>
        </is>
      </c>
      <c r="N42" s="11" t="inlineStr">
        <is>
          <t>Brand owner / manufacturer</t>
        </is>
      </c>
      <c r="O42" s="11" t="inlineStr">
        <is>
          <t>BabyDan safety gates (EN 1930), playpens, home safety</t>
        </is>
      </c>
      <c r="P42" s="11" t="inlineStr">
        <is>
          <t>Baby safety</t>
        </is>
      </c>
      <c r="Q42" s="11" t="inlineStr">
        <is>
          <t>On request</t>
        </is>
      </c>
      <c r="R42" s="11" t="inlineStr">
        <is>
          <t>Retailers &amp; distributors</t>
        </is>
      </c>
      <c r="S42" s="11" t="inlineStr">
        <is>
          <t>Ask</t>
        </is>
      </c>
      <c r="T42" s="11" t="inlineStr">
        <is>
          <t>Unknown</t>
        </is>
      </c>
      <c r="U42" s="11" t="inlineStr">
        <is>
          <t>Unknown</t>
        </is>
      </c>
      <c r="V42" s="11" t="inlineStr"/>
      <c r="W42" s="11" t="inlineStr">
        <is>
          <t>Own factories in Denmark; 90+ Trustpilot reviews</t>
        </is>
      </c>
      <c r="X42" s="11" t="inlineStr">
        <is>
          <t>Safety gates are a strong Amazon category</t>
        </is>
      </c>
      <c r="Y42" s="11" t="inlineStr"/>
      <c r="Z42" s="11" t="inlineStr">
        <is>
          <t>Retailer listing + company site</t>
        </is>
      </c>
      <c r="AA42" s="12" t="inlineStr">
        <is>
          <t>Source link</t>
        </is>
      </c>
      <c r="AB42" s="12" t="inlineStr">
        <is>
          <t>Search LinkedIn</t>
        </is>
      </c>
      <c r="AC42" s="11" t="inlineStr">
        <is>
          <t>Round 4</t>
        </is>
      </c>
      <c r="AD42" s="13" t="inlineStr">
        <is>
          <t>Not contacted</t>
        </is>
      </c>
      <c r="AE42" s="14" t="n"/>
      <c r="AF42" s="13" t="n"/>
      <c r="AG42" s="13" t="n"/>
      <c r="AH42" s="13" t="n"/>
      <c r="AI42" s="14">
        <f>IF(AE42="","",WORKDAY(AE42,5))</f>
        <v/>
      </c>
      <c r="AJ42" s="13" t="n"/>
      <c r="AK42" s="13" t="n"/>
    </row>
    <row r="43">
      <c r="A43" s="24" t="inlineStr">
        <is>
          <t>Denmark</t>
        </is>
      </c>
      <c r="B43" s="25" t="n">
        <v>42</v>
      </c>
      <c r="C43" s="17" t="n">
        <v>3</v>
      </c>
      <c r="D43" s="18" t="inlineStr">
        <is>
          <t>Baby Products</t>
        </is>
      </c>
      <c r="E43" s="18" t="inlineStr">
        <is>
          <t>Liewood A/S</t>
        </is>
      </c>
      <c r="F43" s="19" t="inlineStr">
        <is>
          <t>https://www.liewood.com</t>
        </is>
      </c>
      <c r="G43" s="18" t="inlineStr">
        <is>
          <t>Copenhagen</t>
        </is>
      </c>
      <c r="H43" s="18" t="inlineStr"/>
      <c r="I43" s="18" t="inlineStr">
        <is>
          <t>EU / Europe</t>
        </is>
      </c>
      <c r="J43" s="18" t="inlineStr">
        <is>
          <t>Higher</t>
        </is>
      </c>
      <c r="K43" s="18" t="inlineStr">
        <is>
          <t>Blegdamsvej 124, 2100 Copenhagen</t>
        </is>
      </c>
      <c r="L43" s="18" t="inlineStr"/>
      <c r="M43" s="18" t="inlineStr">
        <is>
          <t>customerservice@liewood.com (ask for wholesale)</t>
        </is>
      </c>
      <c r="N43" s="18" t="inlineStr">
        <is>
          <t>Brand owner</t>
        </is>
      </c>
      <c r="O43" s="18" t="inlineStr">
        <is>
          <t>Liewood baby &amp; kids tableware, toys, textiles</t>
        </is>
      </c>
      <c r="P43" s="18" t="inlineStr">
        <is>
          <t>Premium baby &amp; kids lifestyle</t>
        </is>
      </c>
      <c r="Q43" s="18" t="inlineStr">
        <is>
          <t>Wholesale minimum order (ask)</t>
        </is>
      </c>
      <c r="R43" s="18" t="inlineStr">
        <is>
          <t>Retail stores / webshops; 900+ wholesale partners</t>
        </is>
      </c>
      <c r="S43" s="18" t="inlineStr">
        <is>
          <t>Yes - sold internationally</t>
        </is>
      </c>
      <c r="T43" s="18" t="inlineStr">
        <is>
          <t>Unknown</t>
        </is>
      </c>
      <c r="U43" s="18" t="inlineStr">
        <is>
          <t>Unknown</t>
        </is>
      </c>
      <c r="V43" s="18" t="inlineStr"/>
      <c r="W43" s="18" t="inlineStr">
        <is>
          <t>Manufacturer contact on EU retailer GPSR listings; sold via Boozt</t>
        </is>
      </c>
      <c r="X43" s="18" t="inlineStr">
        <is>
          <t>Silicone tableware &amp; bibs sell well; check brand gating</t>
        </is>
      </c>
      <c r="Y43" s="18" t="inlineStr">
        <is>
          <t>Premium brand - check MAP pricing policy</t>
        </is>
      </c>
      <c r="Z43" s="18" t="inlineStr">
        <is>
          <t>Retailer GPSR data + company LinkedIn</t>
        </is>
      </c>
      <c r="AA43" s="19" t="inlineStr">
        <is>
          <t>Source link</t>
        </is>
      </c>
      <c r="AB43" s="19" t="inlineStr">
        <is>
          <t>Search LinkedIn</t>
        </is>
      </c>
      <c r="AC43" s="18" t="inlineStr">
        <is>
          <t>Round 4</t>
        </is>
      </c>
      <c r="AD43" s="20" t="inlineStr">
        <is>
          <t>Not contacted</t>
        </is>
      </c>
      <c r="AE43" s="21" t="n"/>
      <c r="AF43" s="20" t="n"/>
      <c r="AG43" s="20" t="n"/>
      <c r="AH43" s="20" t="n"/>
      <c r="AI43" s="21">
        <f>IF(AE43="","",WORKDAY(AE43,5))</f>
        <v/>
      </c>
      <c r="AJ43" s="20" t="n"/>
      <c r="AK43" s="20" t="n"/>
    </row>
    <row r="44">
      <c r="A44" s="24" t="inlineStr">
        <is>
          <t>Denmark</t>
        </is>
      </c>
      <c r="B44" s="25" t="n">
        <v>43</v>
      </c>
      <c r="C44" s="17" t="n">
        <v>3</v>
      </c>
      <c r="D44" s="18" t="inlineStr">
        <is>
          <t>Beauty</t>
        </is>
      </c>
      <c r="E44" s="18" t="inlineStr">
        <is>
          <t>ECOOKING A/S</t>
        </is>
      </c>
      <c r="F44" s="19" t="inlineStr">
        <is>
          <t>https://www.ecooking.com</t>
        </is>
      </c>
      <c r="G44" s="18" t="inlineStr">
        <is>
          <t>Bjert (Kolding)</t>
        </is>
      </c>
      <c r="H44" s="18" t="inlineStr"/>
      <c r="I44" s="18" t="inlineStr">
        <is>
          <t>EU / Europe</t>
        </is>
      </c>
      <c r="J44" s="18" t="inlineStr">
        <is>
          <t>Higher</t>
        </is>
      </c>
      <c r="K44" s="18" t="inlineStr">
        <is>
          <t>Gl. Skartved 11, 6091 Bjert (verify)</t>
        </is>
      </c>
      <c r="L44" s="18" t="inlineStr">
        <is>
          <t>+45 70 70 73 66 (verify)</t>
        </is>
      </c>
      <c r="M44" s="18" t="inlineStr"/>
      <c r="N44" s="18" t="inlineStr">
        <is>
          <t>Brand owner</t>
        </is>
      </c>
      <c r="O44" s="18" t="inlineStr">
        <is>
          <t>Ecooking organic skincare</t>
        </is>
      </c>
      <c r="P44" s="18" t="inlineStr">
        <is>
          <t>Organic skincare</t>
        </is>
      </c>
      <c r="Q44" s="18" t="inlineStr">
        <is>
          <t>Account based</t>
        </is>
      </c>
      <c r="R44" s="18" t="inlineStr">
        <is>
          <t>Shops &amp; online retailers (32 countries)</t>
        </is>
      </c>
      <c r="S44" s="18" t="inlineStr">
        <is>
          <t>Ask</t>
        </is>
      </c>
      <c r="T44" s="18" t="inlineStr">
        <is>
          <t>Unknown</t>
        </is>
      </c>
      <c r="U44" s="18" t="inlineStr">
        <is>
          <t>Unknown</t>
        </is>
      </c>
      <c r="V44" s="18" t="inlineStr"/>
      <c r="W44" s="18" t="inlineStr">
        <is>
          <t>70% owned by Bluegem Capital (2021 deal); stocked by Lyko</t>
        </is>
      </c>
      <c r="X44" s="18" t="inlineStr">
        <is>
          <t>Clean-beauty serums &amp; creams have growing demand</t>
        </is>
      </c>
      <c r="Y44" s="18" t="inlineStr"/>
      <c r="Z44" s="18" t="inlineStr">
        <is>
          <t>PE press release + business data</t>
        </is>
      </c>
      <c r="AA44" s="19" t="inlineStr">
        <is>
          <t>Source link</t>
        </is>
      </c>
      <c r="AB44" s="19" t="inlineStr">
        <is>
          <t>Search LinkedIn</t>
        </is>
      </c>
      <c r="AC44" s="18" t="inlineStr">
        <is>
          <t>Round 4</t>
        </is>
      </c>
      <c r="AD44" s="20" t="inlineStr">
        <is>
          <t>Not contacted</t>
        </is>
      </c>
      <c r="AE44" s="21" t="n"/>
      <c r="AF44" s="20" t="n"/>
      <c r="AG44" s="20" t="n"/>
      <c r="AH44" s="20" t="n"/>
      <c r="AI44" s="21">
        <f>IF(AE44="","",WORKDAY(AE44,5))</f>
        <v/>
      </c>
      <c r="AJ44" s="20" t="n"/>
      <c r="AK44" s="20" t="n"/>
    </row>
    <row r="45">
      <c r="A45" s="24" t="inlineStr">
        <is>
          <t>Denmark</t>
        </is>
      </c>
      <c r="B45" s="25" t="n">
        <v>44</v>
      </c>
      <c r="C45" s="17" t="n">
        <v>3</v>
      </c>
      <c r="D45" s="18" t="inlineStr">
        <is>
          <t>Pet Supplies</t>
        </is>
      </c>
      <c r="E45" s="18" t="inlineStr">
        <is>
          <t>Jørgen Kruuse A/S (KRUUSE, BUSTER)</t>
        </is>
      </c>
      <c r="F45" s="19" t="inlineStr">
        <is>
          <t>https://kruuse.com/frontpage/welcome-at-kruuse/about-kruuse</t>
        </is>
      </c>
      <c r="G45" s="18" t="inlineStr">
        <is>
          <t>Langeskov</t>
        </is>
      </c>
      <c r="H45" s="18" t="inlineStr"/>
      <c r="I45" s="18" t="inlineStr">
        <is>
          <t>EU / Europe</t>
        </is>
      </c>
      <c r="J45" s="18" t="inlineStr">
        <is>
          <t>Higher</t>
        </is>
      </c>
      <c r="K45" s="18" t="inlineStr">
        <is>
          <t>Erik Stocks Allé 3, 5550 Langeskov</t>
        </is>
      </c>
      <c r="L45" s="18" t="inlineStr"/>
      <c r="M45" s="18" t="inlineStr"/>
      <c r="N45" s="18" t="inlineStr">
        <is>
          <t>Veterinary &amp; pet products supplier</t>
        </is>
      </c>
      <c r="O45" s="18" t="inlineStr">
        <is>
          <t>BUSTER pet accessories (food dispensers, collars), KRUUSE vet supplies</t>
        </is>
      </c>
      <c r="P45" s="18" t="inlineStr">
        <is>
          <t>Pet accessories &amp; vet</t>
        </is>
      </c>
      <c r="Q45" s="18" t="inlineStr">
        <is>
          <t>Account based</t>
        </is>
      </c>
      <c r="R45" s="18" t="inlineStr">
        <is>
          <t>Appointed distributors (350+ in 100+ countries)</t>
        </is>
      </c>
      <c r="S45" s="18" t="inlineStr">
        <is>
          <t>Ask who distributes BUSTER in the UK</t>
        </is>
      </c>
      <c r="T45" s="18" t="inlineStr">
        <is>
          <t>Unknown</t>
        </is>
      </c>
      <c r="U45" s="18" t="inlineStr">
        <is>
          <t>Unknown</t>
        </is>
      </c>
      <c r="V45" s="18" t="inlineStr"/>
      <c r="W45" s="18" t="inlineStr">
        <is>
          <t>Majority-owned by Henry Schein (NASDAQ); 12,000 catalogue lines</t>
        </is>
      </c>
      <c r="X45" s="18" t="inlineStr">
        <is>
          <t>BUSTER activity toys sell well</t>
        </is>
      </c>
      <c r="Y45" s="18" t="inlineStr"/>
      <c r="Z45" s="18" t="inlineStr">
        <is>
          <t>Company site + investor news</t>
        </is>
      </c>
      <c r="AA45" s="19" t="inlineStr">
        <is>
          <t>Source link</t>
        </is>
      </c>
      <c r="AB45" s="19" t="inlineStr">
        <is>
          <t>Search LinkedIn</t>
        </is>
      </c>
      <c r="AC45" s="18" t="inlineStr">
        <is>
          <t>Round 4</t>
        </is>
      </c>
      <c r="AD45" s="20" t="inlineStr">
        <is>
          <t>Not contacted</t>
        </is>
      </c>
      <c r="AE45" s="21" t="n"/>
      <c r="AF45" s="20" t="n"/>
      <c r="AG45" s="20" t="n"/>
      <c r="AH45" s="20" t="n"/>
      <c r="AI45" s="21">
        <f>IF(AE45="","",WORKDAY(AE45,5))</f>
        <v/>
      </c>
      <c r="AJ45" s="20" t="n"/>
      <c r="AK45" s="20" t="n"/>
    </row>
    <row r="46">
      <c r="A46" s="24" t="inlineStr">
        <is>
          <t>Denmark</t>
        </is>
      </c>
      <c r="B46" s="25" t="n">
        <v>45</v>
      </c>
      <c r="C46" s="17" t="n">
        <v>4</v>
      </c>
      <c r="D46" s="18" t="inlineStr">
        <is>
          <t>Sports &amp; Outdoors</t>
        </is>
      </c>
      <c r="E46" s="18" t="inlineStr">
        <is>
          <t>Oase Outdoors ApS (Outwell, Easy Camp, Robens)</t>
        </is>
      </c>
      <c r="F46" s="19" t="inlineStr">
        <is>
          <t>https://www.oase-outdoors.dk</t>
        </is>
      </c>
      <c r="G46" s="18" t="inlineStr">
        <is>
          <t>Give</t>
        </is>
      </c>
      <c r="H46" s="18" t="inlineStr"/>
      <c r="I46" s="18" t="inlineStr">
        <is>
          <t>EU / Europe</t>
        </is>
      </c>
      <c r="J46" s="18" t="inlineStr">
        <is>
          <t>Higher</t>
        </is>
      </c>
      <c r="K46" s="18" t="inlineStr">
        <is>
          <t>Give (HQ)</t>
        </is>
      </c>
      <c r="L46" s="18" t="inlineStr"/>
      <c r="M46" s="18" t="inlineStr"/>
      <c r="N46" s="18" t="inlineStr">
        <is>
          <t>Brand owner</t>
        </is>
      </c>
      <c r="O46" s="18" t="inlineStr">
        <is>
          <t>Outwell, Easy Camp, Robens tents, camping furniture &amp; equipment</t>
        </is>
      </c>
      <c r="P46" s="18" t="inlineStr">
        <is>
          <t>Camping</t>
        </is>
      </c>
      <c r="Q46" s="18" t="inlineStr">
        <is>
          <t>Account based</t>
        </is>
      </c>
      <c r="R46" s="18" t="inlineStr">
        <is>
          <t>Dealers &amp; agents in 45 countries</t>
        </is>
      </c>
      <c r="S46" s="18" t="inlineStr">
        <is>
          <t>UK is a main market - ask for UK agent</t>
        </is>
      </c>
      <c r="T46" s="18" t="inlineStr">
        <is>
          <t>Unknown</t>
        </is>
      </c>
      <c r="U46" s="18" t="inlineStr">
        <is>
          <t>Unknown</t>
        </is>
      </c>
      <c r="V46" s="18" t="inlineStr"/>
      <c r="W46" s="18" t="inlineStr">
        <is>
          <t>Owned by Ratos (listed Swedish investor); founded 1984</t>
        </is>
      </c>
      <c r="X46" s="18" t="inlineStr">
        <is>
          <t>Popular camping brands on Amazon UK</t>
        </is>
      </c>
      <c r="Y46" s="18" t="inlineStr"/>
      <c r="Z46" s="18" t="inlineStr">
        <is>
          <t>Investor portfolio page</t>
        </is>
      </c>
      <c r="AA46" s="19" t="inlineStr">
        <is>
          <t>Source link</t>
        </is>
      </c>
      <c r="AB46" s="19" t="inlineStr">
        <is>
          <t>Search LinkedIn</t>
        </is>
      </c>
      <c r="AC46" s="18" t="inlineStr">
        <is>
          <t>Round 4</t>
        </is>
      </c>
      <c r="AD46" s="20" t="inlineStr">
        <is>
          <t>Not contacted</t>
        </is>
      </c>
      <c r="AE46" s="21" t="n"/>
      <c r="AF46" s="20" t="n"/>
      <c r="AG46" s="20" t="n"/>
      <c r="AH46" s="20" t="n"/>
      <c r="AI46" s="21">
        <f>IF(AE46="","",WORKDAY(AE46,5))</f>
        <v/>
      </c>
      <c r="AJ46" s="20" t="n"/>
      <c r="AK46" s="20" t="n"/>
    </row>
    <row r="47">
      <c r="A47" s="24" t="inlineStr">
        <is>
          <t>Denmark</t>
        </is>
      </c>
      <c r="B47" s="25" t="n">
        <v>46</v>
      </c>
      <c r="C47" s="17" t="n">
        <v>3</v>
      </c>
      <c r="D47" s="18" t="inlineStr">
        <is>
          <t>Sports &amp; Outdoors</t>
        </is>
      </c>
      <c r="E47" s="18" t="inlineStr">
        <is>
          <t>Select Sport A/S (incl. Derbystar)</t>
        </is>
      </c>
      <c r="F47" s="19" t="inlineStr">
        <is>
          <t>https://www.select-sport.com</t>
        </is>
      </c>
      <c r="G47" s="18" t="inlineStr">
        <is>
          <t>Glostrup</t>
        </is>
      </c>
      <c r="H47" s="18" t="inlineStr"/>
      <c r="I47" s="18" t="inlineStr">
        <is>
          <t>EU / Europe</t>
        </is>
      </c>
      <c r="J47" s="18" t="inlineStr">
        <is>
          <t>Higher</t>
        </is>
      </c>
      <c r="K47" s="18" t="inlineStr">
        <is>
          <t>Fabriksparken 46, 2600 Glostrup</t>
        </is>
      </c>
      <c r="L47" s="18" t="inlineStr"/>
      <c r="M47" s="18" t="inlineStr"/>
      <c r="N47" s="18" t="inlineStr">
        <is>
          <t>Brand owner / manufacturer</t>
        </is>
      </c>
      <c r="O47" s="18" t="inlineStr">
        <is>
          <t>Select &amp; Derbystar footballs, handballs, sportswear, accessories</t>
        </is>
      </c>
      <c r="P47" s="18" t="inlineStr">
        <is>
          <t>Team sports</t>
        </is>
      </c>
      <c r="Q47" s="18" t="inlineStr">
        <is>
          <t>Account based</t>
        </is>
      </c>
      <c r="R47" s="18" t="inlineStr">
        <is>
          <t>Distributors &amp; retailers (exports to 50+ countries)</t>
        </is>
      </c>
      <c r="S47" s="18" t="inlineStr">
        <is>
          <t>Ask</t>
        </is>
      </c>
      <c r="T47" s="18" t="inlineStr">
        <is>
          <t>Unknown</t>
        </is>
      </c>
      <c r="U47" s="18" t="inlineStr">
        <is>
          <t>Unknown</t>
        </is>
      </c>
      <c r="V47" s="18" t="inlineStr"/>
      <c r="W47" s="18" t="inlineStr">
        <is>
          <t>Owns Derbystar since 1991; Bundesliga match-ball supplier</t>
        </is>
      </c>
      <c r="X47" s="18" t="inlineStr">
        <is>
          <t>Footballs sell well seasonally</t>
        </is>
      </c>
      <c r="Y47" s="18" t="inlineStr"/>
      <c r="Z47" s="18" t="inlineStr">
        <is>
          <t>Wikipedia + Bundesliga release</t>
        </is>
      </c>
      <c r="AA47" s="19" t="inlineStr">
        <is>
          <t>Source link</t>
        </is>
      </c>
      <c r="AB47" s="19" t="inlineStr">
        <is>
          <t>Search LinkedIn</t>
        </is>
      </c>
      <c r="AC47" s="18" t="inlineStr">
        <is>
          <t>Round 4</t>
        </is>
      </c>
      <c r="AD47" s="20" t="inlineStr">
        <is>
          <t>Not contacted</t>
        </is>
      </c>
      <c r="AE47" s="21" t="n"/>
      <c r="AF47" s="20" t="n"/>
      <c r="AG47" s="20" t="n"/>
      <c r="AH47" s="20" t="n"/>
      <c r="AI47" s="21">
        <f>IF(AE47="","",WORKDAY(AE47,5))</f>
        <v/>
      </c>
      <c r="AJ47" s="20" t="n"/>
      <c r="AK47" s="20" t="n"/>
    </row>
    <row r="48">
      <c r="A48" s="24" t="inlineStr">
        <is>
          <t>Denmark</t>
        </is>
      </c>
      <c r="B48" s="25" t="n">
        <v>47</v>
      </c>
      <c r="C48" s="17" t="n">
        <v>3</v>
      </c>
      <c r="D48" s="18" t="inlineStr">
        <is>
          <t>Stationery &amp; Office</t>
        </is>
      </c>
      <c r="E48" s="18" t="inlineStr">
        <is>
          <t>Creativ Company A/S</t>
        </is>
      </c>
      <c r="F48" s="18" t="inlineStr">
        <is>
          <t>Not confirmed - search company name</t>
        </is>
      </c>
      <c r="G48" s="18" t="inlineStr">
        <is>
          <t>Denmark</t>
        </is>
      </c>
      <c r="H48" s="18" t="inlineStr"/>
      <c r="I48" s="18" t="inlineStr">
        <is>
          <t>EU / Europe</t>
        </is>
      </c>
      <c r="J48" s="18" t="inlineStr">
        <is>
          <t>Higher</t>
        </is>
      </c>
      <c r="K48" s="18" t="inlineStr"/>
      <c r="L48" s="18" t="inlineStr"/>
      <c r="M48" s="18" t="inlineStr"/>
      <c r="N48" s="18" t="inlineStr">
        <is>
          <t>Art &amp; craft wholesaler</t>
        </is>
      </c>
      <c r="O48" s="18" t="inlineStr">
        <is>
          <t>Art &amp; craft materials</t>
        </is>
      </c>
      <c r="P48" s="18" t="inlineStr">
        <is>
          <t>Arts &amp; crafts</t>
        </is>
      </c>
      <c r="Q48" s="18" t="inlineStr">
        <is>
          <t>On request</t>
        </is>
      </c>
      <c r="R48" s="18" t="inlineStr">
        <is>
          <t>Schools &amp; wholesale customers</t>
        </is>
      </c>
      <c r="S48" s="18" t="inlineStr">
        <is>
          <t>Yes - UK is a main market</t>
        </is>
      </c>
      <c r="T48" s="18" t="inlineStr">
        <is>
          <t>Unknown</t>
        </is>
      </c>
      <c r="U48" s="18" t="inlineStr">
        <is>
          <t>Unknown</t>
        </is>
      </c>
      <c r="V48" s="18" t="inlineStr"/>
      <c r="W48" s="18" t="inlineStr">
        <is>
          <t>Sells in 40 countries</t>
        </is>
      </c>
      <c r="X48" s="18" t="inlineStr"/>
      <c r="Y48" s="18" t="inlineStr"/>
      <c r="Z48" s="18" t="inlineStr">
        <is>
          <t>Company profile (Nordic9)</t>
        </is>
      </c>
      <c r="AA48" s="19" t="inlineStr">
        <is>
          <t>Source link</t>
        </is>
      </c>
      <c r="AB48" s="19" t="inlineStr">
        <is>
          <t>Search LinkedIn</t>
        </is>
      </c>
      <c r="AC48" s="18" t="inlineStr">
        <is>
          <t>Round 2</t>
        </is>
      </c>
      <c r="AD48" s="20" t="inlineStr">
        <is>
          <t>Not contacted</t>
        </is>
      </c>
      <c r="AE48" s="21" t="n"/>
      <c r="AF48" s="20" t="n"/>
      <c r="AG48" s="20" t="n"/>
      <c r="AH48" s="20" t="n"/>
      <c r="AI48" s="21">
        <f>IF(AE48="","",WORKDAY(AE48,5))</f>
        <v/>
      </c>
      <c r="AJ48" s="20" t="n"/>
      <c r="AK48" s="20" t="n"/>
    </row>
    <row r="49">
      <c r="A49" s="24" t="inlineStr">
        <is>
          <t>Denmark</t>
        </is>
      </c>
      <c r="B49" s="25" t="n">
        <v>48</v>
      </c>
      <c r="C49" s="17" t="n">
        <v>4</v>
      </c>
      <c r="D49" s="18" t="inlineStr">
        <is>
          <t>Toys &amp; Games</t>
        </is>
      </c>
      <c r="E49" s="18" t="inlineStr">
        <is>
          <t>Plus-Plus A/S</t>
        </is>
      </c>
      <c r="F49" s="19" t="inlineStr">
        <is>
          <t>https://www.plusplus.com</t>
        </is>
      </c>
      <c r="G49" s="18" t="inlineStr">
        <is>
          <t>Holbæk</t>
        </is>
      </c>
      <c r="H49" s="18" t="inlineStr"/>
      <c r="I49" s="18" t="inlineStr">
        <is>
          <t>EU / Europe</t>
        </is>
      </c>
      <c r="J49" s="18" t="inlineStr">
        <is>
          <t>Higher</t>
        </is>
      </c>
      <c r="K49" s="18" t="inlineStr">
        <is>
          <t>Borupvej 20, Holbæk</t>
        </is>
      </c>
      <c r="L49" s="18" t="inlineStr"/>
      <c r="M49" s="18" t="inlineStr"/>
      <c r="N49" s="18" t="inlineStr">
        <is>
          <t>Brand owner / manufacturer</t>
        </is>
      </c>
      <c r="O49" s="18" t="inlineStr">
        <is>
          <t>Plus-Plus construction pieces (made in Denmark)</t>
        </is>
      </c>
      <c r="P49" s="18" t="inlineStr">
        <is>
          <t>Construction toys</t>
        </is>
      </c>
      <c r="Q49" s="18" t="inlineStr">
        <is>
          <t>Account based</t>
        </is>
      </c>
      <c r="R49" s="18" t="inlineStr">
        <is>
          <t>Distributors (40+ countries)</t>
        </is>
      </c>
      <c r="S49" s="18" t="inlineStr">
        <is>
          <t>Yes - UK office in Berkshire (since 2023)</t>
        </is>
      </c>
      <c r="T49" s="18" t="inlineStr">
        <is>
          <t>Unknown</t>
        </is>
      </c>
      <c r="U49" s="18" t="inlineStr">
        <is>
          <t>Unknown</t>
        </is>
      </c>
      <c r="V49" s="18" t="inlineStr"/>
      <c r="W49" s="18" t="inlineStr">
        <is>
          <t>Own Danish factory; Formland &amp; London Toy Fair exhibitor</t>
        </is>
      </c>
      <c r="X49" s="18" t="inlineStr">
        <is>
          <t>Popular creative toy on Amazon</t>
        </is>
      </c>
      <c r="Y49" s="18" t="inlineStr">
        <is>
          <t>Contact the UK office.</t>
        </is>
      </c>
      <c r="Z49" s="18" t="inlineStr">
        <is>
          <t>Trade fair listings + trade data</t>
        </is>
      </c>
      <c r="AA49" s="19" t="inlineStr">
        <is>
          <t>Source link</t>
        </is>
      </c>
      <c r="AB49" s="19" t="inlineStr">
        <is>
          <t>Search LinkedIn</t>
        </is>
      </c>
      <c r="AC49" s="18" t="inlineStr">
        <is>
          <t>Round 4</t>
        </is>
      </c>
      <c r="AD49" s="20" t="inlineStr">
        <is>
          <t>Not contacted</t>
        </is>
      </c>
      <c r="AE49" s="21" t="n"/>
      <c r="AF49" s="20" t="n"/>
      <c r="AG49" s="20" t="n"/>
      <c r="AH49" s="20" t="n"/>
      <c r="AI49" s="21">
        <f>IF(AE49="","",WORKDAY(AE49,5))</f>
        <v/>
      </c>
      <c r="AJ49" s="20" t="n"/>
      <c r="AK49" s="20" t="n"/>
    </row>
    <row r="50">
      <c r="A50" s="8" t="inlineStr">
        <is>
          <t>Finland</t>
        </is>
      </c>
      <c r="B50" s="9" t="n">
        <v>49</v>
      </c>
      <c r="C50" s="10" t="n">
        <v>4</v>
      </c>
      <c r="D50" s="11" t="inlineStr">
        <is>
          <t>Beauty</t>
        </is>
      </c>
      <c r="E50" s="11" t="inlineStr">
        <is>
          <t>Lumene Oy</t>
        </is>
      </c>
      <c r="F50" s="12" t="inlineStr">
        <is>
          <t>https://www.lumene.com</t>
        </is>
      </c>
      <c r="G50" s="11" t="inlineStr">
        <is>
          <t>Espoo</t>
        </is>
      </c>
      <c r="H50" s="11" t="inlineStr"/>
      <c r="I50" s="11" t="inlineStr">
        <is>
          <t>EU / Europe</t>
        </is>
      </c>
      <c r="J50" s="11" t="inlineStr">
        <is>
          <t>Higher</t>
        </is>
      </c>
      <c r="K50" s="11" t="inlineStr">
        <is>
          <t>Lasikuja 2, 02780 Espoo</t>
        </is>
      </c>
      <c r="L50" s="11" t="inlineStr"/>
      <c r="M50" s="11" t="inlineStr"/>
      <c r="N50" s="11" t="inlineStr">
        <is>
          <t>Brand owner / manufacturer</t>
        </is>
      </c>
      <c r="O50" s="11" t="inlineStr">
        <is>
          <t>Lumene Nordic skincare &amp; makeup, Cutrin haircare</t>
        </is>
      </c>
      <c r="P50" s="11" t="inlineStr">
        <is>
          <t>Skincare &amp; cosmetics</t>
        </is>
      </c>
      <c r="Q50" s="11" t="inlineStr">
        <is>
          <t>Account based</t>
        </is>
      </c>
      <c r="R50" s="11" t="inlineStr">
        <is>
          <t>Distributors &amp; retailers</t>
        </is>
      </c>
      <c r="S50" s="11" t="inlineStr">
        <is>
          <t>UK is a key market - ask who distributes</t>
        </is>
      </c>
      <c r="T50" s="11" t="inlineStr">
        <is>
          <t>Unknown</t>
        </is>
      </c>
      <c r="U50" s="11" t="inlineStr">
        <is>
          <t>Unknown</t>
        </is>
      </c>
      <c r="V50" s="11" t="inlineStr"/>
      <c r="W50" s="11" t="inlineStr">
        <is>
          <t>Leading Finnish cosmetics brand; Verdane &amp; Creades owned</t>
        </is>
      </c>
      <c r="X50" s="11" t="inlineStr">
        <is>
          <t>Lumene sells well on Amazon UK</t>
        </is>
      </c>
      <c r="Y50" s="11" t="inlineStr"/>
      <c r="Z50" s="11" t="inlineStr">
        <is>
          <t>Wikipedia + investor news + trade data</t>
        </is>
      </c>
      <c r="AA50" s="12" t="inlineStr">
        <is>
          <t>Source link</t>
        </is>
      </c>
      <c r="AB50" s="12" t="inlineStr">
        <is>
          <t>Search LinkedIn</t>
        </is>
      </c>
      <c r="AC50" s="11" t="inlineStr">
        <is>
          <t>Round 4</t>
        </is>
      </c>
      <c r="AD50" s="13" t="inlineStr">
        <is>
          <t>Not contacted</t>
        </is>
      </c>
      <c r="AE50" s="14" t="n"/>
      <c r="AF50" s="13" t="n"/>
      <c r="AG50" s="13" t="n"/>
      <c r="AH50" s="13" t="n"/>
      <c r="AI50" s="14">
        <f>IF(AE50="","",WORKDAY(AE50,5))</f>
        <v/>
      </c>
      <c r="AJ50" s="13" t="n"/>
      <c r="AK50" s="13" t="n"/>
    </row>
    <row r="51">
      <c r="A51" s="15" t="inlineStr">
        <is>
          <t>Finland</t>
        </is>
      </c>
      <c r="B51" s="16" t="n">
        <v>50</v>
      </c>
      <c r="C51" s="17" t="n">
        <v>4</v>
      </c>
      <c r="D51" s="18" t="inlineStr">
        <is>
          <t>DIY &amp; Tools</t>
        </is>
      </c>
      <c r="E51" s="18" t="inlineStr">
        <is>
          <t>Fiskars Group (Fiskars Finland Oy Ab)</t>
        </is>
      </c>
      <c r="F51" s="19" t="inlineStr">
        <is>
          <t>https://www.fiskarsgroup.com</t>
        </is>
      </c>
      <c r="G51" s="18" t="inlineStr">
        <is>
          <t>Espoo</t>
        </is>
      </c>
      <c r="H51" s="18" t="inlineStr"/>
      <c r="I51" s="18" t="inlineStr">
        <is>
          <t>EU / Europe</t>
        </is>
      </c>
      <c r="J51" s="18" t="inlineStr">
        <is>
          <t>Higher</t>
        </is>
      </c>
      <c r="K51" s="18" t="inlineStr">
        <is>
          <t>Keilaniementie 10, 02150 Espoo</t>
        </is>
      </c>
      <c r="L51" s="18" t="inlineStr"/>
      <c r="M51" s="18" t="inlineStr"/>
      <c r="N51" s="18" t="inlineStr">
        <is>
          <t>Brand owner (listed)</t>
        </is>
      </c>
      <c r="O51" s="18" t="inlineStr">
        <is>
          <t>Fiskars garden tools, axes, scissors; also Gerber, Iittala (home)</t>
        </is>
      </c>
      <c r="P51" s="18" t="inlineStr">
        <is>
          <t>Garden &amp; hand tools</t>
        </is>
      </c>
      <c r="Q51" s="18" t="inlineStr">
        <is>
          <t>Account based</t>
        </is>
      </c>
      <c r="R51" s="18" t="inlineStr">
        <is>
          <t>Regional sales offices &amp; official distributors</t>
        </is>
      </c>
      <c r="S51" s="18" t="inlineStr">
        <is>
          <t>Has UK sales office - ask</t>
        </is>
      </c>
      <c r="T51" s="18" t="inlineStr">
        <is>
          <t>Unknown</t>
        </is>
      </c>
      <c r="U51" s="18" t="inlineStr">
        <is>
          <t>Unknown</t>
        </is>
      </c>
      <c r="V51" s="18" t="inlineStr"/>
      <c r="W51" s="18" t="inlineStr">
        <is>
          <t>Helsinki-listed; global consumer-goods group</t>
        </is>
      </c>
      <c r="X51" s="18" t="inlineStr">
        <is>
          <t>Fiskars is a top Amazon garden brand</t>
        </is>
      </c>
      <c r="Y51" s="18" t="inlineStr"/>
      <c r="Z51" s="18" t="inlineStr">
        <is>
          <t>Wikipedia + embassy news</t>
        </is>
      </c>
      <c r="AA51" s="19" t="inlineStr">
        <is>
          <t>Source link</t>
        </is>
      </c>
      <c r="AB51" s="19" t="inlineStr">
        <is>
          <t>Search LinkedIn</t>
        </is>
      </c>
      <c r="AC51" s="18" t="inlineStr">
        <is>
          <t>Round 4</t>
        </is>
      </c>
      <c r="AD51" s="20" t="inlineStr">
        <is>
          <t>Not contacted</t>
        </is>
      </c>
      <c r="AE51" s="21" t="n"/>
      <c r="AF51" s="20" t="n"/>
      <c r="AG51" s="20" t="n"/>
      <c r="AH51" s="20" t="n"/>
      <c r="AI51" s="21">
        <f>IF(AE51="","",WORKDAY(AE51,5))</f>
        <v/>
      </c>
      <c r="AJ51" s="20" t="n"/>
      <c r="AK51" s="20" t="n"/>
    </row>
    <row r="52">
      <c r="A52" s="15" t="inlineStr">
        <is>
          <t>Finland</t>
        </is>
      </c>
      <c r="B52" s="16" t="n">
        <v>51</v>
      </c>
      <c r="C52" s="17" t="n">
        <v>4</v>
      </c>
      <c r="D52" s="18" t="inlineStr">
        <is>
          <t>Home &amp; Kitchen</t>
        </is>
      </c>
      <c r="E52" s="18" t="inlineStr">
        <is>
          <t>Orthex Finland Ab Oy (SmartStore)</t>
        </is>
      </c>
      <c r="F52" s="19" t="inlineStr">
        <is>
          <t>https://www.orthexgroup.com</t>
        </is>
      </c>
      <c r="G52" s="18" t="inlineStr">
        <is>
          <t>Espoo</t>
        </is>
      </c>
      <c r="H52" s="18" t="inlineStr"/>
      <c r="I52" s="18" t="inlineStr">
        <is>
          <t>EU / Europe</t>
        </is>
      </c>
      <c r="J52" s="18" t="inlineStr">
        <is>
          <t>Higher</t>
        </is>
      </c>
      <c r="K52" s="18" t="inlineStr">
        <is>
          <t>Suomalaistentie 7, 02270 Espoo</t>
        </is>
      </c>
      <c r="L52" s="18" t="inlineStr">
        <is>
          <t>+358 19 32961 (verify)</t>
        </is>
      </c>
      <c r="M52" s="18" t="inlineStr">
        <is>
          <t>Contact form on orthexgroup.fi</t>
        </is>
      </c>
      <c r="N52" s="18" t="inlineStr">
        <is>
          <t>Brand owner / manufacturer (listed)</t>
        </is>
      </c>
      <c r="O52" s="18" t="inlineStr">
        <is>
          <t>SmartStore storage boxes, GastroMax kitchenware, Orthex garden</t>
        </is>
      </c>
      <c r="P52" s="18" t="inlineStr">
        <is>
          <t>Storage &amp; kitchenware</t>
        </is>
      </c>
      <c r="Q52" s="18" t="inlineStr">
        <is>
          <t>Account based</t>
        </is>
      </c>
      <c r="R52" s="18" t="inlineStr">
        <is>
          <t>Retailers &amp; distributors; 8 sales organisations incl. UK</t>
        </is>
      </c>
      <c r="S52" s="18" t="inlineStr">
        <is>
          <t>Yes - has UK sales organisation</t>
        </is>
      </c>
      <c r="T52" s="18" t="inlineStr">
        <is>
          <t>Unknown</t>
        </is>
      </c>
      <c r="U52" s="18" t="inlineStr">
        <is>
          <t>Unknown</t>
        </is>
      </c>
      <c r="V52" s="18" t="inlineStr"/>
      <c r="W52" s="18" t="inlineStr">
        <is>
          <t>Nasdaq Helsinki-listed group</t>
        </is>
      </c>
      <c r="X52" s="18" t="inlineStr">
        <is>
          <t>SmartStore storage boxes are popular; bulky items cost more in FBA fees</t>
        </is>
      </c>
      <c r="Y52" s="18" t="inlineStr"/>
      <c r="Z52" s="18" t="inlineStr">
        <is>
          <t>Investor site + retailer GPSR data</t>
        </is>
      </c>
      <c r="AA52" s="19" t="inlineStr">
        <is>
          <t>Source link</t>
        </is>
      </c>
      <c r="AB52" s="19" t="inlineStr">
        <is>
          <t>Search LinkedIn</t>
        </is>
      </c>
      <c r="AC52" s="18" t="inlineStr">
        <is>
          <t>Round 4</t>
        </is>
      </c>
      <c r="AD52" s="20" t="inlineStr">
        <is>
          <t>Not contacted</t>
        </is>
      </c>
      <c r="AE52" s="21" t="n"/>
      <c r="AF52" s="20" t="n"/>
      <c r="AG52" s="20" t="n"/>
      <c r="AH52" s="20" t="n"/>
      <c r="AI52" s="21">
        <f>IF(AE52="","",WORKDAY(AE52,5))</f>
        <v/>
      </c>
      <c r="AJ52" s="20" t="n"/>
      <c r="AK52" s="20" t="n"/>
    </row>
    <row r="53">
      <c r="A53" s="15" t="inlineStr">
        <is>
          <t>Finland</t>
        </is>
      </c>
      <c r="B53" s="16" t="n">
        <v>52</v>
      </c>
      <c r="C53" s="17" t="n">
        <v>5</v>
      </c>
      <c r="D53" s="18" t="inlineStr">
        <is>
          <t>Toys &amp; Games</t>
        </is>
      </c>
      <c r="E53" s="18" t="inlineStr">
        <is>
          <t>Tactic Games Oy</t>
        </is>
      </c>
      <c r="F53" s="19" t="inlineStr">
        <is>
          <t>https://www.tactic.net</t>
        </is>
      </c>
      <c r="G53" s="18" t="inlineStr">
        <is>
          <t>Pori</t>
        </is>
      </c>
      <c r="H53" s="18" t="inlineStr"/>
      <c r="I53" s="18" t="inlineStr">
        <is>
          <t>EU / Europe</t>
        </is>
      </c>
      <c r="J53" s="18" t="inlineStr">
        <is>
          <t>Higher</t>
        </is>
      </c>
      <c r="K53" s="18" t="inlineStr">
        <is>
          <t>Raumanjuovantie 2, 28100 Pori</t>
        </is>
      </c>
      <c r="L53" s="18" t="inlineStr"/>
      <c r="M53" s="18" t="inlineStr">
        <is>
          <t>sales.uk@tactic.net (UK distributor enquiries)</t>
        </is>
      </c>
      <c r="N53" s="18" t="inlineStr">
        <is>
          <t>Manufacturer &amp; distributor</t>
        </is>
      </c>
      <c r="O53" s="18" t="inlineStr">
        <is>
          <t>Tactic games, Mölkky, Heros wooden toys, Plasto, Bex Sport, Puzzle Lovers</t>
        </is>
      </c>
      <c r="P53" s="18" t="inlineStr">
        <is>
          <t>Games &amp; outdoor games</t>
        </is>
      </c>
      <c r="Q53" s="18" t="inlineStr">
        <is>
          <t>On request</t>
        </is>
      </c>
      <c r="R53" s="18" t="inlineStr">
        <is>
          <t>Import &amp; distribution partners (moving UK to partner model)</t>
        </is>
      </c>
      <c r="S53" s="18" t="inlineStr">
        <is>
          <t>Actively seeking UK import/distribution partners</t>
        </is>
      </c>
      <c r="T53" s="18" t="inlineStr">
        <is>
          <t>Unknown</t>
        </is>
      </c>
      <c r="U53" s="18" t="inlineStr">
        <is>
          <t>Unknown</t>
        </is>
      </c>
      <c r="V53" s="18" t="inlineStr"/>
      <c r="W53" s="18" t="inlineStr">
        <is>
          <t>Leading Nordic board-game maker &amp; toy distributor; own factory &amp; logistics in Pori</t>
        </is>
      </c>
      <c r="X53" s="18" t="inlineStr">
        <is>
          <t>Opportunity: they want UK partners right now</t>
        </is>
      </c>
      <c r="Y53" s="18" t="inlineStr">
        <is>
          <t>Book meeting: juha.nieminen@tactic.net.</t>
        </is>
      </c>
      <c r="Z53" s="18" t="inlineStr">
        <is>
          <t>Company presentation (Kids' Time) + registry + LinkedIn post</t>
        </is>
      </c>
      <c r="AA53" s="19" t="inlineStr">
        <is>
          <t>Source link</t>
        </is>
      </c>
      <c r="AB53" s="19" t="inlineStr">
        <is>
          <t>Search LinkedIn</t>
        </is>
      </c>
      <c r="AC53" s="18" t="inlineStr">
        <is>
          <t>Round 4</t>
        </is>
      </c>
      <c r="AD53" s="20" t="inlineStr">
        <is>
          <t>Not contacted</t>
        </is>
      </c>
      <c r="AE53" s="21" t="n"/>
      <c r="AF53" s="20" t="n"/>
      <c r="AG53" s="20" t="n"/>
      <c r="AH53" s="20" t="n"/>
      <c r="AI53" s="21">
        <f>IF(AE53="","",WORKDAY(AE53,5))</f>
        <v/>
      </c>
      <c r="AJ53" s="20" t="n"/>
      <c r="AK53" s="20" t="n"/>
    </row>
    <row r="54">
      <c r="A54" s="22" t="inlineStr">
        <is>
          <t>France</t>
        </is>
      </c>
      <c r="B54" s="23" t="n">
        <v>53</v>
      </c>
      <c r="C54" s="10" t="n">
        <v>2</v>
      </c>
      <c r="D54" s="11" t="inlineStr">
        <is>
          <t>B2B Marketplace</t>
        </is>
      </c>
      <c r="E54" s="11" t="inlineStr">
        <is>
          <t>Ankorstore</t>
        </is>
      </c>
      <c r="F54" s="12" t="inlineStr">
        <is>
          <t>https://www.ankorstore.com</t>
        </is>
      </c>
      <c r="G54" s="11" t="inlineStr">
        <is>
          <t>Paris</t>
        </is>
      </c>
      <c r="H54" s="11" t="inlineStr"/>
      <c r="I54" s="11" t="inlineStr">
        <is>
          <t>EU / Europe</t>
        </is>
      </c>
      <c r="J54" s="11" t="inlineStr">
        <is>
          <t>Higher</t>
        </is>
      </c>
      <c r="K54" s="11" t="inlineStr"/>
      <c r="L54" s="11" t="inlineStr"/>
      <c r="M54" s="11" t="inlineStr"/>
      <c r="N54" s="11" t="inlineStr">
        <is>
          <t>Wholesale marketplace (independent brands)</t>
        </is>
      </c>
      <c r="O54" s="11" t="inlineStr">
        <is>
          <t>~30,000 independent brands - beauty, toys, gifts, home</t>
        </is>
      </c>
      <c r="P54" s="11" t="inlineStr">
        <is>
          <t>Independent brands</t>
        </is>
      </c>
      <c r="Q54" s="11" t="inlineStr">
        <is>
          <t>€100 per brand</t>
        </is>
      </c>
      <c r="R54" s="11" t="inlineStr">
        <is>
          <t>Retailer account</t>
        </is>
      </c>
      <c r="S54" s="11" t="inlineStr">
        <is>
          <t>Yes</t>
        </is>
      </c>
      <c r="T54" s="11" t="inlineStr">
        <is>
          <t>Unknown</t>
        </is>
      </c>
      <c r="U54" s="11" t="inlineStr">
        <is>
          <t>Unknown</t>
        </is>
      </c>
      <c r="V54" s="11" t="inlineStr"/>
      <c r="W54" s="11" t="inlineStr">
        <is>
          <t>Unicorn-valued; 300k+ retailers</t>
        </is>
      </c>
      <c r="X54" s="11" t="inlineStr">
        <is>
          <t>CAUTION: many brands prohibit marketplace resale - check each brand</t>
        </is>
      </c>
      <c r="Y54" s="11" t="inlineStr">
        <is>
          <t>60-day payment terms.</t>
        </is>
      </c>
      <c r="Z54" s="11" t="inlineStr">
        <is>
          <t>Investor &amp; press articles</t>
        </is>
      </c>
      <c r="AA54" s="12" t="inlineStr">
        <is>
          <t>Source link</t>
        </is>
      </c>
      <c r="AB54" s="12" t="inlineStr">
        <is>
          <t>Search LinkedIn</t>
        </is>
      </c>
      <c r="AC54" s="11" t="inlineStr">
        <is>
          <t>Round 1</t>
        </is>
      </c>
      <c r="AD54" s="13" t="inlineStr">
        <is>
          <t>Not contacted</t>
        </is>
      </c>
      <c r="AE54" s="14" t="n"/>
      <c r="AF54" s="13" t="n"/>
      <c r="AG54" s="13" t="n"/>
      <c r="AH54" s="13" t="n"/>
      <c r="AI54" s="14">
        <f>IF(AE54="","",WORKDAY(AE54,5))</f>
        <v/>
      </c>
      <c r="AJ54" s="13" t="n"/>
      <c r="AK54" s="13" t="n"/>
    </row>
    <row r="55">
      <c r="A55" s="24" t="inlineStr">
        <is>
          <t>France</t>
        </is>
      </c>
      <c r="B55" s="25" t="n">
        <v>54</v>
      </c>
      <c r="C55" s="17" t="n">
        <v>2</v>
      </c>
      <c r="D55" s="18" t="inlineStr">
        <is>
          <t>B2B Marketplace</t>
        </is>
      </c>
      <c r="E55" s="18" t="inlineStr">
        <is>
          <t>Stocklear</t>
        </is>
      </c>
      <c r="F55" s="19" t="inlineStr">
        <is>
          <t>https://www.stocklear.com</t>
        </is>
      </c>
      <c r="G55" s="18" t="inlineStr">
        <is>
          <t>Roubaix</t>
        </is>
      </c>
      <c r="H55" s="18" t="inlineStr"/>
      <c r="I55" s="18" t="inlineStr">
        <is>
          <t>EU / Europe</t>
        </is>
      </c>
      <c r="J55" s="18" t="inlineStr">
        <is>
          <t>Higher</t>
        </is>
      </c>
      <c r="K55" s="18" t="inlineStr">
        <is>
          <t>Roubaix</t>
        </is>
      </c>
      <c r="L55" s="18" t="inlineStr"/>
      <c r="M55" s="18" t="inlineStr"/>
      <c r="N55" s="18" t="inlineStr">
        <is>
          <t>B2B auction marketplace (overstock &amp; returns)</t>
        </is>
      </c>
      <c r="O55" s="18" t="inlineStr">
        <is>
          <t>Non-food overstock &amp; returns from retailers like Carrefour, Leroy Merlin, Decathlon</t>
        </is>
      </c>
      <c r="P55" s="18" t="inlineStr">
        <is>
          <t>Liquidation lots</t>
        </is>
      </c>
      <c r="Q55" s="18" t="inlineStr">
        <is>
          <t>Per lot (1-5 pallets typical)</t>
        </is>
      </c>
      <c r="R55" s="18" t="inlineStr">
        <is>
          <t>Free buyer registration</t>
        </is>
      </c>
      <c r="S55" s="18" t="inlineStr">
        <is>
          <t>EU focus - check</t>
        </is>
      </c>
      <c r="T55" s="18" t="inlineStr">
        <is>
          <t>N/A</t>
        </is>
      </c>
      <c r="U55" s="18" t="inlineStr">
        <is>
          <t>No</t>
        </is>
      </c>
      <c r="V55" s="18" t="inlineStr"/>
      <c r="W55" s="18" t="inlineStr">
        <is>
          <t>Founded 2018/19; major French retail sellers</t>
        </is>
      </c>
      <c r="X55" s="18" t="inlineStr">
        <is>
          <t>Same caution as other liquidation - condition varies</t>
        </is>
      </c>
      <c r="Y55" s="18" t="inlineStr"/>
      <c r="Z55" s="18" t="inlineStr">
        <is>
          <t>Dealroom + CB Insights profiles</t>
        </is>
      </c>
      <c r="AA55" s="19" t="inlineStr">
        <is>
          <t>Source link</t>
        </is>
      </c>
      <c r="AB55" s="19" t="inlineStr">
        <is>
          <t>Search LinkedIn</t>
        </is>
      </c>
      <c r="AC55" s="18" t="inlineStr">
        <is>
          <t>Round 2</t>
        </is>
      </c>
      <c r="AD55" s="20" t="inlineStr">
        <is>
          <t>Not contacted</t>
        </is>
      </c>
      <c r="AE55" s="21" t="n"/>
      <c r="AF55" s="20" t="n"/>
      <c r="AG55" s="20" t="n"/>
      <c r="AH55" s="20" t="n"/>
      <c r="AI55" s="21">
        <f>IF(AE55="","",WORKDAY(AE55,5))</f>
        <v/>
      </c>
      <c r="AJ55" s="20" t="n"/>
      <c r="AK55" s="20" t="n"/>
    </row>
    <row r="56">
      <c r="A56" s="24" t="inlineStr">
        <is>
          <t>France</t>
        </is>
      </c>
      <c r="B56" s="25" t="n">
        <v>55</v>
      </c>
      <c r="C56" s="17" t="n">
        <v>4</v>
      </c>
      <c r="D56" s="18" t="inlineStr">
        <is>
          <t>Baby Products</t>
        </is>
      </c>
      <c r="E56" s="18" t="inlineStr">
        <is>
          <t>Babymoov Group</t>
        </is>
      </c>
      <c r="F56" s="19" t="inlineStr">
        <is>
          <t>https://www.babymoov.com</t>
        </is>
      </c>
      <c r="G56" s="18" t="inlineStr">
        <is>
          <t>Clermont-Ferrand</t>
        </is>
      </c>
      <c r="H56" s="18" t="inlineStr"/>
      <c r="I56" s="18" t="inlineStr">
        <is>
          <t>EU / Europe</t>
        </is>
      </c>
      <c r="J56" s="18" t="inlineStr">
        <is>
          <t>Higher</t>
        </is>
      </c>
      <c r="K56" s="18" t="inlineStr">
        <is>
          <t>16 rue Jacqueline Auriol, ZI Gravanches, 63100 Clermont-Ferrand</t>
        </is>
      </c>
      <c r="L56" s="18" t="inlineStr">
        <is>
          <t>+33 4 73 28 60 00 (verify)</t>
        </is>
      </c>
      <c r="M56" s="18" t="inlineStr"/>
      <c r="N56" s="18" t="inlineStr">
        <is>
          <t>Brand owner / manufacturer</t>
        </is>
      </c>
      <c r="O56" s="18" t="inlineStr">
        <is>
          <t>Babymoov, doomoo</t>
        </is>
      </c>
      <c r="P56" s="18" t="inlineStr">
        <is>
          <t>Baby monitors, feeding, sleep &amp; travel</t>
        </is>
      </c>
      <c r="Q56" s="18" t="inlineStr">
        <is>
          <t>Account based</t>
        </is>
      </c>
      <c r="R56" s="18" t="inlineStr">
        <is>
          <t>Specialist stores &amp; web retailers in 50+ countries</t>
        </is>
      </c>
      <c r="S56" s="18" t="inlineStr">
        <is>
          <t>Ask - exports ~46% of sales</t>
        </is>
      </c>
      <c r="T56" s="18" t="inlineStr">
        <is>
          <t>Unknown</t>
        </is>
      </c>
      <c r="U56" s="18" t="inlineStr">
        <is>
          <t>Unknown</t>
        </is>
      </c>
      <c r="V56" s="18" t="inlineStr"/>
      <c r="W56" s="18" t="inlineStr">
        <is>
          <t>~EUR 55m turnover (2022); sold via Boulanger, Nature &amp; Découvertes</t>
        </is>
      </c>
      <c r="X56" s="18" t="inlineStr">
        <is>
          <t>Baby monitors &amp; bottle warmers are strong Amazon lines</t>
        </is>
      </c>
      <c r="Y56" s="18" t="inlineStr"/>
      <c r="Z56" s="18" t="inlineStr">
        <is>
          <t>Company profiles + retailer listings</t>
        </is>
      </c>
      <c r="AA56" s="19" t="inlineStr">
        <is>
          <t>Source link</t>
        </is>
      </c>
      <c r="AB56" s="19" t="inlineStr">
        <is>
          <t>Search LinkedIn</t>
        </is>
      </c>
      <c r="AC56" s="18" t="inlineStr">
        <is>
          <t>Round 4</t>
        </is>
      </c>
      <c r="AD56" s="20" t="inlineStr">
        <is>
          <t>Not contacted</t>
        </is>
      </c>
      <c r="AE56" s="21" t="n"/>
      <c r="AF56" s="20" t="n"/>
      <c r="AG56" s="20" t="n"/>
      <c r="AH56" s="20" t="n"/>
      <c r="AI56" s="21">
        <f>IF(AE56="","",WORKDAY(AE56,5))</f>
        <v/>
      </c>
      <c r="AJ56" s="20" t="n"/>
      <c r="AK56" s="20" t="n"/>
    </row>
    <row r="57">
      <c r="A57" s="24" t="inlineStr">
        <is>
          <t>France</t>
        </is>
      </c>
      <c r="B57" s="25" t="n">
        <v>56</v>
      </c>
      <c r="C57" s="17" t="n">
        <v>4</v>
      </c>
      <c r="D57" s="18" t="inlineStr">
        <is>
          <t>Baby Products</t>
        </is>
      </c>
      <c r="E57" s="18" t="inlineStr">
        <is>
          <t>Béaba Group (incl. Childhome)</t>
        </is>
      </c>
      <c r="F57" s="19" t="inlineStr">
        <is>
          <t>https://www.beaba.com</t>
        </is>
      </c>
      <c r="G57" s="18" t="inlineStr">
        <is>
          <t>Bellignat</t>
        </is>
      </c>
      <c r="H57" s="18" t="inlineStr"/>
      <c r="I57" s="18" t="inlineStr">
        <is>
          <t>EU / Europe</t>
        </is>
      </c>
      <c r="J57" s="18" t="inlineStr">
        <is>
          <t>Higher</t>
        </is>
      </c>
      <c r="K57" s="18" t="inlineStr">
        <is>
          <t>Bellignat</t>
        </is>
      </c>
      <c r="L57" s="18" t="inlineStr"/>
      <c r="M57" s="18" t="inlineStr"/>
      <c r="N57" s="18" t="inlineStr">
        <is>
          <t>Brand owner / distributor</t>
        </is>
      </c>
      <c r="O57" s="18" t="inlineStr">
        <is>
          <t>Béaba Babycook, feeding, hygiene, sleep; Childhome; distributes iCandy (FR/Benelux)</t>
        </is>
      </c>
      <c r="P57" s="18" t="inlineStr">
        <is>
          <t>Baby feeding &amp; nursery</t>
        </is>
      </c>
      <c r="Q57" s="18" t="inlineStr">
        <is>
          <t>On request</t>
        </is>
      </c>
      <c r="R57" s="18" t="inlineStr">
        <is>
          <t>Retailers &amp; distributors</t>
        </is>
      </c>
      <c r="S57" s="18" t="inlineStr">
        <is>
          <t>Sold in 70+ countries - ask</t>
        </is>
      </c>
      <c r="T57" s="18" t="inlineStr">
        <is>
          <t>Unknown</t>
        </is>
      </c>
      <c r="U57" s="18" t="inlineStr">
        <is>
          <t>Unknown</t>
        </is>
      </c>
      <c r="V57" s="18" t="inlineStr"/>
      <c r="W57" s="18" t="inlineStr">
        <is>
          <t>Backed by Bluegem Capital; acquired Childhome (BE) 2020</t>
        </is>
      </c>
      <c r="X57" s="18" t="inlineStr">
        <is>
          <t>Babycook is a strong Amazon seller; also on Qogita</t>
        </is>
      </c>
      <c r="Y57" s="18" t="inlineStr"/>
      <c r="Z57" s="18" t="inlineStr">
        <is>
          <t>Investor profile + trade press</t>
        </is>
      </c>
      <c r="AA57" s="19" t="inlineStr">
        <is>
          <t>Source link</t>
        </is>
      </c>
      <c r="AB57" s="19" t="inlineStr">
        <is>
          <t>Search LinkedIn</t>
        </is>
      </c>
      <c r="AC57" s="18" t="inlineStr">
        <is>
          <t>Round 4</t>
        </is>
      </c>
      <c r="AD57" s="20" t="inlineStr">
        <is>
          <t>Not contacted</t>
        </is>
      </c>
      <c r="AE57" s="21" t="n"/>
      <c r="AF57" s="20" t="n"/>
      <c r="AG57" s="20" t="n"/>
      <c r="AH57" s="20" t="n"/>
      <c r="AI57" s="21">
        <f>IF(AE57="","",WORKDAY(AE57,5))</f>
        <v/>
      </c>
      <c r="AJ57" s="20" t="n"/>
      <c r="AK57" s="20" t="n"/>
    </row>
    <row r="58">
      <c r="A58" s="24" t="inlineStr">
        <is>
          <t>France</t>
        </is>
      </c>
      <c r="B58" s="25" t="n">
        <v>57</v>
      </c>
      <c r="C58" s="17" t="n">
        <v>3</v>
      </c>
      <c r="D58" s="18" t="inlineStr">
        <is>
          <t>Baby Products</t>
        </is>
      </c>
      <c r="E58" s="18" t="inlineStr">
        <is>
          <t>Laboratoires Expanscience (Mustela)</t>
        </is>
      </c>
      <c r="F58" s="19" t="inlineStr">
        <is>
          <t>https://www.expanscience.com/en/expanscience/company</t>
        </is>
      </c>
      <c r="G58" s="18" t="inlineStr">
        <is>
          <t>Paris La Défense</t>
        </is>
      </c>
      <c r="H58" s="18" t="inlineStr"/>
      <c r="I58" s="18" t="inlineStr">
        <is>
          <t>EU / Europe</t>
        </is>
      </c>
      <c r="J58" s="18" t="inlineStr">
        <is>
          <t>Higher</t>
        </is>
      </c>
      <c r="K58" s="18" t="inlineStr">
        <is>
          <t>1 place des Saisons, 92048 Paris La Défense</t>
        </is>
      </c>
      <c r="L58" s="18" t="inlineStr">
        <is>
          <t>+33 1 43 34 60 00</t>
        </is>
      </c>
      <c r="M58" s="18" t="inlineStr"/>
      <c r="N58" s="18" t="inlineStr">
        <is>
          <t>Brand owner / manufacturer</t>
        </is>
      </c>
      <c r="O58" s="18" t="inlineStr">
        <is>
          <t>Mustela baby skincare, Noviderm</t>
        </is>
      </c>
      <c r="P58" s="18" t="inlineStr">
        <is>
          <t>Baby skincare</t>
        </is>
      </c>
      <c r="Q58" s="18" t="inlineStr">
        <is>
          <t>Account based</t>
        </is>
      </c>
      <c r="R58" s="18" t="inlineStr">
        <is>
          <t>14 subsidiaries &amp; distributors in 100+ countries</t>
        </is>
      </c>
      <c r="S58" s="18" t="inlineStr">
        <is>
          <t>Ask - via UK distributor/subsidiary</t>
        </is>
      </c>
      <c r="T58" s="18" t="inlineStr">
        <is>
          <t>Unknown</t>
        </is>
      </c>
      <c r="U58" s="18" t="inlineStr">
        <is>
          <t>Unknown</t>
        </is>
      </c>
      <c r="V58" s="18" t="inlineStr"/>
      <c r="W58" s="18" t="inlineStr">
        <is>
          <t>Cosmébio member; family-owned French lab</t>
        </is>
      </c>
      <c r="X58" s="18" t="inlineStr">
        <is>
          <t>Mustela is a strong baby-care seller</t>
        </is>
      </c>
      <c r="Y58" s="18" t="inlineStr"/>
      <c r="Z58" s="18" t="inlineStr">
        <is>
          <t>Industry directory + company press</t>
        </is>
      </c>
      <c r="AA58" s="19" t="inlineStr">
        <is>
          <t>Source link</t>
        </is>
      </c>
      <c r="AB58" s="19" t="inlineStr">
        <is>
          <t>Search LinkedIn</t>
        </is>
      </c>
      <c r="AC58" s="18" t="inlineStr">
        <is>
          <t>Round 4</t>
        </is>
      </c>
      <c r="AD58" s="20" t="inlineStr">
        <is>
          <t>Not contacted</t>
        </is>
      </c>
      <c r="AE58" s="21" t="n"/>
      <c r="AF58" s="20" t="n"/>
      <c r="AG58" s="20" t="n"/>
      <c r="AH58" s="20" t="n"/>
      <c r="AI58" s="21">
        <f>IF(AE58="","",WORKDAY(AE58,5))</f>
        <v/>
      </c>
      <c r="AJ58" s="20" t="n"/>
      <c r="AK58" s="20" t="n"/>
    </row>
    <row r="59">
      <c r="A59" s="24" t="inlineStr">
        <is>
          <t>France</t>
        </is>
      </c>
      <c r="B59" s="25" t="n">
        <v>58</v>
      </c>
      <c r="C59" s="17" t="n">
        <v>2</v>
      </c>
      <c r="D59" s="18" t="inlineStr">
        <is>
          <t>Beauty</t>
        </is>
      </c>
      <c r="E59" s="18" t="inlineStr">
        <is>
          <t>CSP Cosmetics</t>
        </is>
      </c>
      <c r="F59" s="19" t="inlineStr">
        <is>
          <t>https://www.cspcosmetics.com</t>
        </is>
      </c>
      <c r="G59" s="18" t="inlineStr"/>
      <c r="H59" s="18" t="inlineStr"/>
      <c r="I59" s="18" t="inlineStr">
        <is>
          <t>EU / Europe</t>
        </is>
      </c>
      <c r="J59" s="18" t="inlineStr">
        <is>
          <t>Higher</t>
        </is>
      </c>
      <c r="K59" s="18" t="inlineStr"/>
      <c r="L59" s="18" t="inlineStr">
        <is>
          <t>+33 7 53 39 50 23</t>
        </is>
      </c>
      <c r="M59" s="18" t="inlineStr"/>
      <c r="N59" s="18" t="inlineStr">
        <is>
          <t>Wholesale distributor</t>
        </is>
      </c>
      <c r="O59" s="18" t="inlineStr">
        <is>
          <t>The Ordinary, CeraVe, Cetaphil (claims authorised)</t>
        </is>
      </c>
      <c r="P59" s="18" t="inlineStr">
        <is>
          <t>Derma skincare</t>
        </is>
      </c>
      <c r="Q59" s="18" t="inlineStr">
        <is>
          <t>On request</t>
        </is>
      </c>
      <c r="R59" s="18" t="inlineStr">
        <is>
          <t>B2B</t>
        </is>
      </c>
      <c r="S59" s="18" t="inlineStr">
        <is>
          <t>Says it supplies UK</t>
        </is>
      </c>
      <c r="T59" s="18" t="inlineStr">
        <is>
          <t>Unknown</t>
        </is>
      </c>
      <c r="U59" s="18" t="inlineStr">
        <is>
          <t>Unknown</t>
        </is>
      </c>
      <c r="V59" s="18" t="inlineStr"/>
      <c r="W59" s="18" t="inlineStr">
        <is>
          <t>Authorisation claim unverified - ask for proof</t>
        </is>
      </c>
      <c r="X59" s="18" t="inlineStr">
        <is>
          <t>CeraVe / The Ordinary are huge Amazon sellers but heavily counterfeited - demand authorisation proof</t>
        </is>
      </c>
      <c r="Y59" s="18" t="inlineStr"/>
      <c r="Z59" s="18" t="inlineStr">
        <is>
          <t>Directory only</t>
        </is>
      </c>
      <c r="AA59" s="19" t="inlineStr">
        <is>
          <t>Source link</t>
        </is>
      </c>
      <c r="AB59" s="19" t="inlineStr">
        <is>
          <t>Search LinkedIn</t>
        </is>
      </c>
      <c r="AC59" s="18" t="inlineStr">
        <is>
          <t>Round 2</t>
        </is>
      </c>
      <c r="AD59" s="20" t="inlineStr">
        <is>
          <t>Not contacted</t>
        </is>
      </c>
      <c r="AE59" s="21" t="n"/>
      <c r="AF59" s="20" t="n"/>
      <c r="AG59" s="20" t="n"/>
      <c r="AH59" s="20" t="n"/>
      <c r="AI59" s="21">
        <f>IF(AE59="","",WORKDAY(AE59,5))</f>
        <v/>
      </c>
      <c r="AJ59" s="20" t="n"/>
      <c r="AK59" s="20" t="n"/>
    </row>
    <row r="60">
      <c r="A60" s="24" t="inlineStr">
        <is>
          <t>France</t>
        </is>
      </c>
      <c r="B60" s="25" t="n">
        <v>59</v>
      </c>
      <c r="C60" s="17" t="n">
        <v>3</v>
      </c>
      <c r="D60" s="18" t="inlineStr">
        <is>
          <t>Health &amp; Personal Care</t>
        </is>
      </c>
      <c r="E60" s="18" t="inlineStr">
        <is>
          <t>Laboratoires Arkopharma</t>
        </is>
      </c>
      <c r="F60" s="19" t="inlineStr">
        <is>
          <t>https://www.arkopharma.com</t>
        </is>
      </c>
      <c r="G60" s="18" t="inlineStr">
        <is>
          <t>Carros (Nice)</t>
        </is>
      </c>
      <c r="H60" s="18" t="inlineStr"/>
      <c r="I60" s="18" t="inlineStr">
        <is>
          <t>EU / Europe</t>
        </is>
      </c>
      <c r="J60" s="18" t="inlineStr">
        <is>
          <t>Higher</t>
        </is>
      </c>
      <c r="K60" s="18" t="inlineStr">
        <is>
          <t>Zone Industrielle de Carros, 06510 Carros</t>
        </is>
      </c>
      <c r="L60" s="18" t="inlineStr"/>
      <c r="M60" s="18" t="inlineStr"/>
      <c r="N60" s="18" t="inlineStr">
        <is>
          <t>Brand owner / manufacturer</t>
        </is>
      </c>
      <c r="O60" s="18" t="inlineStr">
        <is>
          <t>Arkopharma Arkogélules, Azinc, Arkoroyal</t>
        </is>
      </c>
      <c r="P60" s="18" t="inlineStr">
        <is>
          <t>Herbal supplements</t>
        </is>
      </c>
      <c r="Q60" s="18" t="inlineStr">
        <is>
          <t>Account based</t>
        </is>
      </c>
      <c r="R60" s="18" t="inlineStr">
        <is>
          <t>Direct or via distributors in 55 countries</t>
        </is>
      </c>
      <c r="S60" s="18" t="inlineStr">
        <is>
          <t>Ask</t>
        </is>
      </c>
      <c r="T60" s="18" t="inlineStr">
        <is>
          <t>Unknown</t>
        </is>
      </c>
      <c r="U60" s="18" t="inlineStr">
        <is>
          <t>Unknown</t>
        </is>
      </c>
      <c r="V60" s="18" t="inlineStr">
        <is>
          <t>SIREN 307378489</t>
        </is>
      </c>
      <c r="W60" s="18" t="inlineStr">
        <is>
          <t>SIREN 307378489; ~EUR 164m revenue (2024)</t>
        </is>
      </c>
      <c r="X60" s="18" t="inlineStr">
        <is>
          <t>Supplements sell well; Amazon category approval needed</t>
        </is>
      </c>
      <c r="Y60" s="18" t="inlineStr">
        <is>
          <t>Revenue fell in 2024 - check terms</t>
        </is>
      </c>
      <c r="Z60" s="18" t="inlineStr">
        <is>
          <t>Company registry (Pappers) + business press</t>
        </is>
      </c>
      <c r="AA60" s="19" t="inlineStr">
        <is>
          <t>Source link</t>
        </is>
      </c>
      <c r="AB60" s="19" t="inlineStr">
        <is>
          <t>Search LinkedIn</t>
        </is>
      </c>
      <c r="AC60" s="18" t="inlineStr">
        <is>
          <t>Round 4</t>
        </is>
      </c>
      <c r="AD60" s="20" t="inlineStr">
        <is>
          <t>Not contacted</t>
        </is>
      </c>
      <c r="AE60" s="21" t="n"/>
      <c r="AF60" s="20" t="n"/>
      <c r="AG60" s="20" t="n"/>
      <c r="AH60" s="20" t="n"/>
      <c r="AI60" s="21">
        <f>IF(AE60="","",WORKDAY(AE60,5))</f>
        <v/>
      </c>
      <c r="AJ60" s="20" t="n"/>
      <c r="AK60" s="20" t="n"/>
    </row>
    <row r="61">
      <c r="A61" s="24" t="inlineStr">
        <is>
          <t>France</t>
        </is>
      </c>
      <c r="B61" s="25" t="n">
        <v>60</v>
      </c>
      <c r="C61" s="17" t="n">
        <v>3</v>
      </c>
      <c r="D61" s="18" t="inlineStr">
        <is>
          <t>Pet Supplies</t>
        </is>
      </c>
      <c r="E61" s="18" t="inlineStr">
        <is>
          <t>Zolux SAS</t>
        </is>
      </c>
      <c r="F61" s="19" t="inlineStr">
        <is>
          <t>https://en.zolux.com</t>
        </is>
      </c>
      <c r="G61" s="18" t="inlineStr">
        <is>
          <t>Saintes</t>
        </is>
      </c>
      <c r="H61" s="18" t="inlineStr"/>
      <c r="I61" s="18" t="inlineStr">
        <is>
          <t>EU / Europe</t>
        </is>
      </c>
      <c r="J61" s="18" t="inlineStr">
        <is>
          <t>Higher</t>
        </is>
      </c>
      <c r="K61" s="18" t="inlineStr">
        <is>
          <t>141 Cours Paul Doumer, 17100 Saintes</t>
        </is>
      </c>
      <c r="L61" s="18" t="inlineStr"/>
      <c r="M61" s="18" t="inlineStr">
        <is>
          <t>export@zolux.com</t>
        </is>
      </c>
      <c r="N61" s="18" t="inlineStr">
        <is>
          <t>Brand owner / distributor</t>
        </is>
      </c>
      <c r="O61" s="18" t="inlineStr">
        <is>
          <t>Zolux, Francodex, Mastery, Saint Bernard, Anah</t>
        </is>
      </c>
      <c r="P61" s="18" t="inlineStr">
        <is>
          <t>Pet accessories &amp; care</t>
        </is>
      </c>
      <c r="Q61" s="18" t="inlineStr">
        <is>
          <t>On request</t>
        </is>
      </c>
      <c r="R61" s="18" t="inlineStr">
        <is>
          <t>Retailers, distributors, exporters</t>
        </is>
      </c>
      <c r="S61" s="18" t="inlineStr">
        <is>
          <t>Partners in 50+ countries - ask</t>
        </is>
      </c>
      <c r="T61" s="18" t="inlineStr">
        <is>
          <t>Unknown</t>
        </is>
      </c>
      <c r="U61" s="18" t="inlineStr">
        <is>
          <t>Unknown</t>
        </is>
      </c>
      <c r="V61" s="18" t="inlineStr"/>
      <c r="W61" s="18" t="inlineStr">
        <is>
          <t>~€128m turnover (2022); subsidiaries FR, PL, IT, Iberia</t>
        </is>
      </c>
      <c r="X61" s="18" t="inlineStr"/>
      <c r="Y61" s="18" t="inlineStr"/>
      <c r="Z61" s="18" t="inlineStr">
        <is>
          <t>Industry directory + company profile</t>
        </is>
      </c>
      <c r="AA61" s="19" t="inlineStr">
        <is>
          <t>Source link</t>
        </is>
      </c>
      <c r="AB61" s="19" t="inlineStr">
        <is>
          <t>Search LinkedIn</t>
        </is>
      </c>
      <c r="AC61" s="18" t="inlineStr">
        <is>
          <t>Round 3</t>
        </is>
      </c>
      <c r="AD61" s="20" t="inlineStr">
        <is>
          <t>Not contacted</t>
        </is>
      </c>
      <c r="AE61" s="21" t="n"/>
      <c r="AF61" s="20" t="n"/>
      <c r="AG61" s="20" t="n"/>
      <c r="AH61" s="20" t="n"/>
      <c r="AI61" s="21">
        <f>IF(AE61="","",WORKDAY(AE61,5))</f>
        <v/>
      </c>
      <c r="AJ61" s="20" t="n"/>
      <c r="AK61" s="20" t="n"/>
    </row>
    <row r="62">
      <c r="A62" s="24" t="inlineStr">
        <is>
          <t>France</t>
        </is>
      </c>
      <c r="B62" s="25" t="n">
        <v>61</v>
      </c>
      <c r="C62" s="17" t="n">
        <v>4</v>
      </c>
      <c r="D62" s="18" t="inlineStr">
        <is>
          <t>Sports &amp; Outdoors</t>
        </is>
      </c>
      <c r="E62" s="18" t="inlineStr">
        <is>
          <t>Zéfal SAS</t>
        </is>
      </c>
      <c r="F62" s="19" t="inlineStr">
        <is>
          <t>https://www.zefal.com</t>
        </is>
      </c>
      <c r="G62" s="18" t="inlineStr">
        <is>
          <t>Jargeau (Loiret)</t>
        </is>
      </c>
      <c r="H62" s="18" t="inlineStr"/>
      <c r="I62" s="18" t="inlineStr">
        <is>
          <t>EU / Europe</t>
        </is>
      </c>
      <c r="J62" s="18" t="inlineStr">
        <is>
          <t>Higher</t>
        </is>
      </c>
      <c r="K62" s="18" t="inlineStr">
        <is>
          <t>Jargeau</t>
        </is>
      </c>
      <c r="L62" s="18" t="inlineStr"/>
      <c r="M62" s="18" t="inlineStr"/>
      <c r="N62" s="18" t="inlineStr">
        <is>
          <t>Brand owner / manufacturer</t>
        </is>
      </c>
      <c r="O62" s="18" t="inlineStr">
        <is>
          <t>Zéfal pumps, bottles, mudguards, locks, bike accessories</t>
        </is>
      </c>
      <c r="P62" s="18" t="inlineStr">
        <is>
          <t>Cycling accessories</t>
        </is>
      </c>
      <c r="Q62" s="18" t="inlineStr">
        <is>
          <t>On request</t>
        </is>
      </c>
      <c r="R62" s="18" t="inlineStr">
        <is>
          <t>Distributors (exclusive UK distributor: Chicken CycleKit - sales@chickencyclekit.co.uk)</t>
        </is>
      </c>
      <c r="S62" s="18" t="inlineStr">
        <is>
          <t>Yes - via Chicken CycleKit (UK)</t>
        </is>
      </c>
      <c r="T62" s="18" t="inlineStr">
        <is>
          <t>Unknown</t>
        </is>
      </c>
      <c r="U62" s="18" t="inlineStr">
        <is>
          <t>Unknown</t>
        </is>
      </c>
      <c r="V62" s="18" t="inlineStr"/>
      <c r="W62" s="18" t="inlineStr">
        <is>
          <t>~70% of turnover exported; long-established French brand</t>
        </is>
      </c>
      <c r="X62" s="18" t="inlineStr">
        <is>
          <t>Small, light accessories = great FBA fit</t>
        </is>
      </c>
      <c r="Y62" s="18" t="inlineStr">
        <is>
          <t>Buy UK stock via Chicken CycleKit.</t>
        </is>
      </c>
      <c r="Z62" s="18" t="inlineStr">
        <is>
          <t>Trade press</t>
        </is>
      </c>
      <c r="AA62" s="19" t="inlineStr">
        <is>
          <t>Source link</t>
        </is>
      </c>
      <c r="AB62" s="19" t="inlineStr">
        <is>
          <t>Search LinkedIn</t>
        </is>
      </c>
      <c r="AC62" s="18" t="inlineStr">
        <is>
          <t>Round 4</t>
        </is>
      </c>
      <c r="AD62" s="20" t="inlineStr">
        <is>
          <t>Not contacted</t>
        </is>
      </c>
      <c r="AE62" s="21" t="n"/>
      <c r="AF62" s="20" t="n"/>
      <c r="AG62" s="20" t="n"/>
      <c r="AH62" s="20" t="n"/>
      <c r="AI62" s="21">
        <f>IF(AE62="","",WORKDAY(AE62,5))</f>
        <v/>
      </c>
      <c r="AJ62" s="20" t="n"/>
      <c r="AK62" s="20" t="n"/>
    </row>
    <row r="63">
      <c r="A63" s="24" t="inlineStr">
        <is>
          <t>France</t>
        </is>
      </c>
      <c r="B63" s="25" t="n">
        <v>62</v>
      </c>
      <c r="C63" s="17" t="n">
        <v>4</v>
      </c>
      <c r="D63" s="18" t="inlineStr">
        <is>
          <t>Stationery &amp; Office</t>
        </is>
      </c>
      <c r="E63" s="18" t="inlineStr">
        <is>
          <t>Groupe Hamelin (Oxford, ELBA) - Hamelin GmbH export arm</t>
        </is>
      </c>
      <c r="F63" s="19" t="inlineStr">
        <is>
          <t>https://www.hamelinbrands.com</t>
        </is>
      </c>
      <c r="G63" s="18" t="inlineStr">
        <is>
          <t>Hérouville-Saint-Clair (Caen); sales co. Gronau (DE)</t>
        </is>
      </c>
      <c r="H63" s="18" t="inlineStr"/>
      <c r="I63" s="18" t="inlineStr">
        <is>
          <t>EU / Europe</t>
        </is>
      </c>
      <c r="J63" s="18" t="inlineStr">
        <is>
          <t>Higher</t>
        </is>
      </c>
      <c r="K63" s="18" t="inlineStr">
        <is>
          <t>Hérouville-Saint-Clair, Normandy</t>
        </is>
      </c>
      <c r="L63" s="18" t="inlineStr"/>
      <c r="M63" s="18" t="inlineStr">
        <is>
          <t>corporate.de@hamelinbrands.zendesk.com</t>
        </is>
      </c>
      <c r="N63" s="18" t="inlineStr">
        <is>
          <t>Brand owner / manufacturer</t>
        </is>
      </c>
      <c r="O63" s="18" t="inlineStr">
        <is>
          <t>Oxford notebooks, ELBA filing, Lamouette, Herlitz-style school paper</t>
        </is>
      </c>
      <c r="P63" s="18" t="inlineStr">
        <is>
          <t>Notebooks &amp; filing</t>
        </is>
      </c>
      <c r="Q63" s="18" t="inlineStr">
        <is>
          <t>Account based</t>
        </is>
      </c>
      <c r="R63" s="18" t="inlineStr">
        <is>
          <t>Distributors &amp; retailers (Hamelin GmbH handles DACH &amp; export)</t>
        </is>
      </c>
      <c r="S63" s="18" t="inlineStr">
        <is>
          <t>Has UK operations (ELBA/Oxford) - ask</t>
        </is>
      </c>
      <c r="T63" s="18" t="inlineStr">
        <is>
          <t>Unknown</t>
        </is>
      </c>
      <c r="U63" s="18" t="inlineStr">
        <is>
          <t>Unknown</t>
        </is>
      </c>
      <c r="V63" s="18" t="inlineStr"/>
      <c r="W63" s="18" t="inlineStr">
        <is>
          <t>Founded 1864; €400-600m turnover; Paperworld exhibitor</t>
        </is>
      </c>
      <c r="X63" s="18" t="inlineStr">
        <is>
          <t>Oxford notebooks are strong sellers</t>
        </is>
      </c>
      <c r="Y63" s="18" t="inlineStr"/>
      <c r="Z63" s="18" t="inlineStr">
        <is>
          <t>Business press + trade fair listing</t>
        </is>
      </c>
      <c r="AA63" s="19" t="inlineStr">
        <is>
          <t>Source link</t>
        </is>
      </c>
      <c r="AB63" s="19" t="inlineStr">
        <is>
          <t>Search LinkedIn</t>
        </is>
      </c>
      <c r="AC63" s="18" t="inlineStr">
        <is>
          <t>Round 4</t>
        </is>
      </c>
      <c r="AD63" s="20" t="inlineStr">
        <is>
          <t>Not contacted</t>
        </is>
      </c>
      <c r="AE63" s="21" t="n"/>
      <c r="AF63" s="20" t="n"/>
      <c r="AG63" s="20" t="n"/>
      <c r="AH63" s="20" t="n"/>
      <c r="AI63" s="21">
        <f>IF(AE63="","",WORKDAY(AE63,5))</f>
        <v/>
      </c>
      <c r="AJ63" s="20" t="n"/>
      <c r="AK63" s="20" t="n"/>
    </row>
    <row r="64">
      <c r="A64" s="24" t="inlineStr">
        <is>
          <t>France</t>
        </is>
      </c>
      <c r="B64" s="25" t="n">
        <v>63</v>
      </c>
      <c r="C64" s="17" t="n">
        <v>4</v>
      </c>
      <c r="D64" s="18" t="inlineStr">
        <is>
          <t>Stationery &amp; Office</t>
        </is>
      </c>
      <c r="E64" s="18" t="inlineStr">
        <is>
          <t>Maped SAS</t>
        </is>
      </c>
      <c r="F64" s="19" t="inlineStr">
        <is>
          <t>https://www.maped.com</t>
        </is>
      </c>
      <c r="G64" s="18" t="inlineStr">
        <is>
          <t>Argonay (Haute-Savoie)</t>
        </is>
      </c>
      <c r="H64" s="18" t="inlineStr"/>
      <c r="I64" s="18" t="inlineStr">
        <is>
          <t>EU / Europe</t>
        </is>
      </c>
      <c r="J64" s="18" t="inlineStr">
        <is>
          <t>Higher</t>
        </is>
      </c>
      <c r="K64" s="18" t="inlineStr">
        <is>
          <t>530 route de Pringy, 74370 Argonay</t>
        </is>
      </c>
      <c r="L64" s="18" t="inlineStr">
        <is>
          <t>+33 4 50 27 26 85 (verify)</t>
        </is>
      </c>
      <c r="M64" s="18" t="inlineStr"/>
      <c r="N64" s="18" t="inlineStr">
        <is>
          <t>Brand owner / manufacturer</t>
        </is>
      </c>
      <c r="O64" s="18" t="inlineStr">
        <is>
          <t>Maped scissors, geometry, pencil cases, colouring; Helix (UK); owns Juratoys</t>
        </is>
      </c>
      <c r="P64" s="18" t="inlineStr">
        <is>
          <t>School &amp; office supplies</t>
        </is>
      </c>
      <c r="Q64" s="18" t="inlineStr">
        <is>
          <t>Account based</t>
        </is>
      </c>
      <c r="R64" s="18" t="inlineStr">
        <is>
          <t>Distributors &amp; retailers (18 subsidiaries)</t>
        </is>
      </c>
      <c r="S64" s="18" t="inlineStr">
        <is>
          <t>Has UK operation (Helix) - ask</t>
        </is>
      </c>
      <c r="T64" s="18" t="inlineStr">
        <is>
          <t>Unknown</t>
        </is>
      </c>
      <c r="U64" s="18" t="inlineStr">
        <is>
          <t>Unknown</t>
        </is>
      </c>
      <c r="V64" s="18" t="inlineStr"/>
      <c r="W64" s="18" t="inlineStr">
        <is>
          <t>Present in 120+ countries; family-owned French group</t>
        </is>
      </c>
      <c r="X64" s="18" t="inlineStr">
        <is>
          <t>Back-to-school bestsellers</t>
        </is>
      </c>
      <c r="Y64" s="18" t="inlineStr"/>
      <c r="Z64" s="18" t="inlineStr">
        <is>
          <t>Trade data + company directories</t>
        </is>
      </c>
      <c r="AA64" s="19" t="inlineStr">
        <is>
          <t>Source link</t>
        </is>
      </c>
      <c r="AB64" s="19" t="inlineStr">
        <is>
          <t>Search LinkedIn</t>
        </is>
      </c>
      <c r="AC64" s="18" t="inlineStr">
        <is>
          <t>Round 4</t>
        </is>
      </c>
      <c r="AD64" s="20" t="inlineStr">
        <is>
          <t>Not contacted</t>
        </is>
      </c>
      <c r="AE64" s="21" t="n"/>
      <c r="AF64" s="20" t="n"/>
      <c r="AG64" s="20" t="n"/>
      <c r="AH64" s="20" t="n"/>
      <c r="AI64" s="21">
        <f>IF(AE64="","",WORKDAY(AE64,5))</f>
        <v/>
      </c>
      <c r="AJ64" s="20" t="n"/>
      <c r="AK64" s="20" t="n"/>
    </row>
    <row r="65">
      <c r="A65" s="24" t="inlineStr">
        <is>
          <t>France</t>
        </is>
      </c>
      <c r="B65" s="25" t="n">
        <v>64</v>
      </c>
      <c r="C65" s="17" t="n">
        <v>3</v>
      </c>
      <c r="D65" s="18" t="inlineStr">
        <is>
          <t>Stationery &amp; Office</t>
        </is>
      </c>
      <c r="E65" s="18" t="inlineStr">
        <is>
          <t>Exacompta Clairefontaine (ExaClair Ltd UK)</t>
        </is>
      </c>
      <c r="F65" s="19" t="inlineStr">
        <is>
          <t>https://exaclair.com/about_exaclair.php</t>
        </is>
      </c>
      <c r="G65" s="18" t="inlineStr">
        <is>
          <t>Étival-Clairefontaine (FR); UK office King's Lynn</t>
        </is>
      </c>
      <c r="H65" s="18" t="inlineStr"/>
      <c r="I65" s="18" t="inlineStr">
        <is>
          <t>EU / Europe</t>
        </is>
      </c>
      <c r="J65" s="18" t="inlineStr">
        <is>
          <t>Higher</t>
        </is>
      </c>
      <c r="K65" s="18" t="inlineStr">
        <is>
          <t>ExaClair Ltd, King's Lynn, Norfolk (UK subsidiary)</t>
        </is>
      </c>
      <c r="L65" s="18" t="inlineStr"/>
      <c r="M65" s="18" t="inlineStr"/>
      <c r="N65" s="18" t="inlineStr">
        <is>
          <t>Manufacturer group with UK subsidiary</t>
        </is>
      </c>
      <c r="O65" s="18" t="inlineStr">
        <is>
          <t>Clairefontaine, Rhodia, Exacompta, Quo Vadis, Brause, Jacques Herbin, Decopatch</t>
        </is>
      </c>
      <c r="P65" s="18" t="inlineStr">
        <is>
          <t>Premium paper &amp; office</t>
        </is>
      </c>
      <c r="Q65" s="18" t="inlineStr">
        <is>
          <t>Account based</t>
        </is>
      </c>
      <c r="R65" s="18" t="inlineStr">
        <is>
          <t>Stationery retailers</t>
        </is>
      </c>
      <c r="S65" s="18" t="inlineStr">
        <is>
          <t>Yes - ExaClair Ltd (UK)</t>
        </is>
      </c>
      <c r="T65" s="18" t="inlineStr">
        <is>
          <t>Unknown</t>
        </is>
      </c>
      <c r="U65" s="18" t="inlineStr">
        <is>
          <t>Unknown</t>
        </is>
      </c>
      <c r="V65" s="18" t="inlineStr"/>
      <c r="W65" s="18" t="inlineStr">
        <is>
          <t>Euronext-listed group</t>
        </is>
      </c>
      <c r="X65" s="18" t="inlineStr">
        <is>
          <t>Rhodia/Clairefontaine notebooks sell well</t>
        </is>
      </c>
      <c r="Y65" s="18" t="inlineStr">
        <is>
          <t>Use the UK subsidiary.</t>
        </is>
      </c>
      <c r="Z65" s="18" t="inlineStr">
        <is>
          <t>Wikipedia + trade press</t>
        </is>
      </c>
      <c r="AA65" s="19" t="inlineStr">
        <is>
          <t>Source link</t>
        </is>
      </c>
      <c r="AB65" s="19" t="inlineStr">
        <is>
          <t>Search LinkedIn</t>
        </is>
      </c>
      <c r="AC65" s="18" t="inlineStr">
        <is>
          <t>Round 3</t>
        </is>
      </c>
      <c r="AD65" s="20" t="inlineStr">
        <is>
          <t>Not contacted</t>
        </is>
      </c>
      <c r="AE65" s="21" t="n"/>
      <c r="AF65" s="20" t="n"/>
      <c r="AG65" s="20" t="n"/>
      <c r="AH65" s="20" t="n"/>
      <c r="AI65" s="21">
        <f>IF(AE65="","",WORKDAY(AE65,5))</f>
        <v/>
      </c>
      <c r="AJ65" s="20" t="n"/>
      <c r="AK65" s="20" t="n"/>
    </row>
    <row r="66">
      <c r="A66" s="24" t="inlineStr">
        <is>
          <t>France</t>
        </is>
      </c>
      <c r="B66" s="25" t="n">
        <v>65</v>
      </c>
      <c r="C66" s="17" t="n">
        <v>4</v>
      </c>
      <c r="D66" s="18" t="inlineStr">
        <is>
          <t>Toys &amp; Games</t>
        </is>
      </c>
      <c r="E66" s="18" t="inlineStr">
        <is>
          <t>Juratoys SAS (Janod, Kaloo, Lilliputiens)</t>
        </is>
      </c>
      <c r="F66" s="19" t="inlineStr">
        <is>
          <t>https://www.janod.com</t>
        </is>
      </c>
      <c r="G66" s="18" t="inlineStr">
        <is>
          <t>Orgelet (Jura)</t>
        </is>
      </c>
      <c r="H66" s="18" t="inlineStr"/>
      <c r="I66" s="18" t="inlineStr">
        <is>
          <t>EU / Europe</t>
        </is>
      </c>
      <c r="J66" s="18" t="inlineStr">
        <is>
          <t>Higher</t>
        </is>
      </c>
      <c r="K66" s="18" t="inlineStr">
        <is>
          <t>13 rue de l'Industrie, 39270 Orgelet</t>
        </is>
      </c>
      <c r="L66" s="18" t="inlineStr">
        <is>
          <t>+33 3 84 25 40 26 (verify)</t>
        </is>
      </c>
      <c r="M66" s="18" t="inlineStr"/>
      <c r="N66" s="18" t="inlineStr">
        <is>
          <t>Brand owner</t>
        </is>
      </c>
      <c r="O66" s="18" t="inlineStr">
        <is>
          <t>Janod wooden toys, Kaloo plush, Lilliputiens</t>
        </is>
      </c>
      <c r="P66" s="18" t="inlineStr">
        <is>
          <t>Wooden &amp; early-years toys</t>
        </is>
      </c>
      <c r="Q66" s="18" t="inlineStr">
        <is>
          <t>Account based</t>
        </is>
      </c>
      <c r="R66" s="18" t="inlineStr">
        <is>
          <t>Retailers</t>
        </is>
      </c>
      <c r="S66" s="18" t="inlineStr">
        <is>
          <t>Has a UK office</t>
        </is>
      </c>
      <c r="T66" s="18" t="inlineStr">
        <is>
          <t>Unknown</t>
        </is>
      </c>
      <c r="U66" s="18" t="inlineStr">
        <is>
          <t>Unknown</t>
        </is>
      </c>
      <c r="V66" s="18" t="inlineStr"/>
      <c r="W66" s="18" t="inlineStr">
        <is>
          <t>Offices in UK, US, HK, CN; reported acquired by Maped (2022)</t>
        </is>
      </c>
      <c r="X66" s="18" t="inlineStr">
        <is>
          <t>Janod already sold on Amazon - brand-direct invoices</t>
        </is>
      </c>
      <c r="Y66" s="18" t="inlineStr"/>
      <c r="Z66" s="18" t="inlineStr">
        <is>
          <t>Trade show listing + trade press</t>
        </is>
      </c>
      <c r="AA66" s="19" t="inlineStr">
        <is>
          <t>Source link</t>
        </is>
      </c>
      <c r="AB66" s="19" t="inlineStr">
        <is>
          <t>Search LinkedIn</t>
        </is>
      </c>
      <c r="AC66" s="18" t="inlineStr">
        <is>
          <t>Round 4</t>
        </is>
      </c>
      <c r="AD66" s="20" t="inlineStr">
        <is>
          <t>Not contacted</t>
        </is>
      </c>
      <c r="AE66" s="21" t="n"/>
      <c r="AF66" s="20" t="n"/>
      <c r="AG66" s="20" t="n"/>
      <c r="AH66" s="20" t="n"/>
      <c r="AI66" s="21">
        <f>IF(AE66="","",WORKDAY(AE66,5))</f>
        <v/>
      </c>
      <c r="AJ66" s="20" t="n"/>
      <c r="AK66" s="20" t="n"/>
    </row>
    <row r="67">
      <c r="A67" s="24" t="inlineStr">
        <is>
          <t>France</t>
        </is>
      </c>
      <c r="B67" s="25" t="n">
        <v>66</v>
      </c>
      <c r="C67" s="17" t="n">
        <v>3</v>
      </c>
      <c r="D67" s="18" t="inlineStr">
        <is>
          <t>Toys &amp; Games</t>
        </is>
      </c>
      <c r="E67" s="18" t="inlineStr">
        <is>
          <t>WDK Groupe Partner</t>
        </is>
      </c>
      <c r="F67" s="18" t="inlineStr">
        <is>
          <t>Not confirmed - search company name</t>
        </is>
      </c>
      <c r="G67" s="18" t="inlineStr">
        <is>
          <t>Tauxigny (Centre-Val de Loire)</t>
        </is>
      </c>
      <c r="H67" s="18" t="inlineStr"/>
      <c r="I67" s="18" t="inlineStr">
        <is>
          <t>EU / Europe</t>
        </is>
      </c>
      <c r="J67" s="18" t="inlineStr">
        <is>
          <t>Higher</t>
        </is>
      </c>
      <c r="K67" s="18" t="inlineStr">
        <is>
          <t>90 rue Guglielmo Marconi, Node Park Touraine, 37310 Tauxigny</t>
        </is>
      </c>
      <c r="L67" s="18" t="inlineStr">
        <is>
          <t>+33 2 47 43 80 43</t>
        </is>
      </c>
      <c r="M67" s="18" t="inlineStr">
        <is>
          <t>asevingue@wdkpartner.com</t>
        </is>
      </c>
      <c r="N67" s="18" t="inlineStr">
        <is>
          <t>Toy &amp; leisure wholesaler</t>
        </is>
      </c>
      <c r="O67" s="18" t="inlineStr">
        <is>
          <t>10,000+ toy references; 14m toys sold/yr; runs Jouets Sajou network</t>
        </is>
      </c>
      <c r="P67" s="18" t="inlineStr">
        <is>
          <t>Toys &amp; family leisure</t>
        </is>
      </c>
      <c r="Q67" s="18" t="inlineStr">
        <is>
          <t>On request</t>
        </is>
      </c>
      <c r="R67" s="18" t="inlineStr">
        <is>
          <t>Retailers</t>
        </is>
      </c>
      <c r="S67" s="18" t="inlineStr">
        <is>
          <t>France focus - ask</t>
        </is>
      </c>
      <c r="T67" s="18" t="inlineStr">
        <is>
          <t>Yes (marketplaces)</t>
        </is>
      </c>
      <c r="U67" s="18" t="inlineStr">
        <is>
          <t>Unknown</t>
        </is>
      </c>
      <c r="V67" s="18" t="inlineStr"/>
      <c r="W67" s="18" t="inlineStr">
        <is>
          <t>France's No.1 toy wholesaler (trade press)</t>
        </is>
      </c>
      <c r="X67" s="18" t="inlineStr">
        <is>
          <t>Already sells via marketplaces (Nature &amp; Découvertes)</t>
        </is>
      </c>
      <c r="Y67" s="18" t="inlineStr"/>
      <c r="Z67" s="18" t="inlineStr">
        <is>
          <t>Marketplace seller profile + trade press</t>
        </is>
      </c>
      <c r="AA67" s="19" t="inlineStr">
        <is>
          <t>Source link</t>
        </is>
      </c>
      <c r="AB67" s="19" t="inlineStr">
        <is>
          <t>Search LinkedIn</t>
        </is>
      </c>
      <c r="AC67" s="18" t="inlineStr">
        <is>
          <t>Round 2</t>
        </is>
      </c>
      <c r="AD67" s="20" t="inlineStr">
        <is>
          <t>Not contacted</t>
        </is>
      </c>
      <c r="AE67" s="21" t="n"/>
      <c r="AF67" s="20" t="n"/>
      <c r="AG67" s="20" t="n"/>
      <c r="AH67" s="20" t="n"/>
      <c r="AI67" s="21">
        <f>IF(AE67="","",WORKDAY(AE67,5))</f>
        <v/>
      </c>
      <c r="AJ67" s="20" t="n"/>
      <c r="AK67" s="20" t="n"/>
    </row>
    <row r="68">
      <c r="A68" s="8" t="inlineStr">
        <is>
          <t>Germany</t>
        </is>
      </c>
      <c r="B68" s="9" t="n">
        <v>67</v>
      </c>
      <c r="C68" s="10" t="n">
        <v>3</v>
      </c>
      <c r="D68" s="11" t="inlineStr">
        <is>
          <t>B2B Marketplace</t>
        </is>
      </c>
      <c r="E68" s="11" t="inlineStr">
        <is>
          <t>zentrada</t>
        </is>
      </c>
      <c r="F68" s="12" t="inlineStr">
        <is>
          <t>https://www.zentrada.eu</t>
        </is>
      </c>
      <c r="G68" s="11" t="inlineStr"/>
      <c r="H68" s="11" t="inlineStr"/>
      <c r="I68" s="11" t="inlineStr">
        <is>
          <t>EU / Europe</t>
        </is>
      </c>
      <c r="J68" s="11" t="inlineStr">
        <is>
          <t>Higher</t>
        </is>
      </c>
      <c r="K68" s="11" t="inlineStr"/>
      <c r="L68" s="11" t="inlineStr"/>
      <c r="M68" s="11" t="inlineStr"/>
      <c r="N68" s="11" t="inlineStr">
        <is>
          <t>B2B trading network (consumer goods)</t>
        </is>
      </c>
      <c r="O68" s="11" t="inlineStr">
        <is>
          <t>Consumer goods from European wholesalers &amp; importers (gifts, home, toys, seasonal)</t>
        </is>
      </c>
      <c r="P68" s="11" t="inlineStr">
        <is>
          <t>General merchandise</t>
        </is>
      </c>
      <c r="Q68" s="11" t="inlineStr">
        <is>
          <t>Per supplier</t>
        </is>
      </c>
      <c r="R68" s="11" t="inlineStr">
        <is>
          <t>Commercial buyers (retailers)</t>
        </is>
      </c>
      <c r="S68" s="11" t="inlineStr">
        <is>
          <t>Has .co.uk site - check</t>
        </is>
      </c>
      <c r="T68" s="11" t="inlineStr">
        <is>
          <t>Unknown</t>
        </is>
      </c>
      <c r="U68" s="11" t="inlineStr">
        <is>
          <t>Unknown</t>
        </is>
      </c>
      <c r="V68" s="11" t="inlineStr"/>
      <c r="W68" s="11" t="inlineStr">
        <is>
          <t>Long-running EU B2B network; TradeSafe buyer protection &amp; payment</t>
        </is>
      </c>
      <c r="X68" s="11" t="inlineStr">
        <is>
          <t>Mostly generic/importer goods - check listing ownership</t>
        </is>
      </c>
      <c r="Y68" s="11" t="inlineStr">
        <is>
          <t>Auto-translated offers in 8 languages.</t>
        </is>
      </c>
      <c r="Z68" s="11" t="inlineStr">
        <is>
          <t>Company site + trade fair article</t>
        </is>
      </c>
      <c r="AA68" s="12" t="inlineStr">
        <is>
          <t>Source link</t>
        </is>
      </c>
      <c r="AB68" s="12" t="inlineStr">
        <is>
          <t>Search LinkedIn</t>
        </is>
      </c>
      <c r="AC68" s="11" t="inlineStr">
        <is>
          <t>Round 2</t>
        </is>
      </c>
      <c r="AD68" s="13" t="inlineStr">
        <is>
          <t>Not contacted</t>
        </is>
      </c>
      <c r="AE68" s="14" t="n"/>
      <c r="AF68" s="13" t="n"/>
      <c r="AG68" s="13" t="n"/>
      <c r="AH68" s="13" t="n"/>
      <c r="AI68" s="14">
        <f>IF(AE68="","",WORKDAY(AE68,5))</f>
        <v/>
      </c>
      <c r="AJ68" s="13" t="n"/>
      <c r="AK68" s="13" t="n"/>
    </row>
    <row r="69">
      <c r="A69" s="15" t="inlineStr">
        <is>
          <t>Germany</t>
        </is>
      </c>
      <c r="B69" s="16" t="n">
        <v>68</v>
      </c>
      <c r="C69" s="17" t="n">
        <v>4</v>
      </c>
      <c r="D69" s="18" t="inlineStr">
        <is>
          <t>Baby Products</t>
        </is>
      </c>
      <c r="E69" s="18" t="inlineStr">
        <is>
          <t>hauck GmbH &amp; Co. KG</t>
        </is>
      </c>
      <c r="F69" s="19" t="inlineStr">
        <is>
          <t>https://www.hauck.de</t>
        </is>
      </c>
      <c r="G69" s="18" t="inlineStr">
        <is>
          <t>Sonnefeld (Bavaria)</t>
        </is>
      </c>
      <c r="H69" s="18" t="inlineStr"/>
      <c r="I69" s="18" t="inlineStr">
        <is>
          <t>EU / Europe</t>
        </is>
      </c>
      <c r="J69" s="18" t="inlineStr">
        <is>
          <t>Higher</t>
        </is>
      </c>
      <c r="K69" s="18" t="inlineStr">
        <is>
          <t>Frohnlacher Str. 8, 96242 Sonnefeld</t>
        </is>
      </c>
      <c r="L69" s="18" t="inlineStr"/>
      <c r="M69" s="18" t="inlineStr"/>
      <c r="N69" s="18" t="inlineStr">
        <is>
          <t>Brand owner / manufacturer</t>
        </is>
      </c>
      <c r="O69" s="18" t="inlineStr">
        <is>
          <t>hauck pushchairs, highchairs, travel cots, safety gates, toys</t>
        </is>
      </c>
      <c r="P69" s="18" t="inlineStr">
        <is>
          <t>Nursery &amp; travel</t>
        </is>
      </c>
      <c r="Q69" s="18" t="inlineStr">
        <is>
          <t>Account based</t>
        </is>
      </c>
      <c r="R69" s="18" t="inlineStr">
        <is>
          <t>Specialty juvenile stores &amp; chains (European sales team)</t>
        </is>
      </c>
      <c r="S69" s="18" t="inlineStr">
        <is>
          <t>Ask</t>
        </is>
      </c>
      <c r="T69" s="18" t="inlineStr">
        <is>
          <t>Unknown</t>
        </is>
      </c>
      <c r="U69" s="18" t="inlineStr">
        <is>
          <t>Unknown</t>
        </is>
      </c>
      <c r="V69" s="18" t="inlineStr"/>
      <c r="W69" s="18" t="inlineStr">
        <is>
          <t>Founded 1923 (100-year anniversary 2023)</t>
        </is>
      </c>
      <c r="X69" s="18" t="inlineStr">
        <is>
          <t>Highchairs &amp; gates sell well; bulky items = higher FBA fees</t>
        </is>
      </c>
      <c r="Y69" s="18" t="inlineStr"/>
      <c r="Z69" s="18" t="inlineStr">
        <is>
          <t>Directory + trade press</t>
        </is>
      </c>
      <c r="AA69" s="19" t="inlineStr">
        <is>
          <t>Source link</t>
        </is>
      </c>
      <c r="AB69" s="19" t="inlineStr">
        <is>
          <t>Search LinkedIn</t>
        </is>
      </c>
      <c r="AC69" s="18" t="inlineStr">
        <is>
          <t>Round 4</t>
        </is>
      </c>
      <c r="AD69" s="20" t="inlineStr">
        <is>
          <t>Not contacted</t>
        </is>
      </c>
      <c r="AE69" s="21" t="n"/>
      <c r="AF69" s="20" t="n"/>
      <c r="AG69" s="20" t="n"/>
      <c r="AH69" s="20" t="n"/>
      <c r="AI69" s="21">
        <f>IF(AE69="","",WORKDAY(AE69,5))</f>
        <v/>
      </c>
      <c r="AJ69" s="20" t="n"/>
      <c r="AK69" s="20" t="n"/>
    </row>
    <row r="70">
      <c r="A70" s="15" t="inlineStr">
        <is>
          <t>Germany</t>
        </is>
      </c>
      <c r="B70" s="16" t="n">
        <v>69</v>
      </c>
      <c r="C70" s="17" t="n">
        <v>4</v>
      </c>
      <c r="D70" s="18" t="inlineStr">
        <is>
          <t>Baby Products</t>
        </is>
      </c>
      <c r="E70" s="18" t="inlineStr">
        <is>
          <t>Lässig GmbH</t>
        </is>
      </c>
      <c r="F70" s="19" t="inlineStr">
        <is>
          <t>https://www.laessig-fashion.de</t>
        </is>
      </c>
      <c r="G70" s="18" t="inlineStr">
        <is>
          <t>Babenhausen (Hesse)</t>
        </is>
      </c>
      <c r="H70" s="18" t="inlineStr"/>
      <c r="I70" s="18" t="inlineStr">
        <is>
          <t>EU / Europe</t>
        </is>
      </c>
      <c r="J70" s="18" t="inlineStr">
        <is>
          <t>Higher</t>
        </is>
      </c>
      <c r="K70" s="18" t="inlineStr">
        <is>
          <t>Im Riemen 32, 64832 Babenhausen</t>
        </is>
      </c>
      <c r="L70" s="18" t="inlineStr">
        <is>
          <t>+49 6073 744890</t>
        </is>
      </c>
      <c r="M70" s="18" t="inlineStr">
        <is>
          <t>service@laessig-gmbh.de</t>
        </is>
      </c>
      <c r="N70" s="18" t="inlineStr">
        <is>
          <t>Brand owner</t>
        </is>
      </c>
      <c r="O70" s="18" t="inlineStr">
        <is>
          <t>LÄSSIG changing bags, kids' backpacks, tableware, swimwear (GOTS certified)</t>
        </is>
      </c>
      <c r="P70" s="18" t="inlineStr">
        <is>
          <t>Baby bags &amp; accessories</t>
        </is>
      </c>
      <c r="Q70" s="18" t="inlineStr">
        <is>
          <t>On request</t>
        </is>
      </c>
      <c r="R70" s="18" t="inlineStr">
        <is>
          <t>Retailers</t>
        </is>
      </c>
      <c r="S70" s="18" t="inlineStr">
        <is>
          <t>Ask</t>
        </is>
      </c>
      <c r="T70" s="18" t="inlineStr">
        <is>
          <t>Unknown</t>
        </is>
      </c>
      <c r="U70" s="18" t="inlineStr">
        <is>
          <t>Unknown</t>
        </is>
      </c>
      <c r="V70" s="18" t="inlineStr"/>
      <c r="W70" s="18" t="inlineStr">
        <is>
          <t>GOTS-certified; Maison&amp;Objet exhibitor</t>
        </is>
      </c>
      <c r="X70" s="18" t="inlineStr">
        <is>
          <t>Changing bags sell well; brand-direct invoices</t>
        </is>
      </c>
      <c r="Y70" s="18" t="inlineStr"/>
      <c r="Z70" s="18" t="inlineStr">
        <is>
          <t>Retailer imprint + certification database</t>
        </is>
      </c>
      <c r="AA70" s="19" t="inlineStr">
        <is>
          <t>Source link</t>
        </is>
      </c>
      <c r="AB70" s="19" t="inlineStr">
        <is>
          <t>Search LinkedIn</t>
        </is>
      </c>
      <c r="AC70" s="18" t="inlineStr">
        <is>
          <t>Round 4</t>
        </is>
      </c>
      <c r="AD70" s="20" t="inlineStr">
        <is>
          <t>Not contacted</t>
        </is>
      </c>
      <c r="AE70" s="21" t="n"/>
      <c r="AF70" s="20" t="n"/>
      <c r="AG70" s="20" t="n"/>
      <c r="AH70" s="20" t="n"/>
      <c r="AI70" s="21">
        <f>IF(AE70="","",WORKDAY(AE70,5))</f>
        <v/>
      </c>
      <c r="AJ70" s="20" t="n"/>
      <c r="AK70" s="20" t="n"/>
    </row>
    <row r="71">
      <c r="A71" s="15" t="inlineStr">
        <is>
          <t>Germany</t>
        </is>
      </c>
      <c r="B71" s="16" t="n">
        <v>70</v>
      </c>
      <c r="C71" s="17" t="n">
        <v>4</v>
      </c>
      <c r="D71" s="18" t="inlineStr">
        <is>
          <t>Baby Products</t>
        </is>
      </c>
      <c r="E71" s="18" t="inlineStr">
        <is>
          <t>MAPA GmbH (NUK)</t>
        </is>
      </c>
      <c r="F71" s="19" t="inlineStr">
        <is>
          <t>https://www.mapa.de</t>
        </is>
      </c>
      <c r="G71" s="18" t="inlineStr">
        <is>
          <t>Zeven (Lower Saxony)</t>
        </is>
      </c>
      <c r="H71" s="18" t="inlineStr"/>
      <c r="I71" s="18" t="inlineStr">
        <is>
          <t>EU / Europe</t>
        </is>
      </c>
      <c r="J71" s="18" t="inlineStr">
        <is>
          <t>Higher</t>
        </is>
      </c>
      <c r="K71" s="18" t="inlineStr">
        <is>
          <t>Industriestraße 21-25, 27404 Zeven</t>
        </is>
      </c>
      <c r="L71" s="18" t="inlineStr"/>
      <c r="M71" s="18" t="inlineStr"/>
      <c r="N71" s="18" t="inlineStr">
        <is>
          <t>Brand owner / manufacturer</t>
        </is>
      </c>
      <c r="O71" s="18" t="inlineStr">
        <is>
          <t>NUK bottles &amp; dummies, Fresh Fruit feeders; also Billy Boy, household gloves</t>
        </is>
      </c>
      <c r="P71" s="18" t="inlineStr">
        <is>
          <t>Baby feeding &amp; soothers</t>
        </is>
      </c>
      <c r="Q71" s="18" t="inlineStr">
        <is>
          <t>Account based</t>
        </is>
      </c>
      <c r="R71" s="18" t="inlineStr">
        <is>
          <t>Distributors &amp; retailers (export director in place)</t>
        </is>
      </c>
      <c r="S71" s="18" t="inlineStr">
        <is>
          <t>Ask who handles NUK in UK</t>
        </is>
      </c>
      <c r="T71" s="18" t="inlineStr">
        <is>
          <t>Unknown</t>
        </is>
      </c>
      <c r="U71" s="18" t="inlineStr">
        <is>
          <t>Unknown</t>
        </is>
      </c>
      <c r="V71" s="18" t="inlineStr"/>
      <c r="W71" s="18" t="inlineStr">
        <is>
          <t>Founded 1947/48; manufactures NUK; ships to NUK USA</t>
        </is>
      </c>
      <c r="X71" s="18" t="inlineStr">
        <is>
          <t>NUK is a top Amazon baby brand</t>
        </is>
      </c>
      <c r="Y71" s="18" t="inlineStr"/>
      <c r="Z71" s="18" t="inlineStr">
        <is>
          <t>Registry profile + trade data</t>
        </is>
      </c>
      <c r="AA71" s="19" t="inlineStr">
        <is>
          <t>Source link</t>
        </is>
      </c>
      <c r="AB71" s="19" t="inlineStr">
        <is>
          <t>Search LinkedIn</t>
        </is>
      </c>
      <c r="AC71" s="18" t="inlineStr">
        <is>
          <t>Round 4</t>
        </is>
      </c>
      <c r="AD71" s="20" t="inlineStr">
        <is>
          <t>Not contacted</t>
        </is>
      </c>
      <c r="AE71" s="21" t="n"/>
      <c r="AF71" s="20" t="n"/>
      <c r="AG71" s="20" t="n"/>
      <c r="AH71" s="20" t="n"/>
      <c r="AI71" s="21">
        <f>IF(AE71="","",WORKDAY(AE71,5))</f>
        <v/>
      </c>
      <c r="AJ71" s="20" t="n"/>
      <c r="AK71" s="20" t="n"/>
    </row>
    <row r="72">
      <c r="A72" s="15" t="inlineStr">
        <is>
          <t>Germany</t>
        </is>
      </c>
      <c r="B72" s="16" t="n">
        <v>71</v>
      </c>
      <c r="C72" s="17" t="n">
        <v>3</v>
      </c>
      <c r="D72" s="18" t="inlineStr">
        <is>
          <t>Baby Products</t>
        </is>
      </c>
      <c r="E72" s="18" t="inlineStr">
        <is>
          <t>2E Vertriebs-GmbH (Simple Parenting)</t>
        </is>
      </c>
      <c r="F72" s="19" t="inlineStr">
        <is>
          <t>https://www.2e-vertrieb.de</t>
        </is>
      </c>
      <c r="G72" s="18" t="inlineStr">
        <is>
          <t>Cologne</t>
        </is>
      </c>
      <c r="H72" s="18" t="inlineStr"/>
      <c r="I72" s="18" t="inlineStr">
        <is>
          <t>EU / Europe</t>
        </is>
      </c>
      <c r="J72" s="18" t="inlineStr">
        <is>
          <t>Higher</t>
        </is>
      </c>
      <c r="K72" s="18" t="inlineStr">
        <is>
          <t>Bismarckstraße 60, 50672 Köln</t>
        </is>
      </c>
      <c r="L72" s="18" t="inlineStr">
        <is>
          <t>+49 221 99987860</t>
        </is>
      </c>
      <c r="M72" s="18" t="inlineStr">
        <is>
          <t>info@2e-vertrieb.de</t>
        </is>
      </c>
      <c r="N72" s="18" t="inlineStr">
        <is>
          <t>Distributor (brand rights)</t>
        </is>
      </c>
      <c r="O72" s="18" t="inlineStr">
        <is>
          <t>Family &amp; parenting brands (distribution rights)</t>
        </is>
      </c>
      <c r="P72" s="18" t="inlineStr">
        <is>
          <t>Baby &amp; parenting</t>
        </is>
      </c>
      <c r="Q72" s="18" t="inlineStr">
        <is>
          <t>On request</t>
        </is>
      </c>
      <c r="R72" s="18" t="inlineStr">
        <is>
          <t>Trade</t>
        </is>
      </c>
      <c r="S72" s="18" t="inlineStr">
        <is>
          <t>DACH/Benelux/France focus - ask</t>
        </is>
      </c>
      <c r="T72" s="18" t="inlineStr">
        <is>
          <t>Unknown</t>
        </is>
      </c>
      <c r="U72" s="18" t="inlineStr">
        <is>
          <t>Unknown</t>
        </is>
      </c>
      <c r="V72" s="18" t="inlineStr">
        <is>
          <t>HRB 80853</t>
        </is>
      </c>
      <c r="W72" s="18" t="inlineStr">
        <is>
          <t>HRB 80853 Köln; founded 2014; MDs Daniel Gruber &amp; Christian Thalmann</t>
        </is>
      </c>
      <c r="X72" s="18" t="inlineStr"/>
      <c r="Y72" s="18" t="inlineStr"/>
      <c r="Z72" s="18" t="inlineStr">
        <is>
          <t>Company registry profile</t>
        </is>
      </c>
      <c r="AA72" s="19" t="inlineStr">
        <is>
          <t>Source link</t>
        </is>
      </c>
      <c r="AB72" s="19" t="inlineStr">
        <is>
          <t>Search LinkedIn</t>
        </is>
      </c>
      <c r="AC72" s="18" t="inlineStr">
        <is>
          <t>Round 2</t>
        </is>
      </c>
      <c r="AD72" s="20" t="inlineStr">
        <is>
          <t>Not contacted</t>
        </is>
      </c>
      <c r="AE72" s="21" t="n"/>
      <c r="AF72" s="20" t="n"/>
      <c r="AG72" s="20" t="n"/>
      <c r="AH72" s="20" t="n"/>
      <c r="AI72" s="21">
        <f>IF(AE72="","",WORKDAY(AE72,5))</f>
        <v/>
      </c>
      <c r="AJ72" s="20" t="n"/>
      <c r="AK72" s="20" t="n"/>
    </row>
    <row r="73">
      <c r="A73" s="15" t="inlineStr">
        <is>
          <t>Germany</t>
        </is>
      </c>
      <c r="B73" s="16" t="n">
        <v>72</v>
      </c>
      <c r="C73" s="17" t="n">
        <v>3</v>
      </c>
      <c r="D73" s="18" t="inlineStr">
        <is>
          <t>Baby Products</t>
        </is>
      </c>
      <c r="E73" s="18" t="inlineStr">
        <is>
          <t>MAM Babyartikel GmbH</t>
        </is>
      </c>
      <c r="F73" s="19" t="inlineStr">
        <is>
          <t>https://www.mambaby.com</t>
        </is>
      </c>
      <c r="G73" s="18" t="inlineStr">
        <is>
          <t>Scheeßel (Lower Saxony)</t>
        </is>
      </c>
      <c r="H73" s="18" t="inlineStr"/>
      <c r="I73" s="18" t="inlineStr">
        <is>
          <t>EU / Europe</t>
        </is>
      </c>
      <c r="J73" s="18" t="inlineStr">
        <is>
          <t>Higher</t>
        </is>
      </c>
      <c r="K73" s="18" t="inlineStr">
        <is>
          <t>Rudolf-Diesel-Str. 6, 27383 Scheeßel</t>
        </is>
      </c>
      <c r="L73" s="18" t="inlineStr">
        <is>
          <t>+49 4263 9317 0</t>
        </is>
      </c>
      <c r="M73" s="18" t="inlineStr"/>
      <c r="N73" s="18" t="inlineStr">
        <is>
          <t>Brand distributor (MAM Baby AG subsidiary)</t>
        </is>
      </c>
      <c r="O73" s="18" t="inlineStr">
        <is>
          <t>MAM dummies, bottles, teethers, feeding</t>
        </is>
      </c>
      <c r="P73" s="18" t="inlineStr">
        <is>
          <t>Baby feeding &amp; soothers</t>
        </is>
      </c>
      <c r="Q73" s="18" t="inlineStr">
        <is>
          <t>Account based</t>
        </is>
      </c>
      <c r="R73" s="18" t="inlineStr">
        <is>
          <t>Retail chains &amp; wholesale customers</t>
        </is>
      </c>
      <c r="S73" s="18" t="inlineStr">
        <is>
          <t>DE/AT/Benelux focus - UK has separate MAM UK</t>
        </is>
      </c>
      <c r="T73" s="18" t="inlineStr">
        <is>
          <t>Unknown</t>
        </is>
      </c>
      <c r="U73" s="18" t="inlineStr">
        <is>
          <t>No</t>
        </is>
      </c>
      <c r="V73" s="18" t="inlineStr"/>
      <c r="W73" s="18" t="inlineStr">
        <is>
          <t>Official distribution arm of MAM Baby AG</t>
        </is>
      </c>
      <c r="X73" s="18" t="inlineStr">
        <is>
          <t>Official brand source = best possible invoices</t>
        </is>
      </c>
      <c r="Y73" s="18" t="inlineStr">
        <is>
          <t>Approach as 'online retailer'; may refer you to a wholesaler.</t>
        </is>
      </c>
      <c r="Z73" s="18" t="inlineStr">
        <is>
          <t>Job listing + retailer imprint</t>
        </is>
      </c>
      <c r="AA73" s="19" t="inlineStr">
        <is>
          <t>Source link</t>
        </is>
      </c>
      <c r="AB73" s="19" t="inlineStr">
        <is>
          <t>Search LinkedIn</t>
        </is>
      </c>
      <c r="AC73" s="18" t="inlineStr">
        <is>
          <t>Round 2</t>
        </is>
      </c>
      <c r="AD73" s="20" t="inlineStr">
        <is>
          <t>Not contacted</t>
        </is>
      </c>
      <c r="AE73" s="21" t="n"/>
      <c r="AF73" s="20" t="n"/>
      <c r="AG73" s="20" t="n"/>
      <c r="AH73" s="20" t="n"/>
      <c r="AI73" s="21">
        <f>IF(AE73="","",WORKDAY(AE73,5))</f>
        <v/>
      </c>
      <c r="AJ73" s="20" t="n"/>
      <c r="AK73" s="20" t="n"/>
    </row>
    <row r="74">
      <c r="A74" s="15" t="inlineStr">
        <is>
          <t>Germany</t>
        </is>
      </c>
      <c r="B74" s="16" t="n">
        <v>73</v>
      </c>
      <c r="C74" s="17" t="n">
        <v>3</v>
      </c>
      <c r="D74" s="18" t="inlineStr">
        <is>
          <t>Baby Products</t>
        </is>
      </c>
      <c r="E74" s="18" t="inlineStr">
        <is>
          <t>reer GmbH</t>
        </is>
      </c>
      <c r="F74" s="19" t="inlineStr">
        <is>
          <t>https://www.reer.de</t>
        </is>
      </c>
      <c r="G74" s="18" t="inlineStr">
        <is>
          <t>Leonberg</t>
        </is>
      </c>
      <c r="H74" s="18" t="inlineStr"/>
      <c r="I74" s="18" t="inlineStr">
        <is>
          <t>EU / Europe</t>
        </is>
      </c>
      <c r="J74" s="18" t="inlineStr">
        <is>
          <t>Higher</t>
        </is>
      </c>
      <c r="K74" s="18" t="inlineStr">
        <is>
          <t>Mühlstraße 41, 71229 Leonberg</t>
        </is>
      </c>
      <c r="L74" s="18" t="inlineStr">
        <is>
          <t>+49 7152 928520</t>
        </is>
      </c>
      <c r="M74" s="18" t="inlineStr">
        <is>
          <t>service@reer.de</t>
        </is>
      </c>
      <c r="N74" s="18" t="inlineStr">
        <is>
          <t>Brand owner</t>
        </is>
      </c>
      <c r="O74" s="18" t="inlineStr">
        <is>
          <t>reer child-safety (locks, gates, corner guards), bottle warmers, baby monitors</t>
        </is>
      </c>
      <c r="P74" s="18" t="inlineStr">
        <is>
          <t>Baby safety</t>
        </is>
      </c>
      <c r="Q74" s="18" t="inlineStr">
        <is>
          <t>On request</t>
        </is>
      </c>
      <c r="R74" s="18" t="inlineStr">
        <is>
          <t>Retailers</t>
        </is>
      </c>
      <c r="S74" s="18" t="inlineStr">
        <is>
          <t>Ask</t>
        </is>
      </c>
      <c r="T74" s="18" t="inlineStr">
        <is>
          <t>Unknown</t>
        </is>
      </c>
      <c r="U74" s="18" t="inlineStr">
        <is>
          <t>Unknown</t>
        </is>
      </c>
      <c r="V74" s="18" t="inlineStr"/>
      <c r="W74" s="18" t="inlineStr">
        <is>
          <t>100+ year history; Ambiente exhibitor (Safe &amp; Care GmbH)</t>
        </is>
      </c>
      <c r="X74" s="18" t="inlineStr">
        <is>
          <t>Safety items sell well; check EN standards on pack</t>
        </is>
      </c>
      <c r="Y74" s="18" t="inlineStr"/>
      <c r="Z74" s="18" t="inlineStr">
        <is>
          <t>Retailer product pages + trade fair</t>
        </is>
      </c>
      <c r="AA74" s="19" t="inlineStr">
        <is>
          <t>Source link</t>
        </is>
      </c>
      <c r="AB74" s="19" t="inlineStr">
        <is>
          <t>Search LinkedIn</t>
        </is>
      </c>
      <c r="AC74" s="18" t="inlineStr">
        <is>
          <t>Round 3</t>
        </is>
      </c>
      <c r="AD74" s="20" t="inlineStr">
        <is>
          <t>Not contacted</t>
        </is>
      </c>
      <c r="AE74" s="21" t="n"/>
      <c r="AF74" s="20" t="n"/>
      <c r="AG74" s="20" t="n"/>
      <c r="AH74" s="20" t="n"/>
      <c r="AI74" s="21">
        <f>IF(AE74="","",WORKDAY(AE74,5))</f>
        <v/>
      </c>
      <c r="AJ74" s="20" t="n"/>
      <c r="AK74" s="20" t="n"/>
    </row>
    <row r="75">
      <c r="A75" s="15" t="inlineStr">
        <is>
          <t>Germany</t>
        </is>
      </c>
      <c r="B75" s="16" t="n">
        <v>74</v>
      </c>
      <c r="C75" s="17" t="n">
        <v>2</v>
      </c>
      <c r="D75" s="18" t="inlineStr">
        <is>
          <t>Baby Products</t>
        </is>
      </c>
      <c r="E75" s="18" t="inlineStr">
        <is>
          <t>German Formula Express</t>
        </is>
      </c>
      <c r="F75" s="18" t="inlineStr">
        <is>
          <t>Not confirmed - search company name</t>
        </is>
      </c>
      <c r="G75" s="18" t="inlineStr">
        <is>
          <t>Crailsheim</t>
        </is>
      </c>
      <c r="H75" s="18" t="inlineStr"/>
      <c r="I75" s="18" t="inlineStr">
        <is>
          <t>EU / Europe</t>
        </is>
      </c>
      <c r="J75" s="18" t="inlineStr">
        <is>
          <t>Higher</t>
        </is>
      </c>
      <c r="K75" s="18" t="inlineStr"/>
      <c r="L75" s="18" t="inlineStr"/>
      <c r="M75" s="18" t="inlineStr"/>
      <c r="N75" s="18" t="inlineStr">
        <is>
          <t>Retail &amp; wholesale distributor</t>
        </is>
      </c>
      <c r="O75" s="18" t="inlineStr">
        <is>
          <t>HiPP, Holle, Aptamil, Lebenswert infant formula</t>
        </is>
      </c>
      <c r="P75" s="18" t="inlineStr">
        <is>
          <t>Baby food / formula</t>
        </is>
      </c>
      <c r="Q75" s="18" t="inlineStr">
        <is>
          <t>On request</t>
        </is>
      </c>
      <c r="R75" s="18" t="inlineStr"/>
      <c r="S75" s="18" t="inlineStr">
        <is>
          <t>Exports - ask</t>
        </is>
      </c>
      <c r="T75" s="18" t="inlineStr">
        <is>
          <t>Unknown</t>
        </is>
      </c>
      <c r="U75" s="18" t="inlineStr">
        <is>
          <t>Unknown</t>
        </is>
      </c>
      <c r="V75" s="18" t="inlineStr"/>
      <c r="W75" s="18" t="inlineStr">
        <is>
          <t>Trading since 2003 (self-described)</t>
        </is>
      </c>
      <c r="X75" s="18" t="inlineStr">
        <is>
          <t>CAUTION: infant formula is a restricted/high-scrutiny category on Amazon</t>
        </is>
      </c>
      <c r="Y75" s="18" t="inlineStr"/>
      <c r="Z75" s="18" t="inlineStr">
        <is>
          <t>Directory only</t>
        </is>
      </c>
      <c r="AA75" s="19" t="inlineStr">
        <is>
          <t>Source link</t>
        </is>
      </c>
      <c r="AB75" s="19" t="inlineStr">
        <is>
          <t>Search LinkedIn</t>
        </is>
      </c>
      <c r="AC75" s="18" t="inlineStr">
        <is>
          <t>Round 2</t>
        </is>
      </c>
      <c r="AD75" s="20" t="inlineStr">
        <is>
          <t>Not contacted</t>
        </is>
      </c>
      <c r="AE75" s="21" t="n"/>
      <c r="AF75" s="20" t="n"/>
      <c r="AG75" s="20" t="n"/>
      <c r="AH75" s="20" t="n"/>
      <c r="AI75" s="21">
        <f>IF(AE75="","",WORKDAY(AE75,5))</f>
        <v/>
      </c>
      <c r="AJ75" s="20" t="n"/>
      <c r="AK75" s="20" t="n"/>
    </row>
    <row r="76">
      <c r="A76" s="15" t="inlineStr">
        <is>
          <t>Germany</t>
        </is>
      </c>
      <c r="B76" s="16" t="n">
        <v>75</v>
      </c>
      <c r="C76" s="17" t="n">
        <v>4</v>
      </c>
      <c r="D76" s="18" t="inlineStr">
        <is>
          <t>Beauty</t>
        </is>
      </c>
      <c r="E76" s="18" t="inlineStr">
        <is>
          <t>cosnova GmbH (essence, CATRICE)</t>
        </is>
      </c>
      <c r="F76" s="19" t="inlineStr">
        <is>
          <t>https://www.cosnova.com</t>
        </is>
      </c>
      <c r="G76" s="18" t="inlineStr">
        <is>
          <t>Sulzbach (Taunus)</t>
        </is>
      </c>
      <c r="H76" s="18" t="inlineStr"/>
      <c r="I76" s="18" t="inlineStr">
        <is>
          <t>EU / Europe</t>
        </is>
      </c>
      <c r="J76" s="18" t="inlineStr">
        <is>
          <t>Higher</t>
        </is>
      </c>
      <c r="K76" s="18" t="inlineStr">
        <is>
          <t>Am Limespark 2, 65843 Sulzbach</t>
        </is>
      </c>
      <c r="L76" s="18" t="inlineStr">
        <is>
          <t>+49 6196 76156-0</t>
        </is>
      </c>
      <c r="M76" s="18" t="inlineStr">
        <is>
          <t>service@cosnova.eu</t>
        </is>
      </c>
      <c r="N76" s="18" t="inlineStr">
        <is>
          <t>Brand owner (direct + local distributors)</t>
        </is>
      </c>
      <c r="O76" s="18" t="inlineStr">
        <is>
          <t>essence, CATRICE, Physicians Formula (EU)</t>
        </is>
      </c>
      <c r="P76" s="18" t="inlineStr">
        <is>
          <t>Mass cosmetics</t>
        </is>
      </c>
      <c r="Q76" s="18" t="inlineStr">
        <is>
          <t>Account based</t>
        </is>
      </c>
      <c r="R76" s="18" t="inlineStr">
        <is>
          <t>Drugstores, retailers &amp; online retail partners</t>
        </is>
      </c>
      <c r="S76" s="18" t="inlineStr">
        <is>
          <t>Sold in 90+ countries - ask about UK distributor</t>
        </is>
      </c>
      <c r="T76" s="18" t="inlineStr">
        <is>
          <t>Unknown</t>
        </is>
      </c>
      <c r="U76" s="18" t="inlineStr">
        <is>
          <t>No</t>
        </is>
      </c>
      <c r="V76" s="18" t="inlineStr"/>
      <c r="W76" s="18" t="inlineStr">
        <is>
          <t>22,000+ points of sale; publishes annual results</t>
        </is>
      </c>
      <c r="X76" s="18" t="inlineStr">
        <is>
          <t>essence &amp; CATRICE are top Amazon beauty sellers - may route you to UK distributor</t>
        </is>
      </c>
      <c r="Y76" s="18" t="inlineStr"/>
      <c r="Z76" s="18" t="inlineStr">
        <is>
          <t>Company letterhead / press releases</t>
        </is>
      </c>
      <c r="AA76" s="19" t="inlineStr">
        <is>
          <t>Source link</t>
        </is>
      </c>
      <c r="AB76" s="19" t="inlineStr">
        <is>
          <t>Search LinkedIn</t>
        </is>
      </c>
      <c r="AC76" s="18" t="inlineStr">
        <is>
          <t>Round 3</t>
        </is>
      </c>
      <c r="AD76" s="20" t="inlineStr">
        <is>
          <t>Not contacted</t>
        </is>
      </c>
      <c r="AE76" s="21" t="n"/>
      <c r="AF76" s="20" t="n"/>
      <c r="AG76" s="20" t="n"/>
      <c r="AH76" s="20" t="n"/>
      <c r="AI76" s="21">
        <f>IF(AE76="","",WORKDAY(AE76,5))</f>
        <v/>
      </c>
      <c r="AJ76" s="20" t="n"/>
      <c r="AK76" s="20" t="n"/>
    </row>
    <row r="77">
      <c r="A77" s="15" t="inlineStr">
        <is>
          <t>Germany</t>
        </is>
      </c>
      <c r="B77" s="16" t="n">
        <v>76</v>
      </c>
      <c r="C77" s="17" t="n">
        <v>4</v>
      </c>
      <c r="D77" s="18" t="inlineStr">
        <is>
          <t>Beauty</t>
        </is>
      </c>
      <c r="E77" s="18" t="inlineStr">
        <is>
          <t>Weleda AG (German branch)</t>
        </is>
      </c>
      <c r="F77" s="19" t="inlineStr">
        <is>
          <t>https://www.weleda.de</t>
        </is>
      </c>
      <c r="G77" s="18" t="inlineStr">
        <is>
          <t>Schwäbisch Gmünd</t>
        </is>
      </c>
      <c r="H77" s="18" t="inlineStr"/>
      <c r="I77" s="18" t="inlineStr">
        <is>
          <t>EU / Europe</t>
        </is>
      </c>
      <c r="J77" s="18" t="inlineStr">
        <is>
          <t>Higher</t>
        </is>
      </c>
      <c r="K77" s="18" t="inlineStr">
        <is>
          <t>Möhlerstraße 3, 73525 Schwäbisch Gmünd</t>
        </is>
      </c>
      <c r="L77" s="18" t="inlineStr"/>
      <c r="M77" s="18" t="inlineStr">
        <is>
          <t>dialog@weleda.de</t>
        </is>
      </c>
      <c r="N77" s="18" t="inlineStr">
        <is>
          <t>Brand owner / manufacturer</t>
        </is>
      </c>
      <c r="O77" s="18" t="inlineStr">
        <is>
          <t>Weleda natural skincare, baby care (Calendula), Skin Food</t>
        </is>
      </c>
      <c r="P77" s="18" t="inlineStr">
        <is>
          <t>Natural skincare &amp; baby care</t>
        </is>
      </c>
      <c r="Q77" s="18" t="inlineStr">
        <is>
          <t>Account based</t>
        </is>
      </c>
      <c r="R77" s="18" t="inlineStr">
        <is>
          <t>Via subsidiaries in 20 countries &amp; distributors</t>
        </is>
      </c>
      <c r="S77" s="18" t="inlineStr">
        <is>
          <t>Yes - Weleda UK subsidiary</t>
        </is>
      </c>
      <c r="T77" s="18" t="inlineStr">
        <is>
          <t>Unknown</t>
        </is>
      </c>
      <c r="U77" s="18" t="inlineStr">
        <is>
          <t>Unknown</t>
        </is>
      </c>
      <c r="V77" s="18" t="inlineStr"/>
      <c r="W77" s="18" t="inlineStr">
        <is>
          <t>Largest Weleda branch; group present in 50+ countries</t>
        </is>
      </c>
      <c r="X77" s="18" t="inlineStr">
        <is>
          <t>Skin Food is a strong Amazon seller</t>
        </is>
      </c>
      <c r="Y77" s="18" t="inlineStr">
        <is>
          <t>Contact Weleda UK for UK accounts.</t>
        </is>
      </c>
      <c r="Z77" s="18" t="inlineStr">
        <is>
          <t>Wikipedia + retailer imprint</t>
        </is>
      </c>
      <c r="AA77" s="19" t="inlineStr">
        <is>
          <t>Source link</t>
        </is>
      </c>
      <c r="AB77" s="19" t="inlineStr">
        <is>
          <t>Search LinkedIn</t>
        </is>
      </c>
      <c r="AC77" s="18" t="inlineStr">
        <is>
          <t>Round 4</t>
        </is>
      </c>
      <c r="AD77" s="20" t="inlineStr">
        <is>
          <t>Not contacted</t>
        </is>
      </c>
      <c r="AE77" s="21" t="n"/>
      <c r="AF77" s="20" t="n"/>
      <c r="AG77" s="20" t="n"/>
      <c r="AH77" s="20" t="n"/>
      <c r="AI77" s="21">
        <f>IF(AE77="","",WORKDAY(AE77,5))</f>
        <v/>
      </c>
      <c r="AJ77" s="20" t="n"/>
      <c r="AK77" s="20" t="n"/>
    </row>
    <row r="78">
      <c r="A78" s="15" t="inlineStr">
        <is>
          <t>Germany</t>
        </is>
      </c>
      <c r="B78" s="16" t="n">
        <v>77</v>
      </c>
      <c r="C78" s="17" t="n">
        <v>3</v>
      </c>
      <c r="D78" s="18" t="inlineStr">
        <is>
          <t>Beauty</t>
        </is>
      </c>
      <c r="E78" s="18" t="inlineStr">
        <is>
          <t>ARTDECO cosmetic GmbH</t>
        </is>
      </c>
      <c r="F78" s="19" t="inlineStr">
        <is>
          <t>https://www.artdeco.de</t>
        </is>
      </c>
      <c r="G78" s="18" t="inlineStr">
        <is>
          <t>Karlsfeld (near Munich)</t>
        </is>
      </c>
      <c r="H78" s="18" t="inlineStr"/>
      <c r="I78" s="18" t="inlineStr">
        <is>
          <t>EU / Europe</t>
        </is>
      </c>
      <c r="J78" s="18" t="inlineStr">
        <is>
          <t>Higher</t>
        </is>
      </c>
      <c r="K78" s="18" t="inlineStr">
        <is>
          <t>Gaußstraße 13, 85757 Karlsfeld (HRB 76194 Munich)</t>
        </is>
      </c>
      <c r="L78" s="18" t="inlineStr"/>
      <c r="M78" s="18" t="inlineStr"/>
      <c r="N78" s="18" t="inlineStr">
        <is>
          <t>Brand owner / manufacturer</t>
        </is>
      </c>
      <c r="O78" s="18" t="inlineStr">
        <is>
          <t>ARTDECO, Annemarie Börlind (group), Dr. Belter</t>
        </is>
      </c>
      <c r="P78" s="18" t="inlineStr">
        <is>
          <t>Cosmetics</t>
        </is>
      </c>
      <c r="Q78" s="18" t="inlineStr">
        <is>
          <t>Account based</t>
        </is>
      </c>
      <c r="R78" s="18" t="inlineStr">
        <is>
          <t>Distributors &amp; retailers</t>
        </is>
      </c>
      <c r="S78" s="18" t="inlineStr">
        <is>
          <t>Sold in 65+ countries - ask</t>
        </is>
      </c>
      <c r="T78" s="18" t="inlineStr">
        <is>
          <t>Unknown</t>
        </is>
      </c>
      <c r="U78" s="18" t="inlineStr">
        <is>
          <t>Unknown</t>
        </is>
      </c>
      <c r="V78" s="18" t="inlineStr">
        <is>
          <t>HRB 76194</t>
        </is>
      </c>
      <c r="W78" s="18" t="inlineStr">
        <is>
          <t>Registered HRB 76194; branches FR &amp; IT; sister co. PLCC (export@plcc-gmbh.com)</t>
        </is>
      </c>
      <c r="X78" s="18" t="inlineStr"/>
      <c r="Y78" s="18" t="inlineStr"/>
      <c r="Z78" s="18" t="inlineStr">
        <is>
          <t>Company register + trade fair listing</t>
        </is>
      </c>
      <c r="AA78" s="19" t="inlineStr">
        <is>
          <t>Source link</t>
        </is>
      </c>
      <c r="AB78" s="19" t="inlineStr">
        <is>
          <t>Search LinkedIn</t>
        </is>
      </c>
      <c r="AC78" s="18" t="inlineStr">
        <is>
          <t>Round 4</t>
        </is>
      </c>
      <c r="AD78" s="20" t="inlineStr">
        <is>
          <t>Not contacted</t>
        </is>
      </c>
      <c r="AE78" s="21" t="n"/>
      <c r="AF78" s="20" t="n"/>
      <c r="AG78" s="20" t="n"/>
      <c r="AH78" s="20" t="n"/>
      <c r="AI78" s="21">
        <f>IF(AE78="","",WORKDAY(AE78,5))</f>
        <v/>
      </c>
      <c r="AJ78" s="20" t="n"/>
      <c r="AK78" s="20" t="n"/>
    </row>
    <row r="79">
      <c r="A79" s="15" t="inlineStr">
        <is>
          <t>Germany</t>
        </is>
      </c>
      <c r="B79" s="16" t="n">
        <v>78</v>
      </c>
      <c r="C79" s="17" t="n">
        <v>3</v>
      </c>
      <c r="D79" s="18" t="inlineStr">
        <is>
          <t>Beauty</t>
        </is>
      </c>
      <c r="E79" s="18" t="inlineStr">
        <is>
          <t>LOGOCOS Naturkosmetik GmbH &amp; Co. KG (Sante, Logona)</t>
        </is>
      </c>
      <c r="F79" s="19" t="inlineStr">
        <is>
          <t>https://www.sante.de</t>
        </is>
      </c>
      <c r="G79" s="18" t="inlineStr">
        <is>
          <t>Salzhemmendorf (production) / Düsseldorf (sales)</t>
        </is>
      </c>
      <c r="H79" s="18" t="inlineStr"/>
      <c r="I79" s="18" t="inlineStr">
        <is>
          <t>EU / Europe</t>
        </is>
      </c>
      <c r="J79" s="18" t="inlineStr">
        <is>
          <t>Higher</t>
        </is>
      </c>
      <c r="K79" s="18" t="inlineStr">
        <is>
          <t>Salzhemmendorf, Lower Saxony</t>
        </is>
      </c>
      <c r="L79" s="18" t="inlineStr"/>
      <c r="M79" s="18" t="inlineStr"/>
      <c r="N79" s="18" t="inlineStr">
        <is>
          <t>Brand owner / manufacturer</t>
        </is>
      </c>
      <c r="O79" s="18" t="inlineStr">
        <is>
          <t>Sante natural cosmetics, Logona natural haircare &amp; colour</t>
        </is>
      </c>
      <c r="P79" s="18" t="inlineStr">
        <is>
          <t>Natural cosmetics</t>
        </is>
      </c>
      <c r="Q79" s="18" t="inlineStr">
        <is>
          <t>Account based</t>
        </is>
      </c>
      <c r="R79" s="18" t="inlineStr">
        <is>
          <t>Retailers &amp; export partners (export key account team)</t>
        </is>
      </c>
      <c r="S79" s="18" t="inlineStr">
        <is>
          <t>Has export business development team - ask</t>
        </is>
      </c>
      <c r="T79" s="18" t="inlineStr">
        <is>
          <t>Unknown</t>
        </is>
      </c>
      <c r="U79" s="18" t="inlineStr">
        <is>
          <t>Unknown</t>
        </is>
      </c>
      <c r="V79" s="18" t="inlineStr"/>
      <c r="W79" s="18" t="inlineStr">
        <is>
          <t>Certified natural cosmetics; formerly L'Oréal-owned (2018-22)</t>
        </is>
      </c>
      <c r="X79" s="18" t="inlineStr"/>
      <c r="Y79" s="18" t="inlineStr"/>
      <c r="Z79" s="18" t="inlineStr">
        <is>
          <t>Company job postings + trade press</t>
        </is>
      </c>
      <c r="AA79" s="19" t="inlineStr">
        <is>
          <t>Source link</t>
        </is>
      </c>
      <c r="AB79" s="19" t="inlineStr">
        <is>
          <t>Search LinkedIn</t>
        </is>
      </c>
      <c r="AC79" s="18" t="inlineStr">
        <is>
          <t>Round 4</t>
        </is>
      </c>
      <c r="AD79" s="20" t="inlineStr">
        <is>
          <t>Not contacted</t>
        </is>
      </c>
      <c r="AE79" s="21" t="n"/>
      <c r="AF79" s="20" t="n"/>
      <c r="AG79" s="20" t="n"/>
      <c r="AH79" s="20" t="n"/>
      <c r="AI79" s="21">
        <f>IF(AE79="","",WORKDAY(AE79,5))</f>
        <v/>
      </c>
      <c r="AJ79" s="20" t="n"/>
      <c r="AK79" s="20" t="n"/>
    </row>
    <row r="80">
      <c r="A80" s="15" t="inlineStr">
        <is>
          <t>Germany</t>
        </is>
      </c>
      <c r="B80" s="16" t="n">
        <v>79</v>
      </c>
      <c r="C80" s="17" t="n">
        <v>2</v>
      </c>
      <c r="D80" s="18" t="inlineStr">
        <is>
          <t>Beauty</t>
        </is>
      </c>
      <c r="E80" s="18" t="inlineStr">
        <is>
          <t>Global Beauty Brands</t>
        </is>
      </c>
      <c r="F80" s="18" t="inlineStr">
        <is>
          <t>Not confirmed - search company name</t>
        </is>
      </c>
      <c r="G80" s="18" t="inlineStr">
        <is>
          <t>Hannover</t>
        </is>
      </c>
      <c r="H80" s="18" t="inlineStr">
        <is>
          <t>UK</t>
        </is>
      </c>
      <c r="I80" s="18" t="inlineStr">
        <is>
          <t>EU / Europe</t>
        </is>
      </c>
      <c r="J80" s="18" t="inlineStr">
        <is>
          <t>Higher</t>
        </is>
      </c>
      <c r="K80" s="18" t="inlineStr">
        <is>
          <t>Hannover</t>
        </is>
      </c>
      <c r="L80" s="18" t="inlineStr"/>
      <c r="M80" s="18" t="inlineStr"/>
      <c r="N80" s="18" t="inlineStr">
        <is>
          <t>Importer / distributor / wholesaler</t>
        </is>
      </c>
      <c r="O80" s="18" t="inlineStr">
        <is>
          <t>Beauty brands</t>
        </is>
      </c>
      <c r="P80" s="18" t="inlineStr">
        <is>
          <t>Beauty</t>
        </is>
      </c>
      <c r="Q80" s="18" t="inlineStr">
        <is>
          <t>On request</t>
        </is>
      </c>
      <c r="R80" s="18" t="inlineStr">
        <is>
          <t>Trade</t>
        </is>
      </c>
      <c r="S80" s="18" t="inlineStr">
        <is>
          <t>Has UK office</t>
        </is>
      </c>
      <c r="T80" s="18" t="inlineStr">
        <is>
          <t>Unknown</t>
        </is>
      </c>
      <c r="U80" s="18" t="inlineStr">
        <is>
          <t>Unknown</t>
        </is>
      </c>
      <c r="V80" s="18" t="inlineStr"/>
      <c r="W80" s="18" t="inlineStr">
        <is>
          <t>Directory listing</t>
        </is>
      </c>
      <c r="X80" s="18" t="inlineStr"/>
      <c r="Y80" s="18" t="inlineStr"/>
      <c r="Z80" s="18" t="inlineStr">
        <is>
          <t>Directory only</t>
        </is>
      </c>
      <c r="AA80" s="19" t="inlineStr">
        <is>
          <t>Source link</t>
        </is>
      </c>
      <c r="AB80" s="19" t="inlineStr">
        <is>
          <t>Search LinkedIn</t>
        </is>
      </c>
      <c r="AC80" s="18" t="inlineStr">
        <is>
          <t>Round 2</t>
        </is>
      </c>
      <c r="AD80" s="20" t="inlineStr">
        <is>
          <t>Not contacted</t>
        </is>
      </c>
      <c r="AE80" s="21" t="n"/>
      <c r="AF80" s="20" t="n"/>
      <c r="AG80" s="20" t="n"/>
      <c r="AH80" s="20" t="n"/>
      <c r="AI80" s="21">
        <f>IF(AE80="","",WORKDAY(AE80,5))</f>
        <v/>
      </c>
      <c r="AJ80" s="20" t="n"/>
      <c r="AK80" s="20" t="n"/>
    </row>
    <row r="81">
      <c r="A81" s="15" t="inlineStr">
        <is>
          <t>Germany</t>
        </is>
      </c>
      <c r="B81" s="16" t="n">
        <v>80</v>
      </c>
      <c r="C81" s="17" t="n">
        <v>4</v>
      </c>
      <c r="D81" s="18" t="inlineStr">
        <is>
          <t>DIY &amp; Tools</t>
        </is>
      </c>
      <c r="E81" s="18" t="inlineStr">
        <is>
          <t>Einhell Germany AG</t>
        </is>
      </c>
      <c r="F81" s="19" t="inlineStr">
        <is>
          <t>https://www.einhell.com/einhell-worldwide/</t>
        </is>
      </c>
      <c r="G81" s="18" t="inlineStr">
        <is>
          <t>Landau an der Isar</t>
        </is>
      </c>
      <c r="H81" s="18" t="inlineStr"/>
      <c r="I81" s="18" t="inlineStr">
        <is>
          <t>EU / Europe</t>
        </is>
      </c>
      <c r="J81" s="18" t="inlineStr">
        <is>
          <t>Higher</t>
        </is>
      </c>
      <c r="K81" s="18" t="inlineStr">
        <is>
          <t>Wiesenweg 22, 94405 Landau/Isar</t>
        </is>
      </c>
      <c r="L81" s="18" t="inlineStr"/>
      <c r="M81" s="18" t="inlineStr">
        <is>
          <t>via website contact form</t>
        </is>
      </c>
      <c r="N81" s="18" t="inlineStr">
        <is>
          <t>Brand owner (listed)</t>
        </is>
      </c>
      <c r="O81" s="18" t="inlineStr">
        <is>
          <t>Einhell Power X-Change cordless tools, garden tools, workshop</t>
        </is>
      </c>
      <c r="P81" s="18" t="inlineStr">
        <is>
          <t>Power &amp; garden tools</t>
        </is>
      </c>
      <c r="Q81" s="18" t="inlineStr">
        <is>
          <t>Account based</t>
        </is>
      </c>
      <c r="R81" s="18" t="inlineStr">
        <is>
          <t>Retailers, mail-order, online retailers (49 subsidiaries)</t>
        </is>
      </c>
      <c r="S81" s="18" t="inlineStr">
        <is>
          <t>Has Einhell UK subsidiary</t>
        </is>
      </c>
      <c r="T81" s="18" t="inlineStr">
        <is>
          <t>Unknown</t>
        </is>
      </c>
      <c r="U81" s="18" t="inlineStr">
        <is>
          <t>Unknown</t>
        </is>
      </c>
      <c r="V81" s="18" t="inlineStr"/>
      <c r="W81" s="18" t="inlineStr">
        <is>
          <t>2,700+ staff; sold in 99+ countries; listed company</t>
        </is>
      </c>
      <c r="X81" s="18" t="inlineStr">
        <is>
          <t>Huge Amazon brand; lithium batteries = hazmat docs</t>
        </is>
      </c>
      <c r="Y81" s="18" t="inlineStr">
        <is>
          <t>Contact Einhell UK for UK accounts.</t>
        </is>
      </c>
      <c r="Z81" s="18" t="inlineStr">
        <is>
          <t>Company site + investor news</t>
        </is>
      </c>
      <c r="AA81" s="19" t="inlineStr">
        <is>
          <t>Source link</t>
        </is>
      </c>
      <c r="AB81" s="19" t="inlineStr">
        <is>
          <t>Search LinkedIn</t>
        </is>
      </c>
      <c r="AC81" s="18" t="inlineStr">
        <is>
          <t>Round 4</t>
        </is>
      </c>
      <c r="AD81" s="20" t="inlineStr">
        <is>
          <t>Not contacted</t>
        </is>
      </c>
      <c r="AE81" s="21" t="n"/>
      <c r="AF81" s="20" t="n"/>
      <c r="AG81" s="20" t="n"/>
      <c r="AH81" s="20" t="n"/>
      <c r="AI81" s="21">
        <f>IF(AE81="","",WORKDAY(AE81,5))</f>
        <v/>
      </c>
      <c r="AJ81" s="20" t="n"/>
      <c r="AK81" s="20" t="n"/>
    </row>
    <row r="82">
      <c r="A82" s="15" t="inlineStr">
        <is>
          <t>Germany</t>
        </is>
      </c>
      <c r="B82" s="16" t="n">
        <v>81</v>
      </c>
      <c r="C82" s="17" t="n">
        <v>4</v>
      </c>
      <c r="D82" s="18" t="inlineStr">
        <is>
          <t>DIY &amp; Tools</t>
        </is>
      </c>
      <c r="E82" s="18" t="inlineStr">
        <is>
          <t>fischerwerke GmbH &amp; Co. KG</t>
        </is>
      </c>
      <c r="F82" s="19" t="inlineStr">
        <is>
          <t>https://www.fischer.de</t>
        </is>
      </c>
      <c r="G82" s="18" t="inlineStr">
        <is>
          <t>Waldachtal</t>
        </is>
      </c>
      <c r="H82" s="18" t="inlineStr"/>
      <c r="I82" s="18" t="inlineStr">
        <is>
          <t>EU / Europe</t>
        </is>
      </c>
      <c r="J82" s="18" t="inlineStr">
        <is>
          <t>Higher</t>
        </is>
      </c>
      <c r="K82" s="18" t="inlineStr">
        <is>
          <t>Klaus-Fischer-Straße 1, 72178 Waldachtal</t>
        </is>
      </c>
      <c r="L82" s="18" t="inlineStr">
        <is>
          <t>+49 7443 120</t>
        </is>
      </c>
      <c r="M82" s="18" t="inlineStr"/>
      <c r="N82" s="18" t="inlineStr">
        <is>
          <t>Brand owner / manufacturer</t>
        </is>
      </c>
      <c r="O82" s="18" t="inlineStr">
        <is>
          <t>fischer wall plugs, anchors &amp; fixings; fischertechnik</t>
        </is>
      </c>
      <c r="P82" s="18" t="inlineStr">
        <is>
          <t>Fixings &amp; fasteners</t>
        </is>
      </c>
      <c r="Q82" s="18" t="inlineStr">
        <is>
          <t>Account based</t>
        </is>
      </c>
      <c r="R82" s="18" t="inlineStr">
        <is>
          <t>Dealers via 50 subsidiaries &amp; importers</t>
        </is>
      </c>
      <c r="S82" s="18" t="inlineStr">
        <is>
          <t>Has fischer UK subsidiary</t>
        </is>
      </c>
      <c r="T82" s="18" t="inlineStr">
        <is>
          <t>Unknown</t>
        </is>
      </c>
      <c r="U82" s="18" t="inlineStr">
        <is>
          <t>Unknown</t>
        </is>
      </c>
      <c r="V82" s="18" t="inlineStr"/>
      <c r="W82" s="18" t="inlineStr">
        <is>
          <t>Exports to 120+ countries; Nordic Swan licensed</t>
        </is>
      </c>
      <c r="X82" s="18" t="inlineStr">
        <is>
          <t>Fixings kits sell well</t>
        </is>
      </c>
      <c r="Y82" s="18" t="inlineStr"/>
      <c r="Z82" s="18" t="inlineStr">
        <is>
          <t>Wikipedia + company press texts</t>
        </is>
      </c>
      <c r="AA82" s="19" t="inlineStr">
        <is>
          <t>Source link</t>
        </is>
      </c>
      <c r="AB82" s="19" t="inlineStr">
        <is>
          <t>Search LinkedIn</t>
        </is>
      </c>
      <c r="AC82" s="18" t="inlineStr">
        <is>
          <t>Round 4</t>
        </is>
      </c>
      <c r="AD82" s="20" t="inlineStr">
        <is>
          <t>Not contacted</t>
        </is>
      </c>
      <c r="AE82" s="21" t="n"/>
      <c r="AF82" s="20" t="n"/>
      <c r="AG82" s="20" t="n"/>
      <c r="AH82" s="20" t="n"/>
      <c r="AI82" s="21">
        <f>IF(AE82="","",WORKDAY(AE82,5))</f>
        <v/>
      </c>
      <c r="AJ82" s="20" t="n"/>
      <c r="AK82" s="20" t="n"/>
    </row>
    <row r="83">
      <c r="A83" s="15" t="inlineStr">
        <is>
          <t>Germany</t>
        </is>
      </c>
      <c r="B83" s="16" t="n">
        <v>82</v>
      </c>
      <c r="C83" s="17" t="n">
        <v>4</v>
      </c>
      <c r="D83" s="18" t="inlineStr">
        <is>
          <t>DIY &amp; Tools</t>
        </is>
      </c>
      <c r="E83" s="18" t="inlineStr">
        <is>
          <t>GARDENA Deutschland GmbH (Husqvarna Group)</t>
        </is>
      </c>
      <c r="F83" s="19" t="inlineStr">
        <is>
          <t>https://www.gardena.com</t>
        </is>
      </c>
      <c r="G83" s="18" t="inlineStr">
        <is>
          <t>Ulm</t>
        </is>
      </c>
      <c r="H83" s="18" t="inlineStr"/>
      <c r="I83" s="18" t="inlineStr">
        <is>
          <t>EU / Europe</t>
        </is>
      </c>
      <c r="J83" s="18" t="inlineStr">
        <is>
          <t>Higher</t>
        </is>
      </c>
      <c r="K83" s="18" t="inlineStr">
        <is>
          <t>Hans-Lorenser-Str. 40, 89079 Ulm</t>
        </is>
      </c>
      <c r="L83" s="18" t="inlineStr">
        <is>
          <t>+49 731 490-0</t>
        </is>
      </c>
      <c r="M83" s="18" t="inlineStr">
        <is>
          <t>service@gardena.com</t>
        </is>
      </c>
      <c r="N83" s="18" t="inlineStr">
        <is>
          <t>Brand owner</t>
        </is>
      </c>
      <c r="O83" s="18" t="inlineStr">
        <is>
          <t>GARDENA hoses, watering, garden tools, robotic mowers</t>
        </is>
      </c>
      <c r="P83" s="18" t="inlineStr">
        <is>
          <t>Garden tools &amp; watering</t>
        </is>
      </c>
      <c r="Q83" s="18" t="inlineStr">
        <is>
          <t>Account based</t>
        </is>
      </c>
      <c r="R83" s="18" t="inlineStr">
        <is>
          <t>Dealers &amp; retailers</t>
        </is>
      </c>
      <c r="S83" s="18" t="inlineStr">
        <is>
          <t>Husqvarna UK handles UK - ask</t>
        </is>
      </c>
      <c r="T83" s="18" t="inlineStr">
        <is>
          <t>Unknown</t>
        </is>
      </c>
      <c r="U83" s="18" t="inlineStr">
        <is>
          <t>Unknown</t>
        </is>
      </c>
      <c r="V83" s="18" t="inlineStr"/>
      <c r="W83" s="18" t="inlineStr">
        <is>
          <t>Part of Husqvarna Group since 2007</t>
        </is>
      </c>
      <c r="X83" s="18" t="inlineStr">
        <is>
          <t>Strong Amazon garden brand</t>
        </is>
      </c>
      <c r="Y83" s="18" t="inlineStr"/>
      <c r="Z83" s="18" t="inlineStr">
        <is>
          <t>Business directory + manuals</t>
        </is>
      </c>
      <c r="AA83" s="19" t="inlineStr">
        <is>
          <t>Source link</t>
        </is>
      </c>
      <c r="AB83" s="19" t="inlineStr">
        <is>
          <t>Search LinkedIn</t>
        </is>
      </c>
      <c r="AC83" s="18" t="inlineStr">
        <is>
          <t>Round 4</t>
        </is>
      </c>
      <c r="AD83" s="20" t="inlineStr">
        <is>
          <t>Not contacted</t>
        </is>
      </c>
      <c r="AE83" s="21" t="n"/>
      <c r="AF83" s="20" t="n"/>
      <c r="AG83" s="20" t="n"/>
      <c r="AH83" s="20" t="n"/>
      <c r="AI83" s="21">
        <f>IF(AE83="","",WORKDAY(AE83,5))</f>
        <v/>
      </c>
      <c r="AJ83" s="20" t="n"/>
      <c r="AK83" s="20" t="n"/>
    </row>
    <row r="84">
      <c r="A84" s="15" t="inlineStr">
        <is>
          <t>Germany</t>
        </is>
      </c>
      <c r="B84" s="16" t="n">
        <v>83</v>
      </c>
      <c r="C84" s="17" t="n">
        <v>4</v>
      </c>
      <c r="D84" s="18" t="inlineStr">
        <is>
          <t>DIY &amp; Tools</t>
        </is>
      </c>
      <c r="E84" s="18" t="inlineStr">
        <is>
          <t>KNIPEX-Werk C. Gustav Putsch KG</t>
        </is>
      </c>
      <c r="F84" s="19" t="inlineStr">
        <is>
          <t>https://www.knipex.com</t>
        </is>
      </c>
      <c r="G84" s="18" t="inlineStr">
        <is>
          <t>Wuppertal</t>
        </is>
      </c>
      <c r="H84" s="18" t="inlineStr"/>
      <c r="I84" s="18" t="inlineStr">
        <is>
          <t>EU / Europe</t>
        </is>
      </c>
      <c r="J84" s="18" t="inlineStr">
        <is>
          <t>Higher</t>
        </is>
      </c>
      <c r="K84" s="18" t="inlineStr">
        <is>
          <t>Oberkamper Str. 13, 42349 Wuppertal</t>
        </is>
      </c>
      <c r="L84" s="18" t="inlineStr">
        <is>
          <t>+49 202 4794-0</t>
        </is>
      </c>
      <c r="M84" s="18" t="inlineStr">
        <is>
          <t>info@knipex.de</t>
        </is>
      </c>
      <c r="N84" s="18" t="inlineStr">
        <is>
          <t>Brand owner / manufacturer</t>
        </is>
      </c>
      <c r="O84" s="18" t="inlineStr">
        <is>
          <t>KNIPEX pliers, Cobra, wire strippers</t>
        </is>
      </c>
      <c r="P84" s="18" t="inlineStr">
        <is>
          <t>Professional hand tools</t>
        </is>
      </c>
      <c r="Q84" s="18" t="inlineStr">
        <is>
          <t>Authorised dealer</t>
        </is>
      </c>
      <c r="R84" s="18" t="inlineStr">
        <is>
          <t>Specialist tool distributors (100 countries)</t>
        </is>
      </c>
      <c r="S84" s="18" t="inlineStr">
        <is>
          <t>Ask - UK distribution exists</t>
        </is>
      </c>
      <c r="T84" s="18" t="inlineStr">
        <is>
          <t>Unknown</t>
        </is>
      </c>
      <c r="U84" s="18" t="inlineStr">
        <is>
          <t>Unknown</t>
        </is>
      </c>
      <c r="V84" s="18" t="inlineStr"/>
      <c r="W84" s="18" t="inlineStr">
        <is>
          <t>Exhibitor at SHK Essen, Light+Building, Intersolar; ~60% export</t>
        </is>
      </c>
      <c r="X84" s="18" t="inlineStr">
        <is>
          <t>KNIPEX Cobra pliers are top sellers; brand may be gated</t>
        </is>
      </c>
      <c r="Y84" s="18" t="inlineStr">
        <is>
          <t>Premium brand - check Amazon brand gating first</t>
        </is>
      </c>
      <c r="Z84" s="18" t="inlineStr">
        <is>
          <t>Multiple trade fair listings + industry directory</t>
        </is>
      </c>
      <c r="AA84" s="19" t="inlineStr">
        <is>
          <t>Source link</t>
        </is>
      </c>
      <c r="AB84" s="19" t="inlineStr">
        <is>
          <t>Search LinkedIn</t>
        </is>
      </c>
      <c r="AC84" s="18" t="inlineStr">
        <is>
          <t>Round 4</t>
        </is>
      </c>
      <c r="AD84" s="20" t="inlineStr">
        <is>
          <t>Not contacted</t>
        </is>
      </c>
      <c r="AE84" s="21" t="n"/>
      <c r="AF84" s="20" t="n"/>
      <c r="AG84" s="20" t="n"/>
      <c r="AH84" s="20" t="n"/>
      <c r="AI84" s="21">
        <f>IF(AE84="","",WORKDAY(AE84,5))</f>
        <v/>
      </c>
      <c r="AJ84" s="20" t="n"/>
      <c r="AK84" s="20" t="n"/>
    </row>
    <row r="85">
      <c r="A85" s="15" t="inlineStr">
        <is>
          <t>Germany</t>
        </is>
      </c>
      <c r="B85" s="16" t="n">
        <v>84</v>
      </c>
      <c r="C85" s="17" t="n">
        <v>4</v>
      </c>
      <c r="D85" s="18" t="inlineStr">
        <is>
          <t>DIY &amp; Tools</t>
        </is>
      </c>
      <c r="E85" s="18" t="inlineStr">
        <is>
          <t>kwb Germany GmbH (Einhell group)</t>
        </is>
      </c>
      <c r="F85" s="19" t="inlineStr">
        <is>
          <t>https://www.kwb.eu</t>
        </is>
      </c>
      <c r="G85" s="18" t="inlineStr">
        <is>
          <t>Stuhr (near Bremen)</t>
        </is>
      </c>
      <c r="H85" s="18" t="inlineStr"/>
      <c r="I85" s="18" t="inlineStr">
        <is>
          <t>EU / Europe</t>
        </is>
      </c>
      <c r="J85" s="18" t="inlineStr">
        <is>
          <t>Higher</t>
        </is>
      </c>
      <c r="K85" s="18" t="inlineStr">
        <is>
          <t>Hauptstraße 132, 28816 Stuhr</t>
        </is>
      </c>
      <c r="L85" s="18" t="inlineStr">
        <is>
          <t>+49 421 8994-0</t>
        </is>
      </c>
      <c r="M85" s="18" t="inlineStr">
        <is>
          <t>welcome@kwb.eu</t>
        </is>
      </c>
      <c r="N85" s="18" t="inlineStr">
        <is>
          <t>Trading &amp; service company</t>
        </is>
      </c>
      <c r="O85" s="18" t="inlineStr">
        <is>
          <t>kwb power-tool accessories (drill bits, saw blades, abrasives) &amp; hand tools</t>
        </is>
      </c>
      <c r="P85" s="18" t="inlineStr">
        <is>
          <t>Tool accessories</t>
        </is>
      </c>
      <c r="Q85" s="18" t="inlineStr">
        <is>
          <t>On request</t>
        </is>
      </c>
      <c r="R85" s="18" t="inlineStr">
        <is>
          <t>DIY stores &amp; tool retailers (has e-commerce sales team)</t>
        </is>
      </c>
      <c r="S85" s="18" t="inlineStr">
        <is>
          <t>Ask - has UK catalogue</t>
        </is>
      </c>
      <c r="T85" s="18" t="inlineStr">
        <is>
          <t>Unknown</t>
        </is>
      </c>
      <c r="U85" s="18" t="inlineStr">
        <is>
          <t>Unknown</t>
        </is>
      </c>
      <c r="V85" s="18" t="inlineStr"/>
      <c r="W85" s="18" t="inlineStr">
        <is>
          <t>Part of Einhell group; MD Markus Vieler</t>
        </is>
      </c>
      <c r="X85" s="18" t="inlineStr">
        <is>
          <t>Accessories are small/light - good FBA economics</t>
        </is>
      </c>
      <c r="Y85" s="18" t="inlineStr"/>
      <c r="Z85" s="18" t="inlineStr">
        <is>
          <t>Company catalogues + website</t>
        </is>
      </c>
      <c r="AA85" s="19" t="inlineStr">
        <is>
          <t>Source link</t>
        </is>
      </c>
      <c r="AB85" s="19" t="inlineStr">
        <is>
          <t>Search LinkedIn</t>
        </is>
      </c>
      <c r="AC85" s="18" t="inlineStr">
        <is>
          <t>Round 3</t>
        </is>
      </c>
      <c r="AD85" s="20" t="inlineStr">
        <is>
          <t>Not contacted</t>
        </is>
      </c>
      <c r="AE85" s="21" t="n"/>
      <c r="AF85" s="20" t="n"/>
      <c r="AG85" s="20" t="n"/>
      <c r="AH85" s="20" t="n"/>
      <c r="AI85" s="21">
        <f>IF(AE85="","",WORKDAY(AE85,5))</f>
        <v/>
      </c>
      <c r="AJ85" s="20" t="n"/>
      <c r="AK85" s="20" t="n"/>
    </row>
    <row r="86">
      <c r="A86" s="15" t="inlineStr">
        <is>
          <t>Germany</t>
        </is>
      </c>
      <c r="B86" s="16" t="n">
        <v>85</v>
      </c>
      <c r="C86" s="17" t="n">
        <v>4</v>
      </c>
      <c r="D86" s="18" t="inlineStr">
        <is>
          <t>DIY &amp; Tools</t>
        </is>
      </c>
      <c r="E86" s="18" t="inlineStr">
        <is>
          <t>Scheppach GmbH</t>
        </is>
      </c>
      <c r="F86" s="19" t="inlineStr">
        <is>
          <t>https://www.scheppach.com</t>
        </is>
      </c>
      <c r="G86" s="18" t="inlineStr">
        <is>
          <t>Ichenhausen (Bavaria)</t>
        </is>
      </c>
      <c r="H86" s="18" t="inlineStr"/>
      <c r="I86" s="18" t="inlineStr">
        <is>
          <t>EU / Europe</t>
        </is>
      </c>
      <c r="J86" s="18" t="inlineStr">
        <is>
          <t>Higher</t>
        </is>
      </c>
      <c r="K86" s="18" t="inlineStr">
        <is>
          <t>Günzburger Str. 69, 89335 Ichenhausen</t>
        </is>
      </c>
      <c r="L86" s="18" t="inlineStr">
        <is>
          <t>+49 8223 4002-0</t>
        </is>
      </c>
      <c r="M86" s="18" t="inlineStr">
        <is>
          <t>info@scheppach.com</t>
        </is>
      </c>
      <c r="N86" s="18" t="inlineStr">
        <is>
          <t>Manufacturer &amp; trading company</t>
        </is>
      </c>
      <c r="O86" s="18" t="inlineStr">
        <is>
          <t>Scheppach woodworking machines, garden &amp; workshop tools</t>
        </is>
      </c>
      <c r="P86" s="18" t="inlineStr">
        <is>
          <t>Workshop &amp; garden machines</t>
        </is>
      </c>
      <c r="Q86" s="18" t="inlineStr">
        <is>
          <t>On request</t>
        </is>
      </c>
      <c r="R86" s="18" t="inlineStr">
        <is>
          <t>Dealers &amp; retailers</t>
        </is>
      </c>
      <c r="S86" s="18" t="inlineStr">
        <is>
          <t>Ask</t>
        </is>
      </c>
      <c r="T86" s="18" t="inlineStr">
        <is>
          <t>Unknown</t>
        </is>
      </c>
      <c r="U86" s="18" t="inlineStr">
        <is>
          <t>Unknown</t>
        </is>
      </c>
      <c r="V86" s="18" t="inlineStr"/>
      <c r="W86" s="18" t="inlineStr">
        <is>
          <t>Founded 1927; Bayern International company database</t>
        </is>
      </c>
      <c r="X86" s="18" t="inlineStr">
        <is>
          <t>Bulky machines = high FBA fees; smaller tools fine</t>
        </is>
      </c>
      <c r="Y86" s="18" t="inlineStr"/>
      <c r="Z86" s="18" t="inlineStr">
        <is>
          <t>State trade database + registry profile</t>
        </is>
      </c>
      <c r="AA86" s="19" t="inlineStr">
        <is>
          <t>Source link</t>
        </is>
      </c>
      <c r="AB86" s="19" t="inlineStr">
        <is>
          <t>Search LinkedIn</t>
        </is>
      </c>
      <c r="AC86" s="18" t="inlineStr">
        <is>
          <t>Round 4</t>
        </is>
      </c>
      <c r="AD86" s="20" t="inlineStr">
        <is>
          <t>Not contacted</t>
        </is>
      </c>
      <c r="AE86" s="21" t="n"/>
      <c r="AF86" s="20" t="n"/>
      <c r="AG86" s="20" t="n"/>
      <c r="AH86" s="20" t="n"/>
      <c r="AI86" s="21">
        <f>IF(AE86="","",WORKDAY(AE86,5))</f>
        <v/>
      </c>
      <c r="AJ86" s="20" t="n"/>
      <c r="AK86" s="20" t="n"/>
    </row>
    <row r="87">
      <c r="A87" s="15" t="inlineStr">
        <is>
          <t>Germany</t>
        </is>
      </c>
      <c r="B87" s="16" t="n">
        <v>86</v>
      </c>
      <c r="C87" s="17" t="n">
        <v>4</v>
      </c>
      <c r="D87" s="18" t="inlineStr">
        <is>
          <t>DIY &amp; Tools</t>
        </is>
      </c>
      <c r="E87" s="18" t="inlineStr">
        <is>
          <t>Wera Werkzeuge GmbH</t>
        </is>
      </c>
      <c r="F87" s="19" t="inlineStr">
        <is>
          <t>https://www.wera.de</t>
        </is>
      </c>
      <c r="G87" s="18" t="inlineStr">
        <is>
          <t>Wuppertal</t>
        </is>
      </c>
      <c r="H87" s="18" t="inlineStr"/>
      <c r="I87" s="18" t="inlineStr">
        <is>
          <t>EU / Europe</t>
        </is>
      </c>
      <c r="J87" s="18" t="inlineStr">
        <is>
          <t>Higher</t>
        </is>
      </c>
      <c r="K87" s="18" t="inlineStr">
        <is>
          <t>Wuppertal</t>
        </is>
      </c>
      <c r="L87" s="18" t="inlineStr">
        <is>
          <t>+49 202 4045-322</t>
        </is>
      </c>
      <c r="M87" s="18" t="inlineStr">
        <is>
          <t>info@wera.de</t>
        </is>
      </c>
      <c r="N87" s="18" t="inlineStr">
        <is>
          <t>Brand owner / manufacturer</t>
        </is>
      </c>
      <c r="O87" s="18" t="inlineStr">
        <is>
          <t>Wera screwdrivers, bits, ratchets, Kraftform</t>
        </is>
      </c>
      <c r="P87" s="18" t="inlineStr">
        <is>
          <t>Professional hand tools</t>
        </is>
      </c>
      <c r="Q87" s="18" t="inlineStr">
        <is>
          <t>Account based</t>
        </is>
      </c>
      <c r="R87" s="18" t="inlineStr">
        <is>
          <t>Distributors &amp; dealers</t>
        </is>
      </c>
      <c r="S87" s="18" t="inlineStr">
        <is>
          <t>Yes - Wera Tools UK Ltd (queries@wera-tools.co.uk)</t>
        </is>
      </c>
      <c r="T87" s="18" t="inlineStr">
        <is>
          <t>Unknown</t>
        </is>
      </c>
      <c r="U87" s="18" t="inlineStr">
        <is>
          <t>Unknown</t>
        </is>
      </c>
      <c r="V87" s="18" t="inlineStr"/>
      <c r="W87" s="18" t="inlineStr">
        <is>
          <t>Premium German tool brand with UK subsidiary</t>
        </is>
      </c>
      <c r="X87" s="18" t="inlineStr">
        <is>
          <t>Wera sells very well on Amazon UK</t>
        </is>
      </c>
      <c r="Y87" s="18" t="inlineStr">
        <is>
          <t>Use Wera Tools UK.</t>
        </is>
      </c>
      <c r="Z87" s="18" t="inlineStr">
        <is>
          <t>Distributor catalogue (2018)</t>
        </is>
      </c>
      <c r="AA87" s="19" t="inlineStr">
        <is>
          <t>Source link</t>
        </is>
      </c>
      <c r="AB87" s="19" t="inlineStr">
        <is>
          <t>Search LinkedIn</t>
        </is>
      </c>
      <c r="AC87" s="18" t="inlineStr">
        <is>
          <t>Round 4</t>
        </is>
      </c>
      <c r="AD87" s="20" t="inlineStr">
        <is>
          <t>Not contacted</t>
        </is>
      </c>
      <c r="AE87" s="21" t="n"/>
      <c r="AF87" s="20" t="n"/>
      <c r="AG87" s="20" t="n"/>
      <c r="AH87" s="20" t="n"/>
      <c r="AI87" s="21">
        <f>IF(AE87="","",WORKDAY(AE87,5))</f>
        <v/>
      </c>
      <c r="AJ87" s="20" t="n"/>
      <c r="AK87" s="20" t="n"/>
    </row>
    <row r="88">
      <c r="A88" s="15" t="inlineStr">
        <is>
          <t>Germany</t>
        </is>
      </c>
      <c r="B88" s="16" t="n">
        <v>87</v>
      </c>
      <c r="C88" s="17" t="n">
        <v>4</v>
      </c>
      <c r="D88" s="18" t="inlineStr">
        <is>
          <t>DIY &amp; Tools</t>
        </is>
      </c>
      <c r="E88" s="18" t="inlineStr">
        <is>
          <t>Wiha Werkzeuge GmbH</t>
        </is>
      </c>
      <c r="F88" s="19" t="inlineStr">
        <is>
          <t>https://www.wiha.com</t>
        </is>
      </c>
      <c r="G88" s="18" t="inlineStr">
        <is>
          <t>Schonach (Black Forest)</t>
        </is>
      </c>
      <c r="H88" s="18" t="inlineStr"/>
      <c r="I88" s="18" t="inlineStr">
        <is>
          <t>EU / Europe</t>
        </is>
      </c>
      <c r="J88" s="18" t="inlineStr">
        <is>
          <t>Higher</t>
        </is>
      </c>
      <c r="K88" s="18" t="inlineStr">
        <is>
          <t>Schonach</t>
        </is>
      </c>
      <c r="L88" s="18" t="inlineStr">
        <is>
          <t>+49 7722 959-0</t>
        </is>
      </c>
      <c r="M88" s="18" t="inlineStr">
        <is>
          <t>info.de@wiha.com</t>
        </is>
      </c>
      <c r="N88" s="18" t="inlineStr">
        <is>
          <t>Brand owner / manufacturer</t>
        </is>
      </c>
      <c r="O88" s="18" t="inlineStr">
        <is>
          <t>Wiha screwdrivers, VDE insulated tools, bits</t>
        </is>
      </c>
      <c r="P88" s="18" t="inlineStr">
        <is>
          <t>Professional hand tools</t>
        </is>
      </c>
      <c r="Q88" s="18" t="inlineStr">
        <is>
          <t>Account based</t>
        </is>
      </c>
      <c r="R88" s="18" t="inlineStr">
        <is>
          <t>Distributors (separate export order desk)</t>
        </is>
      </c>
      <c r="S88" s="18" t="inlineStr">
        <is>
          <t>Ask - regional offices (Benelux, Finland, Italy)</t>
        </is>
      </c>
      <c r="T88" s="18" t="inlineStr">
        <is>
          <t>Unknown</t>
        </is>
      </c>
      <c r="U88" s="18" t="inlineStr">
        <is>
          <t>Unknown</t>
        </is>
      </c>
      <c r="V88" s="18" t="inlineStr"/>
      <c r="W88" s="18" t="inlineStr">
        <is>
          <t>Family-owned premium tool maker; Wikipedia entry</t>
        </is>
      </c>
      <c r="X88" s="18" t="inlineStr"/>
      <c r="Y88" s="18" t="inlineStr"/>
      <c r="Z88" s="18" t="inlineStr">
        <is>
          <t>Company catalogue + Wikipedia</t>
        </is>
      </c>
      <c r="AA88" s="19" t="inlineStr">
        <is>
          <t>Source link</t>
        </is>
      </c>
      <c r="AB88" s="19" t="inlineStr">
        <is>
          <t>Search LinkedIn</t>
        </is>
      </c>
      <c r="AC88" s="18" t="inlineStr">
        <is>
          <t>Round 4</t>
        </is>
      </c>
      <c r="AD88" s="20" t="inlineStr">
        <is>
          <t>Not contacted</t>
        </is>
      </c>
      <c r="AE88" s="21" t="n"/>
      <c r="AF88" s="20" t="n"/>
      <c r="AG88" s="20" t="n"/>
      <c r="AH88" s="20" t="n"/>
      <c r="AI88" s="21">
        <f>IF(AE88="","",WORKDAY(AE88,5))</f>
        <v/>
      </c>
      <c r="AJ88" s="20" t="n"/>
      <c r="AK88" s="20" t="n"/>
    </row>
    <row r="89">
      <c r="A89" s="15" t="inlineStr">
        <is>
          <t>Germany</t>
        </is>
      </c>
      <c r="B89" s="16" t="n">
        <v>88</v>
      </c>
      <c r="C89" s="17" t="n">
        <v>3</v>
      </c>
      <c r="D89" s="18" t="inlineStr">
        <is>
          <t>DIY &amp; Tools</t>
        </is>
      </c>
      <c r="E89" s="18" t="inlineStr">
        <is>
          <t>GÜDE GmbH &amp; Co. KG</t>
        </is>
      </c>
      <c r="F89" s="19" t="inlineStr">
        <is>
          <t>https://www.guede.com</t>
        </is>
      </c>
      <c r="G89" s="18" t="inlineStr">
        <is>
          <t>Wolpertshausen (Baden-Württemberg)</t>
        </is>
      </c>
      <c r="H89" s="18" t="inlineStr"/>
      <c r="I89" s="18" t="inlineStr">
        <is>
          <t>EU / Europe</t>
        </is>
      </c>
      <c r="J89" s="18" t="inlineStr">
        <is>
          <t>Higher</t>
        </is>
      </c>
      <c r="K89" s="18" t="inlineStr">
        <is>
          <t>Wolpertshausen (HQ on A6 Heilbronn-Nuremberg)</t>
        </is>
      </c>
      <c r="L89" s="18" t="inlineStr"/>
      <c r="M89" s="18" t="inlineStr"/>
      <c r="N89" s="18" t="inlineStr">
        <is>
          <t>Brand owner / wholesaler</t>
        </is>
      </c>
      <c r="O89" s="18" t="inlineStr">
        <is>
          <t>GÜDE workshop machines, compressors, garden &amp; power tools</t>
        </is>
      </c>
      <c r="P89" s="18" t="inlineStr">
        <is>
          <t>Workshop &amp; garden tools</t>
        </is>
      </c>
      <c r="Q89" s="18" t="inlineStr">
        <is>
          <t>On request</t>
        </is>
      </c>
      <c r="R89" s="18" t="inlineStr">
        <is>
          <t>Specialist retailers, DIY stores, mail-order (5,000+ traders)</t>
        </is>
      </c>
      <c r="S89" s="18" t="inlineStr">
        <is>
          <t>European subsidiaries - ask</t>
        </is>
      </c>
      <c r="T89" s="18" t="inlineStr">
        <is>
          <t>Unknown</t>
        </is>
      </c>
      <c r="U89" s="18" t="inlineStr">
        <is>
          <t>Unknown</t>
        </is>
      </c>
      <c r="V89" s="18" t="inlineStr"/>
      <c r="W89" s="18" t="inlineStr">
        <is>
          <t>Supplies 5,000+ traders across Europe</t>
        </is>
      </c>
      <c r="X89" s="18" t="inlineStr"/>
      <c r="Y89" s="18" t="inlineStr"/>
      <c r="Z89" s="18" t="inlineStr">
        <is>
          <t>Logistics-partner case study + job listings</t>
        </is>
      </c>
      <c r="AA89" s="19" t="inlineStr">
        <is>
          <t>Source link</t>
        </is>
      </c>
      <c r="AB89" s="19" t="inlineStr">
        <is>
          <t>Search LinkedIn</t>
        </is>
      </c>
      <c r="AC89" s="18" t="inlineStr">
        <is>
          <t>Round 4</t>
        </is>
      </c>
      <c r="AD89" s="20" t="inlineStr">
        <is>
          <t>Not contacted</t>
        </is>
      </c>
      <c r="AE89" s="21" t="n"/>
      <c r="AF89" s="20" t="n"/>
      <c r="AG89" s="20" t="n"/>
      <c r="AH89" s="20" t="n"/>
      <c r="AI89" s="21">
        <f>IF(AE89="","",WORKDAY(AE89,5))</f>
        <v/>
      </c>
      <c r="AJ89" s="20" t="n"/>
      <c r="AK89" s="20" t="n"/>
    </row>
    <row r="90">
      <c r="A90" s="15" t="inlineStr">
        <is>
          <t>Germany</t>
        </is>
      </c>
      <c r="B90" s="16" t="n">
        <v>89</v>
      </c>
      <c r="C90" s="17" t="n">
        <v>3</v>
      </c>
      <c r="D90" s="18" t="inlineStr">
        <is>
          <t>DIY &amp; Tools</t>
        </is>
      </c>
      <c r="E90" s="18" t="inlineStr">
        <is>
          <t>wolfcraft GmbH</t>
        </is>
      </c>
      <c r="F90" s="19" t="inlineStr">
        <is>
          <t>https://www.wolfcraft.com</t>
        </is>
      </c>
      <c r="G90" s="18" t="inlineStr">
        <is>
          <t>Kempenich (Eifel)</t>
        </is>
      </c>
      <c r="H90" s="18" t="inlineStr"/>
      <c r="I90" s="18" t="inlineStr">
        <is>
          <t>EU / Europe</t>
        </is>
      </c>
      <c r="J90" s="18" t="inlineStr">
        <is>
          <t>Higher</t>
        </is>
      </c>
      <c r="K90" s="18" t="inlineStr">
        <is>
          <t>Wolffstraße 1, Kempenich</t>
        </is>
      </c>
      <c r="L90" s="18" t="inlineStr"/>
      <c r="M90" s="18" t="inlineStr"/>
      <c r="N90" s="18" t="inlineStr">
        <is>
          <t>Brand owner / manufacturer</t>
        </is>
      </c>
      <c r="O90" s="18" t="inlineStr">
        <is>
          <t>wolfcraft clamps, workbenches, drill stands, tool accessories</t>
        </is>
      </c>
      <c r="P90" s="18" t="inlineStr">
        <is>
          <t>DIY accessories</t>
        </is>
      </c>
      <c r="Q90" s="18" t="inlineStr">
        <is>
          <t>On request</t>
        </is>
      </c>
      <c r="R90" s="18" t="inlineStr">
        <is>
          <t>Hardware &amp; specialist retailers</t>
        </is>
      </c>
      <c r="S90" s="18" t="inlineStr">
        <is>
          <t>70% export; distribution partners worldwide - ask</t>
        </is>
      </c>
      <c r="T90" s="18" t="inlineStr">
        <is>
          <t>Unknown</t>
        </is>
      </c>
      <c r="U90" s="18" t="inlineStr">
        <is>
          <t>Unknown</t>
        </is>
      </c>
      <c r="V90" s="18" t="inlineStr"/>
      <c r="W90" s="18" t="inlineStr">
        <is>
          <t>Offices in AT, FR, IT, ES</t>
        </is>
      </c>
      <c r="X90" s="18" t="inlineStr">
        <is>
          <t>Popular DIY accessory brand</t>
        </is>
      </c>
      <c r="Y90" s="18" t="inlineStr"/>
      <c r="Z90" s="18" t="inlineStr">
        <is>
          <t>Company directory + retailer pages</t>
        </is>
      </c>
      <c r="AA90" s="19" t="inlineStr">
        <is>
          <t>Source link</t>
        </is>
      </c>
      <c r="AB90" s="19" t="inlineStr">
        <is>
          <t>Search LinkedIn</t>
        </is>
      </c>
      <c r="AC90" s="18" t="inlineStr">
        <is>
          <t>Round 3</t>
        </is>
      </c>
      <c r="AD90" s="20" t="inlineStr">
        <is>
          <t>Not contacted</t>
        </is>
      </c>
      <c r="AE90" s="21" t="n"/>
      <c r="AF90" s="20" t="n"/>
      <c r="AG90" s="20" t="n"/>
      <c r="AH90" s="20" t="n"/>
      <c r="AI90" s="21">
        <f>IF(AE90="","",WORKDAY(AE90,5))</f>
        <v/>
      </c>
      <c r="AJ90" s="20" t="n"/>
      <c r="AK90" s="20" t="n"/>
    </row>
    <row r="91">
      <c r="A91" s="15" t="inlineStr">
        <is>
          <t>Germany</t>
        </is>
      </c>
      <c r="B91" s="16" t="n">
        <v>90</v>
      </c>
      <c r="C91" s="17" t="n">
        <v>3</v>
      </c>
      <c r="D91" s="18" t="inlineStr">
        <is>
          <t>Fragrance</t>
        </is>
      </c>
      <c r="E91" s="18" t="inlineStr">
        <is>
          <t>Emporium Handels &amp; Vertriebs GmbH (B&amp;S Group)</t>
        </is>
      </c>
      <c r="F91" s="18" t="inlineStr">
        <is>
          <t>Not confirmed - search company name</t>
        </is>
      </c>
      <c r="G91" s="18" t="inlineStr">
        <is>
          <t>Rodenbach (near Hanau)</t>
        </is>
      </c>
      <c r="H91" s="18" t="inlineStr"/>
      <c r="I91" s="18" t="inlineStr">
        <is>
          <t>EU / Europe</t>
        </is>
      </c>
      <c r="J91" s="18" t="inlineStr">
        <is>
          <t>Higher</t>
        </is>
      </c>
      <c r="K91" s="18" t="inlineStr">
        <is>
          <t>Industriestr. 15, 63517 Rodenbach</t>
        </is>
      </c>
      <c r="L91" s="18" t="inlineStr"/>
      <c r="M91" s="18" t="inlineStr"/>
      <c r="N91" s="18" t="inlineStr">
        <is>
          <t>Wholesaler</t>
        </is>
      </c>
      <c r="O91" s="18" t="inlineStr">
        <is>
          <t>8,000+ perfume &amp; cosmetics products</t>
        </is>
      </c>
      <c r="P91" s="18" t="inlineStr">
        <is>
          <t>Designer fragrance / cosmetics</t>
        </is>
      </c>
      <c r="Q91" s="18" t="inlineStr">
        <is>
          <t>On request</t>
        </is>
      </c>
      <c r="R91" s="18" t="inlineStr">
        <is>
          <t>Trade only</t>
        </is>
      </c>
      <c r="S91" s="18" t="inlineStr">
        <is>
          <t>Check</t>
        </is>
      </c>
      <c r="T91" s="18" t="inlineStr">
        <is>
          <t>Unknown</t>
        </is>
      </c>
      <c r="U91" s="18" t="inlineStr">
        <is>
          <t>Unknown</t>
        </is>
      </c>
      <c r="V91" s="18" t="inlineStr"/>
      <c r="W91" s="18" t="inlineStr">
        <is>
          <t>Part of B&amp;S Group (listed Dutch distributor); one of the leading DACH perfume wholesalers</t>
        </is>
      </c>
      <c r="X91" s="18" t="inlineStr"/>
      <c r="Y91" s="18" t="inlineStr">
        <is>
          <t>Parfumtrend listed at same address.</t>
        </is>
      </c>
      <c r="Z91" s="18" t="inlineStr">
        <is>
          <t>Job listing + directory - find website/Impressum</t>
        </is>
      </c>
      <c r="AA91" s="19" t="inlineStr">
        <is>
          <t>Source link</t>
        </is>
      </c>
      <c r="AB91" s="19" t="inlineStr">
        <is>
          <t>Search LinkedIn</t>
        </is>
      </c>
      <c r="AC91" s="18" t="inlineStr">
        <is>
          <t>Round 1</t>
        </is>
      </c>
      <c r="AD91" s="20" t="inlineStr">
        <is>
          <t>Not contacted</t>
        </is>
      </c>
      <c r="AE91" s="21" t="n"/>
      <c r="AF91" s="20" t="n"/>
      <c r="AG91" s="20" t="n"/>
      <c r="AH91" s="20" t="n"/>
      <c r="AI91" s="21">
        <f>IF(AE91="","",WORKDAY(AE91,5))</f>
        <v/>
      </c>
      <c r="AJ91" s="20" t="n"/>
      <c r="AK91" s="20" t="n"/>
    </row>
    <row r="92">
      <c r="A92" s="15" t="inlineStr">
        <is>
          <t>Germany</t>
        </is>
      </c>
      <c r="B92" s="16" t="n">
        <v>91</v>
      </c>
      <c r="C92" s="17" t="n">
        <v>2</v>
      </c>
      <c r="D92" s="18" t="inlineStr">
        <is>
          <t>Fragrance</t>
        </is>
      </c>
      <c r="E92" s="18" t="inlineStr">
        <is>
          <t>NOBILIS Group GmbH</t>
        </is>
      </c>
      <c r="F92" s="18" t="inlineStr">
        <is>
          <t>Not confirmed - search company name</t>
        </is>
      </c>
      <c r="G92" s="18" t="inlineStr">
        <is>
          <t>Wiesbaden</t>
        </is>
      </c>
      <c r="H92" s="18" t="inlineStr"/>
      <c r="I92" s="18" t="inlineStr">
        <is>
          <t>EU / Europe</t>
        </is>
      </c>
      <c r="J92" s="18" t="inlineStr">
        <is>
          <t>Higher</t>
        </is>
      </c>
      <c r="K92" s="18" t="inlineStr">
        <is>
          <t>Rheingaustraße 32, 65201 Wiesbaden</t>
        </is>
      </c>
      <c r="L92" s="18" t="inlineStr"/>
      <c r="M92" s="18" t="inlineStr"/>
      <c r="N92" s="18" t="inlineStr">
        <is>
          <t>Authorised brand distributor</t>
        </is>
      </c>
      <c r="O92" s="18" t="inlineStr">
        <is>
          <t>Lacoste (DACH), Xerjoff, Casamorati + prestige &amp; lifestyle fragrances</t>
        </is>
      </c>
      <c r="P92" s="18" t="inlineStr">
        <is>
          <t>Prestige / designer fragrance</t>
        </is>
      </c>
      <c r="Q92" s="18" t="inlineStr">
        <is>
          <t>High - account based</t>
        </is>
      </c>
      <c r="R92" s="18" t="inlineStr">
        <is>
          <t>Established retailers; authorised distribution</t>
        </is>
      </c>
      <c r="S92" s="18" t="inlineStr">
        <is>
          <t>No - DACH region focus</t>
        </is>
      </c>
      <c r="T92" s="18" t="inlineStr">
        <is>
          <t>Unknown</t>
        </is>
      </c>
      <c r="U92" s="18" t="inlineStr">
        <is>
          <t>Unknown</t>
        </is>
      </c>
      <c r="V92" s="18" t="inlineStr"/>
      <c r="W92" s="18" t="inlineStr">
        <is>
          <t>Founded 1993; 37.5% owned by Gebr. Heinemann; major German distributor</t>
        </is>
      </c>
      <c r="X92" s="18" t="inlineStr">
        <is>
          <t>Authorised distributor - best invoice quality but selective about accounts</t>
        </is>
      </c>
      <c r="Y92" s="18" t="inlineStr">
        <is>
          <t>Long-term target once you have a track record.</t>
        </is>
      </c>
      <c r="Z92" s="18" t="inlineStr">
        <is>
          <t>Press + job listing; website domain to confirm</t>
        </is>
      </c>
      <c r="AA92" s="19" t="inlineStr">
        <is>
          <t>Source link</t>
        </is>
      </c>
      <c r="AB92" s="19" t="inlineStr">
        <is>
          <t>Search LinkedIn</t>
        </is>
      </c>
      <c r="AC92" s="18" t="inlineStr">
        <is>
          <t>Round 1</t>
        </is>
      </c>
      <c r="AD92" s="20" t="inlineStr">
        <is>
          <t>Not contacted</t>
        </is>
      </c>
      <c r="AE92" s="21" t="n"/>
      <c r="AF92" s="20" t="n"/>
      <c r="AG92" s="20" t="n"/>
      <c r="AH92" s="20" t="n"/>
      <c r="AI92" s="21">
        <f>IF(AE92="","",WORKDAY(AE92,5))</f>
        <v/>
      </c>
      <c r="AJ92" s="20" t="n"/>
      <c r="AK92" s="20" t="n"/>
    </row>
    <row r="93">
      <c r="A93" s="15" t="inlineStr">
        <is>
          <t>Germany</t>
        </is>
      </c>
      <c r="B93" s="16" t="n">
        <v>92</v>
      </c>
      <c r="C93" s="17" t="n">
        <v>4</v>
      </c>
      <c r="D93" s="18" t="inlineStr">
        <is>
          <t>Health &amp; Personal Care</t>
        </is>
      </c>
      <c r="E93" s="18" t="inlineStr">
        <is>
          <t>Beurer GmbH (Beurer UK Ltd)</t>
        </is>
      </c>
      <c r="F93" s="19" t="inlineStr">
        <is>
          <t>https://www.beurer.com/uk/facts/</t>
        </is>
      </c>
      <c r="G93" s="18" t="inlineStr">
        <is>
          <t>Ulm (HQ); UK office Lowton</t>
        </is>
      </c>
      <c r="H93" s="18" t="inlineStr"/>
      <c r="I93" s="18" t="inlineStr">
        <is>
          <t>EU / Europe</t>
        </is>
      </c>
      <c r="J93" s="18" t="inlineStr">
        <is>
          <t>Higher</t>
        </is>
      </c>
      <c r="K93" s="18" t="inlineStr">
        <is>
          <t>Söflinger Str. 218, 89077 Ulm / UK: Suite 16, Stonecross Place, Lowton WA3 2SH</t>
        </is>
      </c>
      <c r="L93" s="18" t="inlineStr">
        <is>
          <t>+49 731 3989-0</t>
        </is>
      </c>
      <c r="M93" s="18" t="inlineStr"/>
      <c r="N93" s="18" t="inlineStr">
        <is>
          <t>Brand owner with UK subsidiary</t>
        </is>
      </c>
      <c r="O93" s="18" t="inlineStr">
        <is>
          <t>Beurer BP monitors, thermometers, massagers, scales, TENS, beauty devices</t>
        </is>
      </c>
      <c r="P93" s="18" t="inlineStr">
        <is>
          <t>Health devices</t>
        </is>
      </c>
      <c r="Q93" s="18" t="inlineStr">
        <is>
          <t>Account based</t>
        </is>
      </c>
      <c r="R93" s="18" t="inlineStr">
        <is>
          <t>Online &amp; high-street retailers (Boots, Argos, John Lewis...)</t>
        </is>
      </c>
      <c r="S93" s="18" t="inlineStr">
        <is>
          <t>Yes - Beurer UK Ltd</t>
        </is>
      </c>
      <c r="T93" s="18" t="inlineStr">
        <is>
          <t>Unknown</t>
        </is>
      </c>
      <c r="U93" s="18" t="inlineStr">
        <is>
          <t>Unknown</t>
        </is>
      </c>
      <c r="V93" s="18" t="inlineStr"/>
      <c r="W93" s="18" t="inlineStr">
        <is>
          <t>Founded 1919; BHETA member (UK)</t>
        </is>
      </c>
      <c r="X93" s="18" t="inlineStr">
        <is>
          <t>Huge Amazon health-device brand; check UK account terms</t>
        </is>
      </c>
      <c r="Y93" s="18" t="inlineStr"/>
      <c r="Z93" s="18" t="inlineStr">
        <is>
          <t>Company site + BHETA listing</t>
        </is>
      </c>
      <c r="AA93" s="19" t="inlineStr">
        <is>
          <t>Source link</t>
        </is>
      </c>
      <c r="AB93" s="19" t="inlineStr">
        <is>
          <t>Search LinkedIn</t>
        </is>
      </c>
      <c r="AC93" s="18" t="inlineStr">
        <is>
          <t>Round 3</t>
        </is>
      </c>
      <c r="AD93" s="20" t="inlineStr">
        <is>
          <t>Not contacted</t>
        </is>
      </c>
      <c r="AE93" s="21" t="n"/>
      <c r="AF93" s="20" t="n"/>
      <c r="AG93" s="20" t="n"/>
      <c r="AH93" s="20" t="n"/>
      <c r="AI93" s="21">
        <f>IF(AE93="","",WORKDAY(AE93,5))</f>
        <v/>
      </c>
      <c r="AJ93" s="20" t="n"/>
      <c r="AK93" s="20" t="n"/>
    </row>
    <row r="94">
      <c r="A94" s="15" t="inlineStr">
        <is>
          <t>Germany</t>
        </is>
      </c>
      <c r="B94" s="16" t="n">
        <v>93</v>
      </c>
      <c r="C94" s="17" t="n">
        <v>3</v>
      </c>
      <c r="D94" s="18" t="inlineStr">
        <is>
          <t>Health &amp; Personal Care</t>
        </is>
      </c>
      <c r="E94" s="18" t="inlineStr">
        <is>
          <t>Dr. Theiss Naturwaren GmbH</t>
        </is>
      </c>
      <c r="F94" s="19" t="inlineStr">
        <is>
          <t>https://www.naturwaren-theiss.de</t>
        </is>
      </c>
      <c r="G94" s="18" t="inlineStr">
        <is>
          <t>Homburg (Saarland)</t>
        </is>
      </c>
      <c r="H94" s="18" t="inlineStr"/>
      <c r="I94" s="18" t="inlineStr">
        <is>
          <t>EU / Europe</t>
        </is>
      </c>
      <c r="J94" s="18" t="inlineStr">
        <is>
          <t>Higher</t>
        </is>
      </c>
      <c r="K94" s="18" t="inlineStr">
        <is>
          <t>Michelinstraße 10, 66424 Homburg</t>
        </is>
      </c>
      <c r="L94" s="18" t="inlineStr">
        <is>
          <t>+49 6841 7090</t>
        </is>
      </c>
      <c r="M94" s="18" t="inlineStr">
        <is>
          <t>info@naturwaren-theiss.de</t>
        </is>
      </c>
      <c r="N94" s="18" t="inlineStr">
        <is>
          <t>Brand owner / manufacturer</t>
        </is>
      </c>
      <c r="O94" s="18" t="inlineStr">
        <is>
          <t>Dr. Theiss natural remedies &amp; cosmetics, Allgäuer Latschenkiefer, Lavera (group)</t>
        </is>
      </c>
      <c r="P94" s="18" t="inlineStr">
        <is>
          <t>Natural health &amp; body care</t>
        </is>
      </c>
      <c r="Q94" s="18" t="inlineStr">
        <is>
          <t>On request</t>
        </is>
      </c>
      <c r="R94" s="18" t="inlineStr">
        <is>
          <t>Distributors (MD Giuseppe Nardi leads export)</t>
        </is>
      </c>
      <c r="S94" s="18" t="inlineStr">
        <is>
          <t>Ask</t>
        </is>
      </c>
      <c r="T94" s="18" t="inlineStr">
        <is>
          <t>Unknown</t>
        </is>
      </c>
      <c r="U94" s="18" t="inlineStr">
        <is>
          <t>Unknown</t>
        </is>
      </c>
      <c r="V94" s="18" t="inlineStr"/>
      <c r="W94" s="18" t="inlineStr">
        <is>
          <t>Long-established German pharmacy-brand maker</t>
        </is>
      </c>
      <c r="X94" s="18" t="inlineStr"/>
      <c r="Y94" s="18" t="inlineStr"/>
      <c r="Z94" s="18" t="inlineStr">
        <is>
          <t>Pharma directory + trade press</t>
        </is>
      </c>
      <c r="AA94" s="19" t="inlineStr">
        <is>
          <t>Source link</t>
        </is>
      </c>
      <c r="AB94" s="19" t="inlineStr">
        <is>
          <t>Search LinkedIn</t>
        </is>
      </c>
      <c r="AC94" s="18" t="inlineStr">
        <is>
          <t>Round 4</t>
        </is>
      </c>
      <c r="AD94" s="20" t="inlineStr">
        <is>
          <t>Not contacted</t>
        </is>
      </c>
      <c r="AE94" s="21" t="n"/>
      <c r="AF94" s="20" t="n"/>
      <c r="AG94" s="20" t="n"/>
      <c r="AH94" s="20" t="n"/>
      <c r="AI94" s="21">
        <f>IF(AE94="","",WORKDAY(AE94,5))</f>
        <v/>
      </c>
      <c r="AJ94" s="20" t="n"/>
      <c r="AK94" s="20" t="n"/>
    </row>
    <row r="95">
      <c r="A95" s="15" t="inlineStr">
        <is>
          <t>Germany</t>
        </is>
      </c>
      <c r="B95" s="16" t="n">
        <v>94</v>
      </c>
      <c r="C95" s="17" t="n">
        <v>3</v>
      </c>
      <c r="D95" s="18" t="inlineStr">
        <is>
          <t>Health &amp; Personal Care</t>
        </is>
      </c>
      <c r="E95" s="18" t="inlineStr">
        <is>
          <t>Kneipp GmbH</t>
        </is>
      </c>
      <c r="F95" s="19" t="inlineStr">
        <is>
          <t>https://www.kneipp.com</t>
        </is>
      </c>
      <c r="G95" s="18" t="inlineStr">
        <is>
          <t>Würzburg</t>
        </is>
      </c>
      <c r="H95" s="18" t="inlineStr"/>
      <c r="I95" s="18" t="inlineStr">
        <is>
          <t>EU / Europe</t>
        </is>
      </c>
      <c r="J95" s="18" t="inlineStr">
        <is>
          <t>Higher</t>
        </is>
      </c>
      <c r="K95" s="18" t="inlineStr">
        <is>
          <t>Winterhäuser Str. 85, 97084 Würzburg</t>
        </is>
      </c>
      <c r="L95" s="18" t="inlineStr">
        <is>
          <t>+49 931 8002-0</t>
        </is>
      </c>
      <c r="M95" s="18" t="inlineStr"/>
      <c r="N95" s="18" t="inlineStr">
        <is>
          <t>Brand owner / manufacturer</t>
        </is>
      </c>
      <c r="O95" s="18" t="inlineStr">
        <is>
          <t>Kneipp bath &amp; body care, herbal supplements</t>
        </is>
      </c>
      <c r="P95" s="18" t="inlineStr">
        <is>
          <t>Bath &amp; body / wellness</t>
        </is>
      </c>
      <c r="Q95" s="18" t="inlineStr">
        <is>
          <t>Account based</t>
        </is>
      </c>
      <c r="R95" s="18" t="inlineStr">
        <is>
          <t>Distributors &amp; retailers (18 countries)</t>
        </is>
      </c>
      <c r="S95" s="18" t="inlineStr">
        <is>
          <t>Ask</t>
        </is>
      </c>
      <c r="T95" s="18" t="inlineStr">
        <is>
          <t>Unknown</t>
        </is>
      </c>
      <c r="U95" s="18" t="inlineStr">
        <is>
          <t>Unknown</t>
        </is>
      </c>
      <c r="V95" s="18" t="inlineStr"/>
      <c r="W95" s="18" t="inlineStr">
        <is>
          <t>Bayern International database; sold in US &amp; Japan</t>
        </is>
      </c>
      <c r="X95" s="18" t="inlineStr">
        <is>
          <t>Bath products sell well; liquids may need hazmat review</t>
        </is>
      </c>
      <c r="Y95" s="18" t="inlineStr"/>
      <c r="Z95" s="18" t="inlineStr">
        <is>
          <t>State trade database + press release</t>
        </is>
      </c>
      <c r="AA95" s="19" t="inlineStr">
        <is>
          <t>Source link</t>
        </is>
      </c>
      <c r="AB95" s="19" t="inlineStr">
        <is>
          <t>Search LinkedIn</t>
        </is>
      </c>
      <c r="AC95" s="18" t="inlineStr">
        <is>
          <t>Round 4</t>
        </is>
      </c>
      <c r="AD95" s="20" t="inlineStr">
        <is>
          <t>Not contacted</t>
        </is>
      </c>
      <c r="AE95" s="21" t="n"/>
      <c r="AF95" s="20" t="n"/>
      <c r="AG95" s="20" t="n"/>
      <c r="AH95" s="20" t="n"/>
      <c r="AI95" s="21">
        <f>IF(AE95="","",WORKDAY(AE95,5))</f>
        <v/>
      </c>
      <c r="AJ95" s="20" t="n"/>
      <c r="AK95" s="20" t="n"/>
    </row>
    <row r="96">
      <c r="A96" s="15" t="inlineStr">
        <is>
          <t>Germany</t>
        </is>
      </c>
      <c r="B96" s="16" t="n">
        <v>95</v>
      </c>
      <c r="C96" s="17" t="n">
        <v>3</v>
      </c>
      <c r="D96" s="18" t="inlineStr">
        <is>
          <t>Health &amp; Personal Care</t>
        </is>
      </c>
      <c r="E96" s="18" t="inlineStr">
        <is>
          <t>MEDISANA AG</t>
        </is>
      </c>
      <c r="F96" s="19" t="inlineStr">
        <is>
          <t>https://www.medisana.de</t>
        </is>
      </c>
      <c r="G96" s="18" t="inlineStr">
        <is>
          <t>Neuss</t>
        </is>
      </c>
      <c r="H96" s="18" t="inlineStr"/>
      <c r="I96" s="18" t="inlineStr">
        <is>
          <t>EU / Europe</t>
        </is>
      </c>
      <c r="J96" s="18" t="inlineStr">
        <is>
          <t>Higher</t>
        </is>
      </c>
      <c r="K96" s="18" t="inlineStr">
        <is>
          <t>Jagenbergstraße 19, 41468 Neuss</t>
        </is>
      </c>
      <c r="L96" s="18" t="inlineStr">
        <is>
          <t>+49 2131 3668-0</t>
        </is>
      </c>
      <c r="M96" s="18" t="inlineStr">
        <is>
          <t>info@medisana.de</t>
        </is>
      </c>
      <c r="N96" s="18" t="inlineStr">
        <is>
          <t>Brand owner</t>
        </is>
      </c>
      <c r="O96" s="18" t="inlineStr">
        <is>
          <t>Medisana BP monitors, inhalers, massagers, scales, heated blankets</t>
        </is>
      </c>
      <c r="P96" s="18" t="inlineStr">
        <is>
          <t>Health devices</t>
        </is>
      </c>
      <c r="Q96" s="18" t="inlineStr">
        <is>
          <t>On request</t>
        </is>
      </c>
      <c r="R96" s="18" t="inlineStr">
        <is>
          <t>Retailers &amp; pharmacies</t>
        </is>
      </c>
      <c r="S96" s="18" t="inlineStr">
        <is>
          <t>Ask</t>
        </is>
      </c>
      <c r="T96" s="18" t="inlineStr">
        <is>
          <t>Unknown</t>
        </is>
      </c>
      <c r="U96" s="18" t="inlineStr">
        <is>
          <t>Unknown</t>
        </is>
      </c>
      <c r="V96" s="18" t="inlineStr"/>
      <c r="W96" s="18" t="inlineStr">
        <is>
          <t>Part of Ogawa Smart Healthcare group</t>
        </is>
      </c>
      <c r="X96" s="18" t="inlineStr">
        <is>
          <t>Also on Qogita (low MOV)</t>
        </is>
      </c>
      <c r="Y96" s="18" t="inlineStr"/>
      <c r="Z96" s="18" t="inlineStr">
        <is>
          <t>Business press + directory</t>
        </is>
      </c>
      <c r="AA96" s="19" t="inlineStr">
        <is>
          <t>Source link</t>
        </is>
      </c>
      <c r="AB96" s="19" t="inlineStr">
        <is>
          <t>Search LinkedIn</t>
        </is>
      </c>
      <c r="AC96" s="18" t="inlineStr">
        <is>
          <t>Round 3</t>
        </is>
      </c>
      <c r="AD96" s="20" t="inlineStr">
        <is>
          <t>Not contacted</t>
        </is>
      </c>
      <c r="AE96" s="21" t="n"/>
      <c r="AF96" s="20" t="n"/>
      <c r="AG96" s="20" t="n"/>
      <c r="AH96" s="20" t="n"/>
      <c r="AI96" s="21">
        <f>IF(AE96="","",WORKDAY(AE96,5))</f>
        <v/>
      </c>
      <c r="AJ96" s="20" t="n"/>
      <c r="AK96" s="20" t="n"/>
    </row>
    <row r="97">
      <c r="A97" s="15" t="inlineStr">
        <is>
          <t>Germany</t>
        </is>
      </c>
      <c r="B97" s="16" t="n">
        <v>96</v>
      </c>
      <c r="C97" s="17" t="n">
        <v>3</v>
      </c>
      <c r="D97" s="18" t="inlineStr">
        <is>
          <t>Health &amp; Personal Care</t>
        </is>
      </c>
      <c r="E97" s="18" t="inlineStr">
        <is>
          <t>PAUL HARTMANN AG</t>
        </is>
      </c>
      <c r="F97" s="19" t="inlineStr">
        <is>
          <t>https://www.hartmann.info</t>
        </is>
      </c>
      <c r="G97" s="18" t="inlineStr">
        <is>
          <t>Heidenheim</t>
        </is>
      </c>
      <c r="H97" s="18" t="inlineStr"/>
      <c r="I97" s="18" t="inlineStr">
        <is>
          <t>EU / Europe</t>
        </is>
      </c>
      <c r="J97" s="18" t="inlineStr">
        <is>
          <t>Higher</t>
        </is>
      </c>
      <c r="K97" s="18" t="inlineStr">
        <is>
          <t>Paul-Hartmann-Straße 12, 89522 Heidenheim</t>
        </is>
      </c>
      <c r="L97" s="18" t="inlineStr">
        <is>
          <t>+49 7321 36-0</t>
        </is>
      </c>
      <c r="M97" s="18" t="inlineStr"/>
      <c r="N97" s="18" t="inlineStr">
        <is>
          <t>Brand owner / manufacturer (listed)</t>
        </is>
      </c>
      <c r="O97" s="18" t="inlineStr">
        <is>
          <t>Hartmann first aid &amp; wound care, Molicare incontinence, Veroval health devices</t>
        </is>
      </c>
      <c r="P97" s="18" t="inlineStr">
        <is>
          <t>First aid &amp; medical consumer</t>
        </is>
      </c>
      <c r="Q97" s="18" t="inlineStr">
        <is>
          <t>Account based</t>
        </is>
      </c>
      <c r="R97" s="18" t="inlineStr">
        <is>
          <t>Distributors in 100+ countries; pharmacies</t>
        </is>
      </c>
      <c r="S97" s="18" t="inlineStr">
        <is>
          <t>Has UK subsidiary - ask</t>
        </is>
      </c>
      <c r="T97" s="18" t="inlineStr">
        <is>
          <t>Unknown</t>
        </is>
      </c>
      <c r="U97" s="18" t="inlineStr">
        <is>
          <t>Unknown</t>
        </is>
      </c>
      <c r="V97" s="18" t="inlineStr"/>
      <c r="W97" s="18" t="inlineStr">
        <is>
          <t>Frankfurt-listed medical group</t>
        </is>
      </c>
      <c r="X97" s="18" t="inlineStr">
        <is>
          <t>First aid &amp; Veroval BP monitors sell well</t>
        </is>
      </c>
      <c r="Y97" s="18" t="inlineStr"/>
      <c r="Z97" s="18" t="inlineStr">
        <is>
          <t>Stock exchange profile + chamber directory</t>
        </is>
      </c>
      <c r="AA97" s="19" t="inlineStr">
        <is>
          <t>Source link</t>
        </is>
      </c>
      <c r="AB97" s="19" t="inlineStr">
        <is>
          <t>Search LinkedIn</t>
        </is>
      </c>
      <c r="AC97" s="18" t="inlineStr">
        <is>
          <t>Round 4</t>
        </is>
      </c>
      <c r="AD97" s="20" t="inlineStr">
        <is>
          <t>Not contacted</t>
        </is>
      </c>
      <c r="AE97" s="21" t="n"/>
      <c r="AF97" s="20" t="n"/>
      <c r="AG97" s="20" t="n"/>
      <c r="AH97" s="20" t="n"/>
      <c r="AI97" s="21">
        <f>IF(AE97="","",WORKDAY(AE97,5))</f>
        <v/>
      </c>
      <c r="AJ97" s="20" t="n"/>
      <c r="AK97" s="20" t="n"/>
    </row>
    <row r="98">
      <c r="A98" s="15" t="inlineStr">
        <is>
          <t>Germany</t>
        </is>
      </c>
      <c r="B98" s="16" t="n">
        <v>97</v>
      </c>
      <c r="C98" s="17" t="n">
        <v>2</v>
      </c>
      <c r="D98" s="18" t="inlineStr">
        <is>
          <t>Health &amp; Personal Care</t>
        </is>
      </c>
      <c r="E98" s="18" t="inlineStr">
        <is>
          <t>IHTCT GmbH</t>
        </is>
      </c>
      <c r="F98" s="19" t="inlineStr">
        <is>
          <t>https://www.odoo.com/ar/customers/ihtct-gmbh-6263453</t>
        </is>
      </c>
      <c r="G98" s="18" t="inlineStr">
        <is>
          <t>Düsseldorf</t>
        </is>
      </c>
      <c r="H98" s="18" t="inlineStr"/>
      <c r="I98" s="18" t="inlineStr">
        <is>
          <t>EU / Europe</t>
        </is>
      </c>
      <c r="J98" s="18" t="inlineStr">
        <is>
          <t>Higher</t>
        </is>
      </c>
      <c r="K98" s="18" t="inlineStr">
        <is>
          <t>Düsseldorf</t>
        </is>
      </c>
      <c r="L98" s="18" t="inlineStr"/>
      <c r="M98" s="18" t="inlineStr"/>
      <c r="N98" s="18" t="inlineStr">
        <is>
          <t>Licensed pharma &amp; healthcare distributor (export B2B)</t>
        </is>
      </c>
      <c r="O98" s="18" t="inlineStr">
        <is>
          <t>Healthcare products, medical devices, beauty &amp; skincare, baby, toys</t>
        </is>
      </c>
      <c r="P98" s="18" t="inlineStr">
        <is>
          <t>Health / export B2B</t>
        </is>
      </c>
      <c r="Q98" s="18" t="inlineStr">
        <is>
          <t>On request</t>
        </is>
      </c>
      <c r="R98" s="18" t="inlineStr">
        <is>
          <t>B2B</t>
        </is>
      </c>
      <c r="S98" s="18" t="inlineStr">
        <is>
          <t>Export-oriented - ask</t>
        </is>
      </c>
      <c r="T98" s="18" t="inlineStr">
        <is>
          <t>Unknown</t>
        </is>
      </c>
      <c r="U98" s="18" t="inlineStr">
        <is>
          <t>Unknown</t>
        </is>
      </c>
      <c r="V98" s="18" t="inlineStr"/>
      <c r="W98" s="18" t="inlineStr">
        <is>
          <t>Licensed pharmaceutical distributor (self-described)</t>
        </is>
      </c>
      <c r="X98" s="18" t="inlineStr"/>
      <c r="Y98" s="18" t="inlineStr"/>
      <c r="Z98" s="18" t="inlineStr">
        <is>
          <t>Software customer profile</t>
        </is>
      </c>
      <c r="AA98" s="19" t="inlineStr">
        <is>
          <t>Source link</t>
        </is>
      </c>
      <c r="AB98" s="19" t="inlineStr">
        <is>
          <t>Search LinkedIn</t>
        </is>
      </c>
      <c r="AC98" s="18" t="inlineStr">
        <is>
          <t>Round 3</t>
        </is>
      </c>
      <c r="AD98" s="20" t="inlineStr">
        <is>
          <t>Not contacted</t>
        </is>
      </c>
      <c r="AE98" s="21" t="n"/>
      <c r="AF98" s="20" t="n"/>
      <c r="AG98" s="20" t="n"/>
      <c r="AH98" s="20" t="n"/>
      <c r="AI98" s="21">
        <f>IF(AE98="","",WORKDAY(AE98,5))</f>
        <v/>
      </c>
      <c r="AJ98" s="20" t="n"/>
      <c r="AK98" s="20" t="n"/>
    </row>
    <row r="99">
      <c r="A99" s="15" t="inlineStr">
        <is>
          <t>Germany</t>
        </is>
      </c>
      <c r="B99" s="16" t="n">
        <v>98</v>
      </c>
      <c r="C99" s="17" t="n">
        <v>4</v>
      </c>
      <c r="D99" s="18" t="inlineStr">
        <is>
          <t>Home &amp; Kitchen</t>
        </is>
      </c>
      <c r="E99" s="18" t="inlineStr">
        <is>
          <t>GEFU GmbH</t>
        </is>
      </c>
      <c r="F99" s="19" t="inlineStr">
        <is>
          <t>https://www.gefu.com</t>
        </is>
      </c>
      <c r="G99" s="18" t="inlineStr">
        <is>
          <t>Eslohe (Sauerland)</t>
        </is>
      </c>
      <c r="H99" s="18" t="inlineStr"/>
      <c r="I99" s="18" t="inlineStr">
        <is>
          <t>EU / Europe</t>
        </is>
      </c>
      <c r="J99" s="18" t="inlineStr">
        <is>
          <t>Higher</t>
        </is>
      </c>
      <c r="K99" s="18" t="inlineStr">
        <is>
          <t>Braukweg 28, 59889 Eslohe</t>
        </is>
      </c>
      <c r="L99" s="18" t="inlineStr">
        <is>
          <t>+49 2973 97130</t>
        </is>
      </c>
      <c r="M99" s="18" t="inlineStr">
        <is>
          <t>info@gefu.com</t>
        </is>
      </c>
      <c r="N99" s="18" t="inlineStr">
        <is>
          <t>Brand owner</t>
        </is>
      </c>
      <c r="O99" s="18" t="inlineStr">
        <is>
          <t>GEFU kitchen tools, spiralizers, pasta makers, gadgets</t>
        </is>
      </c>
      <c r="P99" s="18" t="inlineStr">
        <is>
          <t>Kitchen tools</t>
        </is>
      </c>
      <c r="Q99" s="18" t="inlineStr">
        <is>
          <t>On request</t>
        </is>
      </c>
      <c r="R99" s="18" t="inlineStr">
        <is>
          <t>Retailers (2,000+ stores) &amp; B2B customers</t>
        </is>
      </c>
      <c r="S99" s="18" t="inlineStr">
        <is>
          <t>Ask</t>
        </is>
      </c>
      <c r="T99" s="18" t="inlineStr">
        <is>
          <t>Unknown</t>
        </is>
      </c>
      <c r="U99" s="18" t="inlineStr">
        <is>
          <t>Unknown</t>
        </is>
      </c>
      <c r="V99" s="18" t="inlineStr"/>
      <c r="W99" s="18" t="inlineStr">
        <is>
          <t>Family company; Maison&amp;Objet exhibitor</t>
        </is>
      </c>
      <c r="X99" s="18" t="inlineStr">
        <is>
          <t>Kitchen gadgets largely ungated</t>
        </is>
      </c>
      <c r="Y99" s="18" t="inlineStr"/>
      <c r="Z99" s="18" t="inlineStr">
        <is>
          <t>Business press + trade fair</t>
        </is>
      </c>
      <c r="AA99" s="19" t="inlineStr">
        <is>
          <t>Source link</t>
        </is>
      </c>
      <c r="AB99" s="19" t="inlineStr">
        <is>
          <t>Search LinkedIn</t>
        </is>
      </c>
      <c r="AC99" s="18" t="inlineStr">
        <is>
          <t>Round 4</t>
        </is>
      </c>
      <c r="AD99" s="20" t="inlineStr">
        <is>
          <t>Not contacted</t>
        </is>
      </c>
      <c r="AE99" s="21" t="n"/>
      <c r="AF99" s="20" t="n"/>
      <c r="AG99" s="20" t="n"/>
      <c r="AH99" s="20" t="n"/>
      <c r="AI99" s="21">
        <f>IF(AE99="","",WORKDAY(AE99,5))</f>
        <v/>
      </c>
      <c r="AJ99" s="20" t="n"/>
      <c r="AK99" s="20" t="n"/>
    </row>
    <row r="100">
      <c r="A100" s="15" t="inlineStr">
        <is>
          <t>Germany</t>
        </is>
      </c>
      <c r="B100" s="16" t="n">
        <v>99</v>
      </c>
      <c r="C100" s="17" t="n">
        <v>4</v>
      </c>
      <c r="D100" s="18" t="inlineStr">
        <is>
          <t>Home &amp; Kitchen</t>
        </is>
      </c>
      <c r="E100" s="18" t="inlineStr">
        <is>
          <t>SEVERIN Elektrogeräte GmbH</t>
        </is>
      </c>
      <c r="F100" s="19" t="inlineStr">
        <is>
          <t>https://www.severin.com</t>
        </is>
      </c>
      <c r="G100" s="18" t="inlineStr">
        <is>
          <t>Sundern (Sauerland)</t>
        </is>
      </c>
      <c r="H100" s="18" t="inlineStr"/>
      <c r="I100" s="18" t="inlineStr">
        <is>
          <t>EU / Europe</t>
        </is>
      </c>
      <c r="J100" s="18" t="inlineStr">
        <is>
          <t>Higher</t>
        </is>
      </c>
      <c r="K100" s="18" t="inlineStr">
        <is>
          <t>Röhre 27, 59846 Sundern</t>
        </is>
      </c>
      <c r="L100" s="18" t="inlineStr">
        <is>
          <t>+49 2933 98 20</t>
        </is>
      </c>
      <c r="M100" s="18" t="inlineStr">
        <is>
          <t>information@severin.de</t>
        </is>
      </c>
      <c r="N100" s="18" t="inlineStr">
        <is>
          <t>Brand owner / manufacturer</t>
        </is>
      </c>
      <c r="O100" s="18" t="inlineStr">
        <is>
          <t>SEVERIN coffee machines, kettles, toasters, grills, fridges</t>
        </is>
      </c>
      <c r="P100" s="18" t="inlineStr">
        <is>
          <t>Small domestic appliances</t>
        </is>
      </c>
      <c r="Q100" s="18" t="inlineStr">
        <is>
          <t>Account based</t>
        </is>
      </c>
      <c r="R100" s="18" t="inlineStr">
        <is>
          <t>Retailers (5-6 own European sales companies)</t>
        </is>
      </c>
      <c r="S100" s="18" t="inlineStr">
        <is>
          <t>EU plugs - check UK versions/subsidiary</t>
        </is>
      </c>
      <c r="T100" s="18" t="inlineStr">
        <is>
          <t>Unknown</t>
        </is>
      </c>
      <c r="U100" s="18" t="inlineStr">
        <is>
          <t>Unknown</t>
        </is>
      </c>
      <c r="V100" s="18" t="inlineStr"/>
      <c r="W100" s="18" t="inlineStr">
        <is>
          <t>~€148m turnover; IFA exhibitor; production in DE &amp; CN</t>
        </is>
      </c>
      <c r="X100" s="18" t="inlineStr"/>
      <c r="Y100" s="18" t="inlineStr"/>
      <c r="Z100" s="18" t="inlineStr">
        <is>
          <t>Trade fair + company profiles</t>
        </is>
      </c>
      <c r="AA100" s="19" t="inlineStr">
        <is>
          <t>Source link</t>
        </is>
      </c>
      <c r="AB100" s="19" t="inlineStr">
        <is>
          <t>Search LinkedIn</t>
        </is>
      </c>
      <c r="AC100" s="18" t="inlineStr">
        <is>
          <t>Round 4</t>
        </is>
      </c>
      <c r="AD100" s="20" t="inlineStr">
        <is>
          <t>Not contacted</t>
        </is>
      </c>
      <c r="AE100" s="21" t="n"/>
      <c r="AF100" s="20" t="n"/>
      <c r="AG100" s="20" t="n"/>
      <c r="AH100" s="20" t="n"/>
      <c r="AI100" s="21">
        <f>IF(AE100="","",WORKDAY(AE100,5))</f>
        <v/>
      </c>
      <c r="AJ100" s="20" t="n"/>
      <c r="AK100" s="20" t="n"/>
    </row>
    <row r="101">
      <c r="A101" s="15" t="inlineStr">
        <is>
          <t>Germany</t>
        </is>
      </c>
      <c r="B101" s="16" t="n">
        <v>100</v>
      </c>
      <c r="C101" s="17" t="n">
        <v>4</v>
      </c>
      <c r="D101" s="18" t="inlineStr">
        <is>
          <t>Home &amp; Kitchen</t>
        </is>
      </c>
      <c r="E101" s="18" t="inlineStr">
        <is>
          <t>Westmark GmbH</t>
        </is>
      </c>
      <c r="F101" s="19" t="inlineStr">
        <is>
          <t>https://www.westmark.de</t>
        </is>
      </c>
      <c r="G101" s="18" t="inlineStr">
        <is>
          <t>Lennestadt</t>
        </is>
      </c>
      <c r="H101" s="18" t="inlineStr"/>
      <c r="I101" s="18" t="inlineStr">
        <is>
          <t>EU / Europe</t>
        </is>
      </c>
      <c r="J101" s="18" t="inlineStr">
        <is>
          <t>Higher</t>
        </is>
      </c>
      <c r="K101" s="18" t="inlineStr">
        <is>
          <t>Bielefelder Straße 125, 57368 Lennestadt</t>
        </is>
      </c>
      <c r="L101" s="18" t="inlineStr">
        <is>
          <t>+49 2721 92580</t>
        </is>
      </c>
      <c r="M101" s="18" t="inlineStr"/>
      <c r="N101" s="18" t="inlineStr">
        <is>
          <t>Brand owner / manufacturer</t>
        </is>
      </c>
      <c r="O101" s="18" t="inlineStr">
        <is>
          <t>Westmark, Monopol, Saleen - 2,500+ kitchen utensils</t>
        </is>
      </c>
      <c r="P101" s="18" t="inlineStr">
        <is>
          <t>Kitchen utensils</t>
        </is>
      </c>
      <c r="Q101" s="18" t="inlineStr">
        <is>
          <t>On request</t>
        </is>
      </c>
      <c r="R101" s="18" t="inlineStr">
        <is>
          <t>Retailers &amp; distributors</t>
        </is>
      </c>
      <c r="S101" s="18" t="inlineStr">
        <is>
          <t>Exports - ask</t>
        </is>
      </c>
      <c r="T101" s="18" t="inlineStr">
        <is>
          <t>Unknown</t>
        </is>
      </c>
      <c r="U101" s="18" t="inlineStr">
        <is>
          <t>Unknown</t>
        </is>
      </c>
      <c r="V101" s="18" t="inlineStr"/>
      <c r="W101" s="18" t="inlineStr">
        <is>
          <t>Since 1956; Ambiente exhibitor; largely own manufacturing</t>
        </is>
      </c>
      <c r="X101" s="18" t="inlineStr">
        <is>
          <t>Kitchen gadgets are largely ungated on Amazon</t>
        </is>
      </c>
      <c r="Y101" s="18" t="inlineStr"/>
      <c r="Z101" s="18" t="inlineStr">
        <is>
          <t>Trade fair directory</t>
        </is>
      </c>
      <c r="AA101" s="19" t="inlineStr">
        <is>
          <t>Source link</t>
        </is>
      </c>
      <c r="AB101" s="19" t="inlineStr">
        <is>
          <t>Search LinkedIn</t>
        </is>
      </c>
      <c r="AC101" s="18" t="inlineStr">
        <is>
          <t>Round 3</t>
        </is>
      </c>
      <c r="AD101" s="20" t="inlineStr">
        <is>
          <t>Not contacted</t>
        </is>
      </c>
      <c r="AE101" s="21" t="n"/>
      <c r="AF101" s="20" t="n"/>
      <c r="AG101" s="20" t="n"/>
      <c r="AH101" s="20" t="n"/>
      <c r="AI101" s="21">
        <f>IF(AE101="","",WORKDAY(AE101,5))</f>
        <v/>
      </c>
      <c r="AJ101" s="20" t="n"/>
      <c r="AK101" s="20" t="n"/>
    </row>
    <row r="102">
      <c r="A102" s="15" t="inlineStr">
        <is>
          <t>Germany</t>
        </is>
      </c>
      <c r="B102" s="16" t="n">
        <v>101</v>
      </c>
      <c r="C102" s="17" t="n">
        <v>3</v>
      </c>
      <c r="D102" s="18" t="inlineStr">
        <is>
          <t>Home &amp; Kitchen</t>
        </is>
      </c>
      <c r="E102" s="18" t="inlineStr">
        <is>
          <t>Clatronic International GmbH</t>
        </is>
      </c>
      <c r="F102" s="19" t="inlineStr">
        <is>
          <t>https://www.clatronic.de</t>
        </is>
      </c>
      <c r="G102" s="18" t="inlineStr">
        <is>
          <t>Kempen</t>
        </is>
      </c>
      <c r="H102" s="18" t="inlineStr"/>
      <c r="I102" s="18" t="inlineStr">
        <is>
          <t>EU / Europe</t>
        </is>
      </c>
      <c r="J102" s="18" t="inlineStr">
        <is>
          <t>Higher</t>
        </is>
      </c>
      <c r="K102" s="18" t="inlineStr">
        <is>
          <t>Kempen (sister trading company C. Bomann GmbH, Kempen)</t>
        </is>
      </c>
      <c r="L102" s="18" t="inlineStr"/>
      <c r="M102" s="18" t="inlineStr"/>
      <c r="N102" s="18" t="inlineStr">
        <is>
          <t>Brand owner (appliances)</t>
        </is>
      </c>
      <c r="O102" s="18" t="inlineStr">
        <is>
          <t>Clatronic, Bomann, ProfiCook, ProfiCare small &amp; large appliances</t>
        </is>
      </c>
      <c r="P102" s="18" t="inlineStr">
        <is>
          <t>Household appliances</t>
        </is>
      </c>
      <c r="Q102" s="18" t="inlineStr">
        <is>
          <t>On request</t>
        </is>
      </c>
      <c r="R102" s="18" t="inlineStr">
        <is>
          <t>Retailers &amp; B2B</t>
        </is>
      </c>
      <c r="S102" s="18" t="inlineStr">
        <is>
          <t>EU plugs - check UK versions</t>
        </is>
      </c>
      <c r="T102" s="18" t="inlineStr">
        <is>
          <t>Unknown</t>
        </is>
      </c>
      <c r="U102" s="18" t="inlineStr">
        <is>
          <t>Unknown</t>
        </is>
      </c>
      <c r="V102" s="18" t="inlineStr"/>
      <c r="W102" s="18" t="inlineStr">
        <is>
          <t>Family business since 1982; ~100 staff in Germany</t>
        </is>
      </c>
      <c r="X102" s="18" t="inlineStr">
        <is>
          <t>Popular budget appliance brands on Amazon EU</t>
        </is>
      </c>
      <c r="Y102" s="18" t="inlineStr"/>
      <c r="Z102" s="18" t="inlineStr">
        <is>
          <t>Business registry profile (C. Bomann)</t>
        </is>
      </c>
      <c r="AA102" s="19" t="inlineStr">
        <is>
          <t>Source link</t>
        </is>
      </c>
      <c r="AB102" s="19" t="inlineStr">
        <is>
          <t>Search LinkedIn</t>
        </is>
      </c>
      <c r="AC102" s="18" t="inlineStr">
        <is>
          <t>Round 4</t>
        </is>
      </c>
      <c r="AD102" s="20" t="inlineStr">
        <is>
          <t>Not contacted</t>
        </is>
      </c>
      <c r="AE102" s="21" t="n"/>
      <c r="AF102" s="20" t="n"/>
      <c r="AG102" s="20" t="n"/>
      <c r="AH102" s="20" t="n"/>
      <c r="AI102" s="21">
        <f>IF(AE102="","",WORKDAY(AE102,5))</f>
        <v/>
      </c>
      <c r="AJ102" s="20" t="n"/>
      <c r="AK102" s="20" t="n"/>
    </row>
    <row r="103">
      <c r="A103" s="15" t="inlineStr">
        <is>
          <t>Germany</t>
        </is>
      </c>
      <c r="B103" s="16" t="n">
        <v>102</v>
      </c>
      <c r="C103" s="17" t="n">
        <v>3</v>
      </c>
      <c r="D103" s="18" t="inlineStr">
        <is>
          <t>Home &amp; Kitchen</t>
        </is>
      </c>
      <c r="E103" s="18" t="inlineStr">
        <is>
          <t>Leifheit AG</t>
        </is>
      </c>
      <c r="F103" s="19" t="inlineStr">
        <is>
          <t>https://www.leifheit.com</t>
        </is>
      </c>
      <c r="G103" s="18" t="inlineStr">
        <is>
          <t>Nassau</t>
        </is>
      </c>
      <c r="H103" s="18" t="inlineStr"/>
      <c r="I103" s="18" t="inlineStr">
        <is>
          <t>EU / Europe</t>
        </is>
      </c>
      <c r="J103" s="18" t="inlineStr">
        <is>
          <t>Higher</t>
        </is>
      </c>
      <c r="K103" s="18" t="inlineStr">
        <is>
          <t>Leifheitstraße 1, 56377 Nassau</t>
        </is>
      </c>
      <c r="L103" s="18" t="inlineStr"/>
      <c r="M103" s="18" t="inlineStr"/>
      <c r="N103" s="18" t="inlineStr">
        <is>
          <t>Brand owner (listed company)</t>
        </is>
      </c>
      <c r="O103" s="18" t="inlineStr">
        <is>
          <t>Leifheit, Soehnle - cleaning, laundry, kitchen, scales</t>
        </is>
      </c>
      <c r="P103" s="18" t="inlineStr">
        <is>
          <t>Household &amp; kitchen</t>
        </is>
      </c>
      <c r="Q103" s="18" t="inlineStr">
        <is>
          <t>Account based</t>
        </is>
      </c>
      <c r="R103" s="18" t="inlineStr">
        <is>
          <t>Mass retail, specialty chains, e-commerce; distribution markets team</t>
        </is>
      </c>
      <c r="S103" s="18" t="inlineStr">
        <is>
          <t>Sells in 80+ countries - ask</t>
        </is>
      </c>
      <c r="T103" s="18" t="inlineStr">
        <is>
          <t>Unknown</t>
        </is>
      </c>
      <c r="U103" s="18" t="inlineStr">
        <is>
          <t>Unknown</t>
        </is>
      </c>
      <c r="V103" s="18" t="inlineStr"/>
      <c r="W103" s="18" t="inlineStr">
        <is>
          <t>Frankfurt-listed household brand</t>
        </is>
      </c>
      <c r="X103" s="18" t="inlineStr">
        <is>
          <t>Brand-direct; very popular on Amazon (may have MAP rules)</t>
        </is>
      </c>
      <c r="Y103" s="18" t="inlineStr"/>
      <c r="Z103" s="18" t="inlineStr">
        <is>
          <t>Company profiles + trade data</t>
        </is>
      </c>
      <c r="AA103" s="19" t="inlineStr">
        <is>
          <t>Source link</t>
        </is>
      </c>
      <c r="AB103" s="19" t="inlineStr">
        <is>
          <t>Search LinkedIn</t>
        </is>
      </c>
      <c r="AC103" s="18" t="inlineStr">
        <is>
          <t>Round 3</t>
        </is>
      </c>
      <c r="AD103" s="20" t="inlineStr">
        <is>
          <t>Not contacted</t>
        </is>
      </c>
      <c r="AE103" s="21" t="n"/>
      <c r="AF103" s="20" t="n"/>
      <c r="AG103" s="20" t="n"/>
      <c r="AH103" s="20" t="n"/>
      <c r="AI103" s="21">
        <f>IF(AE103="","",WORKDAY(AE103,5))</f>
        <v/>
      </c>
      <c r="AJ103" s="20" t="n"/>
      <c r="AK103" s="20" t="n"/>
    </row>
    <row r="104">
      <c r="A104" s="15" t="inlineStr">
        <is>
          <t>Germany</t>
        </is>
      </c>
      <c r="B104" s="16" t="n">
        <v>103</v>
      </c>
      <c r="C104" s="17" t="n">
        <v>3</v>
      </c>
      <c r="D104" s="18" t="inlineStr">
        <is>
          <t>Home &amp; Kitchen</t>
        </is>
      </c>
      <c r="E104" s="18" t="inlineStr">
        <is>
          <t>Wolfsohn</t>
        </is>
      </c>
      <c r="F104" s="19" t="inlineStr">
        <is>
          <t>https://www.ifa-berlin.com/exhibitors/wolfsohn</t>
        </is>
      </c>
      <c r="G104" s="18" t="inlineStr">
        <is>
          <t>Germany</t>
        </is>
      </c>
      <c r="H104" s="18" t="inlineStr"/>
      <c r="I104" s="18" t="inlineStr">
        <is>
          <t>EU / Europe</t>
        </is>
      </c>
      <c r="J104" s="18" t="inlineStr">
        <is>
          <t>Higher</t>
        </is>
      </c>
      <c r="K104" s="18" t="inlineStr"/>
      <c r="L104" s="18" t="inlineStr"/>
      <c r="M104" s="18" t="inlineStr"/>
      <c r="N104" s="18" t="inlineStr">
        <is>
          <t>Branded electronics &amp; household wholesaler</t>
        </is>
      </c>
      <c r="O104" s="18" t="inlineStr">
        <is>
          <t>6,000+ SKUs in stock: Braun, Philips, Samsung, Xiaomi, QCY, PoundMax</t>
        </is>
      </c>
      <c r="P104" s="18" t="inlineStr">
        <is>
          <t>Small appliances &amp; consumer electronics</t>
        </is>
      </c>
      <c r="Q104" s="18" t="inlineStr">
        <is>
          <t>On request</t>
        </is>
      </c>
      <c r="R104" s="18" t="inlineStr">
        <is>
          <t>B2B</t>
        </is>
      </c>
      <c r="S104" s="18" t="inlineStr">
        <is>
          <t>Ask</t>
        </is>
      </c>
      <c r="T104" s="18" t="inlineStr">
        <is>
          <t>Unknown</t>
        </is>
      </c>
      <c r="U104" s="18" t="inlineStr">
        <is>
          <t>Unknown</t>
        </is>
      </c>
      <c r="V104" s="18" t="inlineStr"/>
      <c r="W104" s="18" t="inlineStr">
        <is>
          <t>IFA Berlin exhibitor</t>
        </is>
      </c>
      <c r="X104" s="18" t="inlineStr"/>
      <c r="Y104" s="18" t="inlineStr"/>
      <c r="Z104" s="18" t="inlineStr">
        <is>
          <t>Trade show profile - find Impressum</t>
        </is>
      </c>
      <c r="AA104" s="19" t="inlineStr">
        <is>
          <t>Source link</t>
        </is>
      </c>
      <c r="AB104" s="19" t="inlineStr">
        <is>
          <t>Search LinkedIn</t>
        </is>
      </c>
      <c r="AC104" s="18" t="inlineStr">
        <is>
          <t>Round 2</t>
        </is>
      </c>
      <c r="AD104" s="20" t="inlineStr">
        <is>
          <t>Not contacted</t>
        </is>
      </c>
      <c r="AE104" s="21" t="n"/>
      <c r="AF104" s="20" t="n"/>
      <c r="AG104" s="20" t="n"/>
      <c r="AH104" s="20" t="n"/>
      <c r="AI104" s="21">
        <f>IF(AE104="","",WORKDAY(AE104,5))</f>
        <v/>
      </c>
      <c r="AJ104" s="20" t="n"/>
      <c r="AK104" s="20" t="n"/>
    </row>
    <row r="105">
      <c r="A105" s="15" t="inlineStr">
        <is>
          <t>Germany</t>
        </is>
      </c>
      <c r="B105" s="16" t="n">
        <v>104</v>
      </c>
      <c r="C105" s="17" t="n">
        <v>5</v>
      </c>
      <c r="D105" s="18" t="inlineStr">
        <is>
          <t>Pet Supplies</t>
        </is>
      </c>
      <c r="E105" s="18" t="inlineStr">
        <is>
          <t>TRIXIE Heimtierbedarf (incl. Trixie UK Pet Product Ltd)</t>
        </is>
      </c>
      <c r="F105" s="19" t="inlineStr">
        <is>
          <t>https://www.trixie.de</t>
        </is>
      </c>
      <c r="G105" s="18" t="inlineStr">
        <is>
          <t>Tarp (DE); UK warehouse</t>
        </is>
      </c>
      <c r="H105" s="18" t="inlineStr">
        <is>
          <t>UK</t>
        </is>
      </c>
      <c r="I105" s="18" t="inlineStr">
        <is>
          <t>EU / Europe</t>
        </is>
      </c>
      <c r="J105" s="18" t="inlineStr">
        <is>
          <t>Higher</t>
        </is>
      </c>
      <c r="K105" s="18" t="inlineStr">
        <is>
          <t>Tarp, Schleswig-Holstein; UK warehouse (opened Dec 2025)</t>
        </is>
      </c>
      <c r="L105" s="18" t="inlineStr">
        <is>
          <t>+44 20 7154 2940 (UK - verify)</t>
        </is>
      </c>
      <c r="M105" s="18" t="inlineStr">
        <is>
          <t>sales@trixie.de</t>
        </is>
      </c>
      <c r="N105" s="18" t="inlineStr">
        <is>
          <t>Brand owner selling direct to retailers</t>
        </is>
      </c>
      <c r="O105" s="18" t="inlineStr">
        <is>
          <t>TRIXIE - 6,000+ pet accessories, toys, beds, treats; exports to 80+ countries</t>
        </is>
      </c>
      <c r="P105" s="18" t="inlineStr">
        <is>
          <t>Pet accessories &amp; treats</t>
        </is>
      </c>
      <c r="Q105" s="18" t="inlineStr">
        <is>
          <t>On request</t>
        </is>
      </c>
      <c r="R105" s="18" t="inlineStr">
        <is>
          <t>Retailers / resellers (own UK sales team)</t>
        </is>
      </c>
      <c r="S105" s="18" t="inlineStr">
        <is>
          <t>Yes - UK entity + UK warehouse</t>
        </is>
      </c>
      <c r="T105" s="18" t="inlineStr">
        <is>
          <t>Unknown</t>
        </is>
      </c>
      <c r="U105" s="18" t="inlineStr">
        <is>
          <t>Unknown</t>
        </is>
      </c>
      <c r="V105" s="18" t="inlineStr"/>
      <c r="W105" s="18" t="inlineStr">
        <is>
          <t>Major European pet accessories brand; Interzoo exhibitor</t>
        </is>
      </c>
      <c r="X105" s="18" t="inlineStr">
        <is>
          <t>Brand-direct invoices; very popular Amazon brand</t>
        </is>
      </c>
      <c r="Y105" s="18" t="inlineStr"/>
      <c r="Z105" s="18" t="inlineStr">
        <is>
          <t>Trade press + trade directory</t>
        </is>
      </c>
      <c r="AA105" s="19" t="inlineStr">
        <is>
          <t>Source link</t>
        </is>
      </c>
      <c r="AB105" s="19" t="inlineStr">
        <is>
          <t>Search LinkedIn</t>
        </is>
      </c>
      <c r="AC105" s="18" t="inlineStr">
        <is>
          <t>Round 2</t>
        </is>
      </c>
      <c r="AD105" s="20" t="inlineStr">
        <is>
          <t>Not contacted</t>
        </is>
      </c>
      <c r="AE105" s="21" t="n"/>
      <c r="AF105" s="20" t="n"/>
      <c r="AG105" s="20" t="n"/>
      <c r="AH105" s="20" t="n"/>
      <c r="AI105" s="21">
        <f>IF(AE105="","",WORKDAY(AE105,5))</f>
        <v/>
      </c>
      <c r="AJ105" s="20" t="n"/>
      <c r="AK105" s="20" t="n"/>
    </row>
    <row r="106">
      <c r="A106" s="15" t="inlineStr">
        <is>
          <t>Germany</t>
        </is>
      </c>
      <c r="B106" s="16" t="n">
        <v>105</v>
      </c>
      <c r="C106" s="17" t="n">
        <v>4</v>
      </c>
      <c r="D106" s="18" t="inlineStr">
        <is>
          <t>Pet Supplies</t>
        </is>
      </c>
      <c r="E106" s="18" t="inlineStr">
        <is>
          <t>Albert Kerbl GmbH</t>
        </is>
      </c>
      <c r="F106" s="19" t="inlineStr">
        <is>
          <t>https://www.kerbl.com</t>
        </is>
      </c>
      <c r="G106" s="18" t="inlineStr">
        <is>
          <t>Buchbach (Bavaria)</t>
        </is>
      </c>
      <c r="H106" s="18" t="inlineStr"/>
      <c r="I106" s="18" t="inlineStr">
        <is>
          <t>EU / Europe</t>
        </is>
      </c>
      <c r="J106" s="18" t="inlineStr">
        <is>
          <t>Higher</t>
        </is>
      </c>
      <c r="K106" s="18" t="inlineStr">
        <is>
          <t>Felizenzell 9, 84428 Buchbach</t>
        </is>
      </c>
      <c r="L106" s="18" t="inlineStr">
        <is>
          <t>+49 8086 933-100</t>
        </is>
      </c>
      <c r="M106" s="18" t="inlineStr">
        <is>
          <t>info@kerbl.de (UK: enquiries@kerbl.co.uk)</t>
        </is>
      </c>
      <c r="N106" s="18" t="inlineStr">
        <is>
          <t>Wholesaler &amp; manufacturer</t>
        </is>
      </c>
      <c r="O106" s="18" t="inlineStr">
        <is>
          <t>Kerbl pet accessories, grooming, small-animal, chew toys + farm/equestrian</t>
        </is>
      </c>
      <c r="P106" s="18" t="inlineStr">
        <is>
          <t>Pet accessories</t>
        </is>
      </c>
      <c r="Q106" s="18" t="inlineStr">
        <is>
          <t>On request</t>
        </is>
      </c>
      <c r="R106" s="18" t="inlineStr">
        <is>
          <t>Retailers</t>
        </is>
      </c>
      <c r="S106" s="18" t="inlineStr">
        <is>
          <t>Yes - Kerbl UK (Oakham)</t>
        </is>
      </c>
      <c r="T106" s="18" t="inlineStr">
        <is>
          <t>Unknown</t>
        </is>
      </c>
      <c r="U106" s="18" t="inlineStr">
        <is>
          <t>Unknown</t>
        </is>
      </c>
      <c r="V106" s="18" t="inlineStr"/>
      <c r="W106" s="18" t="inlineStr">
        <is>
          <t>Interzoo exhibitor; subsidiaries in AT, FR, UK</t>
        </is>
      </c>
      <c r="X106" s="18" t="inlineStr">
        <is>
          <t>Brand-direct invoices; UK arm removes import hassle</t>
        </is>
      </c>
      <c r="Y106" s="18" t="inlineStr"/>
      <c r="Z106" s="18" t="inlineStr">
        <is>
          <t>Company product docs + trade show</t>
        </is>
      </c>
      <c r="AA106" s="19" t="inlineStr">
        <is>
          <t>Source link</t>
        </is>
      </c>
      <c r="AB106" s="19" t="inlineStr">
        <is>
          <t>Search LinkedIn</t>
        </is>
      </c>
      <c r="AC106" s="18" t="inlineStr">
        <is>
          <t>Round 3</t>
        </is>
      </c>
      <c r="AD106" s="20" t="inlineStr">
        <is>
          <t>Not contacted</t>
        </is>
      </c>
      <c r="AE106" s="21" t="n"/>
      <c r="AF106" s="20" t="n"/>
      <c r="AG106" s="20" t="n"/>
      <c r="AH106" s="20" t="n"/>
      <c r="AI106" s="21">
        <f>IF(AE106="","",WORKDAY(AE106,5))</f>
        <v/>
      </c>
      <c r="AJ106" s="20" t="n"/>
      <c r="AK106" s="20" t="n"/>
    </row>
    <row r="107">
      <c r="A107" s="15" t="inlineStr">
        <is>
          <t>Germany</t>
        </is>
      </c>
      <c r="B107" s="16" t="n">
        <v>106</v>
      </c>
      <c r="C107" s="17" t="n">
        <v>4</v>
      </c>
      <c r="D107" s="18" t="inlineStr">
        <is>
          <t>Pet Supplies</t>
        </is>
      </c>
      <c r="E107" s="18" t="inlineStr">
        <is>
          <t>H. von Gimborn GmbH (GimCat, GimDog, Biokat's)</t>
        </is>
      </c>
      <c r="F107" s="19" t="inlineStr">
        <is>
          <t>https://www.gimborn.eu</t>
        </is>
      </c>
      <c r="G107" s="18" t="inlineStr">
        <is>
          <t>Emmerich am Rhein</t>
        </is>
      </c>
      <c r="H107" s="18" t="inlineStr"/>
      <c r="I107" s="18" t="inlineStr">
        <is>
          <t>EU / Europe</t>
        </is>
      </c>
      <c r="J107" s="18" t="inlineStr">
        <is>
          <t>Higher</t>
        </is>
      </c>
      <c r="K107" s="18" t="inlineStr">
        <is>
          <t>Albert-Einstein-Straße 6, 46446 Emmerich am Rhein</t>
        </is>
      </c>
      <c r="L107" s="18" t="inlineStr">
        <is>
          <t>+49 2822 9640</t>
        </is>
      </c>
      <c r="M107" s="18" t="inlineStr">
        <is>
          <t>info@gimborn.de</t>
        </is>
      </c>
      <c r="N107" s="18" t="inlineStr">
        <is>
          <t>Brand owner / manufacturer</t>
        </is>
      </c>
      <c r="O107" s="18" t="inlineStr">
        <is>
          <t>GimCat, GimDog snacks &amp; care, Biokat's cat litter</t>
        </is>
      </c>
      <c r="P107" s="18" t="inlineStr">
        <is>
          <t>Pet treats &amp; litter</t>
        </is>
      </c>
      <c r="Q107" s="18" t="inlineStr">
        <is>
          <t>On request</t>
        </is>
      </c>
      <c r="R107" s="18" t="inlineStr">
        <is>
          <t>Retailers &amp; distributors</t>
        </is>
      </c>
      <c r="S107" s="18" t="inlineStr">
        <is>
          <t>Ask</t>
        </is>
      </c>
      <c r="T107" s="18" t="inlineStr">
        <is>
          <t>Unknown</t>
        </is>
      </c>
      <c r="U107" s="18" t="inlineStr">
        <is>
          <t>Unknown</t>
        </is>
      </c>
      <c r="V107" s="18" t="inlineStr"/>
      <c r="W107" s="18" t="inlineStr">
        <is>
          <t>Founded 1855; own factory since 1965; Interzoo exhibitor; LEI registered</t>
        </is>
      </c>
      <c r="X107" s="18" t="inlineStr"/>
      <c r="Y107" s="18" t="inlineStr"/>
      <c r="Z107" s="18" t="inlineStr">
        <is>
          <t>Trade fair + business press</t>
        </is>
      </c>
      <c r="AA107" s="19" t="inlineStr">
        <is>
          <t>Source link</t>
        </is>
      </c>
      <c r="AB107" s="19" t="inlineStr">
        <is>
          <t>Search LinkedIn</t>
        </is>
      </c>
      <c r="AC107" s="18" t="inlineStr">
        <is>
          <t>Round 4</t>
        </is>
      </c>
      <c r="AD107" s="20" t="inlineStr">
        <is>
          <t>Not contacted</t>
        </is>
      </c>
      <c r="AE107" s="21" t="n"/>
      <c r="AF107" s="20" t="n"/>
      <c r="AG107" s="20" t="n"/>
      <c r="AH107" s="20" t="n"/>
      <c r="AI107" s="21">
        <f>IF(AE107="","",WORKDAY(AE107,5))</f>
        <v/>
      </c>
      <c r="AJ107" s="20" t="n"/>
      <c r="AK107" s="20" t="n"/>
    </row>
    <row r="108">
      <c r="A108" s="15" t="inlineStr">
        <is>
          <t>Germany</t>
        </is>
      </c>
      <c r="B108" s="16" t="n">
        <v>107</v>
      </c>
      <c r="C108" s="17" t="n">
        <v>4</v>
      </c>
      <c r="D108" s="18" t="inlineStr">
        <is>
          <t>Pet Supplies</t>
        </is>
      </c>
      <c r="E108" s="18" t="inlineStr">
        <is>
          <t>HUNTER International GmbH</t>
        </is>
      </c>
      <c r="F108" s="19" t="inlineStr">
        <is>
          <t>https://www.hunter.de</t>
        </is>
      </c>
      <c r="G108" s="18" t="inlineStr">
        <is>
          <t>Bielefeld</t>
        </is>
      </c>
      <c r="H108" s="18" t="inlineStr"/>
      <c r="I108" s="18" t="inlineStr">
        <is>
          <t>EU / Europe</t>
        </is>
      </c>
      <c r="J108" s="18" t="inlineStr">
        <is>
          <t>Higher</t>
        </is>
      </c>
      <c r="K108" s="18" t="inlineStr">
        <is>
          <t>Mittelbreede 5, 33719 Bielefeld</t>
        </is>
      </c>
      <c r="L108" s="18" t="inlineStr">
        <is>
          <t>+49 521 16399-500</t>
        </is>
      </c>
      <c r="M108" s="18" t="inlineStr">
        <is>
          <t>info@hunter.de</t>
        </is>
      </c>
      <c r="N108" s="18" t="inlineStr">
        <is>
          <t>Brand owner (B2B shop for retailers)</t>
        </is>
      </c>
      <c r="O108" s="18" t="inlineStr">
        <is>
          <t>HUNTER, stylecats, KESSI - collars, leads, beds, cat accessories</t>
        </is>
      </c>
      <c r="P108" s="18" t="inlineStr">
        <is>
          <t>Pet accessories</t>
        </is>
      </c>
      <c r="Q108" s="18" t="inlineStr">
        <is>
          <t>On request</t>
        </is>
      </c>
      <c r="R108" s="18" t="inlineStr">
        <is>
          <t>Trade customers - B2B shop b2b.hunter.de</t>
        </is>
      </c>
      <c r="S108" s="18" t="inlineStr">
        <is>
          <t>Yes - HUNTER UK (Knipton, Lincs)</t>
        </is>
      </c>
      <c r="T108" s="18" t="inlineStr">
        <is>
          <t>Unknown</t>
        </is>
      </c>
      <c r="U108" s="18" t="inlineStr">
        <is>
          <t>Unknown</t>
        </is>
      </c>
      <c r="V108" s="18" t="inlineStr"/>
      <c r="W108" s="18" t="inlineStr">
        <is>
          <t>Interzoo exhibitor; long-established German brand</t>
        </is>
      </c>
      <c r="X108" s="18" t="inlineStr">
        <is>
          <t>Brand-direct invoices</t>
        </is>
      </c>
      <c r="Y108" s="18" t="inlineStr"/>
      <c r="Z108" s="18" t="inlineStr">
        <is>
          <t>Company document + trade show</t>
        </is>
      </c>
      <c r="AA108" s="19" t="inlineStr">
        <is>
          <t>Source link</t>
        </is>
      </c>
      <c r="AB108" s="19" t="inlineStr">
        <is>
          <t>Search LinkedIn</t>
        </is>
      </c>
      <c r="AC108" s="18" t="inlineStr">
        <is>
          <t>Round 3</t>
        </is>
      </c>
      <c r="AD108" s="20" t="inlineStr">
        <is>
          <t>Not contacted</t>
        </is>
      </c>
      <c r="AE108" s="21" t="n"/>
      <c r="AF108" s="20" t="n"/>
      <c r="AG108" s="20" t="n"/>
      <c r="AH108" s="20" t="n"/>
      <c r="AI108" s="21">
        <f>IF(AE108="","",WORKDAY(AE108,5))</f>
        <v/>
      </c>
      <c r="AJ108" s="20" t="n"/>
      <c r="AK108" s="20" t="n"/>
    </row>
    <row r="109">
      <c r="A109" s="15" t="inlineStr">
        <is>
          <t>Germany</t>
        </is>
      </c>
      <c r="B109" s="16" t="n">
        <v>108</v>
      </c>
      <c r="C109" s="17" t="n">
        <v>4</v>
      </c>
      <c r="D109" s="18" t="inlineStr">
        <is>
          <t>Pet Supplies</t>
        </is>
      </c>
      <c r="E109" s="18" t="inlineStr">
        <is>
          <t>Nobby Pet Shop GmbH</t>
        </is>
      </c>
      <c r="F109" s="19" t="inlineStr">
        <is>
          <t>https://www.nobby.de</t>
        </is>
      </c>
      <c r="G109" s="18" t="inlineStr">
        <is>
          <t>Bocholt</t>
        </is>
      </c>
      <c r="H109" s="18" t="inlineStr"/>
      <c r="I109" s="18" t="inlineStr">
        <is>
          <t>EU / Europe</t>
        </is>
      </c>
      <c r="J109" s="18" t="inlineStr">
        <is>
          <t>Higher</t>
        </is>
      </c>
      <c r="K109" s="18" t="inlineStr">
        <is>
          <t>Im Egeling 21, 46395 Bocholt</t>
        </is>
      </c>
      <c r="L109" s="18" t="inlineStr">
        <is>
          <t>+49 2871 2394390</t>
        </is>
      </c>
      <c r="M109" s="18" t="inlineStr">
        <is>
          <t>info@nobby.de</t>
        </is>
      </c>
      <c r="N109" s="18" t="inlineStr">
        <is>
          <t>Wholesaler / importer</t>
        </is>
      </c>
      <c r="O109" s="18" t="inlineStr">
        <is>
          <t>7,000+ pet products: dog, cat, small animal, bird, aquarium, pond</t>
        </is>
      </c>
      <c r="P109" s="18" t="inlineStr">
        <is>
          <t>Pet accessories</t>
        </is>
      </c>
      <c r="Q109" s="18" t="inlineStr">
        <is>
          <t>On request</t>
        </is>
      </c>
      <c r="R109" s="18" t="inlineStr">
        <is>
          <t>Pet retailers</t>
        </is>
      </c>
      <c r="S109" s="18" t="inlineStr">
        <is>
          <t>Previously via UK partner PPD - ask</t>
        </is>
      </c>
      <c r="T109" s="18" t="inlineStr">
        <is>
          <t>Unknown</t>
        </is>
      </c>
      <c r="U109" s="18" t="inlineStr">
        <is>
          <t>Unknown</t>
        </is>
      </c>
      <c r="V109" s="18" t="inlineStr"/>
      <c r="W109" s="18" t="inlineStr">
        <is>
          <t>30+ years; Interzoo &amp; Zoomark exhibitor; direct sales BE/FR since 2022</t>
        </is>
      </c>
      <c r="X109" s="18" t="inlineStr"/>
      <c r="Y109" s="18" t="inlineStr"/>
      <c r="Z109" s="18" t="inlineStr">
        <is>
          <t>Trade show listings</t>
        </is>
      </c>
      <c r="AA109" s="19" t="inlineStr">
        <is>
          <t>Source link</t>
        </is>
      </c>
      <c r="AB109" s="19" t="inlineStr">
        <is>
          <t>Search LinkedIn</t>
        </is>
      </c>
      <c r="AC109" s="18" t="inlineStr">
        <is>
          <t>Round 3</t>
        </is>
      </c>
      <c r="AD109" s="20" t="inlineStr">
        <is>
          <t>Not contacted</t>
        </is>
      </c>
      <c r="AE109" s="21" t="n"/>
      <c r="AF109" s="20" t="n"/>
      <c r="AG109" s="20" t="n"/>
      <c r="AH109" s="20" t="n"/>
      <c r="AI109" s="21">
        <f>IF(AE109="","",WORKDAY(AE109,5))</f>
        <v/>
      </c>
      <c r="AJ109" s="20" t="n"/>
      <c r="AK109" s="20" t="n"/>
    </row>
    <row r="110">
      <c r="A110" s="15" t="inlineStr">
        <is>
          <t>Germany</t>
        </is>
      </c>
      <c r="B110" s="16" t="n">
        <v>109</v>
      </c>
      <c r="C110" s="17" t="n">
        <v>4</v>
      </c>
      <c r="D110" s="18" t="inlineStr">
        <is>
          <t>Pet Supplies</t>
        </is>
      </c>
      <c r="E110" s="18" t="inlineStr">
        <is>
          <t>Vitakraft pet care GmbH &amp; Co. KG</t>
        </is>
      </c>
      <c r="F110" s="19" t="inlineStr">
        <is>
          <t>https://www.vitakraft.com</t>
        </is>
      </c>
      <c r="G110" s="18" t="inlineStr">
        <is>
          <t>Bremen</t>
        </is>
      </c>
      <c r="H110" s="18" t="inlineStr"/>
      <c r="I110" s="18" t="inlineStr">
        <is>
          <t>EU / Europe</t>
        </is>
      </c>
      <c r="J110" s="18" t="inlineStr">
        <is>
          <t>Higher</t>
        </is>
      </c>
      <c r="K110" s="18" t="inlineStr">
        <is>
          <t>Mahndorfer Heerstraße 9, 28307 Bremen</t>
        </is>
      </c>
      <c r="L110" s="18" t="inlineStr"/>
      <c r="M110" s="18" t="inlineStr"/>
      <c r="N110" s="18" t="inlineStr">
        <is>
          <t>Brand owner / manufacturer</t>
        </is>
      </c>
      <c r="O110" s="18" t="inlineStr">
        <is>
          <t>Vitakraft treats, food &amp; care for cats, dogs, small animals, birds</t>
        </is>
      </c>
      <c r="P110" s="18" t="inlineStr">
        <is>
          <t>Pet food &amp; treats</t>
        </is>
      </c>
      <c r="Q110" s="18" t="inlineStr">
        <is>
          <t>Account based</t>
        </is>
      </c>
      <c r="R110" s="18" t="inlineStr">
        <is>
          <t>Retailers &amp; distributors (own sales companies in 19 countries)</t>
        </is>
      </c>
      <c r="S110" s="18" t="inlineStr">
        <is>
          <t>Has international sales network - ask</t>
        </is>
      </c>
      <c r="T110" s="18" t="inlineStr">
        <is>
          <t>Unknown</t>
        </is>
      </c>
      <c r="U110" s="18" t="inlineStr">
        <is>
          <t>Unknown</t>
        </is>
      </c>
      <c r="V110" s="18" t="inlineStr"/>
      <c r="W110" s="18" t="inlineStr">
        <is>
          <t>~1,100 staff in 24 nations; dedicated export team in Bremen</t>
        </is>
      </c>
      <c r="X110" s="18" t="inlineStr">
        <is>
          <t>Major pet brand - brand-direct invoices</t>
        </is>
      </c>
      <c r="Y110" s="18" t="inlineStr"/>
      <c r="Z110" s="18" t="inlineStr">
        <is>
          <t>Industry directory + investor profile</t>
        </is>
      </c>
      <c r="AA110" s="19" t="inlineStr">
        <is>
          <t>Source link</t>
        </is>
      </c>
      <c r="AB110" s="19" t="inlineStr">
        <is>
          <t>Search LinkedIn</t>
        </is>
      </c>
      <c r="AC110" s="18" t="inlineStr">
        <is>
          <t>Round 4</t>
        </is>
      </c>
      <c r="AD110" s="20" t="inlineStr">
        <is>
          <t>Not contacted</t>
        </is>
      </c>
      <c r="AE110" s="21" t="n"/>
      <c r="AF110" s="20" t="n"/>
      <c r="AG110" s="20" t="n"/>
      <c r="AH110" s="20" t="n"/>
      <c r="AI110" s="21">
        <f>IF(AE110="","",WORKDAY(AE110,5))</f>
        <v/>
      </c>
      <c r="AJ110" s="20" t="n"/>
      <c r="AK110" s="20" t="n"/>
    </row>
    <row r="111">
      <c r="A111" s="15" t="inlineStr">
        <is>
          <t>Germany</t>
        </is>
      </c>
      <c r="B111" s="16" t="n">
        <v>110</v>
      </c>
      <c r="C111" s="17" t="n">
        <v>3</v>
      </c>
      <c r="D111" s="18" t="inlineStr">
        <is>
          <t>Pet Supplies</t>
        </is>
      </c>
      <c r="E111" s="18" t="inlineStr">
        <is>
          <t>Josera Petfood GmbH &amp; Co. KG</t>
        </is>
      </c>
      <c r="F111" s="19" t="inlineStr">
        <is>
          <t>https://josera-importers.com</t>
        </is>
      </c>
      <c r="G111" s="18" t="inlineStr">
        <is>
          <t>Kleinheubach (Bavaria)</t>
        </is>
      </c>
      <c r="H111" s="18" t="inlineStr"/>
      <c r="I111" s="18" t="inlineStr">
        <is>
          <t>EU / Europe</t>
        </is>
      </c>
      <c r="J111" s="18" t="inlineStr">
        <is>
          <t>Higher</t>
        </is>
      </c>
      <c r="K111" s="18" t="inlineStr">
        <is>
          <t>Industriegebiet Süd, 63924 Kleinheubach</t>
        </is>
      </c>
      <c r="L111" s="18" t="inlineStr">
        <is>
          <t>+49 9371 940120</t>
        </is>
      </c>
      <c r="M111" s="18" t="inlineStr">
        <is>
          <t>export-petfood@josera.de</t>
        </is>
      </c>
      <c r="N111" s="18" t="inlineStr">
        <is>
          <t>Brand owner / manufacturer</t>
        </is>
      </c>
      <c r="O111" s="18" t="inlineStr">
        <is>
          <t>Josera &amp; JosiDog/JosiCat dog &amp; cat food</t>
        </is>
      </c>
      <c r="P111" s="18" t="inlineStr">
        <is>
          <t>Pet food</t>
        </is>
      </c>
      <c r="Q111" s="18" t="inlineStr">
        <is>
          <t>Pallet level likely</t>
        </is>
      </c>
      <c r="R111" s="18" t="inlineStr">
        <is>
          <t>Importers &amp; distributors (importer portal)</t>
        </is>
      </c>
      <c r="S111" s="18" t="inlineStr">
        <is>
          <t>Has export team &amp; importer portal - ask</t>
        </is>
      </c>
      <c r="T111" s="18" t="inlineStr">
        <is>
          <t>Unknown</t>
        </is>
      </c>
      <c r="U111" s="18" t="inlineStr">
        <is>
          <t>Unknown</t>
        </is>
      </c>
      <c r="V111" s="18" t="inlineStr"/>
      <c r="W111" s="18" t="inlineStr">
        <is>
          <t>Interzoo &amp; Zoomark exhibitor; dedicated export managers</t>
        </is>
      </c>
      <c r="X111" s="18" t="inlineStr">
        <is>
          <t>Heavy food bags = high FBA fees</t>
        </is>
      </c>
      <c r="Y111" s="18" t="inlineStr"/>
      <c r="Z111" s="18" t="inlineStr">
        <is>
          <t>Trade fair listings</t>
        </is>
      </c>
      <c r="AA111" s="19" t="inlineStr">
        <is>
          <t>Source link</t>
        </is>
      </c>
      <c r="AB111" s="19" t="inlineStr">
        <is>
          <t>Search LinkedIn</t>
        </is>
      </c>
      <c r="AC111" s="18" t="inlineStr">
        <is>
          <t>Round 4</t>
        </is>
      </c>
      <c r="AD111" s="20" t="inlineStr">
        <is>
          <t>Not contacted</t>
        </is>
      </c>
      <c r="AE111" s="21" t="n"/>
      <c r="AF111" s="20" t="n"/>
      <c r="AG111" s="20" t="n"/>
      <c r="AH111" s="20" t="n"/>
      <c r="AI111" s="21">
        <f>IF(AE111="","",WORKDAY(AE111,5))</f>
        <v/>
      </c>
      <c r="AJ111" s="20" t="n"/>
      <c r="AK111" s="20" t="n"/>
    </row>
    <row r="112">
      <c r="A112" s="15" t="inlineStr">
        <is>
          <t>Germany</t>
        </is>
      </c>
      <c r="B112" s="16" t="n">
        <v>111</v>
      </c>
      <c r="C112" s="17" t="n">
        <v>3</v>
      </c>
      <c r="D112" s="18" t="inlineStr">
        <is>
          <t>Pet Supplies</t>
        </is>
      </c>
      <c r="E112" s="18" t="inlineStr">
        <is>
          <t>Schulze Heimtierbedarf GmbH (Porta Pet)</t>
        </is>
      </c>
      <c r="F112" s="19" t="inlineStr">
        <is>
          <t>https://www.portapet.de</t>
        </is>
      </c>
      <c r="G112" s="18" t="inlineStr">
        <is>
          <t>Porta Westfalica</t>
        </is>
      </c>
      <c r="H112" s="18" t="inlineStr"/>
      <c r="I112" s="18" t="inlineStr">
        <is>
          <t>EU / Europe</t>
        </is>
      </c>
      <c r="J112" s="18" t="inlineStr">
        <is>
          <t>Higher</t>
        </is>
      </c>
      <c r="K112" s="18" t="inlineStr">
        <is>
          <t>Osterkamp 11, 32457 Porta Westfalica</t>
        </is>
      </c>
      <c r="L112" s="18" t="inlineStr">
        <is>
          <t>+49 571 9820023</t>
        </is>
      </c>
      <c r="M112" s="18" t="inlineStr">
        <is>
          <t>info@portapet.de</t>
        </is>
      </c>
      <c r="N112" s="18" t="inlineStr">
        <is>
          <t>Brand owner / exclusive distributor</t>
        </is>
      </c>
      <c r="O112" s="18" t="inlineStr">
        <is>
          <t>Porta21 + Starmark, Intersand, Jolly Pets, Pioneer Pet, Sturdi, Omega Paw, Doggles</t>
        </is>
      </c>
      <c r="P112" s="18" t="inlineStr">
        <is>
          <t>Pet food, litter, toys</t>
        </is>
      </c>
      <c r="Q112" s="18" t="inlineStr">
        <is>
          <t>On request</t>
        </is>
      </c>
      <c r="R112" s="18" t="inlineStr">
        <is>
          <t>Wholesale &amp; retail partners</t>
        </is>
      </c>
      <c r="S112" s="18" t="inlineStr">
        <is>
          <t>Supplies across Europe - ask</t>
        </is>
      </c>
      <c r="T112" s="18" t="inlineStr">
        <is>
          <t>Unknown</t>
        </is>
      </c>
      <c r="U112" s="18" t="inlineStr">
        <is>
          <t>Unknown</t>
        </is>
      </c>
      <c r="V112" s="18" t="inlineStr"/>
      <c r="W112" s="18" t="inlineStr">
        <is>
          <t>Second-generation family business; Interzoo &amp; Zoomark exhibitor</t>
        </is>
      </c>
      <c r="X112" s="18" t="inlineStr"/>
      <c r="Y112" s="18" t="inlineStr"/>
      <c r="Z112" s="18" t="inlineStr">
        <is>
          <t>Trade show listings</t>
        </is>
      </c>
      <c r="AA112" s="19" t="inlineStr">
        <is>
          <t>Source link</t>
        </is>
      </c>
      <c r="AB112" s="19" t="inlineStr">
        <is>
          <t>Search LinkedIn</t>
        </is>
      </c>
      <c r="AC112" s="18" t="inlineStr">
        <is>
          <t>Round 2</t>
        </is>
      </c>
      <c r="AD112" s="20" t="inlineStr">
        <is>
          <t>Not contacted</t>
        </is>
      </c>
      <c r="AE112" s="21" t="n"/>
      <c r="AF112" s="20" t="n"/>
      <c r="AG112" s="20" t="n"/>
      <c r="AH112" s="20" t="n"/>
      <c r="AI112" s="21">
        <f>IF(AE112="","",WORKDAY(AE112,5))</f>
        <v/>
      </c>
      <c r="AJ112" s="20" t="n"/>
      <c r="AK112" s="20" t="n"/>
    </row>
    <row r="113">
      <c r="A113" s="15" t="inlineStr">
        <is>
          <t>Germany</t>
        </is>
      </c>
      <c r="B113" s="16" t="n">
        <v>112</v>
      </c>
      <c r="C113" s="17" t="n">
        <v>3</v>
      </c>
      <c r="D113" s="18" t="inlineStr">
        <is>
          <t>Pet Supplies</t>
        </is>
      </c>
      <c r="E113" s="18" t="inlineStr">
        <is>
          <t>WOLTERS cat &amp; dog GmbH</t>
        </is>
      </c>
      <c r="F113" s="18" t="inlineStr">
        <is>
          <t>Not confirmed - search company name</t>
        </is>
      </c>
      <c r="G113" s="18" t="inlineStr">
        <is>
          <t>Verden (Aller)</t>
        </is>
      </c>
      <c r="H113" s="18" t="inlineStr"/>
      <c r="I113" s="18" t="inlineStr">
        <is>
          <t>EU / Europe</t>
        </is>
      </c>
      <c r="J113" s="18" t="inlineStr">
        <is>
          <t>Higher</t>
        </is>
      </c>
      <c r="K113" s="18" t="inlineStr">
        <is>
          <t>Otto-Hahn-Straße 2, 27283 Verden (HRB 121182 Walsrode)</t>
        </is>
      </c>
      <c r="L113" s="18" t="inlineStr">
        <is>
          <t>+49 4231 72077770 (store - verify)</t>
        </is>
      </c>
      <c r="M113" s="18" t="inlineStr"/>
      <c r="N113" s="18" t="inlineStr">
        <is>
          <t>Brand owner</t>
        </is>
      </c>
      <c r="O113" s="18" t="inlineStr">
        <is>
          <t>WOLTERS premium dog harnesses, collars, beds, coats</t>
        </is>
      </c>
      <c r="P113" s="18" t="inlineStr">
        <is>
          <t>Premium pet accessories</t>
        </is>
      </c>
      <c r="Q113" s="18" t="inlineStr">
        <is>
          <t>On request</t>
        </is>
      </c>
      <c r="R113" s="18" t="inlineStr">
        <is>
          <t>Pet retailers</t>
        </is>
      </c>
      <c r="S113" s="18" t="inlineStr">
        <is>
          <t>Ask</t>
        </is>
      </c>
      <c r="T113" s="18" t="inlineStr">
        <is>
          <t>Unknown</t>
        </is>
      </c>
      <c r="U113" s="18" t="inlineStr">
        <is>
          <t>Unknown</t>
        </is>
      </c>
      <c r="V113" s="18" t="inlineStr">
        <is>
          <t>HRB 121182</t>
        </is>
      </c>
      <c r="W113" s="18" t="inlineStr">
        <is>
          <t>LEI &amp; commercial register entry</t>
        </is>
      </c>
      <c r="X113" s="18" t="inlineStr"/>
      <c r="Y113" s="18" t="inlineStr"/>
      <c r="Z113" s="18" t="inlineStr">
        <is>
          <t>LEI register + directory</t>
        </is>
      </c>
      <c r="AA113" s="19" t="inlineStr">
        <is>
          <t>Source link</t>
        </is>
      </c>
      <c r="AB113" s="19" t="inlineStr">
        <is>
          <t>Search LinkedIn</t>
        </is>
      </c>
      <c r="AC113" s="18" t="inlineStr">
        <is>
          <t>Round 4</t>
        </is>
      </c>
      <c r="AD113" s="20" t="inlineStr">
        <is>
          <t>Not contacted</t>
        </is>
      </c>
      <c r="AE113" s="21" t="n"/>
      <c r="AF113" s="20" t="n"/>
      <c r="AG113" s="20" t="n"/>
      <c r="AH113" s="20" t="n"/>
      <c r="AI113" s="21">
        <f>IF(AE113="","",WORKDAY(AE113,5))</f>
        <v/>
      </c>
      <c r="AJ113" s="20" t="n"/>
      <c r="AK113" s="20" t="n"/>
    </row>
    <row r="114">
      <c r="A114" s="15" t="inlineStr">
        <is>
          <t>Germany</t>
        </is>
      </c>
      <c r="B114" s="16" t="n">
        <v>113</v>
      </c>
      <c r="C114" s="17" t="n">
        <v>4</v>
      </c>
      <c r="D114" s="18" t="inlineStr">
        <is>
          <t>Sports &amp; Outdoors</t>
        </is>
      </c>
      <c r="E114" s="18" t="inlineStr">
        <is>
          <t>Hermann Hartje KG</t>
        </is>
      </c>
      <c r="F114" s="19" t="inlineStr">
        <is>
          <t>https://hartje.de/en/company/</t>
        </is>
      </c>
      <c r="G114" s="18" t="inlineStr">
        <is>
          <t>Hoya (Lower Saxony)</t>
        </is>
      </c>
      <c r="H114" s="18" t="inlineStr"/>
      <c r="I114" s="18" t="inlineStr">
        <is>
          <t>EU / Europe</t>
        </is>
      </c>
      <c r="J114" s="18" t="inlineStr">
        <is>
          <t>Higher</t>
        </is>
      </c>
      <c r="K114" s="18" t="inlineStr">
        <is>
          <t>Hoya (HQ)</t>
        </is>
      </c>
      <c r="L114" s="18" t="inlineStr"/>
      <c r="M114" s="18" t="inlineStr">
        <is>
          <t>via dealer contact form</t>
        </is>
      </c>
      <c r="N114" s="18" t="inlineStr">
        <is>
          <t>Manufacturer, brand dealer &amp; wholesaler</t>
        </is>
      </c>
      <c r="O114" s="18" t="inlineStr">
        <is>
          <t>Contec parts &amp; accessories, CONWAY bikes, exclusive parts brands (e.g. Magneti Marelli bike)</t>
        </is>
      </c>
      <c r="P114" s="18" t="inlineStr">
        <is>
          <t>Cycling parts &amp; accessories</t>
        </is>
      </c>
      <c r="Q114" s="18" t="inlineStr">
        <is>
          <t>On request</t>
        </is>
      </c>
      <c r="R114" s="18" t="inlineStr">
        <is>
          <t>Dealers - HARTJE dealer portal</t>
        </is>
      </c>
      <c r="S114" s="18" t="inlineStr">
        <is>
          <t>Has international distributors per country - ask</t>
        </is>
      </c>
      <c r="T114" s="18" t="inlineStr">
        <is>
          <t>Unknown</t>
        </is>
      </c>
      <c r="U114" s="18" t="inlineStr">
        <is>
          <t>Unknown</t>
        </is>
      </c>
      <c r="V114" s="18" t="inlineStr"/>
      <c r="W114" s="18" t="inlineStr">
        <is>
          <t>20+ subsidiaries; one of Germany's largest cycling wholesalers</t>
        </is>
      </c>
      <c r="X114" s="18" t="inlineStr">
        <is>
          <t>Contec accessories (own brand) = direct invoices</t>
        </is>
      </c>
      <c r="Y114" s="18" t="inlineStr"/>
      <c r="Z114" s="18" t="inlineStr">
        <is>
          <t>Company website (via search)</t>
        </is>
      </c>
      <c r="AA114" s="19" t="inlineStr">
        <is>
          <t>Source link</t>
        </is>
      </c>
      <c r="AB114" s="19" t="inlineStr">
        <is>
          <t>Search LinkedIn</t>
        </is>
      </c>
      <c r="AC114" s="18" t="inlineStr">
        <is>
          <t>Round 4</t>
        </is>
      </c>
      <c r="AD114" s="20" t="inlineStr">
        <is>
          <t>Not contacted</t>
        </is>
      </c>
      <c r="AE114" s="21" t="n"/>
      <c r="AF114" s="20" t="n"/>
      <c r="AG114" s="20" t="n"/>
      <c r="AH114" s="20" t="n"/>
      <c r="AI114" s="21">
        <f>IF(AE114="","",WORKDAY(AE114,5))</f>
        <v/>
      </c>
      <c r="AJ114" s="20" t="n"/>
      <c r="AK114" s="20" t="n"/>
    </row>
    <row r="115">
      <c r="A115" s="15" t="inlineStr">
        <is>
          <t>Germany</t>
        </is>
      </c>
      <c r="B115" s="16" t="n">
        <v>114</v>
      </c>
      <c r="C115" s="17" t="n">
        <v>4</v>
      </c>
      <c r="D115" s="18" t="inlineStr">
        <is>
          <t>Sports &amp; Outdoors</t>
        </is>
      </c>
      <c r="E115" s="18" t="inlineStr">
        <is>
          <t>Paul Lange &amp; Co. OHG</t>
        </is>
      </c>
      <c r="F115" s="19" t="inlineStr">
        <is>
          <t>https://www.paul-lange.de</t>
        </is>
      </c>
      <c r="G115" s="18" t="inlineStr">
        <is>
          <t>Stuttgart</t>
        </is>
      </c>
      <c r="H115" s="18" t="inlineStr"/>
      <c r="I115" s="18" t="inlineStr">
        <is>
          <t>EU / Europe</t>
        </is>
      </c>
      <c r="J115" s="18" t="inlineStr">
        <is>
          <t>Higher</t>
        </is>
      </c>
      <c r="K115" s="18" t="inlineStr">
        <is>
          <t>Stuttgart</t>
        </is>
      </c>
      <c r="L115" s="18" t="inlineStr"/>
      <c r="M115" s="18" t="inlineStr"/>
      <c r="N115" s="18" t="inlineStr">
        <is>
          <t>Cycling wholesaler / importer</t>
        </is>
      </c>
      <c r="O115" s="18" t="inlineStr">
        <is>
          <t>Shimano general representative (DE) + cycling parts, MILREMO clothing</t>
        </is>
      </c>
      <c r="P115" s="18" t="inlineStr">
        <is>
          <t>Cycling parts &amp; accessories</t>
        </is>
      </c>
      <c r="Q115" s="18" t="inlineStr">
        <is>
          <t>On request</t>
        </is>
      </c>
      <c r="R115" s="18" t="inlineStr">
        <is>
          <t>Bike dealers (dealer training &amp; service)</t>
        </is>
      </c>
      <c r="S115" s="18" t="inlineStr">
        <is>
          <t>Paul Lange Group operates in 7 other EU countries - ask</t>
        </is>
      </c>
      <c r="T115" s="18" t="inlineStr">
        <is>
          <t>Unknown</t>
        </is>
      </c>
      <c r="U115" s="18" t="inlineStr">
        <is>
          <t>Unknown</t>
        </is>
      </c>
      <c r="V115" s="18" t="inlineStr"/>
      <c r="W115" s="18" t="inlineStr">
        <is>
          <t>Founded 1949; Shimano distributor since 1967; 75+ years</t>
        </is>
      </c>
      <c r="X115" s="18" t="inlineStr">
        <is>
          <t>Shimano parts sell well; ask about online dealer policy</t>
        </is>
      </c>
      <c r="Y115" s="18" t="inlineStr">
        <is>
          <t>MD: Bernhard Lange.</t>
        </is>
      </c>
      <c r="Z115" s="18" t="inlineStr">
        <is>
          <t>Trade press + company press room</t>
        </is>
      </c>
      <c r="AA115" s="19" t="inlineStr">
        <is>
          <t>Source link</t>
        </is>
      </c>
      <c r="AB115" s="19" t="inlineStr">
        <is>
          <t>Search LinkedIn</t>
        </is>
      </c>
      <c r="AC115" s="18" t="inlineStr">
        <is>
          <t>Round 4</t>
        </is>
      </c>
      <c r="AD115" s="20" t="inlineStr">
        <is>
          <t>Not contacted</t>
        </is>
      </c>
      <c r="AE115" s="21" t="n"/>
      <c r="AF115" s="20" t="n"/>
      <c r="AG115" s="20" t="n"/>
      <c r="AH115" s="20" t="n"/>
      <c r="AI115" s="21">
        <f>IF(AE115="","",WORKDAY(AE115,5))</f>
        <v/>
      </c>
      <c r="AJ115" s="20" t="n"/>
      <c r="AK115" s="20" t="n"/>
    </row>
    <row r="116">
      <c r="A116" s="15" t="inlineStr">
        <is>
          <t>Germany</t>
        </is>
      </c>
      <c r="B116" s="16" t="n">
        <v>115</v>
      </c>
      <c r="C116" s="17" t="n">
        <v>4</v>
      </c>
      <c r="D116" s="18" t="inlineStr">
        <is>
          <t>Sports &amp; Outdoors</t>
        </is>
      </c>
      <c r="E116" s="18" t="inlineStr">
        <is>
          <t>SIGMA-ELEKTRO GmbH (SIGMA SPORT)</t>
        </is>
      </c>
      <c r="F116" s="19" t="inlineStr">
        <is>
          <t>https://sigma.bike</t>
        </is>
      </c>
      <c r="G116" s="18" t="inlineStr">
        <is>
          <t>Neustadt an der Weinstraße</t>
        </is>
      </c>
      <c r="H116" s="18" t="inlineStr"/>
      <c r="I116" s="18" t="inlineStr">
        <is>
          <t>EU / Europe</t>
        </is>
      </c>
      <c r="J116" s="18" t="inlineStr">
        <is>
          <t>Higher</t>
        </is>
      </c>
      <c r="K116" s="18" t="inlineStr">
        <is>
          <t>Dr.-Julius-Leber-Straße 15, 67433 Neustadt</t>
        </is>
      </c>
      <c r="L116" s="18" t="inlineStr">
        <is>
          <t>+49 6321 91200</t>
        </is>
      </c>
      <c r="M116" s="18" t="inlineStr">
        <is>
          <t>info@sigma.bike</t>
        </is>
      </c>
      <c r="N116" s="18" t="inlineStr">
        <is>
          <t>Brand owner / manufacturer</t>
        </is>
      </c>
      <c r="O116" s="18" t="inlineStr">
        <is>
          <t>SIGMA bike computers, bike lights, e-bike electronics</t>
        </is>
      </c>
      <c r="P116" s="18" t="inlineStr">
        <is>
          <t>Cycling electronics &amp; lights</t>
        </is>
      </c>
      <c r="Q116" s="18" t="inlineStr">
        <is>
          <t>On request</t>
        </is>
      </c>
      <c r="R116" s="18" t="inlineStr">
        <is>
          <t>Distributors &amp; dealers</t>
        </is>
      </c>
      <c r="S116" s="18" t="inlineStr">
        <is>
          <t>Sold worldwide - ask</t>
        </is>
      </c>
      <c r="T116" s="18" t="inlineStr">
        <is>
          <t>Unknown</t>
        </is>
      </c>
      <c r="U116" s="18" t="inlineStr">
        <is>
          <t>Unknown</t>
        </is>
      </c>
      <c r="V116" s="18" t="inlineStr"/>
      <c r="W116" s="18" t="inlineStr">
        <is>
          <t>Founded 1981; ISO 9001 certified; family-owned</t>
        </is>
      </c>
      <c r="X116" s="18" t="inlineStr">
        <is>
          <t>Bike lights sell well (batteries: check hazmat)</t>
        </is>
      </c>
      <c r="Y116" s="18" t="inlineStr"/>
      <c r="Z116" s="18" t="inlineStr">
        <is>
          <t>Business press + retailer EU info</t>
        </is>
      </c>
      <c r="AA116" s="19" t="inlineStr">
        <is>
          <t>Source link</t>
        </is>
      </c>
      <c r="AB116" s="19" t="inlineStr">
        <is>
          <t>Search LinkedIn</t>
        </is>
      </c>
      <c r="AC116" s="18" t="inlineStr">
        <is>
          <t>Round 4</t>
        </is>
      </c>
      <c r="AD116" s="20" t="inlineStr">
        <is>
          <t>Not contacted</t>
        </is>
      </c>
      <c r="AE116" s="21" t="n"/>
      <c r="AF116" s="20" t="n"/>
      <c r="AG116" s="20" t="n"/>
      <c r="AH116" s="20" t="n"/>
      <c r="AI116" s="21">
        <f>IF(AE116="","",WORKDAY(AE116,5))</f>
        <v/>
      </c>
      <c r="AJ116" s="20" t="n"/>
      <c r="AK116" s="20" t="n"/>
    </row>
    <row r="117">
      <c r="A117" s="15" t="inlineStr">
        <is>
          <t>Germany</t>
        </is>
      </c>
      <c r="B117" s="16" t="n">
        <v>116</v>
      </c>
      <c r="C117" s="17" t="n">
        <v>4</v>
      </c>
      <c r="D117" s="18" t="inlineStr">
        <is>
          <t>Sports &amp; Outdoors</t>
        </is>
      </c>
      <c r="E117" s="18" t="inlineStr">
        <is>
          <t>SKS metaplast Scheffer-Klute GmbH (SKS GERMANY)</t>
        </is>
      </c>
      <c r="F117" s="19" t="inlineStr">
        <is>
          <t>https://www.sks-germany.com</t>
        </is>
      </c>
      <c r="G117" s="18" t="inlineStr">
        <is>
          <t>Sundern (Sauerland)</t>
        </is>
      </c>
      <c r="H117" s="18" t="inlineStr"/>
      <c r="I117" s="18" t="inlineStr">
        <is>
          <t>EU / Europe</t>
        </is>
      </c>
      <c r="J117" s="18" t="inlineStr">
        <is>
          <t>Higher</t>
        </is>
      </c>
      <c r="K117" s="18" t="inlineStr">
        <is>
          <t>Sundern</t>
        </is>
      </c>
      <c r="L117" s="18" t="inlineStr"/>
      <c r="M117" s="18" t="inlineStr"/>
      <c r="N117" s="18" t="inlineStr">
        <is>
          <t>Brand owner / manufacturer</t>
        </is>
      </c>
      <c r="O117" s="18" t="inlineStr">
        <is>
          <t>SKS pumps, mudguards, bottle cages, bike accessories</t>
        </is>
      </c>
      <c r="P117" s="18" t="inlineStr">
        <is>
          <t>Cycling accessories</t>
        </is>
      </c>
      <c r="Q117" s="18" t="inlineStr">
        <is>
          <t>On request</t>
        </is>
      </c>
      <c r="R117" s="18" t="inlineStr">
        <is>
          <t>Distributors (export dept.) &amp; dealers</t>
        </is>
      </c>
      <c r="S117" s="18" t="inlineStr">
        <is>
          <t>UK via exclusive distributor (historically Zyro) - ask</t>
        </is>
      </c>
      <c r="T117" s="18" t="inlineStr">
        <is>
          <t>Unknown</t>
        </is>
      </c>
      <c r="U117" s="18" t="inlineStr">
        <is>
          <t>Unknown</t>
        </is>
      </c>
      <c r="V117" s="18" t="inlineStr"/>
      <c r="W117" s="18" t="inlineStr">
        <is>
          <t>4th-generation family firm; exports to 60+ countries; record sales</t>
        </is>
      </c>
      <c r="X117" s="18" t="inlineStr">
        <is>
          <t>Small accessories = good FBA fit</t>
        </is>
      </c>
      <c r="Y117" s="18" t="inlineStr"/>
      <c r="Z117" s="18" t="inlineStr">
        <is>
          <t>Company blog + trade press</t>
        </is>
      </c>
      <c r="AA117" s="19" t="inlineStr">
        <is>
          <t>Source link</t>
        </is>
      </c>
      <c r="AB117" s="19" t="inlineStr">
        <is>
          <t>Search LinkedIn</t>
        </is>
      </c>
      <c r="AC117" s="18" t="inlineStr">
        <is>
          <t>Round 4</t>
        </is>
      </c>
      <c r="AD117" s="20" t="inlineStr">
        <is>
          <t>Not contacted</t>
        </is>
      </c>
      <c r="AE117" s="21" t="n"/>
      <c r="AF117" s="20" t="n"/>
      <c r="AG117" s="20" t="n"/>
      <c r="AH117" s="20" t="n"/>
      <c r="AI117" s="21">
        <f>IF(AE117="","",WORKDAY(AE117,5))</f>
        <v/>
      </c>
      <c r="AJ117" s="20" t="n"/>
      <c r="AK117" s="20" t="n"/>
    </row>
    <row r="118">
      <c r="A118" s="15" t="inlineStr">
        <is>
          <t>Germany</t>
        </is>
      </c>
      <c r="B118" s="16" t="n">
        <v>117</v>
      </c>
      <c r="C118" s="17" t="n">
        <v>4</v>
      </c>
      <c r="D118" s="18" t="inlineStr">
        <is>
          <t>Sports &amp; Outdoors</t>
        </is>
      </c>
      <c r="E118" s="18" t="inlineStr">
        <is>
          <t>Sport Import GmbH</t>
        </is>
      </c>
      <c r="F118" s="19" t="inlineStr">
        <is>
          <t>https://sportimport.de</t>
        </is>
      </c>
      <c r="G118" s="18" t="inlineStr">
        <is>
          <t>Edewecht (Lower Saxony)</t>
        </is>
      </c>
      <c r="H118" s="18" t="inlineStr"/>
      <c r="I118" s="18" t="inlineStr">
        <is>
          <t>EU / Europe</t>
        </is>
      </c>
      <c r="J118" s="18" t="inlineStr">
        <is>
          <t>Higher</t>
        </is>
      </c>
      <c r="K118" s="18" t="inlineStr">
        <is>
          <t>Edewecht (see Impressum)</t>
        </is>
      </c>
      <c r="L118" s="18" t="inlineStr"/>
      <c r="M118" s="18" t="inlineStr"/>
      <c r="N118" s="18" t="inlineStr">
        <is>
          <t>Cycling distributor</t>
        </is>
      </c>
      <c r="O118" s="18" t="inlineStr">
        <is>
          <t>35+ cycling brands + own brand VOXOM; accessories, parts, bikes</t>
        </is>
      </c>
      <c r="P118" s="18" t="inlineStr">
        <is>
          <t>Cycling</t>
        </is>
      </c>
      <c r="Q118" s="18" t="inlineStr">
        <is>
          <t>On request</t>
        </is>
      </c>
      <c r="R118" s="18" t="inlineStr">
        <is>
          <t>Dealers - B2B shop registration</t>
        </is>
      </c>
      <c r="S118" s="18" t="inlineStr">
        <is>
          <t>Europe-wide - ask about UK</t>
        </is>
      </c>
      <c r="T118" s="18" t="inlineStr">
        <is>
          <t>Unknown</t>
        </is>
      </c>
      <c r="U118" s="18" t="inlineStr">
        <is>
          <t>Unknown</t>
        </is>
      </c>
      <c r="V118" s="18" t="inlineStr"/>
      <c r="W118" s="18" t="inlineStr">
        <is>
          <t>Founded 1982; 3,500-4,700 dealers across Europe</t>
        </is>
      </c>
      <c r="X118" s="18" t="inlineStr">
        <is>
          <t>Ask about online dealer policy</t>
        </is>
      </c>
      <c r="Y118" s="18" t="inlineStr"/>
      <c r="Z118" s="18" t="inlineStr">
        <is>
          <t>Company website + trade press (Bike Europe)</t>
        </is>
      </c>
      <c r="AA118" s="19" t="inlineStr">
        <is>
          <t>Source link</t>
        </is>
      </c>
      <c r="AB118" s="19" t="inlineStr">
        <is>
          <t>Search LinkedIn</t>
        </is>
      </c>
      <c r="AC118" s="18" t="inlineStr">
        <is>
          <t>Round 2</t>
        </is>
      </c>
      <c r="AD118" s="20" t="inlineStr">
        <is>
          <t>Not contacted</t>
        </is>
      </c>
      <c r="AE118" s="21" t="n"/>
      <c r="AF118" s="20" t="n"/>
      <c r="AG118" s="20" t="n"/>
      <c r="AH118" s="20" t="n"/>
      <c r="AI118" s="21">
        <f>IF(AE118="","",WORKDAY(AE118,5))</f>
        <v/>
      </c>
      <c r="AJ118" s="20" t="n"/>
      <c r="AK118" s="20" t="n"/>
    </row>
    <row r="119">
      <c r="A119" s="15" t="inlineStr">
        <is>
          <t>Germany</t>
        </is>
      </c>
      <c r="B119" s="16" t="n">
        <v>118</v>
      </c>
      <c r="C119" s="17" t="n">
        <v>3</v>
      </c>
      <c r="D119" s="18" t="inlineStr">
        <is>
          <t>Sports &amp; Outdoors</t>
        </is>
      </c>
      <c r="E119" s="18" t="inlineStr">
        <is>
          <t>Absolut Bikes GmbH</t>
        </is>
      </c>
      <c r="F119" s="18" t="inlineStr">
        <is>
          <t>Not confirmed - search company name</t>
        </is>
      </c>
      <c r="G119" s="18" t="inlineStr">
        <is>
          <t>Ostfildern (near Stuttgart)</t>
        </is>
      </c>
      <c r="H119" s="18" t="inlineStr"/>
      <c r="I119" s="18" t="inlineStr">
        <is>
          <t>EU / Europe</t>
        </is>
      </c>
      <c r="J119" s="18" t="inlineStr">
        <is>
          <t>Higher</t>
        </is>
      </c>
      <c r="K119" s="18" t="inlineStr">
        <is>
          <t>Ostfildern</t>
        </is>
      </c>
      <c r="L119" s="18" t="inlineStr"/>
      <c r="M119" s="18" t="inlineStr"/>
      <c r="N119" s="18" t="inlineStr">
        <is>
          <t>B2B e-commerce wholesaler</t>
        </is>
      </c>
      <c r="O119" s="18" t="inlineStr">
        <is>
          <t>Bicycle parts &amp; accessories</t>
        </is>
      </c>
      <c r="P119" s="18" t="inlineStr">
        <is>
          <t>Cycling</t>
        </is>
      </c>
      <c r="Q119" s="18" t="inlineStr">
        <is>
          <t>On request</t>
        </is>
      </c>
      <c r="R119" s="18" t="inlineStr">
        <is>
          <t>Bike shops (online &amp; offline)</t>
        </is>
      </c>
      <c r="S119" s="18" t="inlineStr">
        <is>
          <t>Europe-wide</t>
        </is>
      </c>
      <c r="T119" s="18" t="inlineStr">
        <is>
          <t>Yes (online shops)</t>
        </is>
      </c>
      <c r="U119" s="18" t="inlineStr">
        <is>
          <t>Unknown</t>
        </is>
      </c>
      <c r="V119" s="18" t="inlineStr"/>
      <c r="W119" s="18" t="inlineStr">
        <is>
          <t>Founded 1993; ships daily to 2,500+ shops; owned by FIELDS Group</t>
        </is>
      </c>
      <c r="X119" s="18" t="inlineStr">
        <is>
          <t>Supplies online bike shops</t>
        </is>
      </c>
      <c r="Y119" s="18" t="inlineStr">
        <is>
          <t>Search both 'Absolut' and 'Absolute' Bikes.</t>
        </is>
      </c>
      <c r="Z119" s="18" t="inlineStr">
        <is>
          <t>M&amp;A adviser announcement (IMAP)</t>
        </is>
      </c>
      <c r="AA119" s="19" t="inlineStr">
        <is>
          <t>Source link</t>
        </is>
      </c>
      <c r="AB119" s="19" t="inlineStr">
        <is>
          <t>Search LinkedIn</t>
        </is>
      </c>
      <c r="AC119" s="18" t="inlineStr">
        <is>
          <t>Round 2</t>
        </is>
      </c>
      <c r="AD119" s="20" t="inlineStr">
        <is>
          <t>Not contacted</t>
        </is>
      </c>
      <c r="AE119" s="21" t="n"/>
      <c r="AF119" s="20" t="n"/>
      <c r="AG119" s="20" t="n"/>
      <c r="AH119" s="20" t="n"/>
      <c r="AI119" s="21">
        <f>IF(AE119="","",WORKDAY(AE119,5))</f>
        <v/>
      </c>
      <c r="AJ119" s="20" t="n"/>
      <c r="AK119" s="20" t="n"/>
    </row>
    <row r="120">
      <c r="A120" s="15" t="inlineStr">
        <is>
          <t>Germany</t>
        </is>
      </c>
      <c r="B120" s="16" t="n">
        <v>119</v>
      </c>
      <c r="C120" s="17" t="n">
        <v>3</v>
      </c>
      <c r="D120" s="18" t="inlineStr">
        <is>
          <t>Sports &amp; Outdoors</t>
        </is>
      </c>
      <c r="E120" s="18" t="inlineStr">
        <is>
          <t>AceCamp GmbH</t>
        </is>
      </c>
      <c r="F120" s="19" t="inlineStr">
        <is>
          <t>https://www.provenexpert.com/acecamp-gmbh/</t>
        </is>
      </c>
      <c r="G120" s="18" t="inlineStr">
        <is>
          <t>Heusenstamm (Hesse)</t>
        </is>
      </c>
      <c r="H120" s="18" t="inlineStr"/>
      <c r="I120" s="18" t="inlineStr">
        <is>
          <t>EU / Europe</t>
        </is>
      </c>
      <c r="J120" s="18" t="inlineStr">
        <is>
          <t>Higher</t>
        </is>
      </c>
      <c r="K120" s="18" t="inlineStr">
        <is>
          <t>Weiskircher Weg 9, 63150 Heusenstamm</t>
        </is>
      </c>
      <c r="L120" s="18" t="inlineStr"/>
      <c r="M120" s="18" t="inlineStr"/>
      <c r="N120" s="18" t="inlineStr">
        <is>
          <t>B2B outdoor wholesaler / brand owner</t>
        </is>
      </c>
      <c r="O120" s="18" t="inlineStr">
        <is>
          <t>munkees, AceCamp - tent pegs, camping grills, pillows, sleeping bags</t>
        </is>
      </c>
      <c r="P120" s="18" t="inlineStr">
        <is>
          <t>Camping &amp; outdoor</t>
        </is>
      </c>
      <c r="Q120" s="18" t="inlineStr">
        <is>
          <t>On request</t>
        </is>
      </c>
      <c r="R120" s="18" t="inlineStr">
        <is>
          <t>Retailers</t>
        </is>
      </c>
      <c r="S120" s="18" t="inlineStr">
        <is>
          <t>Ask</t>
        </is>
      </c>
      <c r="T120" s="18" t="inlineStr">
        <is>
          <t>Unknown</t>
        </is>
      </c>
      <c r="U120" s="18" t="inlineStr">
        <is>
          <t>Unknown</t>
        </is>
      </c>
      <c r="V120" s="18" t="inlineStr"/>
      <c r="W120" s="18" t="inlineStr">
        <is>
          <t>ProvenExpert 5.0/5</t>
        </is>
      </c>
      <c r="X120" s="18" t="inlineStr">
        <is>
          <t>Own brands - direct invoices</t>
        </is>
      </c>
      <c r="Y120" s="18" t="inlineStr"/>
      <c r="Z120" s="18" t="inlineStr">
        <is>
          <t>Review profile</t>
        </is>
      </c>
      <c r="AA120" s="19" t="inlineStr">
        <is>
          <t>Source link</t>
        </is>
      </c>
      <c r="AB120" s="19" t="inlineStr">
        <is>
          <t>Search LinkedIn</t>
        </is>
      </c>
      <c r="AC120" s="18" t="inlineStr">
        <is>
          <t>Round 2</t>
        </is>
      </c>
      <c r="AD120" s="20" t="inlineStr">
        <is>
          <t>Not contacted</t>
        </is>
      </c>
      <c r="AE120" s="21" t="n"/>
      <c r="AF120" s="20" t="n"/>
      <c r="AG120" s="20" t="n"/>
      <c r="AH120" s="20" t="n"/>
      <c r="AI120" s="21">
        <f>IF(AE120="","",WORKDAY(AE120,5))</f>
        <v/>
      </c>
      <c r="AJ120" s="20" t="n"/>
      <c r="AK120" s="20" t="n"/>
    </row>
    <row r="121">
      <c r="A121" s="15" t="inlineStr">
        <is>
          <t>Germany</t>
        </is>
      </c>
      <c r="B121" s="16" t="n">
        <v>120</v>
      </c>
      <c r="C121" s="17" t="n">
        <v>3</v>
      </c>
      <c r="D121" s="18" t="inlineStr">
        <is>
          <t>Sports &amp; Outdoors</t>
        </is>
      </c>
      <c r="E121" s="18" t="inlineStr">
        <is>
          <t>Fitshop GmbH (KETTLER fitness)</t>
        </is>
      </c>
      <c r="F121" s="19" t="inlineStr">
        <is>
          <t>https://kettlersport.com/en-dk/about-us/</t>
        </is>
      </c>
      <c r="G121" s="18" t="inlineStr">
        <is>
          <t>Ense-Parsit (KETTLER HQ)</t>
        </is>
      </c>
      <c r="H121" s="18" t="inlineStr"/>
      <c r="I121" s="18" t="inlineStr">
        <is>
          <t>EU / Europe</t>
        </is>
      </c>
      <c r="J121" s="18" t="inlineStr">
        <is>
          <t>Higher</t>
        </is>
      </c>
      <c r="K121" s="18" t="inlineStr">
        <is>
          <t>Hauptstraße 28, 59469 Ense-Parsit (KETTLER)</t>
        </is>
      </c>
      <c r="L121" s="18" t="inlineStr">
        <is>
          <t>+49 2938 810 (KETTLER HQ)</t>
        </is>
      </c>
      <c r="M121" s="18" t="inlineStr"/>
      <c r="N121" s="18" t="inlineStr">
        <is>
          <t>Brand licensee / distributor</t>
        </is>
      </c>
      <c r="O121" s="18" t="inlineStr">
        <is>
          <t>KETTLER home fitness (bikes, cross-trainers, treadmills)</t>
        </is>
      </c>
      <c r="P121" s="18" t="inlineStr">
        <is>
          <t>Home fitness equipment</t>
        </is>
      </c>
      <c r="Q121" s="18" t="inlineStr">
        <is>
          <t>Account based</t>
        </is>
      </c>
      <c r="R121" s="18" t="inlineStr">
        <is>
          <t>B2B &amp; B2C channels in EU, EFTA &amp; Turkey</t>
        </is>
      </c>
      <c r="S121" s="18" t="inlineStr">
        <is>
          <t>UK not in listed territory - ask</t>
        </is>
      </c>
      <c r="T121" s="18" t="inlineStr">
        <is>
          <t>Unknown</t>
        </is>
      </c>
      <c r="U121" s="18" t="inlineStr">
        <is>
          <t>Unknown</t>
        </is>
      </c>
      <c r="V121" s="18" t="inlineStr"/>
      <c r="W121" s="18" t="inlineStr">
        <is>
          <t>Took over KETTLER fitness division Dec 2024</t>
        </is>
      </c>
      <c r="X121" s="18" t="inlineStr">
        <is>
          <t>Bulky = high FBA fees</t>
        </is>
      </c>
      <c r="Y121" s="18" t="inlineStr"/>
      <c r="Z121" s="18" t="inlineStr">
        <is>
          <t>Wikipedia + company site</t>
        </is>
      </c>
      <c r="AA121" s="19" t="inlineStr">
        <is>
          <t>Source link</t>
        </is>
      </c>
      <c r="AB121" s="19" t="inlineStr">
        <is>
          <t>Search LinkedIn</t>
        </is>
      </c>
      <c r="AC121" s="18" t="inlineStr">
        <is>
          <t>Round 4</t>
        </is>
      </c>
      <c r="AD121" s="20" t="inlineStr">
        <is>
          <t>Not contacted</t>
        </is>
      </c>
      <c r="AE121" s="21" t="n"/>
      <c r="AF121" s="20" t="n"/>
      <c r="AG121" s="20" t="n"/>
      <c r="AH121" s="20" t="n"/>
      <c r="AI121" s="21">
        <f>IF(AE121="","",WORKDAY(AE121,5))</f>
        <v/>
      </c>
      <c r="AJ121" s="20" t="n"/>
      <c r="AK121" s="20" t="n"/>
    </row>
    <row r="122">
      <c r="A122" s="15" t="inlineStr">
        <is>
          <t>Germany</t>
        </is>
      </c>
      <c r="B122" s="16" t="n">
        <v>121</v>
      </c>
      <c r="C122" s="17" t="n">
        <v>3</v>
      </c>
      <c r="D122" s="18" t="inlineStr">
        <is>
          <t>Sports &amp; Outdoors</t>
        </is>
      </c>
      <c r="E122" s="18" t="inlineStr">
        <is>
          <t>HAMMER SPORT AG</t>
        </is>
      </c>
      <c r="F122" s="19" t="inlineStr">
        <is>
          <t>https://www.hammer.de</t>
        </is>
      </c>
      <c r="G122" s="18" t="inlineStr">
        <is>
          <t>Neu-Ulm</t>
        </is>
      </c>
      <c r="H122" s="18" t="inlineStr"/>
      <c r="I122" s="18" t="inlineStr">
        <is>
          <t>EU / Europe</t>
        </is>
      </c>
      <c r="J122" s="18" t="inlineStr">
        <is>
          <t>Higher</t>
        </is>
      </c>
      <c r="K122" s="18" t="inlineStr">
        <is>
          <t>Von-Liebig-Str. 21, 89231 Neu-Ulm</t>
        </is>
      </c>
      <c r="L122" s="18" t="inlineStr">
        <is>
          <t>+49 731 97488-0</t>
        </is>
      </c>
      <c r="M122" s="18" t="inlineStr">
        <is>
          <t>info@hammer.de</t>
        </is>
      </c>
      <c r="N122" s="18" t="inlineStr">
        <is>
          <t>Brand owner</t>
        </is>
      </c>
      <c r="O122" s="18" t="inlineStr">
        <is>
          <t>HAMMER home fitness (treadmills, bikes, strength, boxing)</t>
        </is>
      </c>
      <c r="P122" s="18" t="inlineStr">
        <is>
          <t>Home fitness equipment</t>
        </is>
      </c>
      <c r="Q122" s="18" t="inlineStr">
        <is>
          <t>On request</t>
        </is>
      </c>
      <c r="R122" s="18" t="inlineStr">
        <is>
          <t>Retailers</t>
        </is>
      </c>
      <c r="S122" s="18" t="inlineStr">
        <is>
          <t>Ask</t>
        </is>
      </c>
      <c r="T122" s="18" t="inlineStr">
        <is>
          <t>Unknown</t>
        </is>
      </c>
      <c r="U122" s="18" t="inlineStr">
        <is>
          <t>Unknown</t>
        </is>
      </c>
      <c r="V122" s="18" t="inlineStr"/>
      <c r="W122" s="18" t="inlineStr">
        <is>
          <t>One of Europe's leading home-fitness brands</t>
        </is>
      </c>
      <c r="X122" s="18" t="inlineStr">
        <is>
          <t>Heavy equipment = high FBA fees; accessories fine</t>
        </is>
      </c>
      <c r="Y122" s="18" t="inlineStr"/>
      <c r="Z122" s="18" t="inlineStr">
        <is>
          <t>Business directory</t>
        </is>
      </c>
      <c r="AA122" s="19" t="inlineStr">
        <is>
          <t>Source link</t>
        </is>
      </c>
      <c r="AB122" s="19" t="inlineStr">
        <is>
          <t>Search LinkedIn</t>
        </is>
      </c>
      <c r="AC122" s="18" t="inlineStr">
        <is>
          <t>Round 4</t>
        </is>
      </c>
      <c r="AD122" s="20" t="inlineStr">
        <is>
          <t>Not contacted</t>
        </is>
      </c>
      <c r="AE122" s="21" t="n"/>
      <c r="AF122" s="20" t="n"/>
      <c r="AG122" s="20" t="n"/>
      <c r="AH122" s="20" t="n"/>
      <c r="AI122" s="21">
        <f>IF(AE122="","",WORKDAY(AE122,5))</f>
        <v/>
      </c>
      <c r="AJ122" s="20" t="n"/>
      <c r="AK122" s="20" t="n"/>
    </row>
    <row r="123">
      <c r="A123" s="15" t="inlineStr">
        <is>
          <t>Germany</t>
        </is>
      </c>
      <c r="B123" s="16" t="n">
        <v>122</v>
      </c>
      <c r="C123" s="17" t="n">
        <v>3</v>
      </c>
      <c r="D123" s="18" t="inlineStr">
        <is>
          <t>Sports &amp; Outdoors</t>
        </is>
      </c>
      <c r="E123" s="18" t="inlineStr">
        <is>
          <t>HUDORA GmbH</t>
        </is>
      </c>
      <c r="F123" s="19" t="inlineStr">
        <is>
          <t>https://www.hudora.de</t>
        </is>
      </c>
      <c r="G123" s="18" t="inlineStr">
        <is>
          <t>Remscheid</t>
        </is>
      </c>
      <c r="H123" s="18" t="inlineStr"/>
      <c r="I123" s="18" t="inlineStr">
        <is>
          <t>EU / Europe</t>
        </is>
      </c>
      <c r="J123" s="18" t="inlineStr">
        <is>
          <t>Higher</t>
        </is>
      </c>
      <c r="K123" s="18" t="inlineStr">
        <is>
          <t>Remscheid (see Impressum)</t>
        </is>
      </c>
      <c r="L123" s="18" t="inlineStr"/>
      <c r="M123" s="18" t="inlineStr"/>
      <c r="N123" s="18" t="inlineStr">
        <is>
          <t>Brand owner</t>
        </is>
      </c>
      <c r="O123" s="18" t="inlineStr">
        <is>
          <t>HUDORA scooters, trampolines, skates, balls, outdoor play</t>
        </is>
      </c>
      <c r="P123" s="18" t="inlineStr">
        <is>
          <t>Outdoor play &amp; scooters</t>
        </is>
      </c>
      <c r="Q123" s="18" t="inlineStr">
        <is>
          <t>On request</t>
        </is>
      </c>
      <c r="R123" s="18" t="inlineStr">
        <is>
          <t>Retailers</t>
        </is>
      </c>
      <c r="S123" s="18" t="inlineStr">
        <is>
          <t>Ask</t>
        </is>
      </c>
      <c r="T123" s="18" t="inlineStr">
        <is>
          <t>Unknown</t>
        </is>
      </c>
      <c r="U123" s="18" t="inlineStr">
        <is>
          <t>Unknown</t>
        </is>
      </c>
      <c r="V123" s="18" t="inlineStr"/>
      <c r="W123" s="18" t="inlineStr">
        <is>
          <t>German 'hidden champion' family business</t>
        </is>
      </c>
      <c r="X123" s="18" t="inlineStr">
        <is>
          <t>Big sellers but bulky items (trampolines) have high FBA fees</t>
        </is>
      </c>
      <c r="Y123" s="18" t="inlineStr"/>
      <c r="Z123" s="18" t="inlineStr">
        <is>
          <t>Business press profile</t>
        </is>
      </c>
      <c r="AA123" s="19" t="inlineStr">
        <is>
          <t>Source link</t>
        </is>
      </c>
      <c r="AB123" s="19" t="inlineStr">
        <is>
          <t>Search LinkedIn</t>
        </is>
      </c>
      <c r="AC123" s="18" t="inlineStr">
        <is>
          <t>Round 3</t>
        </is>
      </c>
      <c r="AD123" s="20" t="inlineStr">
        <is>
          <t>Not contacted</t>
        </is>
      </c>
      <c r="AE123" s="21" t="n"/>
      <c r="AF123" s="20" t="n"/>
      <c r="AG123" s="20" t="n"/>
      <c r="AH123" s="20" t="n"/>
      <c r="AI123" s="21">
        <f>IF(AE123="","",WORKDAY(AE123,5))</f>
        <v/>
      </c>
      <c r="AJ123" s="20" t="n"/>
      <c r="AK123" s="20" t="n"/>
    </row>
    <row r="124">
      <c r="A124" s="15" t="inlineStr">
        <is>
          <t>Germany</t>
        </is>
      </c>
      <c r="B124" s="16" t="n">
        <v>123</v>
      </c>
      <c r="C124" s="17" t="n">
        <v>3</v>
      </c>
      <c r="D124" s="18" t="inlineStr">
        <is>
          <t>Sports &amp; Outdoors</t>
        </is>
      </c>
      <c r="E124" s="18" t="inlineStr">
        <is>
          <t>Sport-Thieme GmbH</t>
        </is>
      </c>
      <c r="F124" s="19" t="inlineStr">
        <is>
          <t>https://www.sport-thieme.de</t>
        </is>
      </c>
      <c r="G124" s="18" t="inlineStr">
        <is>
          <t>Grasleben (Lower Saxony)</t>
        </is>
      </c>
      <c r="H124" s="18" t="inlineStr"/>
      <c r="I124" s="18" t="inlineStr">
        <is>
          <t>EU / Europe</t>
        </is>
      </c>
      <c r="J124" s="18" t="inlineStr">
        <is>
          <t>Higher</t>
        </is>
      </c>
      <c r="K124" s="18" t="inlineStr">
        <is>
          <t>Helmstedter Straße 40, 38368 Grasleben</t>
        </is>
      </c>
      <c r="L124" s="18" t="inlineStr">
        <is>
          <t>+49 5357 18181</t>
        </is>
      </c>
      <c r="M124" s="18" t="inlineStr">
        <is>
          <t>info@sport-thieme.de</t>
        </is>
      </c>
      <c r="N124" s="18" t="inlineStr">
        <is>
          <t>B2B sports equipment supplier</t>
        </is>
      </c>
      <c r="O124" s="18" t="inlineStr">
        <is>
          <t>19,000+ sports, fitness &amp; therapy articles (own &amp; third-party brands)</t>
        </is>
      </c>
      <c r="P124" s="18" t="inlineStr">
        <is>
          <t>Sports &amp; fitness equipment</t>
        </is>
      </c>
      <c r="Q124" s="18" t="inlineStr">
        <is>
          <t>On request</t>
        </is>
      </c>
      <c r="R124" s="18" t="inlineStr">
        <is>
          <t>Schools, clubs, fitness &amp; B2B customers; international business development team</t>
        </is>
      </c>
      <c r="S124" s="18" t="inlineStr">
        <is>
          <t>Partners in 14 countries - ask</t>
        </is>
      </c>
      <c r="T124" s="18" t="inlineStr">
        <is>
          <t>Unknown</t>
        </is>
      </c>
      <c r="U124" s="18" t="inlineStr">
        <is>
          <t>Unknown</t>
        </is>
      </c>
      <c r="V124" s="18" t="inlineStr"/>
      <c r="W124" s="18" t="inlineStr">
        <is>
          <t>Market leader in German school/club sports mail order; Wikipedia entry</t>
        </is>
      </c>
      <c r="X124" s="18" t="inlineStr">
        <is>
          <t>Own-brand fitness accessories possible</t>
        </is>
      </c>
      <c r="Y124" s="18" t="inlineStr"/>
      <c r="Z124" s="18" t="inlineStr">
        <is>
          <t>Wikipedia + business press</t>
        </is>
      </c>
      <c r="AA124" s="19" t="inlineStr">
        <is>
          <t>Source link</t>
        </is>
      </c>
      <c r="AB124" s="19" t="inlineStr">
        <is>
          <t>Search LinkedIn</t>
        </is>
      </c>
      <c r="AC124" s="18" t="inlineStr">
        <is>
          <t>Round 4</t>
        </is>
      </c>
      <c r="AD124" s="20" t="inlineStr">
        <is>
          <t>Not contacted</t>
        </is>
      </c>
      <c r="AE124" s="21" t="n"/>
      <c r="AF124" s="20" t="n"/>
      <c r="AG124" s="20" t="n"/>
      <c r="AH124" s="20" t="n"/>
      <c r="AI124" s="21">
        <f>IF(AE124="","",WORKDAY(AE124,5))</f>
        <v/>
      </c>
      <c r="AJ124" s="20" t="n"/>
      <c r="AK124" s="20" t="n"/>
    </row>
    <row r="125">
      <c r="A125" s="15" t="inlineStr">
        <is>
          <t>Germany</t>
        </is>
      </c>
      <c r="B125" s="16" t="n">
        <v>124</v>
      </c>
      <c r="C125" s="17" t="n">
        <v>4</v>
      </c>
      <c r="D125" s="18" t="inlineStr">
        <is>
          <t>Stationery &amp; Office</t>
        </is>
      </c>
      <c r="E125" s="18" t="inlineStr">
        <is>
          <t>DURABLE Hunke &amp; Jochheim GmbH &amp; Co. KG</t>
        </is>
      </c>
      <c r="F125" s="19" t="inlineStr">
        <is>
          <t>https://www.durable.eu</t>
        </is>
      </c>
      <c r="G125" s="18" t="inlineStr">
        <is>
          <t>Iserlohn</t>
        </is>
      </c>
      <c r="H125" s="18" t="inlineStr"/>
      <c r="I125" s="18" t="inlineStr">
        <is>
          <t>EU / Europe</t>
        </is>
      </c>
      <c r="J125" s="18" t="inlineStr">
        <is>
          <t>Higher</t>
        </is>
      </c>
      <c r="K125" s="18" t="inlineStr">
        <is>
          <t>Westfalenstraße 77-79, 58636 Iserlohn</t>
        </is>
      </c>
      <c r="L125" s="18" t="inlineStr">
        <is>
          <t>+49 2371 9792-0 (logistics - verify)</t>
        </is>
      </c>
      <c r="M125" s="18" t="inlineStr"/>
      <c r="N125" s="18" t="inlineStr">
        <is>
          <t>Brand owner / manufacturer</t>
        </is>
      </c>
      <c r="O125" s="18" t="inlineStr">
        <is>
          <t>DURABLE filing, ID badges, desk organisers, LED lamps, workplace</t>
        </is>
      </c>
      <c r="P125" s="18" t="inlineStr">
        <is>
          <t>Office products</t>
        </is>
      </c>
      <c r="Q125" s="18" t="inlineStr">
        <is>
          <t>Account based</t>
        </is>
      </c>
      <c r="R125" s="18" t="inlineStr">
        <is>
          <t>Distributors &amp; retailers (own sales companies in Europe &amp; USA)</t>
        </is>
      </c>
      <c r="S125" s="18" t="inlineStr">
        <is>
          <t>Has European sales companies - ask about UK</t>
        </is>
      </c>
      <c r="T125" s="18" t="inlineStr">
        <is>
          <t>Unknown</t>
        </is>
      </c>
      <c r="U125" s="18" t="inlineStr">
        <is>
          <t>Unknown</t>
        </is>
      </c>
      <c r="V125" s="18" t="inlineStr"/>
      <c r="W125" s="18" t="inlineStr">
        <is>
          <t>ORGATEC exhibitor; distributed by API in Germany</t>
        </is>
      </c>
      <c r="X125" s="18" t="inlineStr">
        <is>
          <t>Office accessories sell steadily</t>
        </is>
      </c>
      <c r="Y125" s="18" t="inlineStr"/>
      <c r="Z125" s="18" t="inlineStr">
        <is>
          <t>Trade fair listing + trade press</t>
        </is>
      </c>
      <c r="AA125" s="19" t="inlineStr">
        <is>
          <t>Source link</t>
        </is>
      </c>
      <c r="AB125" s="19" t="inlineStr">
        <is>
          <t>Search LinkedIn</t>
        </is>
      </c>
      <c r="AC125" s="18" t="inlineStr">
        <is>
          <t>Round 4</t>
        </is>
      </c>
      <c r="AD125" s="20" t="inlineStr">
        <is>
          <t>Not contacted</t>
        </is>
      </c>
      <c r="AE125" s="21" t="n"/>
      <c r="AF125" s="20" t="n"/>
      <c r="AG125" s="20" t="n"/>
      <c r="AH125" s="20" t="n"/>
      <c r="AI125" s="21">
        <f>IF(AE125="","",WORKDAY(AE125,5))</f>
        <v/>
      </c>
      <c r="AJ125" s="20" t="n"/>
      <c r="AK125" s="20" t="n"/>
    </row>
    <row r="126">
      <c r="A126" s="15" t="inlineStr">
        <is>
          <t>Germany</t>
        </is>
      </c>
      <c r="B126" s="16" t="n">
        <v>125</v>
      </c>
      <c r="C126" s="17" t="n">
        <v>4</v>
      </c>
      <c r="D126" s="18" t="inlineStr">
        <is>
          <t>Stationery &amp; Office</t>
        </is>
      </c>
      <c r="E126" s="18" t="inlineStr">
        <is>
          <t>edding International GmbH</t>
        </is>
      </c>
      <c r="F126" s="19" t="inlineStr">
        <is>
          <t>https://www.edding.com/en-uk/</t>
        </is>
      </c>
      <c r="G126" s="18" t="inlineStr">
        <is>
          <t>Ahrensburg</t>
        </is>
      </c>
      <c r="H126" s="18" t="inlineStr"/>
      <c r="I126" s="18" t="inlineStr">
        <is>
          <t>EU / Europe</t>
        </is>
      </c>
      <c r="J126" s="18" t="inlineStr">
        <is>
          <t>Higher</t>
        </is>
      </c>
      <c r="K126" s="18" t="inlineStr">
        <is>
          <t>Bookkoppel 7, 22926 Ahrensburg</t>
        </is>
      </c>
      <c r="L126" s="18" t="inlineStr">
        <is>
          <t>+49 4102 808-0</t>
        </is>
      </c>
      <c r="M126" s="18" t="inlineStr">
        <is>
          <t>info@edding.de</t>
        </is>
      </c>
      <c r="N126" s="18" t="inlineStr">
        <is>
          <t>Brand owner (listed)</t>
        </is>
      </c>
      <c r="O126" s="18" t="inlineStr">
        <is>
          <t>edding markers, paint pens, highlighters, nail varnish</t>
        </is>
      </c>
      <c r="P126" s="18" t="inlineStr">
        <is>
          <t>Markers &amp; writing</t>
        </is>
      </c>
      <c r="Q126" s="18" t="inlineStr">
        <is>
          <t>Account based</t>
        </is>
      </c>
      <c r="R126" s="18" t="inlineStr">
        <is>
          <t>Distributors &amp; retailers</t>
        </is>
      </c>
      <c r="S126" s="18" t="inlineStr">
        <is>
          <t>Yes - edding UK Ltd, St Albans (+44 1727 84 66 88)</t>
        </is>
      </c>
      <c r="T126" s="18" t="inlineStr">
        <is>
          <t>Unknown</t>
        </is>
      </c>
      <c r="U126" s="18" t="inlineStr">
        <is>
          <t>Unknown</t>
        </is>
      </c>
      <c r="V126" s="18" t="inlineStr"/>
      <c r="W126" s="18" t="inlineStr">
        <is>
          <t>Listed company; subsidiaries UK, FR, Benelux</t>
        </is>
      </c>
      <c r="X126" s="18" t="inlineStr">
        <is>
          <t>Strong Amazon brand</t>
        </is>
      </c>
      <c r="Y126" s="18" t="inlineStr">
        <is>
          <t>Use edding UK for UK accounts.</t>
        </is>
      </c>
      <c r="Z126" s="18" t="inlineStr">
        <is>
          <t>Company site + stock profile</t>
        </is>
      </c>
      <c r="AA126" s="19" t="inlineStr">
        <is>
          <t>Source link</t>
        </is>
      </c>
      <c r="AB126" s="19" t="inlineStr">
        <is>
          <t>Search LinkedIn</t>
        </is>
      </c>
      <c r="AC126" s="18" t="inlineStr">
        <is>
          <t>Round 4</t>
        </is>
      </c>
      <c r="AD126" s="20" t="inlineStr">
        <is>
          <t>Not contacted</t>
        </is>
      </c>
      <c r="AE126" s="21" t="n"/>
      <c r="AF126" s="20" t="n"/>
      <c r="AG126" s="20" t="n"/>
      <c r="AH126" s="20" t="n"/>
      <c r="AI126" s="21">
        <f>IF(AE126="","",WORKDAY(AE126,5))</f>
        <v/>
      </c>
      <c r="AJ126" s="20" t="n"/>
      <c r="AK126" s="20" t="n"/>
    </row>
    <row r="127">
      <c r="A127" s="15" t="inlineStr">
        <is>
          <t>Germany</t>
        </is>
      </c>
      <c r="B127" s="16" t="n">
        <v>126</v>
      </c>
      <c r="C127" s="17" t="n">
        <v>4</v>
      </c>
      <c r="D127" s="18" t="inlineStr">
        <is>
          <t>Stationery &amp; Office</t>
        </is>
      </c>
      <c r="E127" s="18" t="inlineStr">
        <is>
          <t>Schneider Schreibgeräte GmbH</t>
        </is>
      </c>
      <c r="F127" s="19" t="inlineStr">
        <is>
          <t>https://www.schneiderpen.com</t>
        </is>
      </c>
      <c r="G127" s="18" t="inlineStr">
        <is>
          <t>Schramberg-Tennenbronn (Black Forest)</t>
        </is>
      </c>
      <c r="H127" s="18" t="inlineStr"/>
      <c r="I127" s="18" t="inlineStr">
        <is>
          <t>EU / Europe</t>
        </is>
      </c>
      <c r="J127" s="18" t="inlineStr">
        <is>
          <t>Higher</t>
        </is>
      </c>
      <c r="K127" s="18" t="inlineStr">
        <is>
          <t>Schwarzenbach 9, 78144 Schramberg-Tennenbronn</t>
        </is>
      </c>
      <c r="L127" s="18" t="inlineStr">
        <is>
          <t>+49 7729 888-0</t>
        </is>
      </c>
      <c r="M127" s="18" t="inlineStr">
        <is>
          <t>info@schneiderpen.de</t>
        </is>
      </c>
      <c r="N127" s="18" t="inlineStr">
        <is>
          <t>Brand owner / manufacturer</t>
        </is>
      </c>
      <c r="O127" s="18" t="inlineStr">
        <is>
          <t>Schneider pens, refills, markers, highlighters</t>
        </is>
      </c>
      <c r="P127" s="18" t="inlineStr">
        <is>
          <t>Writing instruments</t>
        </is>
      </c>
      <c r="Q127" s="18" t="inlineStr">
        <is>
          <t>On request</t>
        </is>
      </c>
      <c r="R127" s="18" t="inlineStr">
        <is>
          <t>Distributors &amp; retailers (area sales managers)</t>
        </is>
      </c>
      <c r="S127" s="18" t="inlineStr">
        <is>
          <t>~60% exported - ask</t>
        </is>
      </c>
      <c r="T127" s="18" t="inlineStr">
        <is>
          <t>Unknown</t>
        </is>
      </c>
      <c r="U127" s="18" t="inlineStr">
        <is>
          <t>Unknown</t>
        </is>
      </c>
      <c r="V127" s="18" t="inlineStr"/>
      <c r="W127" s="18" t="inlineStr">
        <is>
          <t>Paperworld exhibitor (German pavilion); named area sales managers</t>
        </is>
      </c>
      <c r="X127" s="18" t="inlineStr"/>
      <c r="Y127" s="18" t="inlineStr">
        <is>
          <t>Area Sales Manager: Berthold Storz.</t>
        </is>
      </c>
      <c r="Z127" s="18" t="inlineStr">
        <is>
          <t>Trade fair listings</t>
        </is>
      </c>
      <c r="AA127" s="19" t="inlineStr">
        <is>
          <t>Source link</t>
        </is>
      </c>
      <c r="AB127" s="19" t="inlineStr">
        <is>
          <t>Search LinkedIn</t>
        </is>
      </c>
      <c r="AC127" s="18" t="inlineStr">
        <is>
          <t>Round 4</t>
        </is>
      </c>
      <c r="AD127" s="20" t="inlineStr">
        <is>
          <t>Not contacted</t>
        </is>
      </c>
      <c r="AE127" s="21" t="n"/>
      <c r="AF127" s="20" t="n"/>
      <c r="AG127" s="20" t="n"/>
      <c r="AH127" s="20" t="n"/>
      <c r="AI127" s="21">
        <f>IF(AE127="","",WORKDAY(AE127,5))</f>
        <v/>
      </c>
      <c r="AJ127" s="20" t="n"/>
      <c r="AK127" s="20" t="n"/>
    </row>
    <row r="128">
      <c r="A128" s="15" t="inlineStr">
        <is>
          <t>Germany</t>
        </is>
      </c>
      <c r="B128" s="16" t="n">
        <v>127</v>
      </c>
      <c r="C128" s="17" t="n">
        <v>4</v>
      </c>
      <c r="D128" s="18" t="inlineStr">
        <is>
          <t>Stationery &amp; Office</t>
        </is>
      </c>
      <c r="E128" s="18" t="inlineStr">
        <is>
          <t>STAEDTLER Mars GmbH &amp; Co. KG</t>
        </is>
      </c>
      <c r="F128" s="19" t="inlineStr">
        <is>
          <t>https://www.staedtler.com/intl/en/company</t>
        </is>
      </c>
      <c r="G128" s="18" t="inlineStr">
        <is>
          <t>Nuremberg</t>
        </is>
      </c>
      <c r="H128" s="18" t="inlineStr"/>
      <c r="I128" s="18" t="inlineStr">
        <is>
          <t>EU / Europe</t>
        </is>
      </c>
      <c r="J128" s="18" t="inlineStr">
        <is>
          <t>Higher</t>
        </is>
      </c>
      <c r="K128" s="18" t="inlineStr">
        <is>
          <t>Moosäckerstraße 3, 90427 Nürnberg</t>
        </is>
      </c>
      <c r="L128" s="18" t="inlineStr">
        <is>
          <t>+49 911 9365-0</t>
        </is>
      </c>
      <c r="M128" s="18" t="inlineStr">
        <is>
          <t>info@staedtler.com</t>
        </is>
      </c>
      <c r="N128" s="18" t="inlineStr">
        <is>
          <t>Brand owner / manufacturer</t>
        </is>
      </c>
      <c r="O128" s="18" t="inlineStr">
        <is>
          <t>STAEDTLER pencils, markers, erasers, art &amp; drawing supplies</t>
        </is>
      </c>
      <c r="P128" s="18" t="inlineStr">
        <is>
          <t>Writing &amp; art supplies</t>
        </is>
      </c>
      <c r="Q128" s="18" t="inlineStr">
        <is>
          <t>Account based</t>
        </is>
      </c>
      <c r="R128" s="18" t="inlineStr">
        <is>
          <t>Distributors &amp; retailers via 26+ subsidiaries</t>
        </is>
      </c>
      <c r="S128" s="18" t="inlineStr">
        <is>
          <t>Has UK subsidiary - contact STAEDTLER UK</t>
        </is>
      </c>
      <c r="T128" s="18" t="inlineStr">
        <is>
          <t>Unknown</t>
        </is>
      </c>
      <c r="U128" s="18" t="inlineStr">
        <is>
          <t>Unknown</t>
        </is>
      </c>
      <c r="V128" s="18" t="inlineStr"/>
      <c r="W128" s="18" t="inlineStr">
        <is>
          <t>~75% export; 9 manufacturing sites; Bayern International database</t>
        </is>
      </c>
      <c r="X128" s="18" t="inlineStr">
        <is>
          <t>Evergreen Amazon stationery brand</t>
        </is>
      </c>
      <c r="Y128" s="18" t="inlineStr"/>
      <c r="Z128" s="18" t="inlineStr">
        <is>
          <t>Business directories + company site</t>
        </is>
      </c>
      <c r="AA128" s="19" t="inlineStr">
        <is>
          <t>Source link</t>
        </is>
      </c>
      <c r="AB128" s="19" t="inlineStr">
        <is>
          <t>Search LinkedIn</t>
        </is>
      </c>
      <c r="AC128" s="18" t="inlineStr">
        <is>
          <t>Round 4</t>
        </is>
      </c>
      <c r="AD128" s="20" t="inlineStr">
        <is>
          <t>Not contacted</t>
        </is>
      </c>
      <c r="AE128" s="21" t="n"/>
      <c r="AF128" s="20" t="n"/>
      <c r="AG128" s="20" t="n"/>
      <c r="AH128" s="20" t="n"/>
      <c r="AI128" s="21">
        <f>IF(AE128="","",WORKDAY(AE128,5))</f>
        <v/>
      </c>
      <c r="AJ128" s="20" t="n"/>
      <c r="AK128" s="20" t="n"/>
    </row>
    <row r="129">
      <c r="A129" s="15" t="inlineStr">
        <is>
          <t>Germany</t>
        </is>
      </c>
      <c r="B129" s="16" t="n">
        <v>128</v>
      </c>
      <c r="C129" s="17" t="n">
        <v>3</v>
      </c>
      <c r="D129" s="18" t="inlineStr">
        <is>
          <t>Stationery &amp; Office</t>
        </is>
      </c>
      <c r="E129" s="18" t="inlineStr">
        <is>
          <t>Pelikan Group GmbH (Pelikan, herlitz)</t>
        </is>
      </c>
      <c r="F129" s="19" t="inlineStr">
        <is>
          <t>https://pelikan.com/int/company/pelikan-group-gmbh.html</t>
        </is>
      </c>
      <c r="G129" s="18" t="inlineStr">
        <is>
          <t>Berlin</t>
        </is>
      </c>
      <c r="H129" s="18" t="inlineStr"/>
      <c r="I129" s="18" t="inlineStr">
        <is>
          <t>EU / Europe</t>
        </is>
      </c>
      <c r="J129" s="18" t="inlineStr">
        <is>
          <t>Higher</t>
        </is>
      </c>
      <c r="K129" s="18" t="inlineStr">
        <is>
          <t>Berlin (HQ)</t>
        </is>
      </c>
      <c r="L129" s="18" t="inlineStr"/>
      <c r="M129" s="18" t="inlineStr"/>
      <c r="N129" s="18" t="inlineStr">
        <is>
          <t>Brand owner / manufacturer</t>
        </is>
      </c>
      <c r="O129" s="18" t="inlineStr">
        <is>
          <t>Pelikan, herlitz, Geha, Susy Card - school, office &amp; writing</t>
        </is>
      </c>
      <c r="P129" s="18" t="inlineStr">
        <is>
          <t>School &amp; office supplies</t>
        </is>
      </c>
      <c r="Q129" s="18" t="inlineStr">
        <is>
          <t>Account based</t>
        </is>
      </c>
      <c r="R129" s="18" t="inlineStr">
        <is>
          <t>Wholesalers, dealers, retailers</t>
        </is>
      </c>
      <c r="S129" s="18" t="inlineStr">
        <is>
          <t>International sales - ask</t>
        </is>
      </c>
      <c r="T129" s="18" t="inlineStr">
        <is>
          <t>Unknown</t>
        </is>
      </c>
      <c r="U129" s="18" t="inlineStr">
        <is>
          <t>Unknown</t>
        </is>
      </c>
      <c r="V129" s="18" t="inlineStr"/>
      <c r="W129" s="18" t="inlineStr">
        <is>
          <t>Owned by Pelikan Holding (listed in Malaysia); herlitz since 1904</t>
        </is>
      </c>
      <c r="X129" s="18" t="inlineStr">
        <is>
          <t>School supplies peak in back-to-school season</t>
        </is>
      </c>
      <c r="Y129" s="18" t="inlineStr"/>
      <c r="Z129" s="18" t="inlineStr">
        <is>
          <t>Company site + Wikipedia</t>
        </is>
      </c>
      <c r="AA129" s="19" t="inlineStr">
        <is>
          <t>Source link</t>
        </is>
      </c>
      <c r="AB129" s="19" t="inlineStr">
        <is>
          <t>Search LinkedIn</t>
        </is>
      </c>
      <c r="AC129" s="18" t="inlineStr">
        <is>
          <t>Round 4</t>
        </is>
      </c>
      <c r="AD129" s="20" t="inlineStr">
        <is>
          <t>Not contacted</t>
        </is>
      </c>
      <c r="AE129" s="21" t="n"/>
      <c r="AF129" s="20" t="n"/>
      <c r="AG129" s="20" t="n"/>
      <c r="AH129" s="20" t="n"/>
      <c r="AI129" s="21">
        <f>IF(AE129="","",WORKDAY(AE129,5))</f>
        <v/>
      </c>
      <c r="AJ129" s="20" t="n"/>
      <c r="AK129" s="20" t="n"/>
    </row>
    <row r="130">
      <c r="A130" s="15" t="inlineStr">
        <is>
          <t>Germany</t>
        </is>
      </c>
      <c r="B130" s="16" t="n">
        <v>129</v>
      </c>
      <c r="C130" s="17" t="n">
        <v>5</v>
      </c>
      <c r="D130" s="18" t="inlineStr">
        <is>
          <t>Toys &amp; Games</t>
        </is>
      </c>
      <c r="E130" s="18" t="inlineStr">
        <is>
          <t>Franckh-Kosmos Verlags-GmbH &amp; Co. KG (KOSMOS)</t>
        </is>
      </c>
      <c r="F130" s="19" t="inlineStr">
        <is>
          <t>https://www.kosmos.de</t>
        </is>
      </c>
      <c r="G130" s="18" t="inlineStr">
        <is>
          <t>Stuttgart</t>
        </is>
      </c>
      <c r="H130" s="18" t="inlineStr"/>
      <c r="I130" s="18" t="inlineStr">
        <is>
          <t>EU / Europe</t>
        </is>
      </c>
      <c r="J130" s="18" t="inlineStr">
        <is>
          <t>Higher</t>
        </is>
      </c>
      <c r="K130" s="18" t="inlineStr">
        <is>
          <t>Pfizerstraße 5-7, 70184 Stuttgart</t>
        </is>
      </c>
      <c r="L130" s="18" t="inlineStr">
        <is>
          <t>+49 711 21910</t>
        </is>
      </c>
      <c r="M130" s="18" t="inlineStr">
        <is>
          <t>info@kosmos.de</t>
        </is>
      </c>
      <c r="N130" s="18" t="inlineStr">
        <is>
          <t>Publisher / manufacturer</t>
        </is>
      </c>
      <c r="O130" s="18" t="inlineStr">
        <is>
          <t>CATAN, EXIT games, Ubongo, KOSMOS science kits</t>
        </is>
      </c>
      <c r="P130" s="18" t="inlineStr">
        <is>
          <t>Board games &amp; science kits</t>
        </is>
      </c>
      <c r="Q130" s="18" t="inlineStr">
        <is>
          <t>Account based</t>
        </is>
      </c>
      <c r="R130" s="18" t="inlineStr">
        <is>
          <t>Retailers &amp; distributors (80+ countries)</t>
        </is>
      </c>
      <c r="S130" s="18" t="inlineStr">
        <is>
          <t>Yes - Thames &amp; Kosmos UK (wholly owned since 2026)</t>
        </is>
      </c>
      <c r="T130" s="18" t="inlineStr">
        <is>
          <t>Unknown</t>
        </is>
      </c>
      <c r="U130" s="18" t="inlineStr">
        <is>
          <t>Unknown</t>
        </is>
      </c>
      <c r="V130" s="18" t="inlineStr"/>
      <c r="W130" s="18" t="inlineStr">
        <is>
          <t>Major German publisher; London Book Fair (German pavilion) exhibitor</t>
        </is>
      </c>
      <c r="X130" s="18" t="inlineStr">
        <is>
          <t>CATAN &amp; EXIT are top sellers - brand-direct via UK arm</t>
        </is>
      </c>
      <c r="Y130" s="18" t="inlineStr">
        <is>
          <t>Contact Thames &amp; Kosmos UK.</t>
        </is>
      </c>
      <c r="Z130" s="18" t="inlineStr">
        <is>
          <t>Trade fair listing + trade press</t>
        </is>
      </c>
      <c r="AA130" s="19" t="inlineStr">
        <is>
          <t>Source link</t>
        </is>
      </c>
      <c r="AB130" s="19" t="inlineStr">
        <is>
          <t>Search LinkedIn</t>
        </is>
      </c>
      <c r="AC130" s="18" t="inlineStr">
        <is>
          <t>Round 4</t>
        </is>
      </c>
      <c r="AD130" s="20" t="inlineStr">
        <is>
          <t>Not contacted</t>
        </is>
      </c>
      <c r="AE130" s="21" t="n"/>
      <c r="AF130" s="20" t="n"/>
      <c r="AG130" s="20" t="n"/>
      <c r="AH130" s="20" t="n"/>
      <c r="AI130" s="21">
        <f>IF(AE130="","",WORKDAY(AE130,5))</f>
        <v/>
      </c>
      <c r="AJ130" s="20" t="n"/>
      <c r="AK130" s="20" t="n"/>
    </row>
    <row r="131">
      <c r="A131" s="15" t="inlineStr">
        <is>
          <t>Germany</t>
        </is>
      </c>
      <c r="B131" s="16" t="n">
        <v>130</v>
      </c>
      <c r="C131" s="17" t="n">
        <v>4</v>
      </c>
      <c r="D131" s="18" t="inlineStr">
        <is>
          <t>Toys &amp; Games</t>
        </is>
      </c>
      <c r="E131" s="18" t="inlineStr">
        <is>
          <t>Carrera Revell Europe GmbH</t>
        </is>
      </c>
      <c r="F131" s="19" t="inlineStr">
        <is>
          <t>https://www.carrera-revell-toys.com</t>
        </is>
      </c>
      <c r="G131" s="18" t="inlineStr">
        <is>
          <t>Bünde (NRW)</t>
        </is>
      </c>
      <c r="H131" s="18" t="inlineStr"/>
      <c r="I131" s="18" t="inlineStr">
        <is>
          <t>EU / Europe</t>
        </is>
      </c>
      <c r="J131" s="18" t="inlineStr">
        <is>
          <t>Higher</t>
        </is>
      </c>
      <c r="K131" s="18" t="inlineStr">
        <is>
          <t>Henschelstraße 20-30, 32257 Bünde</t>
        </is>
      </c>
      <c r="L131" s="18" t="inlineStr"/>
      <c r="M131" s="18" t="inlineStr"/>
      <c r="N131" s="18" t="inlineStr">
        <is>
          <t>Manufacturer &amp; distributor</t>
        </is>
      </c>
      <c r="O131" s="18" t="inlineStr">
        <is>
          <t>Carrera slot cars &amp; RC, Revell model kits &amp; 3D puzzles; distributes Rollplay</t>
        </is>
      </c>
      <c r="P131" s="18" t="inlineStr">
        <is>
          <t>Models, slot cars &amp; RC</t>
        </is>
      </c>
      <c r="Q131" s="18" t="inlineStr">
        <is>
          <t>Account based</t>
        </is>
      </c>
      <c r="R131" s="18" t="inlineStr">
        <is>
          <t>Retailers</t>
        </is>
      </c>
      <c r="S131" s="18" t="inlineStr">
        <is>
          <t>Distributes in UK &amp; EU - ask</t>
        </is>
      </c>
      <c r="T131" s="18" t="inlineStr">
        <is>
          <t>Unknown</t>
        </is>
      </c>
      <c r="U131" s="18" t="inlineStr">
        <is>
          <t>Unknown</t>
        </is>
      </c>
      <c r="V131" s="18" t="inlineStr"/>
      <c r="W131" s="18" t="inlineStr">
        <is>
          <t>Global manufacturer &amp; distributor; US arm Carrera Revell of Americas</t>
        </is>
      </c>
      <c r="X131" s="18" t="inlineStr">
        <is>
          <t>Model kits &amp; RC sell strongly (RC batteries = hazmat)</t>
        </is>
      </c>
      <c r="Y131" s="18" t="inlineStr"/>
      <c r="Z131" s="18" t="inlineStr">
        <is>
          <t>Job listing + trade press + trade data</t>
        </is>
      </c>
      <c r="AA131" s="19" t="inlineStr">
        <is>
          <t>Source link</t>
        </is>
      </c>
      <c r="AB131" s="19" t="inlineStr">
        <is>
          <t>Search LinkedIn</t>
        </is>
      </c>
      <c r="AC131" s="18" t="inlineStr">
        <is>
          <t>Round 4</t>
        </is>
      </c>
      <c r="AD131" s="20" t="inlineStr">
        <is>
          <t>Not contacted</t>
        </is>
      </c>
      <c r="AE131" s="21" t="n"/>
      <c r="AF131" s="20" t="n"/>
      <c r="AG131" s="20" t="n"/>
      <c r="AH131" s="20" t="n"/>
      <c r="AI131" s="21">
        <f>IF(AE131="","",WORKDAY(AE131,5))</f>
        <v/>
      </c>
      <c r="AJ131" s="20" t="n"/>
      <c r="AK131" s="20" t="n"/>
    </row>
    <row r="132">
      <c r="A132" s="15" t="inlineStr">
        <is>
          <t>Germany</t>
        </is>
      </c>
      <c r="B132" s="16" t="n">
        <v>131</v>
      </c>
      <c r="C132" s="17" t="n">
        <v>4</v>
      </c>
      <c r="D132" s="18" t="inlineStr">
        <is>
          <t>Toys &amp; Games</t>
        </is>
      </c>
      <c r="E132" s="18" t="inlineStr">
        <is>
          <t>Depesche Vertrieb GmbH &amp; Co. KG</t>
        </is>
      </c>
      <c r="F132" s="19" t="inlineStr">
        <is>
          <t>https://depesche.com</t>
        </is>
      </c>
      <c r="G132" s="18" t="inlineStr">
        <is>
          <t>Geesthacht (near Hamburg)</t>
        </is>
      </c>
      <c r="H132" s="18" t="inlineStr"/>
      <c r="I132" s="18" t="inlineStr">
        <is>
          <t>EU / Europe</t>
        </is>
      </c>
      <c r="J132" s="18" t="inlineStr">
        <is>
          <t>Higher</t>
        </is>
      </c>
      <c r="K132" s="18" t="inlineStr">
        <is>
          <t>Geesthacht</t>
        </is>
      </c>
      <c r="L132" s="18" t="inlineStr"/>
      <c r="M132" s="18" t="inlineStr"/>
      <c r="N132" s="18" t="inlineStr">
        <is>
          <t>Brand owner / distributor</t>
        </is>
      </c>
      <c r="O132" s="18" t="inlineStr">
        <is>
          <t>TOPModel, Miss Melody, Ylvi, Monster Cars - kids' stationery &amp; gifts</t>
        </is>
      </c>
      <c r="P132" s="18" t="inlineStr">
        <is>
          <t>Kids' gifts &amp; stationery</t>
        </is>
      </c>
      <c r="Q132" s="18" t="inlineStr">
        <is>
          <t>On request</t>
        </is>
      </c>
      <c r="R132" s="18" t="inlineStr">
        <is>
          <t>Retailers</t>
        </is>
      </c>
      <c r="S132" s="18" t="inlineStr">
        <is>
          <t>Yes - UK operation (via Cardgains)</t>
        </is>
      </c>
      <c r="T132" s="18" t="inlineStr">
        <is>
          <t>Unknown</t>
        </is>
      </c>
      <c r="U132" s="18" t="inlineStr">
        <is>
          <t>Unknown</t>
        </is>
      </c>
      <c r="V132" s="18" t="inlineStr"/>
      <c r="W132" s="18" t="inlineStr">
        <is>
          <t>Founded 1985; ~320 staff; distributes to 41 countries</t>
        </is>
      </c>
      <c r="X132" s="18" t="inlineStr">
        <is>
          <t>Brand-direct invoices; TOPModel is a strong seller</t>
        </is>
      </c>
      <c r="Y132" s="18" t="inlineStr"/>
      <c r="Z132" s="18" t="inlineStr">
        <is>
          <t>Company website + trade press</t>
        </is>
      </c>
      <c r="AA132" s="19" t="inlineStr">
        <is>
          <t>Source link</t>
        </is>
      </c>
      <c r="AB132" s="19" t="inlineStr">
        <is>
          <t>Search LinkedIn</t>
        </is>
      </c>
      <c r="AC132" s="18" t="inlineStr">
        <is>
          <t>Round 3</t>
        </is>
      </c>
      <c r="AD132" s="20" t="inlineStr">
        <is>
          <t>Not contacted</t>
        </is>
      </c>
      <c r="AE132" s="21" t="n"/>
      <c r="AF132" s="20" t="n"/>
      <c r="AG132" s="20" t="n"/>
      <c r="AH132" s="20" t="n"/>
      <c r="AI132" s="21">
        <f>IF(AE132="","",WORKDAY(AE132,5))</f>
        <v/>
      </c>
      <c r="AJ132" s="20" t="n"/>
      <c r="AK132" s="20" t="n"/>
    </row>
    <row r="133">
      <c r="A133" s="15" t="inlineStr">
        <is>
          <t>Germany</t>
        </is>
      </c>
      <c r="B133" s="16" t="n">
        <v>132</v>
      </c>
      <c r="C133" s="17" t="n">
        <v>4</v>
      </c>
      <c r="D133" s="18" t="inlineStr">
        <is>
          <t>Toys &amp; Games</t>
        </is>
      </c>
      <c r="E133" s="18" t="inlineStr">
        <is>
          <t>Gollnest &amp; Kiesel GmbH &amp; Co. KG (goki)</t>
        </is>
      </c>
      <c r="F133" s="19" t="inlineStr">
        <is>
          <t>https://www.goki.eu</t>
        </is>
      </c>
      <c r="G133" s="18" t="inlineStr">
        <is>
          <t>Güster (Schleswig-Holstein)</t>
        </is>
      </c>
      <c r="H133" s="18" t="inlineStr"/>
      <c r="I133" s="18" t="inlineStr">
        <is>
          <t>EU / Europe</t>
        </is>
      </c>
      <c r="J133" s="18" t="inlineStr">
        <is>
          <t>Higher</t>
        </is>
      </c>
      <c r="K133" s="18" t="inlineStr">
        <is>
          <t>Hauptstraße 13-16, 21514 Güster</t>
        </is>
      </c>
      <c r="L133" s="18" t="inlineStr">
        <is>
          <t>+49 4158 88220</t>
        </is>
      </c>
      <c r="M133" s="18" t="inlineStr">
        <is>
          <t>info@goki.eu</t>
        </is>
      </c>
      <c r="N133" s="18" t="inlineStr">
        <is>
          <t>Brand owner / wholesaler</t>
        </is>
      </c>
      <c r="O133" s="18" t="inlineStr">
        <is>
          <t>goki, HEIMESS, HOLZTIGER - 2,000+ wooden toys &amp; gifts</t>
        </is>
      </c>
      <c r="P133" s="18" t="inlineStr">
        <is>
          <t>Wooden toys</t>
        </is>
      </c>
      <c r="Q133" s="18" t="inlineStr">
        <is>
          <t>On request</t>
        </is>
      </c>
      <c r="R133" s="18" t="inlineStr">
        <is>
          <t>Toy &amp; gift retailers</t>
        </is>
      </c>
      <c r="S133" s="18" t="inlineStr">
        <is>
          <t>Ask</t>
        </is>
      </c>
      <c r="T133" s="18" t="inlineStr">
        <is>
          <t>Unknown</t>
        </is>
      </c>
      <c r="U133" s="18" t="inlineStr">
        <is>
          <t>Unknown</t>
        </is>
      </c>
      <c r="V133" s="18" t="inlineStr"/>
      <c r="W133" s="18" t="inlineStr">
        <is>
          <t>Founded 1981; German Brand Award winner</t>
        </is>
      </c>
      <c r="X133" s="18" t="inlineStr">
        <is>
          <t>Brand-direct invoices</t>
        </is>
      </c>
      <c r="Y133" s="18" t="inlineStr"/>
      <c r="Z133" s="18" t="inlineStr">
        <is>
          <t>Business directory + brand award</t>
        </is>
      </c>
      <c r="AA133" s="19" t="inlineStr">
        <is>
          <t>Source link</t>
        </is>
      </c>
      <c r="AB133" s="19" t="inlineStr">
        <is>
          <t>Search LinkedIn</t>
        </is>
      </c>
      <c r="AC133" s="18" t="inlineStr">
        <is>
          <t>Round 3</t>
        </is>
      </c>
      <c r="AD133" s="20" t="inlineStr">
        <is>
          <t>Not contacted</t>
        </is>
      </c>
      <c r="AE133" s="21" t="n"/>
      <c r="AF133" s="20" t="n"/>
      <c r="AG133" s="20" t="n"/>
      <c r="AH133" s="20" t="n"/>
      <c r="AI133" s="21">
        <f>IF(AE133="","",WORKDAY(AE133,5))</f>
        <v/>
      </c>
      <c r="AJ133" s="20" t="n"/>
      <c r="AK133" s="20" t="n"/>
    </row>
    <row r="134">
      <c r="A134" s="15" t="inlineStr">
        <is>
          <t>Germany</t>
        </is>
      </c>
      <c r="B134" s="16" t="n">
        <v>133</v>
      </c>
      <c r="C134" s="17" t="n">
        <v>4</v>
      </c>
      <c r="D134" s="18" t="inlineStr">
        <is>
          <t>Toys &amp; Games</t>
        </is>
      </c>
      <c r="E134" s="18" t="inlineStr">
        <is>
          <t>Pegasus Spiele GmbH</t>
        </is>
      </c>
      <c r="F134" s="19" t="inlineStr">
        <is>
          <t>https://pegasus.de/en/about/</t>
        </is>
      </c>
      <c r="G134" s="18" t="inlineStr">
        <is>
          <t>Friedberg (Hesse)</t>
        </is>
      </c>
      <c r="H134" s="18" t="inlineStr"/>
      <c r="I134" s="18" t="inlineStr">
        <is>
          <t>EU / Europe</t>
        </is>
      </c>
      <c r="J134" s="18" t="inlineStr">
        <is>
          <t>Higher</t>
        </is>
      </c>
      <c r="K134" s="18" t="inlineStr">
        <is>
          <t>Friedberg</t>
        </is>
      </c>
      <c r="L134" s="18" t="inlineStr"/>
      <c r="M134" s="18" t="inlineStr"/>
      <c r="N134" s="18" t="inlineStr">
        <is>
          <t>Publisher &amp; distributor</t>
        </is>
      </c>
      <c r="O134" s="18" t="inlineStr">
        <is>
          <t>5,000+ games &amp; toys distributed (Pegasus + partner publishers)</t>
        </is>
      </c>
      <c r="P134" s="18" t="inlineStr">
        <is>
          <t>Board games</t>
        </is>
      </c>
      <c r="Q134" s="18" t="inlineStr">
        <is>
          <t>On request</t>
        </is>
      </c>
      <c r="R134" s="18" t="inlineStr">
        <is>
          <t>Retailers</t>
        </is>
      </c>
      <c r="S134" s="18" t="inlineStr">
        <is>
          <t>Ask</t>
        </is>
      </c>
      <c r="T134" s="18" t="inlineStr">
        <is>
          <t>Unknown</t>
        </is>
      </c>
      <c r="U134" s="18" t="inlineStr">
        <is>
          <t>Unknown</t>
        </is>
      </c>
      <c r="V134" s="18" t="inlineStr"/>
      <c r="W134" s="18" t="inlineStr">
        <is>
          <t>Founded 1993; exclusive DACH distributor for several publishers</t>
        </is>
      </c>
      <c r="X134" s="18" t="inlineStr">
        <is>
          <t>Board games are a strong Amazon category</t>
        </is>
      </c>
      <c r="Y134" s="18" t="inlineStr"/>
      <c r="Z134" s="18" t="inlineStr">
        <is>
          <t>Company site + Wikipedia</t>
        </is>
      </c>
      <c r="AA134" s="19" t="inlineStr">
        <is>
          <t>Source link</t>
        </is>
      </c>
      <c r="AB134" s="19" t="inlineStr">
        <is>
          <t>Search LinkedIn</t>
        </is>
      </c>
      <c r="AC134" s="18" t="inlineStr">
        <is>
          <t>Round 4</t>
        </is>
      </c>
      <c r="AD134" s="20" t="inlineStr">
        <is>
          <t>Not contacted</t>
        </is>
      </c>
      <c r="AE134" s="21" t="n"/>
      <c r="AF134" s="20" t="n"/>
      <c r="AG134" s="20" t="n"/>
      <c r="AH134" s="20" t="n"/>
      <c r="AI134" s="21">
        <f>IF(AE134="","",WORKDAY(AE134,5))</f>
        <v/>
      </c>
      <c r="AJ134" s="20" t="n"/>
      <c r="AK134" s="20" t="n"/>
    </row>
    <row r="135">
      <c r="A135" s="15" t="inlineStr">
        <is>
          <t>Germany</t>
        </is>
      </c>
      <c r="B135" s="16" t="n">
        <v>134</v>
      </c>
      <c r="C135" s="17" t="n">
        <v>4</v>
      </c>
      <c r="D135" s="18" t="inlineStr">
        <is>
          <t>Toys &amp; Games</t>
        </is>
      </c>
      <c r="E135" s="18" t="inlineStr">
        <is>
          <t>Simba Dickie Group GmbH (Simba, Dickie, Smoby, Majorette, Noris, Schuco)</t>
        </is>
      </c>
      <c r="F135" s="19" t="inlineStr">
        <is>
          <t>https://www.simba-dickie-group.com</t>
        </is>
      </c>
      <c r="G135" s="18" t="inlineStr">
        <is>
          <t>Fürth</t>
        </is>
      </c>
      <c r="H135" s="18" t="inlineStr"/>
      <c r="I135" s="18" t="inlineStr">
        <is>
          <t>EU / Europe</t>
        </is>
      </c>
      <c r="J135" s="18" t="inlineStr">
        <is>
          <t>Higher</t>
        </is>
      </c>
      <c r="K135" s="18" t="inlineStr">
        <is>
          <t>Werkstraße 1, 90765 Fürth (Smoby Toys SAS: 95 Route du Haut Jura, 39170 Lavans-lès-Saint-Claude, FR)</t>
        </is>
      </c>
      <c r="L135" s="18" t="inlineStr">
        <is>
          <t>+49 911 9765-01</t>
        </is>
      </c>
      <c r="M135" s="18" t="inlineStr"/>
      <c r="N135" s="18" t="inlineStr">
        <is>
          <t>Brand owner / manufacturer</t>
        </is>
      </c>
      <c r="O135" s="18" t="inlineStr">
        <is>
          <t>Simba, Dickie Toys, Smoby, Majorette, BIG, Noris games, Eichhorn, Schuco, Jada</t>
        </is>
      </c>
      <c r="P135" s="18" t="inlineStr">
        <is>
          <t>Branded toys</t>
        </is>
      </c>
      <c r="Q135" s="18" t="inlineStr">
        <is>
          <t>Account based</t>
        </is>
      </c>
      <c r="R135" s="18" t="inlineStr">
        <is>
          <t>Retailers via subsidiaries in 30 countries</t>
        </is>
      </c>
      <c r="S135" s="18" t="inlineStr">
        <is>
          <t>Has UK subsidiary (Simba Smoby Toys UK)</t>
        </is>
      </c>
      <c r="T135" s="18" t="inlineStr">
        <is>
          <t>Unknown</t>
        </is>
      </c>
      <c r="U135" s="18" t="inlineStr">
        <is>
          <t>Unknown</t>
        </is>
      </c>
      <c r="V135" s="18" t="inlineStr"/>
      <c r="W135" s="18" t="inlineStr">
        <is>
          <t>€711.7m turnover (2024); 8 production sites</t>
        </is>
      </c>
      <c r="X135" s="18" t="inlineStr">
        <is>
          <t>Major toy group - brand-direct invoices</t>
        </is>
      </c>
      <c r="Y135" s="18" t="inlineStr">
        <is>
          <t>Contact UK subsidiary for UK accounts.</t>
        </is>
      </c>
      <c r="Z135" s="18" t="inlineStr">
        <is>
          <t>Wikipedia + state trade database + company newsroom</t>
        </is>
      </c>
      <c r="AA135" s="19" t="inlineStr">
        <is>
          <t>Source link</t>
        </is>
      </c>
      <c r="AB135" s="19" t="inlineStr">
        <is>
          <t>Search LinkedIn</t>
        </is>
      </c>
      <c r="AC135" s="18" t="inlineStr">
        <is>
          <t>Round 4</t>
        </is>
      </c>
      <c r="AD135" s="20" t="inlineStr">
        <is>
          <t>Not contacted</t>
        </is>
      </c>
      <c r="AE135" s="21" t="n"/>
      <c r="AF135" s="20" t="n"/>
      <c r="AG135" s="20" t="n"/>
      <c r="AH135" s="20" t="n"/>
      <c r="AI135" s="21">
        <f>IF(AE135="","",WORKDAY(AE135,5))</f>
        <v/>
      </c>
      <c r="AJ135" s="20" t="n"/>
      <c r="AK135" s="20" t="n"/>
    </row>
    <row r="136">
      <c r="A136" s="15" t="inlineStr">
        <is>
          <t>Germany</t>
        </is>
      </c>
      <c r="B136" s="16" t="n">
        <v>135</v>
      </c>
      <c r="C136" s="17" t="n">
        <v>4</v>
      </c>
      <c r="D136" s="18" t="inlineStr">
        <is>
          <t>Toys &amp; Games</t>
        </is>
      </c>
      <c r="E136" s="18" t="inlineStr">
        <is>
          <t>small foot GmbH &amp; Co. KG (formerly Legler)</t>
        </is>
      </c>
      <c r="F136" s="19" t="inlineStr">
        <is>
          <t>https://b2b.small-foot.de/en/</t>
        </is>
      </c>
      <c r="G136" s="18" t="inlineStr">
        <is>
          <t>Delmenhorst (Lower Saxony)</t>
        </is>
      </c>
      <c r="H136" s="18" t="inlineStr"/>
      <c r="I136" s="18" t="inlineStr">
        <is>
          <t>EU / Europe</t>
        </is>
      </c>
      <c r="J136" s="18" t="inlineStr">
        <is>
          <t>Higher</t>
        </is>
      </c>
      <c r="K136" s="18" t="inlineStr">
        <is>
          <t>Delmenhorst</t>
        </is>
      </c>
      <c r="L136" s="18" t="inlineStr"/>
      <c r="M136" s="18" t="inlineStr"/>
      <c r="N136" s="18" t="inlineStr">
        <is>
          <t>Manufacturer, wholesaler &amp; importer</t>
        </is>
      </c>
      <c r="O136" s="18" t="inlineStr">
        <is>
          <t>small foot wooden toys (thousands of SKUs)</t>
        </is>
      </c>
      <c r="P136" s="18" t="inlineStr">
        <is>
          <t>Wooden toys</t>
        </is>
      </c>
      <c r="Q136" s="18" t="inlineStr">
        <is>
          <t>On request</t>
        </is>
      </c>
      <c r="R136" s="18" t="inlineStr">
        <is>
          <t>Retailers - B2B online shop</t>
        </is>
      </c>
      <c r="S136" s="18" t="inlineStr">
        <is>
          <t>Ask</t>
        </is>
      </c>
      <c r="T136" s="18" t="inlineStr">
        <is>
          <t>Unknown</t>
        </is>
      </c>
      <c r="U136" s="18" t="inlineStr">
        <is>
          <t>Unknown</t>
        </is>
      </c>
      <c r="V136" s="18" t="inlineStr"/>
      <c r="W136" s="18" t="inlineStr">
        <is>
          <t>Since 1988; Spielwarenmesse eG member</t>
        </is>
      </c>
      <c r="X136" s="18" t="inlineStr">
        <is>
          <t>Also on Qogita (low MOV)</t>
        </is>
      </c>
      <c r="Y136" s="18" t="inlineStr"/>
      <c r="Z136" s="18" t="inlineStr">
        <is>
          <t>Company B2B site</t>
        </is>
      </c>
      <c r="AA136" s="19" t="inlineStr">
        <is>
          <t>Source link</t>
        </is>
      </c>
      <c r="AB136" s="19" t="inlineStr">
        <is>
          <t>Search LinkedIn</t>
        </is>
      </c>
      <c r="AC136" s="18" t="inlineStr">
        <is>
          <t>Round 3</t>
        </is>
      </c>
      <c r="AD136" s="20" t="inlineStr">
        <is>
          <t>Not contacted</t>
        </is>
      </c>
      <c r="AE136" s="21" t="n"/>
      <c r="AF136" s="20" t="n"/>
      <c r="AG136" s="20" t="n"/>
      <c r="AH136" s="20" t="n"/>
      <c r="AI136" s="21">
        <f>IF(AE136="","",WORKDAY(AE136,5))</f>
        <v/>
      </c>
      <c r="AJ136" s="20" t="n"/>
      <c r="AK136" s="20" t="n"/>
    </row>
    <row r="137">
      <c r="A137" s="15" t="inlineStr">
        <is>
          <t>Germany</t>
        </is>
      </c>
      <c r="B137" s="16" t="n">
        <v>136</v>
      </c>
      <c r="C137" s="17" t="n">
        <v>4</v>
      </c>
      <c r="D137" s="18" t="inlineStr">
        <is>
          <t>Toys &amp; Games</t>
        </is>
      </c>
      <c r="E137" s="18" t="inlineStr">
        <is>
          <t>VEDES Großhandel GmbH</t>
        </is>
      </c>
      <c r="F137" s="19" t="inlineStr">
        <is>
          <t>https://www.vedes-gruppe.de</t>
        </is>
      </c>
      <c r="G137" s="18" t="inlineStr">
        <is>
          <t>Nuremberg (HQ); central warehouse Lotte/Osnabrück</t>
        </is>
      </c>
      <c r="H137" s="18" t="inlineStr"/>
      <c r="I137" s="18" t="inlineStr">
        <is>
          <t>EU / Europe</t>
        </is>
      </c>
      <c r="J137" s="18" t="inlineStr">
        <is>
          <t>Higher</t>
        </is>
      </c>
      <c r="K137" s="18" t="inlineStr">
        <is>
          <t>Nuremberg</t>
        </is>
      </c>
      <c r="L137" s="18" t="inlineStr"/>
      <c r="M137" s="18" t="inlineStr"/>
      <c r="N137" s="18" t="inlineStr">
        <is>
          <t>Toy wholesaler (arm of VEDES retail cooperative)</t>
        </is>
      </c>
      <c r="O137" s="18" t="inlineStr">
        <is>
          <t>Full branded toy range incl. exclusive Playmobil assortment (2026)</t>
        </is>
      </c>
      <c r="P137" s="18" t="inlineStr">
        <is>
          <t>Branded toys</t>
        </is>
      </c>
      <c r="Q137" s="18" t="inlineStr">
        <is>
          <t>On request</t>
        </is>
      </c>
      <c r="R137" s="18" t="inlineStr">
        <is>
          <t>Wholesale customers (~3,700 in 16 countries)</t>
        </is>
      </c>
      <c r="S137" s="18" t="inlineStr">
        <is>
          <t>16 countries - ask about UK</t>
        </is>
      </c>
      <c r="T137" s="18" t="inlineStr">
        <is>
          <t>Unknown</t>
        </is>
      </c>
      <c r="U137" s="18" t="inlineStr">
        <is>
          <t>Unknown</t>
        </is>
      </c>
      <c r="V137" s="18" t="inlineStr"/>
      <c r="W137" s="18" t="inlineStr">
        <is>
          <t>Founded 1904; publishes financial reports; ~1,000 member retailers</t>
        </is>
      </c>
      <c r="X137" s="18" t="inlineStr">
        <is>
          <t>Ask about online retailers</t>
        </is>
      </c>
      <c r="Y137" s="18" t="inlineStr"/>
      <c r="Z137" s="18" t="inlineStr">
        <is>
          <t>Company reports + Wikipedia</t>
        </is>
      </c>
      <c r="AA137" s="19" t="inlineStr">
        <is>
          <t>Source link</t>
        </is>
      </c>
      <c r="AB137" s="19" t="inlineStr">
        <is>
          <t>Search LinkedIn</t>
        </is>
      </c>
      <c r="AC137" s="18" t="inlineStr">
        <is>
          <t>Round 2</t>
        </is>
      </c>
      <c r="AD137" s="20" t="inlineStr">
        <is>
          <t>Not contacted</t>
        </is>
      </c>
      <c r="AE137" s="21" t="n"/>
      <c r="AF137" s="20" t="n"/>
      <c r="AG137" s="20" t="n"/>
      <c r="AH137" s="20" t="n"/>
      <c r="AI137" s="21">
        <f>IF(AE137="","",WORKDAY(AE137,5))</f>
        <v/>
      </c>
      <c r="AJ137" s="20" t="n"/>
      <c r="AK137" s="20" t="n"/>
    </row>
    <row r="138">
      <c r="A138" s="15" t="inlineStr">
        <is>
          <t>Germany</t>
        </is>
      </c>
      <c r="B138" s="16" t="n">
        <v>137</v>
      </c>
      <c r="C138" s="17" t="n">
        <v>2</v>
      </c>
      <c r="D138" s="18" t="inlineStr">
        <is>
          <t>Toys &amp; Games</t>
        </is>
      </c>
      <c r="E138" s="18" t="inlineStr">
        <is>
          <t>Landahl &amp; Baumann Spielwaren GmbH</t>
        </is>
      </c>
      <c r="F138" s="18" t="inlineStr">
        <is>
          <t>Not confirmed - search company name</t>
        </is>
      </c>
      <c r="G138" s="18" t="inlineStr">
        <is>
          <t>Borstel-Hohenraden (Schleswig-Holstein)</t>
        </is>
      </c>
      <c r="H138" s="18" t="inlineStr"/>
      <c r="I138" s="18" t="inlineStr">
        <is>
          <t>EU / Europe</t>
        </is>
      </c>
      <c r="J138" s="18" t="inlineStr">
        <is>
          <t>Higher</t>
        </is>
      </c>
      <c r="K138" s="18" t="inlineStr"/>
      <c r="L138" s="18" t="inlineStr"/>
      <c r="M138" s="18" t="inlineStr"/>
      <c r="N138" s="18" t="inlineStr">
        <is>
          <t>Toy wholesaler</t>
        </is>
      </c>
      <c r="O138" s="18" t="inlineStr">
        <is>
          <t>Branded toys - Europe-wide</t>
        </is>
      </c>
      <c r="P138" s="18" t="inlineStr">
        <is>
          <t>Branded toys</t>
        </is>
      </c>
      <c r="Q138" s="18" t="inlineStr">
        <is>
          <t>On request</t>
        </is>
      </c>
      <c r="R138" s="18" t="inlineStr">
        <is>
          <t>Trade</t>
        </is>
      </c>
      <c r="S138" s="18" t="inlineStr">
        <is>
          <t>Check</t>
        </is>
      </c>
      <c r="T138" s="18" t="inlineStr">
        <is>
          <t>Unknown</t>
        </is>
      </c>
      <c r="U138" s="18" t="inlineStr">
        <is>
          <t>Unknown</t>
        </is>
      </c>
      <c r="V138" s="18" t="inlineStr"/>
      <c r="W138" s="18" t="inlineStr">
        <is>
          <t>Established toy wholesaler</t>
        </is>
      </c>
      <c r="X138" s="18" t="inlineStr"/>
      <c r="Y138" s="18" t="inlineStr"/>
      <c r="Z138" s="18" t="inlineStr">
        <is>
          <t>Job portal</t>
        </is>
      </c>
      <c r="AA138" s="19" t="inlineStr">
        <is>
          <t>Source link</t>
        </is>
      </c>
      <c r="AB138" s="19" t="inlineStr">
        <is>
          <t>Search LinkedIn</t>
        </is>
      </c>
      <c r="AC138" s="18" t="inlineStr">
        <is>
          <t>Round 1</t>
        </is>
      </c>
      <c r="AD138" s="20" t="inlineStr">
        <is>
          <t>Not contacted</t>
        </is>
      </c>
      <c r="AE138" s="21" t="n"/>
      <c r="AF138" s="20" t="n"/>
      <c r="AG138" s="20" t="n"/>
      <c r="AH138" s="20" t="n"/>
      <c r="AI138" s="21">
        <f>IF(AE138="","",WORKDAY(AE138,5))</f>
        <v/>
      </c>
      <c r="AJ138" s="20" t="n"/>
      <c r="AK138" s="20" t="n"/>
    </row>
    <row r="139">
      <c r="A139" s="22" t="inlineStr">
        <is>
          <t>Greece</t>
        </is>
      </c>
      <c r="B139" s="23" t="n">
        <v>138</v>
      </c>
      <c r="C139" s="10" t="n">
        <v>4</v>
      </c>
      <c r="D139" s="11" t="inlineStr">
        <is>
          <t>Beauty</t>
        </is>
      </c>
      <c r="E139" s="11" t="inlineStr">
        <is>
          <t>KORRES S.A. Natural Products</t>
        </is>
      </c>
      <c r="F139" s="12" t="inlineStr">
        <is>
          <t>https://www.korres.com</t>
        </is>
      </c>
      <c r="G139" s="11" t="inlineStr">
        <is>
          <t>Athens (Metamorfosi)</t>
        </is>
      </c>
      <c r="H139" s="11" t="inlineStr"/>
      <c r="I139" s="11" t="inlineStr">
        <is>
          <t>EU / Europe</t>
        </is>
      </c>
      <c r="J139" s="11" t="inlineStr">
        <is>
          <t>Low-cost</t>
        </is>
      </c>
      <c r="K139" s="11" t="inlineStr">
        <is>
          <t>3 Drosini &amp; Tatoiou St., 144 52 Metamorfosi, Athens</t>
        </is>
      </c>
      <c r="L139" s="11" t="inlineStr"/>
      <c r="M139" s="11" t="inlineStr"/>
      <c r="N139" s="11" t="inlineStr">
        <is>
          <t>Brand owner / manufacturer (listed)</t>
        </is>
      </c>
      <c r="O139" s="11" t="inlineStr">
        <is>
          <t>KORRES skincare, Greek Yoghurt, Wild Rose, body butters</t>
        </is>
      </c>
      <c r="P139" s="11" t="inlineStr">
        <is>
          <t>Natural skincare</t>
        </is>
      </c>
      <c r="Q139" s="11" t="inlineStr">
        <is>
          <t>Account based</t>
        </is>
      </c>
      <c r="R139" s="11" t="inlineStr">
        <is>
          <t>Distributors in ~30 markets</t>
        </is>
      </c>
      <c r="S139" s="11" t="inlineStr">
        <is>
          <t>Ask - UK distribution exists</t>
        </is>
      </c>
      <c r="T139" s="11" t="inlineStr">
        <is>
          <t>Unknown</t>
        </is>
      </c>
      <c r="U139" s="11" t="inlineStr">
        <is>
          <t>Unknown</t>
        </is>
      </c>
      <c r="V139" s="11" t="inlineStr"/>
      <c r="W139" s="11" t="inlineStr">
        <is>
          <t>Listed on Athens Exchange (Euronext Athens)</t>
        </is>
      </c>
      <c r="X139" s="11" t="inlineStr">
        <is>
          <t>Korres skincare sells well; check brand gating</t>
        </is>
      </c>
      <c r="Y139" s="11" t="inlineStr"/>
      <c r="Z139" s="11" t="inlineStr">
        <is>
          <t>Stock exchange filings + trade data</t>
        </is>
      </c>
      <c r="AA139" s="12" t="inlineStr">
        <is>
          <t>Source link</t>
        </is>
      </c>
      <c r="AB139" s="12" t="inlineStr">
        <is>
          <t>Search LinkedIn</t>
        </is>
      </c>
      <c r="AC139" s="11" t="inlineStr">
        <is>
          <t>Round 4</t>
        </is>
      </c>
      <c r="AD139" s="13" t="inlineStr">
        <is>
          <t>Not contacted</t>
        </is>
      </c>
      <c r="AE139" s="14" t="n"/>
      <c r="AF139" s="13" t="n"/>
      <c r="AG139" s="13" t="n"/>
      <c r="AH139" s="13" t="n"/>
      <c r="AI139" s="14">
        <f>IF(AE139="","",WORKDAY(AE139,5))</f>
        <v/>
      </c>
      <c r="AJ139" s="13" t="n"/>
      <c r="AK139" s="13" t="n"/>
    </row>
    <row r="140">
      <c r="A140" s="24" t="inlineStr">
        <is>
          <t>Greece</t>
        </is>
      </c>
      <c r="B140" s="25" t="n">
        <v>139</v>
      </c>
      <c r="C140" s="17" t="n">
        <v>4</v>
      </c>
      <c r="D140" s="18" t="inlineStr">
        <is>
          <t>Beauty</t>
        </is>
      </c>
      <c r="E140" s="26" t="inlineStr">
        <is>
          <t>Papoutsanis S.A.</t>
        </is>
      </c>
      <c r="F140" s="19" t="inlineStr">
        <is>
          <t>https://www.papoutsanis.gr</t>
        </is>
      </c>
      <c r="G140" s="18" t="inlineStr">
        <is>
          <t>Halkida / Nea Kifissia (Athens)</t>
        </is>
      </c>
      <c r="H140" s="18" t="inlineStr"/>
      <c r="I140" s="18" t="inlineStr">
        <is>
          <t>EU / Europe</t>
        </is>
      </c>
      <c r="J140" s="18" t="inlineStr">
        <is>
          <t>Low-cost</t>
        </is>
      </c>
      <c r="K140" s="18" t="inlineStr">
        <is>
          <t>2 Kalavryton Str., 145 64 Nea Kifissia; plant 71st km Athens-Lamia Rd, Halkida</t>
        </is>
      </c>
      <c r="L140" s="18" t="inlineStr">
        <is>
          <t>+30 22620 85 000</t>
        </is>
      </c>
      <c r="M140" s="18" t="inlineStr">
        <is>
          <t>info@papoutsanis.gr</t>
        </is>
      </c>
      <c r="N140" s="18" t="inlineStr">
        <is>
          <t>Manufacturer / brand owner (listed)</t>
        </is>
      </c>
      <c r="O140" s="18" t="inlineStr">
        <is>
          <t>Papoutsanis olive-oil soaps, Karavaki, Aloe Vera; private label &amp; hotel amenities</t>
        </is>
      </c>
      <c r="P140" s="18" t="inlineStr">
        <is>
          <t>Soap, shower gel &amp; body care</t>
        </is>
      </c>
      <c r="Q140" s="18" t="inlineStr">
        <is>
          <t>On request</t>
        </is>
      </c>
      <c r="R140" s="18" t="inlineStr">
        <is>
          <t>Export to 25-45 countries; private label available</t>
        </is>
      </c>
      <c r="S140" s="18" t="inlineStr">
        <is>
          <t>Ask</t>
        </is>
      </c>
      <c r="T140" s="18" t="inlineStr">
        <is>
          <t>Unknown</t>
        </is>
      </c>
      <c r="U140" s="18" t="inlineStr">
        <is>
          <t>Unknown</t>
        </is>
      </c>
      <c r="V140" s="18" t="inlineStr"/>
      <c r="W140" s="18" t="inlineStr">
        <is>
          <t>Listed on Athens Exchange; official website contacts</t>
        </is>
      </c>
      <c r="X140" s="18" t="inlineStr">
        <is>
          <t>Olive-oil bar soaps are cheap &amp; light - very FBA friendly</t>
        </is>
      </c>
      <c r="Y140" s="18" t="inlineStr"/>
      <c r="Z140" s="18" t="inlineStr">
        <is>
          <t>Official company website + stock exchange</t>
        </is>
      </c>
      <c r="AA140" s="19" t="inlineStr">
        <is>
          <t>Source link</t>
        </is>
      </c>
      <c r="AB140" s="19" t="inlineStr">
        <is>
          <t>Search LinkedIn</t>
        </is>
      </c>
      <c r="AC140" s="18" t="inlineStr">
        <is>
          <t>Round 5</t>
        </is>
      </c>
      <c r="AD140" s="20" t="inlineStr">
        <is>
          <t>Not contacted</t>
        </is>
      </c>
      <c r="AE140" s="21" t="n"/>
      <c r="AF140" s="20" t="n"/>
      <c r="AG140" s="20" t="n"/>
      <c r="AH140" s="20" t="n"/>
      <c r="AI140" s="21">
        <f>IF(AE140="","",WORKDAY(AE140,5))</f>
        <v/>
      </c>
      <c r="AJ140" s="20" t="n"/>
      <c r="AK140" s="20" t="n"/>
    </row>
    <row r="141">
      <c r="A141" s="24" t="inlineStr">
        <is>
          <t>Greece</t>
        </is>
      </c>
      <c r="B141" s="25" t="n">
        <v>140</v>
      </c>
      <c r="C141" s="17" t="n">
        <v>3</v>
      </c>
      <c r="D141" s="18" t="inlineStr">
        <is>
          <t>Beauty</t>
        </is>
      </c>
      <c r="E141" s="18" t="inlineStr">
        <is>
          <t>APIVITA S.A.</t>
        </is>
      </c>
      <c r="F141" s="19" t="inlineStr">
        <is>
          <t>https://www.apivita.com</t>
        </is>
      </c>
      <c r="G141" s="18" t="inlineStr">
        <is>
          <t>Markopoulo (Attica)</t>
        </is>
      </c>
      <c r="H141" s="18" t="inlineStr"/>
      <c r="I141" s="18" t="inlineStr">
        <is>
          <t>EU / Europe</t>
        </is>
      </c>
      <c r="J141" s="18" t="inlineStr">
        <is>
          <t>Low-cost</t>
        </is>
      </c>
      <c r="K141" s="18" t="inlineStr">
        <is>
          <t>Industrial Park of Markopoulo, 19003 Markopoulo Mesogaias</t>
        </is>
      </c>
      <c r="L141" s="18" t="inlineStr">
        <is>
          <t>+30 210 2856350 (verify)</t>
        </is>
      </c>
      <c r="M141" s="18" t="inlineStr"/>
      <c r="N141" s="18" t="inlineStr">
        <is>
          <t>Brand owner / manufacturer</t>
        </is>
      </c>
      <c r="O141" s="18" t="inlineStr">
        <is>
          <t>APIVITA natural skin &amp; hair care (bee/propolis)</t>
        </is>
      </c>
      <c r="P141" s="18" t="inlineStr">
        <is>
          <t>Natural pharmacy cosmetics</t>
        </is>
      </c>
      <c r="Q141" s="18" t="inlineStr">
        <is>
          <t>Account based</t>
        </is>
      </c>
      <c r="R141" s="18" t="inlineStr">
        <is>
          <t>Distributors; worldwide distribution via PUIG</t>
        </is>
      </c>
      <c r="S141" s="18" t="inlineStr">
        <is>
          <t>Ask</t>
        </is>
      </c>
      <c r="T141" s="18" t="inlineStr">
        <is>
          <t>Unknown</t>
        </is>
      </c>
      <c r="U141" s="18" t="inlineStr">
        <is>
          <t>Unknown</t>
        </is>
      </c>
      <c r="V141" s="18" t="inlineStr"/>
      <c r="W141" s="18" t="inlineStr">
        <is>
          <t>Majority owned by PUIG since 2017; EU-funded facility</t>
        </is>
      </c>
      <c r="X141" s="18" t="inlineStr">
        <is>
          <t>Shampoos &amp; face masks have steady demand</t>
        </is>
      </c>
      <c r="Y141" s="18" t="inlineStr"/>
      <c r="Z141" s="18" t="inlineStr">
        <is>
          <t>Business press + company directory</t>
        </is>
      </c>
      <c r="AA141" s="19" t="inlineStr">
        <is>
          <t>Source link</t>
        </is>
      </c>
      <c r="AB141" s="19" t="inlineStr">
        <is>
          <t>Search LinkedIn</t>
        </is>
      </c>
      <c r="AC141" s="18" t="inlineStr">
        <is>
          <t>Round 4</t>
        </is>
      </c>
      <c r="AD141" s="20" t="inlineStr">
        <is>
          <t>Not contacted</t>
        </is>
      </c>
      <c r="AE141" s="21" t="n"/>
      <c r="AF141" s="20" t="n"/>
      <c r="AG141" s="20" t="n"/>
      <c r="AH141" s="20" t="n"/>
      <c r="AI141" s="21">
        <f>IF(AE141="","",WORKDAY(AE141,5))</f>
        <v/>
      </c>
      <c r="AJ141" s="20" t="n"/>
      <c r="AK141" s="20" t="n"/>
    </row>
    <row r="142">
      <c r="A142" s="24" t="inlineStr">
        <is>
          <t>Greece</t>
        </is>
      </c>
      <c r="B142" s="25" t="n">
        <v>141</v>
      </c>
      <c r="C142" s="17" t="n">
        <v>3</v>
      </c>
      <c r="D142" s="18" t="inlineStr">
        <is>
          <t>Beauty</t>
        </is>
      </c>
      <c r="E142" s="26" t="inlineStr">
        <is>
          <t>FREZYDERM S.A.</t>
        </is>
      </c>
      <c r="F142" s="19" t="inlineStr">
        <is>
          <t>https://www.frezyderm.com</t>
        </is>
      </c>
      <c r="G142" s="18" t="inlineStr">
        <is>
          <t>Athens</t>
        </is>
      </c>
      <c r="H142" s="18" t="inlineStr"/>
      <c r="I142" s="18" t="inlineStr">
        <is>
          <t>EU / Europe</t>
        </is>
      </c>
      <c r="J142" s="18" t="inlineStr">
        <is>
          <t>Low-cost</t>
        </is>
      </c>
      <c r="K142" s="18" t="inlineStr">
        <is>
          <t>Menandrou 75, 104 37 Athens</t>
        </is>
      </c>
      <c r="L142" s="18" t="inlineStr">
        <is>
          <t>+30 210 5246900 (verify)</t>
        </is>
      </c>
      <c r="M142" s="18" t="inlineStr"/>
      <c r="N142" s="18" t="inlineStr">
        <is>
          <t>Brand owner / manufacturer</t>
        </is>
      </c>
      <c r="O142" s="18" t="inlineStr">
        <is>
          <t>Frezyderm dermocosmetics, sun care, baby care, Frezylac</t>
        </is>
      </c>
      <c r="P142" s="18" t="inlineStr">
        <is>
          <t>Pharmacy dermocosmetics</t>
        </is>
      </c>
      <c r="Q142" s="18" t="inlineStr">
        <is>
          <t>Account based</t>
        </is>
      </c>
      <c r="R142" s="18" t="inlineStr">
        <is>
          <t>Distributors (~40 countries); export director listed</t>
        </is>
      </c>
      <c r="S142" s="18" t="inlineStr">
        <is>
          <t>Ask</t>
        </is>
      </c>
      <c r="T142" s="18" t="inlineStr">
        <is>
          <t>Unknown</t>
        </is>
      </c>
      <c r="U142" s="18" t="inlineStr">
        <is>
          <t>Unknown</t>
        </is>
      </c>
      <c r="V142" s="18" t="inlineStr"/>
      <c r="W142" s="18" t="inlineStr">
        <is>
          <t>CPHI Milan 2026 exhibitor; sold via Lyko; pharmaceutical directory listing</t>
        </is>
      </c>
      <c r="X142" s="18" t="inlineStr">
        <is>
          <t>Greek pharmacy skincare is cheaper than French equivalents</t>
        </is>
      </c>
      <c r="Y142" s="18" t="inlineStr"/>
      <c r="Z142" s="18" t="inlineStr">
        <is>
          <t>Trade fair + pharma directory</t>
        </is>
      </c>
      <c r="AA142" s="19" t="inlineStr">
        <is>
          <t>Source link</t>
        </is>
      </c>
      <c r="AB142" s="19" t="inlineStr">
        <is>
          <t>Search LinkedIn</t>
        </is>
      </c>
      <c r="AC142" s="18" t="inlineStr">
        <is>
          <t>Round 5</t>
        </is>
      </c>
      <c r="AD142" s="20" t="inlineStr">
        <is>
          <t>Not contacted</t>
        </is>
      </c>
      <c r="AE142" s="21" t="n"/>
      <c r="AF142" s="20" t="n"/>
      <c r="AG142" s="20" t="n"/>
      <c r="AH142" s="20" t="n"/>
      <c r="AI142" s="21">
        <f>IF(AE142="","",WORKDAY(AE142,5))</f>
        <v/>
      </c>
      <c r="AJ142" s="20" t="n"/>
      <c r="AK142" s="20" t="n"/>
    </row>
    <row r="143">
      <c r="A143" s="8" t="inlineStr">
        <is>
          <t>Hungary</t>
        </is>
      </c>
      <c r="B143" s="9" t="n">
        <v>142</v>
      </c>
      <c r="C143" s="10" t="n">
        <v>3</v>
      </c>
      <c r="D143" s="11" t="inlineStr">
        <is>
          <t>Beauty</t>
        </is>
      </c>
      <c r="E143" s="27" t="inlineStr">
        <is>
          <t>HELIA-D Kft.</t>
        </is>
      </c>
      <c r="F143" s="12" t="inlineStr">
        <is>
          <t>https://www.helia-d.hu</t>
        </is>
      </c>
      <c r="G143" s="11" t="inlineStr">
        <is>
          <t>Budapest / Veszprém (production)</t>
        </is>
      </c>
      <c r="H143" s="11" t="inlineStr"/>
      <c r="I143" s="11" t="inlineStr">
        <is>
          <t>EU / Europe</t>
        </is>
      </c>
      <c r="J143" s="11" t="inlineStr">
        <is>
          <t>Low-cost</t>
        </is>
      </c>
      <c r="K143" s="11" t="inlineStr">
        <is>
          <t>Production site in Veszprém; HQ Budapest</t>
        </is>
      </c>
      <c r="L143" s="11" t="inlineStr"/>
      <c r="M143" s="11" t="inlineStr"/>
      <c r="N143" s="11" t="inlineStr">
        <is>
          <t>Brand owner / manufacturer</t>
        </is>
      </c>
      <c r="O143" s="11" t="inlineStr">
        <is>
          <t>Helia-D face &amp; body creams, Botanic, Professional anti-ageing</t>
        </is>
      </c>
      <c r="P143" s="11" t="inlineStr">
        <is>
          <t>Skincare (budget)</t>
        </is>
      </c>
      <c r="Q143" s="11" t="inlineStr">
        <is>
          <t>On request</t>
        </is>
      </c>
      <c r="R143" s="11" t="inlineStr">
        <is>
          <t>Shops &amp; supermarkets abroad</t>
        </is>
      </c>
      <c r="S143" s="11" t="inlineStr">
        <is>
          <t>Ask</t>
        </is>
      </c>
      <c r="T143" s="11" t="inlineStr">
        <is>
          <t>Unknown</t>
        </is>
      </c>
      <c r="U143" s="11" t="inlineStr">
        <is>
          <t>Unknown</t>
        </is>
      </c>
      <c r="V143" s="11" t="inlineStr"/>
      <c r="W143" s="11" t="inlineStr">
        <is>
          <t>Budapest Stock Exchange BÉT50 company profile (2018); heritage Hungarian brand</t>
        </is>
      </c>
      <c r="X143" s="11" t="inlineStr">
        <is>
          <t>Low-cost anti-ageing creams with little UK competition</t>
        </is>
      </c>
      <c r="Y143" s="11" t="inlineStr">
        <is>
          <t>Get registered address before ordering</t>
        </is>
      </c>
      <c r="Z143" s="11" t="inlineStr">
        <is>
          <t>Stock exchange programme profile + business press</t>
        </is>
      </c>
      <c r="AA143" s="12" t="inlineStr">
        <is>
          <t>Source link</t>
        </is>
      </c>
      <c r="AB143" s="12" t="inlineStr">
        <is>
          <t>Search LinkedIn</t>
        </is>
      </c>
      <c r="AC143" s="11" t="inlineStr">
        <is>
          <t>Round 5</t>
        </is>
      </c>
      <c r="AD143" s="13" t="inlineStr">
        <is>
          <t>Not contacted</t>
        </is>
      </c>
      <c r="AE143" s="14" t="n"/>
      <c r="AF143" s="13" t="n"/>
      <c r="AG143" s="13" t="n"/>
      <c r="AH143" s="13" t="n"/>
      <c r="AI143" s="14">
        <f>IF(AE143="","",WORKDAY(AE143,5))</f>
        <v/>
      </c>
      <c r="AJ143" s="13" t="n"/>
      <c r="AK143" s="13" t="n"/>
    </row>
    <row r="144">
      <c r="A144" s="15" t="inlineStr">
        <is>
          <t>Hungary</t>
        </is>
      </c>
      <c r="B144" s="16" t="n">
        <v>143</v>
      </c>
      <c r="C144" s="17" t="n">
        <v>4</v>
      </c>
      <c r="D144" s="18" t="inlineStr">
        <is>
          <t>Health &amp; Personal Care</t>
        </is>
      </c>
      <c r="E144" s="18" t="inlineStr">
        <is>
          <t>BioTechUSA Kft.</t>
        </is>
      </c>
      <c r="F144" s="19" t="inlineStr">
        <is>
          <t>https://www.biotechusa.hu</t>
        </is>
      </c>
      <c r="G144" s="18" t="inlineStr">
        <is>
          <t>Budapest</t>
        </is>
      </c>
      <c r="H144" s="18" t="inlineStr"/>
      <c r="I144" s="18" t="inlineStr">
        <is>
          <t>EU / Europe</t>
        </is>
      </c>
      <c r="J144" s="18" t="inlineStr">
        <is>
          <t>Low-cost</t>
        </is>
      </c>
      <c r="K144" s="18" t="inlineStr">
        <is>
          <t>Huszti út 60, 1033 Budapest</t>
        </is>
      </c>
      <c r="L144" s="18" t="inlineStr"/>
      <c r="M144" s="18" t="inlineStr"/>
      <c r="N144" s="18" t="inlineStr">
        <is>
          <t>Brand owner / manufacturer</t>
        </is>
      </c>
      <c r="O144" s="18" t="inlineStr">
        <is>
          <t>BioTechUSA protein, supplements, snacks; Scitec group</t>
        </is>
      </c>
      <c r="P144" s="18" t="inlineStr">
        <is>
          <t>Sports nutrition</t>
        </is>
      </c>
      <c r="Q144" s="18" t="inlineStr">
        <is>
          <t>On request</t>
        </is>
      </c>
      <c r="R144" s="18" t="inlineStr">
        <is>
          <t>Distributors &amp; partners (4,500 partners)</t>
        </is>
      </c>
      <c r="S144" s="18" t="inlineStr">
        <is>
          <t>Present in 100+ countries - ask</t>
        </is>
      </c>
      <c r="T144" s="18" t="inlineStr">
        <is>
          <t>Unknown</t>
        </is>
      </c>
      <c r="U144" s="18" t="inlineStr">
        <is>
          <t>Unknown</t>
        </is>
      </c>
      <c r="V144" s="18" t="inlineStr"/>
      <c r="W144" s="18" t="inlineStr">
        <is>
          <t>~80% export; 270 franchise stores; Gulfood exhibitor</t>
        </is>
      </c>
      <c r="X144" s="18" t="inlineStr">
        <is>
          <t>Well-known Amazon EU brand</t>
        </is>
      </c>
      <c r="Y144" s="18" t="inlineStr"/>
      <c r="Z144" s="18" t="inlineStr">
        <is>
          <t>Trade fair listing + business press</t>
        </is>
      </c>
      <c r="AA144" s="19" t="inlineStr">
        <is>
          <t>Source link</t>
        </is>
      </c>
      <c r="AB144" s="19" t="inlineStr">
        <is>
          <t>Search LinkedIn</t>
        </is>
      </c>
      <c r="AC144" s="18" t="inlineStr">
        <is>
          <t>Round 4</t>
        </is>
      </c>
      <c r="AD144" s="20" t="inlineStr">
        <is>
          <t>Not contacted</t>
        </is>
      </c>
      <c r="AE144" s="21" t="n"/>
      <c r="AF144" s="20" t="n"/>
      <c r="AG144" s="20" t="n"/>
      <c r="AH144" s="20" t="n"/>
      <c r="AI144" s="21">
        <f>IF(AE144="","",WORKDAY(AE144,5))</f>
        <v/>
      </c>
      <c r="AJ144" s="20" t="n"/>
      <c r="AK144" s="20" t="n"/>
    </row>
    <row r="145">
      <c r="A145" s="15" t="inlineStr">
        <is>
          <t>Hungary</t>
        </is>
      </c>
      <c r="B145" s="16" t="n">
        <v>144</v>
      </c>
      <c r="C145" s="17" t="n">
        <v>3</v>
      </c>
      <c r="D145" s="18" t="inlineStr">
        <is>
          <t>Health &amp; Personal Care</t>
        </is>
      </c>
      <c r="E145" s="26" t="inlineStr">
        <is>
          <t>Herbária Zrt.</t>
        </is>
      </c>
      <c r="F145" s="19" t="inlineStr">
        <is>
          <t>https://www.herbaria.hu</t>
        </is>
      </c>
      <c r="G145" s="18" t="inlineStr">
        <is>
          <t>Budapest</t>
        </is>
      </c>
      <c r="H145" s="18" t="inlineStr"/>
      <c r="I145" s="18" t="inlineStr">
        <is>
          <t>EU / Europe</t>
        </is>
      </c>
      <c r="J145" s="18" t="inlineStr">
        <is>
          <t>Low-cost</t>
        </is>
      </c>
      <c r="K145" s="18" t="inlineStr">
        <is>
          <t>Csata utca 27, 1135 Budapest</t>
        </is>
      </c>
      <c r="L145" s="18" t="inlineStr">
        <is>
          <t>+36 30 497 9443 (verify)</t>
        </is>
      </c>
      <c r="M145" s="18" t="inlineStr">
        <is>
          <t>herbaria@herbaria.hu</t>
        </is>
      </c>
      <c r="N145" s="18" t="inlineStr">
        <is>
          <t>Manufacturer / brand owner</t>
        </is>
      </c>
      <c r="O145" s="18" t="inlineStr">
        <is>
          <t>Herbária herbal teas, functional teas, supplements, cosmetics; Tesco/Auchan/Spar private label</t>
        </is>
      </c>
      <c r="P145" s="18" t="inlineStr">
        <is>
          <t>Herbal teas &amp; supplements</t>
        </is>
      </c>
      <c r="Q145" s="18" t="inlineStr">
        <is>
          <t>On request</t>
        </is>
      </c>
      <c r="R145" s="18" t="inlineStr">
        <is>
          <t>Export partners (Europe, Canada, Japan)</t>
        </is>
      </c>
      <c r="S145" s="18" t="inlineStr">
        <is>
          <t>Ask</t>
        </is>
      </c>
      <c r="T145" s="18" t="inlineStr">
        <is>
          <t>Unknown</t>
        </is>
      </c>
      <c r="U145" s="18" t="inlineStr">
        <is>
          <t>Unknown</t>
        </is>
      </c>
      <c r="V145" s="18" t="inlineStr"/>
      <c r="W145" s="18" t="inlineStr">
        <is>
          <t>Gulfood exhibitor; Hungarian Foreign Ministry trade brochure; 67-101 own/franchise shops</t>
        </is>
      </c>
      <c r="X145" s="18" t="inlineStr">
        <is>
          <t>Herbal teas are food - check UK food labelling rules</t>
        </is>
      </c>
      <c r="Y145" s="18" t="inlineStr"/>
      <c r="Z145" s="18" t="inlineStr">
        <is>
          <t>Trade fair + government trade brochure</t>
        </is>
      </c>
      <c r="AA145" s="19" t="inlineStr">
        <is>
          <t>Source link</t>
        </is>
      </c>
      <c r="AB145" s="19" t="inlineStr">
        <is>
          <t>Search LinkedIn</t>
        </is>
      </c>
      <c r="AC145" s="18" t="inlineStr">
        <is>
          <t>Round 5</t>
        </is>
      </c>
      <c r="AD145" s="20" t="inlineStr">
        <is>
          <t>Not contacted</t>
        </is>
      </c>
      <c r="AE145" s="21" t="n"/>
      <c r="AF145" s="20" t="n"/>
      <c r="AG145" s="20" t="n"/>
      <c r="AH145" s="20" t="n"/>
      <c r="AI145" s="21">
        <f>IF(AE145="","",WORKDAY(AE145,5))</f>
        <v/>
      </c>
      <c r="AJ145" s="20" t="n"/>
      <c r="AK145" s="20" t="n"/>
    </row>
    <row r="146">
      <c r="A146" s="22" t="inlineStr">
        <is>
          <t>Ireland</t>
        </is>
      </c>
      <c r="B146" s="23" t="n">
        <v>145</v>
      </c>
      <c r="C146" s="10" t="n">
        <v>4</v>
      </c>
      <c r="D146" s="11" t="inlineStr">
        <is>
          <t>Beauty</t>
        </is>
      </c>
      <c r="E146" s="11" t="inlineStr">
        <is>
          <t>National Beauty Distribution Ltd</t>
        </is>
      </c>
      <c r="F146" s="12" t="inlineStr">
        <is>
          <t>https://www.nationalbeauty.ie</t>
        </is>
      </c>
      <c r="G146" s="11" t="inlineStr">
        <is>
          <t>Blarney (Co. Cork)</t>
        </is>
      </c>
      <c r="H146" s="11" t="inlineStr"/>
      <c r="I146" s="11" t="inlineStr">
        <is>
          <t>EU / Europe</t>
        </is>
      </c>
      <c r="J146" s="11" t="inlineStr">
        <is>
          <t>Higher</t>
        </is>
      </c>
      <c r="K146" s="11" t="inlineStr">
        <is>
          <t>Unit 6, Blarney Business Park, Blarney, Co. Cork</t>
        </is>
      </c>
      <c r="L146" s="11" t="inlineStr"/>
      <c r="M146" s="11" t="inlineStr"/>
      <c r="N146" s="11" t="inlineStr">
        <is>
          <t>Importer / wholesaler</t>
        </is>
      </c>
      <c r="O146" s="11" t="inlineStr">
        <is>
          <t>Beauty &amp; cosmetics brands; makers of Bare by Vogue, Luna by Lisa (own brands)</t>
        </is>
      </c>
      <c r="P146" s="11" t="inlineStr">
        <is>
          <t>Beauty &amp; tanning</t>
        </is>
      </c>
      <c r="Q146" s="11" t="inlineStr">
        <is>
          <t>On request</t>
        </is>
      </c>
      <c r="R146" s="11" t="inlineStr">
        <is>
          <t>Retailers (salons to high street)</t>
        </is>
      </c>
      <c r="S146" s="11" t="inlineStr">
        <is>
          <t>EU (Ireland) - ask about UK</t>
        </is>
      </c>
      <c r="T146" s="11" t="inlineStr">
        <is>
          <t>Unknown</t>
        </is>
      </c>
      <c r="U146" s="11" t="inlineStr">
        <is>
          <t>Unknown</t>
        </is>
      </c>
      <c r="V146" s="11" t="inlineStr"/>
      <c r="W146" s="11" t="inlineStr">
        <is>
          <t>Cork Chamber member; Enterprise Ireland directory; CEO Kieran Walsh (award-winning)</t>
        </is>
      </c>
      <c r="X146" s="11" t="inlineStr">
        <is>
          <t>Own tanning brands sell well online</t>
        </is>
      </c>
      <c r="Y146" s="11" t="inlineStr"/>
      <c r="Z146" s="11" t="inlineStr">
        <is>
          <t>Chamber of commerce + Enterprise Ireland</t>
        </is>
      </c>
      <c r="AA146" s="12" t="inlineStr">
        <is>
          <t>Source link</t>
        </is>
      </c>
      <c r="AB146" s="12" t="inlineStr">
        <is>
          <t>Search LinkedIn</t>
        </is>
      </c>
      <c r="AC146" s="11" t="inlineStr">
        <is>
          <t>Round 4</t>
        </is>
      </c>
      <c r="AD146" s="13" t="inlineStr">
        <is>
          <t>Not contacted</t>
        </is>
      </c>
      <c r="AE146" s="14" t="n"/>
      <c r="AF146" s="13" t="n"/>
      <c r="AG146" s="13" t="n"/>
      <c r="AH146" s="13" t="n"/>
      <c r="AI146" s="14">
        <f>IF(AE146="","",WORKDAY(AE146,5))</f>
        <v/>
      </c>
      <c r="AJ146" s="13" t="n"/>
      <c r="AK146" s="13" t="n"/>
    </row>
    <row r="147">
      <c r="A147" s="24" t="inlineStr">
        <is>
          <t>Ireland</t>
        </is>
      </c>
      <c r="B147" s="25" t="n">
        <v>146</v>
      </c>
      <c r="C147" s="17" t="n">
        <v>1</v>
      </c>
      <c r="D147" s="18" t="inlineStr">
        <is>
          <t>Beauty</t>
        </is>
      </c>
      <c r="E147" s="18" t="inlineStr">
        <is>
          <t>Xpert Professional</t>
        </is>
      </c>
      <c r="F147" s="19" t="inlineStr">
        <is>
          <t>https://www.irishbeauty.ie/Xpert-Professional-expand-Olaplex-distribution.html</t>
        </is>
      </c>
      <c r="G147" s="18" t="inlineStr">
        <is>
          <t>Ireland</t>
        </is>
      </c>
      <c r="H147" s="18" t="inlineStr"/>
      <c r="I147" s="18" t="inlineStr">
        <is>
          <t>EU / Europe</t>
        </is>
      </c>
      <c r="J147" s="18" t="inlineStr">
        <is>
          <t>Higher</t>
        </is>
      </c>
      <c r="K147" s="18" t="inlineStr"/>
      <c r="L147" s="18" t="inlineStr"/>
      <c r="M147" s="18" t="inlineStr"/>
      <c r="N147" s="18" t="inlineStr">
        <is>
          <t>Professional haircare distributor</t>
        </is>
      </c>
      <c r="O147" s="18" t="inlineStr">
        <is>
          <t>Olaplex (IE, Scotland, SE England), Alfaparf, Joico, R+Co, Moroccanoil</t>
        </is>
      </c>
      <c r="P147" s="18" t="inlineStr">
        <is>
          <t>Professional haircare</t>
        </is>
      </c>
      <c r="Q147" s="18" t="inlineStr">
        <is>
          <t>Account based</t>
        </is>
      </c>
      <c r="R147" s="18" t="inlineStr">
        <is>
          <t>Salons / professionals</t>
        </is>
      </c>
      <c r="S147" s="18" t="inlineStr">
        <is>
          <t>Yes (Scotland &amp; SE England for Olaplex)</t>
        </is>
      </c>
      <c r="T147" s="18" t="inlineStr">
        <is>
          <t>Likely restricts</t>
        </is>
      </c>
      <c r="U147" s="18" t="inlineStr">
        <is>
          <t>No</t>
        </is>
      </c>
      <c r="V147" s="18" t="inlineStr"/>
      <c r="W147" s="18" t="inlineStr">
        <is>
          <t>Olaplex distributor since 2015</t>
        </is>
      </c>
      <c r="X147" s="18" t="inlineStr">
        <is>
          <t>CAUTION: pro brands usually prohibit Amazon resale</t>
        </is>
      </c>
      <c r="Y147" s="18" t="inlineStr">
        <is>
          <t>Listed for reference - unlikely to supply Amazon sellers.</t>
        </is>
      </c>
      <c r="Z147" s="18" t="inlineStr">
        <is>
          <t>Trade press</t>
        </is>
      </c>
      <c r="AA147" s="19" t="inlineStr">
        <is>
          <t>Source link</t>
        </is>
      </c>
      <c r="AB147" s="19" t="inlineStr">
        <is>
          <t>Search LinkedIn</t>
        </is>
      </c>
      <c r="AC147" s="18" t="inlineStr">
        <is>
          <t>Round 2</t>
        </is>
      </c>
      <c r="AD147" s="20" t="inlineStr">
        <is>
          <t>Not contacted</t>
        </is>
      </c>
      <c r="AE147" s="21" t="n"/>
      <c r="AF147" s="20" t="n"/>
      <c r="AG147" s="20" t="n"/>
      <c r="AH147" s="20" t="n"/>
      <c r="AI147" s="21">
        <f>IF(AE147="","",WORKDAY(AE147,5))</f>
        <v/>
      </c>
      <c r="AJ147" s="20" t="n"/>
      <c r="AK147" s="20" t="n"/>
    </row>
    <row r="148">
      <c r="A148" s="24" t="inlineStr">
        <is>
          <t>Ireland</t>
        </is>
      </c>
      <c r="B148" s="25" t="n">
        <v>147</v>
      </c>
      <c r="C148" s="17" t="n">
        <v>3</v>
      </c>
      <c r="D148" s="18" t="inlineStr">
        <is>
          <t>Health &amp; Personal Care</t>
        </is>
      </c>
      <c r="E148" s="18" t="inlineStr">
        <is>
          <t>Uniphar Wholesale Limited</t>
        </is>
      </c>
      <c r="F148" s="19" t="inlineStr">
        <is>
          <t>https://uniphar.ie</t>
        </is>
      </c>
      <c r="G148" s="18" t="inlineStr">
        <is>
          <t>Dublin (Citywest)</t>
        </is>
      </c>
      <c r="H148" s="18" t="inlineStr"/>
      <c r="I148" s="18" t="inlineStr">
        <is>
          <t>EU / Europe</t>
        </is>
      </c>
      <c r="J148" s="18" t="inlineStr">
        <is>
          <t>Higher</t>
        </is>
      </c>
      <c r="K148" s="18" t="inlineStr">
        <is>
          <t>4045 Kingswood Road, Citywest Business Park, Dublin 24, D24 V06K</t>
        </is>
      </c>
      <c r="L148" s="18" t="inlineStr">
        <is>
          <t>+353 1 428 7777 (verify)</t>
        </is>
      </c>
      <c r="M148" s="18" t="inlineStr"/>
      <c r="N148" s="18" t="inlineStr">
        <is>
          <t>Wholesaler / distributor (listed)</t>
        </is>
      </c>
      <c r="O148" s="18" t="inlineStr">
        <is>
          <t>Pharmacy OTC, health &amp; beauty brands; Allcare, Hickey's, Life banners</t>
        </is>
      </c>
      <c r="P148" s="18" t="inlineStr">
        <is>
          <t>Pharmacy wholesale</t>
        </is>
      </c>
      <c r="Q148" s="18" t="inlineStr">
        <is>
          <t>Account based</t>
        </is>
      </c>
      <c r="R148" s="18" t="inlineStr">
        <is>
          <t>Trade account - mainly pharmacy &amp; retail customers</t>
        </is>
      </c>
      <c r="S148" s="18" t="inlineStr">
        <is>
          <t>Ask - operates UK &amp; EU</t>
        </is>
      </c>
      <c r="T148" s="18" t="inlineStr">
        <is>
          <t>Unknown</t>
        </is>
      </c>
      <c r="U148" s="18" t="inlineStr">
        <is>
          <t>Unknown</t>
        </is>
      </c>
      <c r="V148" s="18" t="inlineStr"/>
      <c r="W148" s="18" t="inlineStr">
        <is>
          <t>Euronext-listed; ~50% of Irish pharmacy wholesale market; HPRA registered</t>
        </is>
      </c>
      <c r="X148" s="18" t="inlineStr">
        <is>
          <t>Wide OTC/health range; may prefer pharmacy accounts</t>
        </is>
      </c>
      <c r="Y148" s="18" t="inlineStr">
        <is>
          <t>Confirm they will open an account for an online reseller</t>
        </is>
      </c>
      <c r="Z148" s="18" t="inlineStr">
        <is>
          <t>HPRA register + company site</t>
        </is>
      </c>
      <c r="AA148" s="19" t="inlineStr">
        <is>
          <t>Source link</t>
        </is>
      </c>
      <c r="AB148" s="19" t="inlineStr">
        <is>
          <t>Search LinkedIn</t>
        </is>
      </c>
      <c r="AC148" s="18" t="inlineStr">
        <is>
          <t>Round 4</t>
        </is>
      </c>
      <c r="AD148" s="20" t="inlineStr">
        <is>
          <t>Not contacted</t>
        </is>
      </c>
      <c r="AE148" s="21" t="n"/>
      <c r="AF148" s="20" t="n"/>
      <c r="AG148" s="20" t="n"/>
      <c r="AH148" s="20" t="n"/>
      <c r="AI148" s="21">
        <f>IF(AE148="","",WORKDAY(AE148,5))</f>
        <v/>
      </c>
      <c r="AJ148" s="20" t="n"/>
      <c r="AK148" s="20" t="n"/>
    </row>
    <row r="149">
      <c r="A149" s="8" t="inlineStr">
        <is>
          <t>Italy</t>
        </is>
      </c>
      <c r="B149" s="9" t="n">
        <v>148</v>
      </c>
      <c r="C149" s="10" t="n">
        <v>2</v>
      </c>
      <c r="D149" s="11" t="inlineStr">
        <is>
          <t>B2B Marketplace</t>
        </is>
      </c>
      <c r="E149" s="11" t="inlineStr">
        <is>
          <t>Brandsdistribution</t>
        </is>
      </c>
      <c r="F149" s="12" t="inlineStr">
        <is>
          <t>https://www.brandsdistribution.com</t>
        </is>
      </c>
      <c r="G149" s="11" t="inlineStr">
        <is>
          <t>Turin</t>
        </is>
      </c>
      <c r="H149" s="11" t="inlineStr"/>
      <c r="I149" s="11" t="inlineStr">
        <is>
          <t>EU / Europe</t>
        </is>
      </c>
      <c r="J149" s="11" t="inlineStr">
        <is>
          <t>Mid</t>
        </is>
      </c>
      <c r="K149" s="11" t="inlineStr">
        <is>
          <t>Via Varallo 24/B, 10153 Torino</t>
        </is>
      </c>
      <c r="L149" s="11" t="inlineStr">
        <is>
          <t>+39 011 198 292 34</t>
        </is>
      </c>
      <c r="M149" s="11" t="inlineStr"/>
      <c r="N149" s="11" t="inlineStr">
        <is>
          <t>B2B fashion wholesale / dropship</t>
        </is>
      </c>
      <c r="O149" s="11" t="inlineStr">
        <is>
          <t>120+ fashion brands: clothing, shoes, bags, accessories</t>
        </is>
      </c>
      <c r="P149" s="11" t="inlineStr">
        <is>
          <t>Branded fashion</t>
        </is>
      </c>
      <c r="Q149" s="11" t="inlineStr">
        <is>
          <t>On request</t>
        </is>
      </c>
      <c r="R149" s="11" t="inlineStr">
        <is>
          <t>VAT number holders</t>
        </is>
      </c>
      <c r="S149" s="11" t="inlineStr">
        <is>
          <t>Check</t>
        </is>
      </c>
      <c r="T149" s="11" t="inlineStr">
        <is>
          <t>Unknown</t>
        </is>
      </c>
      <c r="U149" s="11" t="inlineStr">
        <is>
          <t>Unknown</t>
        </is>
      </c>
      <c r="V149" s="11" t="inlineStr"/>
      <c r="W149" s="11" t="inlineStr">
        <is>
          <t>Founded 2006</t>
        </is>
      </c>
      <c r="X149" s="11" t="inlineStr"/>
      <c r="Y149" s="11" t="inlineStr">
        <is>
          <t>Fashion rather than core niches.</t>
        </is>
      </c>
      <c r="Z149" s="11" t="inlineStr">
        <is>
          <t>CB Insights profile</t>
        </is>
      </c>
      <c r="AA149" s="12" t="inlineStr">
        <is>
          <t>Source link</t>
        </is>
      </c>
      <c r="AB149" s="12" t="inlineStr">
        <is>
          <t>Search LinkedIn</t>
        </is>
      </c>
      <c r="AC149" s="11" t="inlineStr">
        <is>
          <t>Round 1</t>
        </is>
      </c>
      <c r="AD149" s="13" t="inlineStr">
        <is>
          <t>Not contacted</t>
        </is>
      </c>
      <c r="AE149" s="14" t="n"/>
      <c r="AF149" s="13" t="n"/>
      <c r="AG149" s="13" t="n"/>
      <c r="AH149" s="13" t="n"/>
      <c r="AI149" s="14">
        <f>IF(AE149="","",WORKDAY(AE149,5))</f>
        <v/>
      </c>
      <c r="AJ149" s="13" t="n"/>
      <c r="AK149" s="13" t="n"/>
    </row>
    <row r="150">
      <c r="A150" s="15" t="inlineStr">
        <is>
          <t>Italy</t>
        </is>
      </c>
      <c r="B150" s="16" t="n">
        <v>149</v>
      </c>
      <c r="C150" s="17" t="n">
        <v>3</v>
      </c>
      <c r="D150" s="18" t="inlineStr">
        <is>
          <t>Baby Products</t>
        </is>
      </c>
      <c r="E150" s="18" t="inlineStr">
        <is>
          <t>Artsana S.p.A. (Chicco, Boppy)</t>
        </is>
      </c>
      <c r="F150" s="19" t="inlineStr">
        <is>
          <t>https://www.artsana.com</t>
        </is>
      </c>
      <c r="G150" s="18" t="inlineStr">
        <is>
          <t>Grandate (Como)</t>
        </is>
      </c>
      <c r="H150" s="18" t="inlineStr"/>
      <c r="I150" s="18" t="inlineStr">
        <is>
          <t>EU / Europe</t>
        </is>
      </c>
      <c r="J150" s="18" t="inlineStr">
        <is>
          <t>Mid</t>
        </is>
      </c>
      <c r="K150" s="18" t="inlineStr">
        <is>
          <t>Via Saldarini Catelli 1, 22070 Grandate</t>
        </is>
      </c>
      <c r="L150" s="18" t="inlineStr">
        <is>
          <t>+39 031 382790 (verify)</t>
        </is>
      </c>
      <c r="M150" s="18" t="inlineStr"/>
      <c r="N150" s="18" t="inlineStr">
        <is>
          <t>Brand owner / manufacturer</t>
        </is>
      </c>
      <c r="O150" s="18" t="inlineStr">
        <is>
          <t>Chicco baby feeding, toys, nursery; Boppy; Control (health)</t>
        </is>
      </c>
      <c r="P150" s="18" t="inlineStr">
        <is>
          <t>Baby products</t>
        </is>
      </c>
      <c r="Q150" s="18" t="inlineStr">
        <is>
          <t>Account based</t>
        </is>
      </c>
      <c r="R150" s="18" t="inlineStr">
        <is>
          <t>Subsidiaries &amp; exclusive distributors per country</t>
        </is>
      </c>
      <c r="S150" s="18" t="inlineStr">
        <is>
          <t>UK &amp; Ireland exclusive distributor: RKW Ltd (already in list)</t>
        </is>
      </c>
      <c r="T150" s="18" t="inlineStr">
        <is>
          <t>Unknown</t>
        </is>
      </c>
      <c r="U150" s="18" t="inlineStr">
        <is>
          <t>Unknown</t>
        </is>
      </c>
      <c r="V150" s="18" t="inlineStr"/>
      <c r="W150" s="18" t="inlineStr">
        <is>
          <t>Present in 100+ countries; major Italian group</t>
        </is>
      </c>
      <c r="X150" s="18" t="inlineStr">
        <is>
          <t>Buy UK stock via RKW</t>
        </is>
      </c>
      <c r="Y150" s="18" t="inlineStr">
        <is>
          <t>For UK use RKW.</t>
        </is>
      </c>
      <c r="Z150" s="18" t="inlineStr">
        <is>
          <t>Wikipedia + exchange announcement + trade press</t>
        </is>
      </c>
      <c r="AA150" s="19" t="inlineStr">
        <is>
          <t>Source link</t>
        </is>
      </c>
      <c r="AB150" s="19" t="inlineStr">
        <is>
          <t>Search LinkedIn</t>
        </is>
      </c>
      <c r="AC150" s="18" t="inlineStr">
        <is>
          <t>Round 4</t>
        </is>
      </c>
      <c r="AD150" s="20" t="inlineStr">
        <is>
          <t>Not contacted</t>
        </is>
      </c>
      <c r="AE150" s="21" t="n"/>
      <c r="AF150" s="20" t="n"/>
      <c r="AG150" s="20" t="n"/>
      <c r="AH150" s="20" t="n"/>
      <c r="AI150" s="21">
        <f>IF(AE150="","",WORKDAY(AE150,5))</f>
        <v/>
      </c>
      <c r="AJ150" s="20" t="n"/>
      <c r="AK150" s="20" t="n"/>
    </row>
    <row r="151">
      <c r="A151" s="15" t="inlineStr">
        <is>
          <t>Italy</t>
        </is>
      </c>
      <c r="B151" s="16" t="n">
        <v>150</v>
      </c>
      <c r="C151" s="17" t="n">
        <v>3</v>
      </c>
      <c r="D151" s="18" t="inlineStr">
        <is>
          <t>Baby Products</t>
        </is>
      </c>
      <c r="E151" s="18" t="inlineStr">
        <is>
          <t>Foppapedretti S.p.A.</t>
        </is>
      </c>
      <c r="F151" s="19" t="inlineStr">
        <is>
          <t>https://www.foppapedretti.it</t>
        </is>
      </c>
      <c r="G151" s="18" t="inlineStr">
        <is>
          <t>Grumello del Monte (BG)</t>
        </is>
      </c>
      <c r="H151" s="18" t="inlineStr"/>
      <c r="I151" s="18" t="inlineStr">
        <is>
          <t>EU / Europe</t>
        </is>
      </c>
      <c r="J151" s="18" t="inlineStr">
        <is>
          <t>Mid</t>
        </is>
      </c>
      <c r="K151" s="18" t="inlineStr">
        <is>
          <t>HQ Grumello del Monte; operations in Bolgare (Bergamo)</t>
        </is>
      </c>
      <c r="L151" s="18" t="inlineStr"/>
      <c r="M151" s="18" t="inlineStr"/>
      <c r="N151" s="18" t="inlineStr">
        <is>
          <t>Brand owner / manufacturer</t>
        </is>
      </c>
      <c r="O151" s="18" t="inlineStr">
        <is>
          <t>Foppapedretti cots, high chairs, Brevi (acquired)</t>
        </is>
      </c>
      <c r="P151" s="18" t="inlineStr">
        <is>
          <t>Baby furniture &amp; equipment</t>
        </is>
      </c>
      <c r="Q151" s="18" t="inlineStr">
        <is>
          <t>On request</t>
        </is>
      </c>
      <c r="R151" s="18" t="inlineStr">
        <is>
          <t>International distribution partners</t>
        </is>
      </c>
      <c r="S151" s="18" t="inlineStr">
        <is>
          <t>Ask</t>
        </is>
      </c>
      <c r="T151" s="18" t="inlineStr">
        <is>
          <t>Unknown</t>
        </is>
      </c>
      <c r="U151" s="18" t="inlineStr">
        <is>
          <t>Unknown</t>
        </is>
      </c>
      <c r="V151" s="18" t="inlineStr"/>
      <c r="W151" s="18" t="inlineStr">
        <is>
          <t>Messe Frankfurt exhibitor; long-established Italian brand</t>
        </is>
      </c>
      <c r="X151" s="18" t="inlineStr">
        <is>
          <t>High chairs &amp; bouncers; bulky items cost more in FBA fees</t>
        </is>
      </c>
      <c r="Y151" s="18" t="inlineStr"/>
      <c r="Z151" s="18" t="inlineStr">
        <is>
          <t>Company site + trade fair listing</t>
        </is>
      </c>
      <c r="AA151" s="19" t="inlineStr">
        <is>
          <t>Source link</t>
        </is>
      </c>
      <c r="AB151" s="19" t="inlineStr">
        <is>
          <t>Search LinkedIn</t>
        </is>
      </c>
      <c r="AC151" s="18" t="inlineStr">
        <is>
          <t>Round 4</t>
        </is>
      </c>
      <c r="AD151" s="20" t="inlineStr">
        <is>
          <t>Not contacted</t>
        </is>
      </c>
      <c r="AE151" s="21" t="n"/>
      <c r="AF151" s="20" t="n"/>
      <c r="AG151" s="20" t="n"/>
      <c r="AH151" s="20" t="n"/>
      <c r="AI151" s="21">
        <f>IF(AE151="","",WORKDAY(AE151,5))</f>
        <v/>
      </c>
      <c r="AJ151" s="20" t="n"/>
      <c r="AK151" s="20" t="n"/>
    </row>
    <row r="152">
      <c r="A152" s="15" t="inlineStr">
        <is>
          <t>Italy</t>
        </is>
      </c>
      <c r="B152" s="16" t="n">
        <v>151</v>
      </c>
      <c r="C152" s="17" t="n">
        <v>3</v>
      </c>
      <c r="D152" s="18" t="inlineStr">
        <is>
          <t>Baby Products</t>
        </is>
      </c>
      <c r="E152" s="18" t="inlineStr">
        <is>
          <t>L'inglesina Baby S.p.A.</t>
        </is>
      </c>
      <c r="F152" s="19" t="inlineStr">
        <is>
          <t>https://www.inglesina.com</t>
        </is>
      </c>
      <c r="G152" s="18" t="inlineStr">
        <is>
          <t>Altavilla Vicentina (VI)</t>
        </is>
      </c>
      <c r="H152" s="18" t="inlineStr"/>
      <c r="I152" s="18" t="inlineStr">
        <is>
          <t>EU / Europe</t>
        </is>
      </c>
      <c r="J152" s="18" t="inlineStr">
        <is>
          <t>Mid</t>
        </is>
      </c>
      <c r="K152" s="18" t="inlineStr">
        <is>
          <t>Via Lago Maggiore 22/26, 36077 Altavilla Vicentina (verify)</t>
        </is>
      </c>
      <c r="L152" s="18" t="inlineStr"/>
      <c r="M152" s="18" t="inlineStr"/>
      <c r="N152" s="18" t="inlineStr">
        <is>
          <t>Brand owner / manufacturer</t>
        </is>
      </c>
      <c r="O152" s="18" t="inlineStr">
        <is>
          <t>Inglesina strollers, Fast table chair, travel systems</t>
        </is>
      </c>
      <c r="P152" s="18" t="inlineStr">
        <is>
          <t>Strollers &amp; feeding</t>
        </is>
      </c>
      <c r="Q152" s="18" t="inlineStr">
        <is>
          <t>Authorised retailer</t>
        </is>
      </c>
      <c r="R152" s="18" t="inlineStr">
        <is>
          <t>Specialist baby retailers / distributors; US subsidiary</t>
        </is>
      </c>
      <c r="S152" s="18" t="inlineStr">
        <is>
          <t>Ask</t>
        </is>
      </c>
      <c r="T152" s="18" t="inlineStr">
        <is>
          <t>Unknown</t>
        </is>
      </c>
      <c r="U152" s="18" t="inlineStr">
        <is>
          <t>Unknown</t>
        </is>
      </c>
      <c r="V152" s="18" t="inlineStr"/>
      <c r="W152" s="18" t="inlineStr">
        <is>
          <t>Established Italian pram maker with US subsidiary (import records)</t>
        </is>
      </c>
      <c r="X152" s="18" t="inlineStr">
        <is>
          <t>Fast clip-on table chair is a known Amazon seller</t>
        </is>
      </c>
      <c r="Y152" s="18" t="inlineStr">
        <is>
          <t>Address from trade data - confirm on website</t>
        </is>
      </c>
      <c r="Z152" s="18" t="inlineStr">
        <is>
          <t>Trade import records</t>
        </is>
      </c>
      <c r="AA152" s="19" t="inlineStr">
        <is>
          <t>Source link</t>
        </is>
      </c>
      <c r="AB152" s="19" t="inlineStr">
        <is>
          <t>Search LinkedIn</t>
        </is>
      </c>
      <c r="AC152" s="18" t="inlineStr">
        <is>
          <t>Round 4</t>
        </is>
      </c>
      <c r="AD152" s="20" t="inlineStr">
        <is>
          <t>Not contacted</t>
        </is>
      </c>
      <c r="AE152" s="21" t="n"/>
      <c r="AF152" s="20" t="n"/>
      <c r="AG152" s="20" t="n"/>
      <c r="AH152" s="20" t="n"/>
      <c r="AI152" s="21">
        <f>IF(AE152="","",WORKDAY(AE152,5))</f>
        <v/>
      </c>
      <c r="AJ152" s="20" t="n"/>
      <c r="AK152" s="20" t="n"/>
    </row>
    <row r="153">
      <c r="A153" s="15" t="inlineStr">
        <is>
          <t>Italy</t>
        </is>
      </c>
      <c r="B153" s="16" t="n">
        <v>152</v>
      </c>
      <c r="C153" s="17" t="n">
        <v>3</v>
      </c>
      <c r="D153" s="18" t="inlineStr">
        <is>
          <t>Beauty</t>
        </is>
      </c>
      <c r="E153" s="18" t="inlineStr">
        <is>
          <t>Deborah Group S.p.A.</t>
        </is>
      </c>
      <c r="F153" s="19" t="inlineStr">
        <is>
          <t>https://deborahmilano.com/en/about-us</t>
        </is>
      </c>
      <c r="G153" s="18" t="inlineStr">
        <is>
          <t>Milan</t>
        </is>
      </c>
      <c r="H153" s="18" t="inlineStr"/>
      <c r="I153" s="18" t="inlineStr">
        <is>
          <t>EU / Europe</t>
        </is>
      </c>
      <c r="J153" s="18" t="inlineStr">
        <is>
          <t>Mid</t>
        </is>
      </c>
      <c r="K153" s="18" t="inlineStr">
        <is>
          <t>Via Angelo Maj 19, 20135 Milano</t>
        </is>
      </c>
      <c r="L153" s="18" t="inlineStr"/>
      <c r="M153" s="18" t="inlineStr"/>
      <c r="N153" s="18" t="inlineStr">
        <is>
          <t>Brand owner</t>
        </is>
      </c>
      <c r="O153" s="18" t="inlineStr">
        <is>
          <t>Deborah Milano, Debby, Rouge Baiser Paris, Dermolab, Bioetyc Uomo</t>
        </is>
      </c>
      <c r="P153" s="18" t="inlineStr">
        <is>
          <t>Cosmetics &amp; skincare</t>
        </is>
      </c>
      <c r="Q153" s="18" t="inlineStr">
        <is>
          <t>Account based</t>
        </is>
      </c>
      <c r="R153" s="18" t="inlineStr">
        <is>
          <t>Distributors &amp; retailers</t>
        </is>
      </c>
      <c r="S153" s="18" t="inlineStr">
        <is>
          <t>Ask</t>
        </is>
      </c>
      <c r="T153" s="18" t="inlineStr">
        <is>
          <t>Unknown</t>
        </is>
      </c>
      <c r="U153" s="18" t="inlineStr">
        <is>
          <t>Unknown</t>
        </is>
      </c>
      <c r="V153" s="18" t="inlineStr"/>
      <c r="W153" s="18" t="inlineStr">
        <is>
          <t>Founded 1903; 4th-generation; backed by Sodalis Group</t>
        </is>
      </c>
      <c r="X153" s="18" t="inlineStr"/>
      <c r="Y153" s="18" t="inlineStr"/>
      <c r="Z153" s="18" t="inlineStr">
        <is>
          <t>Company site + investor profile</t>
        </is>
      </c>
      <c r="AA153" s="19" t="inlineStr">
        <is>
          <t>Source link</t>
        </is>
      </c>
      <c r="AB153" s="19" t="inlineStr">
        <is>
          <t>Search LinkedIn</t>
        </is>
      </c>
      <c r="AC153" s="18" t="inlineStr">
        <is>
          <t>Round 4</t>
        </is>
      </c>
      <c r="AD153" s="20" t="inlineStr">
        <is>
          <t>Not contacted</t>
        </is>
      </c>
      <c r="AE153" s="21" t="n"/>
      <c r="AF153" s="20" t="n"/>
      <c r="AG153" s="20" t="n"/>
      <c r="AH153" s="20" t="n"/>
      <c r="AI153" s="21">
        <f>IF(AE153="","",WORKDAY(AE153,5))</f>
        <v/>
      </c>
      <c r="AJ153" s="20" t="n"/>
      <c r="AK153" s="20" t="n"/>
    </row>
    <row r="154">
      <c r="A154" s="15" t="inlineStr">
        <is>
          <t>Italy</t>
        </is>
      </c>
      <c r="B154" s="16" t="n">
        <v>153</v>
      </c>
      <c r="C154" s="17" t="n">
        <v>4</v>
      </c>
      <c r="D154" s="18" t="inlineStr">
        <is>
          <t>DIY &amp; Tools</t>
        </is>
      </c>
      <c r="E154" s="18" t="inlineStr">
        <is>
          <t>Beta Utensili S.p.A.</t>
        </is>
      </c>
      <c r="F154" s="19" t="inlineStr">
        <is>
          <t>https://www.beta-tools.com</t>
        </is>
      </c>
      <c r="G154" s="18" t="inlineStr">
        <is>
          <t>Sovico (MB)</t>
        </is>
      </c>
      <c r="H154" s="18" t="inlineStr"/>
      <c r="I154" s="18" t="inlineStr">
        <is>
          <t>EU / Europe</t>
        </is>
      </c>
      <c r="J154" s="18" t="inlineStr">
        <is>
          <t>Mid</t>
        </is>
      </c>
      <c r="K154" s="18" t="inlineStr">
        <is>
          <t>Via Alessandro Volta 18, 20845 Sovico</t>
        </is>
      </c>
      <c r="L154" s="18" t="inlineStr">
        <is>
          <t>+39 039 2077 231</t>
        </is>
      </c>
      <c r="M154" s="18" t="inlineStr"/>
      <c r="N154" s="18" t="inlineStr">
        <is>
          <t>Brand owner / manufacturer</t>
        </is>
      </c>
      <c r="O154" s="18" t="inlineStr">
        <is>
          <t>Beta hand tools, tool trolleys, workwear</t>
        </is>
      </c>
      <c r="P154" s="18" t="inlineStr">
        <is>
          <t>Professional hand tools</t>
        </is>
      </c>
      <c r="Q154" s="18" t="inlineStr">
        <is>
          <t>Authorised dealer</t>
        </is>
      </c>
      <c r="R154" s="18" t="inlineStr">
        <is>
          <t>Importers (~250) &amp; 11 branches incl. UK, FR, ES, PL</t>
        </is>
      </c>
      <c r="S154" s="18" t="inlineStr">
        <is>
          <t>Yes - has UK branch</t>
        </is>
      </c>
      <c r="T154" s="18" t="inlineStr">
        <is>
          <t>Unknown</t>
        </is>
      </c>
      <c r="U154" s="18" t="inlineStr">
        <is>
          <t>Unknown</t>
        </is>
      </c>
      <c r="V154" s="18" t="inlineStr"/>
      <c r="W154" s="18" t="inlineStr">
        <is>
          <t>Confcommercio Milano member listing; long-established Italian tool maker</t>
        </is>
      </c>
      <c r="X154" s="18" t="inlineStr">
        <is>
          <t>Socket sets &amp; screwdrivers; branded but gated less often than some</t>
        </is>
      </c>
      <c r="Y154" s="18" t="inlineStr"/>
      <c r="Z154" s="18" t="inlineStr">
        <is>
          <t>Trade association listing + company profile</t>
        </is>
      </c>
      <c r="AA154" s="19" t="inlineStr">
        <is>
          <t>Source link</t>
        </is>
      </c>
      <c r="AB154" s="19" t="inlineStr">
        <is>
          <t>Search LinkedIn</t>
        </is>
      </c>
      <c r="AC154" s="18" t="inlineStr">
        <is>
          <t>Round 4</t>
        </is>
      </c>
      <c r="AD154" s="20" t="inlineStr">
        <is>
          <t>Not contacted</t>
        </is>
      </c>
      <c r="AE154" s="21" t="n"/>
      <c r="AF154" s="20" t="n"/>
      <c r="AG154" s="20" t="n"/>
      <c r="AH154" s="20" t="n"/>
      <c r="AI154" s="21">
        <f>IF(AE154="","",WORKDAY(AE154,5))</f>
        <v/>
      </c>
      <c r="AJ154" s="20" t="n"/>
      <c r="AK154" s="20" t="n"/>
    </row>
    <row r="155">
      <c r="A155" s="15" t="inlineStr">
        <is>
          <t>Italy</t>
        </is>
      </c>
      <c r="B155" s="16" t="n">
        <v>154</v>
      </c>
      <c r="C155" s="17" t="n">
        <v>3</v>
      </c>
      <c r="D155" s="18" t="inlineStr">
        <is>
          <t>DIY &amp; Tools</t>
        </is>
      </c>
      <c r="E155" s="18" t="inlineStr">
        <is>
          <t>Fervi S.p.A.</t>
        </is>
      </c>
      <c r="F155" s="19" t="inlineStr">
        <is>
          <t>https://www.fervi.com</t>
        </is>
      </c>
      <c r="G155" s="18" t="inlineStr">
        <is>
          <t>Vignola (Modena)</t>
        </is>
      </c>
      <c r="H155" s="18" t="inlineStr"/>
      <c r="I155" s="18" t="inlineStr">
        <is>
          <t>EU / Europe</t>
        </is>
      </c>
      <c r="J155" s="18" t="inlineStr">
        <is>
          <t>Mid</t>
        </is>
      </c>
      <c r="K155" s="18" t="inlineStr">
        <is>
          <t>Via del Commercio 81, 41058 Vignola (MO)</t>
        </is>
      </c>
      <c r="L155" s="18" t="inlineStr">
        <is>
          <t>+39 059 767172</t>
        </is>
      </c>
      <c r="M155" s="18" t="inlineStr">
        <is>
          <t>info@fervi.com</t>
        </is>
      </c>
      <c r="N155" s="18" t="inlineStr">
        <is>
          <t>Brand owner / distributor (listed)</t>
        </is>
      </c>
      <c r="O155" s="18" t="inlineStr">
        <is>
          <t>Fervi workshop equipment, hand &amp; power tools, Riflex, Vogel Germany</t>
        </is>
      </c>
      <c r="P155" s="18" t="inlineStr">
        <is>
          <t>Workshop tools</t>
        </is>
      </c>
      <c r="Q155" s="18" t="inlineStr">
        <is>
          <t>On request</t>
        </is>
      </c>
      <c r="R155" s="18" t="inlineStr">
        <is>
          <t>Agents &amp; distributors (50+ countries)</t>
        </is>
      </c>
      <c r="S155" s="18" t="inlineStr">
        <is>
          <t>Ask</t>
        </is>
      </c>
      <c r="T155" s="18" t="inlineStr">
        <is>
          <t>Unknown</t>
        </is>
      </c>
      <c r="U155" s="18" t="inlineStr">
        <is>
          <t>Unknown</t>
        </is>
      </c>
      <c r="V155" s="18" t="inlineStr"/>
      <c r="W155" s="18" t="inlineStr">
        <is>
          <t>Listed on Euronext Growth Milan</t>
        </is>
      </c>
      <c r="X155" s="18" t="inlineStr"/>
      <c r="Y155" s="18" t="inlineStr"/>
      <c r="Z155" s="18" t="inlineStr">
        <is>
          <t>Stock exchange profile + press release</t>
        </is>
      </c>
      <c r="AA155" s="19" t="inlineStr">
        <is>
          <t>Source link</t>
        </is>
      </c>
      <c r="AB155" s="19" t="inlineStr">
        <is>
          <t>Search LinkedIn</t>
        </is>
      </c>
      <c r="AC155" s="18" t="inlineStr">
        <is>
          <t>Round 4</t>
        </is>
      </c>
      <c r="AD155" s="20" t="inlineStr">
        <is>
          <t>Not contacted</t>
        </is>
      </c>
      <c r="AE155" s="21" t="n"/>
      <c r="AF155" s="20" t="n"/>
      <c r="AG155" s="20" t="n"/>
      <c r="AH155" s="20" t="n"/>
      <c r="AI155" s="21">
        <f>IF(AE155="","",WORKDAY(AE155,5))</f>
        <v/>
      </c>
      <c r="AJ155" s="20" t="n"/>
      <c r="AK155" s="20" t="n"/>
    </row>
    <row r="156">
      <c r="A156" s="15" t="inlineStr">
        <is>
          <t>Italy</t>
        </is>
      </c>
      <c r="B156" s="16" t="n">
        <v>155</v>
      </c>
      <c r="C156" s="17" t="n">
        <v>2</v>
      </c>
      <c r="D156" s="18" t="inlineStr">
        <is>
          <t>Fragrance</t>
        </is>
      </c>
      <c r="E156" s="18" t="inlineStr">
        <is>
          <t>Profumerie P &amp; P Srl</t>
        </is>
      </c>
      <c r="F156" s="19" t="inlineStr">
        <is>
          <t>https://www.profumeriepep.it</t>
        </is>
      </c>
      <c r="G156" s="18" t="inlineStr">
        <is>
          <t>Grottaglie (TA)</t>
        </is>
      </c>
      <c r="H156" s="18" t="inlineStr"/>
      <c r="I156" s="18" t="inlineStr">
        <is>
          <t>EU / Europe</t>
        </is>
      </c>
      <c r="J156" s="18" t="inlineStr">
        <is>
          <t>Mid</t>
        </is>
      </c>
      <c r="K156" s="18" t="inlineStr">
        <is>
          <t>Via Paganini 73, 74023 Grottaglie (TA)</t>
        </is>
      </c>
      <c r="L156" s="18" t="inlineStr"/>
      <c r="M156" s="18" t="inlineStr"/>
      <c r="N156" s="18" t="inlineStr">
        <is>
          <t>Wholesaler + retail</t>
        </is>
      </c>
      <c r="O156" s="18" t="inlineStr">
        <is>
          <t>Perfumes</t>
        </is>
      </c>
      <c r="P156" s="18" t="inlineStr">
        <is>
          <t>Designer fragrance</t>
        </is>
      </c>
      <c r="Q156" s="18" t="inlineStr">
        <is>
          <t>On request</t>
        </is>
      </c>
      <c r="R156" s="18" t="inlineStr"/>
      <c r="S156" s="18" t="inlineStr">
        <is>
          <t>Check</t>
        </is>
      </c>
      <c r="T156" s="18" t="inlineStr">
        <is>
          <t>Unknown</t>
        </is>
      </c>
      <c r="U156" s="18" t="inlineStr">
        <is>
          <t>Unknown</t>
        </is>
      </c>
      <c r="V156" s="18" t="inlineStr"/>
      <c r="W156" s="18" t="inlineStr">
        <is>
          <t>~30 years in perfume wholesale</t>
        </is>
      </c>
      <c r="X156" s="18" t="inlineStr"/>
      <c r="Y156" s="18" t="inlineStr"/>
      <c r="Z156" s="18" t="inlineStr">
        <is>
          <t>Registry + directory</t>
        </is>
      </c>
      <c r="AA156" s="19" t="inlineStr">
        <is>
          <t>Source link</t>
        </is>
      </c>
      <c r="AB156" s="19" t="inlineStr">
        <is>
          <t>Search LinkedIn</t>
        </is>
      </c>
      <c r="AC156" s="18" t="inlineStr">
        <is>
          <t>Round 1</t>
        </is>
      </c>
      <c r="AD156" s="20" t="inlineStr">
        <is>
          <t>Not contacted</t>
        </is>
      </c>
      <c r="AE156" s="21" t="n"/>
      <c r="AF156" s="20" t="n"/>
      <c r="AG156" s="20" t="n"/>
      <c r="AH156" s="20" t="n"/>
      <c r="AI156" s="21">
        <f>IF(AE156="","",WORKDAY(AE156,5))</f>
        <v/>
      </c>
      <c r="AJ156" s="20" t="n"/>
      <c r="AK156" s="20" t="n"/>
    </row>
    <row r="157">
      <c r="A157" s="15" t="inlineStr">
        <is>
          <t>Italy</t>
        </is>
      </c>
      <c r="B157" s="16" t="n">
        <v>156</v>
      </c>
      <c r="C157" s="17" t="n">
        <v>2</v>
      </c>
      <c r="D157" s="18" t="inlineStr">
        <is>
          <t>Fragrance</t>
        </is>
      </c>
      <c r="E157" s="18" t="inlineStr">
        <is>
          <t>The Italian Factory</t>
        </is>
      </c>
      <c r="F157" s="19" t="inlineStr">
        <is>
          <t>https://www.italianmoda.com/italy-FASHION%2DACCESSORIES%5FPerfumes%5FCosmetics</t>
        </is>
      </c>
      <c r="G157" s="18" t="inlineStr">
        <is>
          <t>Sesto Fiorentino (Florence)</t>
        </is>
      </c>
      <c r="H157" s="18" t="inlineStr"/>
      <c r="I157" s="18" t="inlineStr">
        <is>
          <t>EU / Europe</t>
        </is>
      </c>
      <c r="J157" s="18" t="inlineStr">
        <is>
          <t>Mid</t>
        </is>
      </c>
      <c r="K157" s="18" t="inlineStr">
        <is>
          <t>Sesto Fiorentino, Firenze</t>
        </is>
      </c>
      <c r="L157" s="18" t="inlineStr">
        <is>
          <t>+39 055 341136</t>
        </is>
      </c>
      <c r="M157" s="18" t="inlineStr">
        <is>
          <t>via ItalianModa request form</t>
        </is>
      </c>
      <c r="N157" s="18" t="inlineStr">
        <is>
          <t>Distributor</t>
        </is>
      </c>
      <c r="O157" s="18" t="inlineStr">
        <is>
          <t>Branded perfumes &amp; cosmetics (Italian &amp; international)</t>
        </is>
      </c>
      <c r="P157" s="18" t="inlineStr">
        <is>
          <t>Designer fragrance</t>
        </is>
      </c>
      <c r="Q157" s="18" t="inlineStr">
        <is>
          <t>On request</t>
        </is>
      </c>
      <c r="R157" s="18" t="inlineStr">
        <is>
          <t>Resellers only</t>
        </is>
      </c>
      <c r="S157" s="18" t="inlineStr">
        <is>
          <t>Check</t>
        </is>
      </c>
      <c r="T157" s="18" t="inlineStr">
        <is>
          <t>Unknown</t>
        </is>
      </c>
      <c r="U157" s="18" t="inlineStr">
        <is>
          <t>Unknown</t>
        </is>
      </c>
      <c r="V157" s="18" t="inlineStr"/>
      <c r="W157" s="18" t="inlineStr">
        <is>
          <t>ItalianModa B2B directory listing</t>
        </is>
      </c>
      <c r="X157" s="18" t="inlineStr"/>
      <c r="Y157" s="18" t="inlineStr"/>
      <c r="Z157" s="18" t="inlineStr">
        <is>
          <t>Directory only - call to confirm</t>
        </is>
      </c>
      <c r="AA157" s="19" t="inlineStr">
        <is>
          <t>Source link</t>
        </is>
      </c>
      <c r="AB157" s="19" t="inlineStr">
        <is>
          <t>Search LinkedIn</t>
        </is>
      </c>
      <c r="AC157" s="18" t="inlineStr">
        <is>
          <t>Round 1</t>
        </is>
      </c>
      <c r="AD157" s="20" t="inlineStr">
        <is>
          <t>Not contacted</t>
        </is>
      </c>
      <c r="AE157" s="21" t="n"/>
      <c r="AF157" s="20" t="n"/>
      <c r="AG157" s="20" t="n"/>
      <c r="AH157" s="20" t="n"/>
      <c r="AI157" s="21">
        <f>IF(AE157="","",WORKDAY(AE157,5))</f>
        <v/>
      </c>
      <c r="AJ157" s="20" t="n"/>
      <c r="AK157" s="20" t="n"/>
    </row>
    <row r="158">
      <c r="A158" s="15" t="inlineStr">
        <is>
          <t>Italy</t>
        </is>
      </c>
      <c r="B158" s="16" t="n">
        <v>157</v>
      </c>
      <c r="C158" s="17" t="n">
        <v>3</v>
      </c>
      <c r="D158" s="18" t="inlineStr">
        <is>
          <t>Health &amp; Personal Care</t>
        </is>
      </c>
      <c r="E158" s="18" t="inlineStr">
        <is>
          <t>Aboca S.p.A. Società Agricola</t>
        </is>
      </c>
      <c r="F158" s="19" t="inlineStr">
        <is>
          <t>https://www.aboca.com</t>
        </is>
      </c>
      <c r="G158" s="18" t="inlineStr">
        <is>
          <t>Sansepolcro (Arezzo)</t>
        </is>
      </c>
      <c r="H158" s="18" t="inlineStr"/>
      <c r="I158" s="18" t="inlineStr">
        <is>
          <t>EU / Europe</t>
        </is>
      </c>
      <c r="J158" s="18" t="inlineStr">
        <is>
          <t>Mid</t>
        </is>
      </c>
      <c r="K158" s="18" t="inlineStr">
        <is>
          <t>Sansepolcro (AR), Tuscany</t>
        </is>
      </c>
      <c r="L158" s="18" t="inlineStr">
        <is>
          <t>+39 0575 746370</t>
        </is>
      </c>
      <c r="M158" s="18" t="inlineStr"/>
      <c r="N158" s="18" t="inlineStr">
        <is>
          <t>Brand owner / manufacturer</t>
        </is>
      </c>
      <c r="O158" s="18" t="inlineStr">
        <is>
          <t>Aboca Grintuss, Melilax, Fitonasal, herbal medical devices</t>
        </is>
      </c>
      <c r="P158" s="18" t="inlineStr">
        <is>
          <t>Natural health / OTC herbal</t>
        </is>
      </c>
      <c r="Q158" s="18" t="inlineStr">
        <is>
          <t>Account based</t>
        </is>
      </c>
      <c r="R158" s="18" t="inlineStr">
        <is>
          <t>Own subsidiaries (ES, FR, PL, DE, AT) + distributors</t>
        </is>
      </c>
      <c r="S158" s="18" t="inlineStr">
        <is>
          <t>Ask</t>
        </is>
      </c>
      <c r="T158" s="18" t="inlineStr">
        <is>
          <t>Unknown</t>
        </is>
      </c>
      <c r="U158" s="18" t="inlineStr">
        <is>
          <t>Unknown</t>
        </is>
      </c>
      <c r="V158" s="18" t="inlineStr"/>
      <c r="W158" s="18" t="inlineStr">
        <is>
          <t>SACE/CDP-backed financing (2022); Expopharm exhibitor; Austrian branch registered 2025</t>
        </is>
      </c>
      <c r="X158" s="18" t="inlineStr">
        <is>
          <t>Herbal cough syrups &amp; supplements; Amazon category approval needed</t>
        </is>
      </c>
      <c r="Y158" s="18" t="inlineStr"/>
      <c r="Z158" s="18" t="inlineStr">
        <is>
          <t>State lender press release + company brochure + corporate register</t>
        </is>
      </c>
      <c r="AA158" s="19" t="inlineStr">
        <is>
          <t>Source link</t>
        </is>
      </c>
      <c r="AB158" s="19" t="inlineStr">
        <is>
          <t>Search LinkedIn</t>
        </is>
      </c>
      <c r="AC158" s="18" t="inlineStr">
        <is>
          <t>Round 4</t>
        </is>
      </c>
      <c r="AD158" s="20" t="inlineStr">
        <is>
          <t>Not contacted</t>
        </is>
      </c>
      <c r="AE158" s="21" t="n"/>
      <c r="AF158" s="20" t="n"/>
      <c r="AG158" s="20" t="n"/>
      <c r="AH158" s="20" t="n"/>
      <c r="AI158" s="21">
        <f>IF(AE158="","",WORKDAY(AE158,5))</f>
        <v/>
      </c>
      <c r="AJ158" s="20" t="n"/>
      <c r="AK158" s="20" t="n"/>
    </row>
    <row r="159">
      <c r="A159" s="15" t="inlineStr">
        <is>
          <t>Italy</t>
        </is>
      </c>
      <c r="B159" s="16" t="n">
        <v>158</v>
      </c>
      <c r="C159" s="17" t="n">
        <v>3</v>
      </c>
      <c r="D159" s="18" t="inlineStr">
        <is>
          <t>Health &amp; Personal Care</t>
        </is>
      </c>
      <c r="E159" s="18" t="inlineStr">
        <is>
          <t>Laica S.p.A.</t>
        </is>
      </c>
      <c r="F159" s="19" t="inlineStr">
        <is>
          <t>https://www.laica.com</t>
        </is>
      </c>
      <c r="G159" s="18" t="inlineStr">
        <is>
          <t>Barbarano Mossano (Vicenza)</t>
        </is>
      </c>
      <c r="H159" s="18" t="inlineStr"/>
      <c r="I159" s="18" t="inlineStr">
        <is>
          <t>EU / Europe</t>
        </is>
      </c>
      <c r="J159" s="18" t="inlineStr">
        <is>
          <t>Mid</t>
        </is>
      </c>
      <c r="K159" s="18" t="inlineStr">
        <is>
          <t>Viale del Lavoro 10, 36048 Barbarano Mossano</t>
        </is>
      </c>
      <c r="L159" s="18" t="inlineStr"/>
      <c r="M159" s="18" t="inlineStr"/>
      <c r="N159" s="18" t="inlineStr">
        <is>
          <t>Brand owner</t>
        </is>
      </c>
      <c r="O159" s="18" t="inlineStr">
        <is>
          <t>Laica scales, BP monitors, thermometers, water filter jugs</t>
        </is>
      </c>
      <c r="P159" s="18" t="inlineStr">
        <is>
          <t>Health devices &amp; scales</t>
        </is>
      </c>
      <c r="Q159" s="18" t="inlineStr">
        <is>
          <t>On request</t>
        </is>
      </c>
      <c r="R159" s="18" t="inlineStr">
        <is>
          <t>Distributors &amp; retailers</t>
        </is>
      </c>
      <c r="S159" s="18" t="inlineStr">
        <is>
          <t>Ask</t>
        </is>
      </c>
      <c r="T159" s="18" t="inlineStr">
        <is>
          <t>Unknown</t>
        </is>
      </c>
      <c r="U159" s="18" t="inlineStr">
        <is>
          <t>Unknown</t>
        </is>
      </c>
      <c r="V159" s="18" t="inlineStr"/>
      <c r="W159" s="18" t="inlineStr">
        <is>
          <t>Founded 1974; sold via MediaMarkt &amp; pharmacies across EU</t>
        </is>
      </c>
      <c r="X159" s="18" t="inlineStr">
        <is>
          <t>Scales &amp; filter jugs sell well</t>
        </is>
      </c>
      <c r="Y159" s="18" t="inlineStr"/>
      <c r="Z159" s="18" t="inlineStr">
        <is>
          <t>Retailer listings (EU responsible person)</t>
        </is>
      </c>
      <c r="AA159" s="19" t="inlineStr">
        <is>
          <t>Source link</t>
        </is>
      </c>
      <c r="AB159" s="19" t="inlineStr">
        <is>
          <t>Search LinkedIn</t>
        </is>
      </c>
      <c r="AC159" s="18" t="inlineStr">
        <is>
          <t>Round 4</t>
        </is>
      </c>
      <c r="AD159" s="20" t="inlineStr">
        <is>
          <t>Not contacted</t>
        </is>
      </c>
      <c r="AE159" s="21" t="n"/>
      <c r="AF159" s="20" t="n"/>
      <c r="AG159" s="20" t="n"/>
      <c r="AH159" s="20" t="n"/>
      <c r="AI159" s="21">
        <f>IF(AE159="","",WORKDAY(AE159,5))</f>
        <v/>
      </c>
      <c r="AJ159" s="20" t="n"/>
      <c r="AK159" s="20" t="n"/>
    </row>
    <row r="160">
      <c r="A160" s="15" t="inlineStr">
        <is>
          <t>Italy</t>
        </is>
      </c>
      <c r="B160" s="16" t="n">
        <v>159</v>
      </c>
      <c r="C160" s="17" t="n">
        <v>4</v>
      </c>
      <c r="D160" s="18" t="inlineStr">
        <is>
          <t>Home &amp; Kitchen</t>
        </is>
      </c>
      <c r="E160" s="18" t="inlineStr">
        <is>
          <t>Bialetti Industrie S.p.A.</t>
        </is>
      </c>
      <c r="F160" s="19" t="inlineStr">
        <is>
          <t>https://www.bialetti.it</t>
        </is>
      </c>
      <c r="G160" s="18" t="inlineStr">
        <is>
          <t>Coccaglio (Brescia)</t>
        </is>
      </c>
      <c r="H160" s="18" t="inlineStr"/>
      <c r="I160" s="18" t="inlineStr">
        <is>
          <t>EU / Europe</t>
        </is>
      </c>
      <c r="J160" s="18" t="inlineStr">
        <is>
          <t>Mid</t>
        </is>
      </c>
      <c r="K160" s="18" t="inlineStr">
        <is>
          <t>Via Fogliano 1, 25030 Coccaglio (BS)</t>
        </is>
      </c>
      <c r="L160" s="18" t="inlineStr">
        <is>
          <t>+39 030 7720011</t>
        </is>
      </c>
      <c r="M160" s="18" t="inlineStr"/>
      <c r="N160" s="18" t="inlineStr">
        <is>
          <t>Brand owner (listed)</t>
        </is>
      </c>
      <c r="O160" s="18" t="inlineStr">
        <is>
          <t>Bialetti moka pots &amp; coffee, Rondine &amp; Aeternum cookware, Girmi appliances</t>
        </is>
      </c>
      <c r="P160" s="18" t="inlineStr">
        <is>
          <t>Coffee &amp; cookware</t>
        </is>
      </c>
      <c r="Q160" s="18" t="inlineStr">
        <is>
          <t>Account based</t>
        </is>
      </c>
      <c r="R160" s="18" t="inlineStr">
        <is>
          <t>Distributors &amp; retailers (subsidiaries in DE, FR, US, AU, TR, JP)</t>
        </is>
      </c>
      <c r="S160" s="18" t="inlineStr">
        <is>
          <t>Ask - via distributors</t>
        </is>
      </c>
      <c r="T160" s="18" t="inlineStr">
        <is>
          <t>Unknown</t>
        </is>
      </c>
      <c r="U160" s="18" t="inlineStr">
        <is>
          <t>Unknown</t>
        </is>
      </c>
      <c r="V160" s="18" t="inlineStr"/>
      <c r="W160" s="18" t="inlineStr">
        <is>
          <t>Milan-listed company</t>
        </is>
      </c>
      <c r="X160" s="18" t="inlineStr">
        <is>
          <t>Moka pots are evergreen Amazon sellers</t>
        </is>
      </c>
      <c r="Y160" s="18" t="inlineStr"/>
      <c r="Z160" s="18" t="inlineStr">
        <is>
          <t>Stock exchange profile</t>
        </is>
      </c>
      <c r="AA160" s="19" t="inlineStr">
        <is>
          <t>Source link</t>
        </is>
      </c>
      <c r="AB160" s="19" t="inlineStr">
        <is>
          <t>Search LinkedIn</t>
        </is>
      </c>
      <c r="AC160" s="18" t="inlineStr">
        <is>
          <t>Round 4</t>
        </is>
      </c>
      <c r="AD160" s="20" t="inlineStr">
        <is>
          <t>Not contacted</t>
        </is>
      </c>
      <c r="AE160" s="21" t="n"/>
      <c r="AF160" s="20" t="n"/>
      <c r="AG160" s="20" t="n"/>
      <c r="AH160" s="20" t="n"/>
      <c r="AI160" s="21">
        <f>IF(AE160="","",WORKDAY(AE160,5))</f>
        <v/>
      </c>
      <c r="AJ160" s="20" t="n"/>
      <c r="AK160" s="20" t="n"/>
    </row>
    <row r="161">
      <c r="A161" s="15" t="inlineStr">
        <is>
          <t>Italy</t>
        </is>
      </c>
      <c r="B161" s="16" t="n">
        <v>160</v>
      </c>
      <c r="C161" s="17" t="n">
        <v>4</v>
      </c>
      <c r="D161" s="18" t="inlineStr">
        <is>
          <t>Home &amp; Kitchen</t>
        </is>
      </c>
      <c r="E161" s="18" t="inlineStr">
        <is>
          <t>Tenacta Group S.p.A. (Imetec, Bellissima)</t>
        </is>
      </c>
      <c r="F161" s="19" t="inlineStr">
        <is>
          <t>https://www.imetec.com</t>
        </is>
      </c>
      <c r="G161" s="18" t="inlineStr">
        <is>
          <t>Azzano San Paolo (Bergamo)</t>
        </is>
      </c>
      <c r="H161" s="18" t="inlineStr"/>
      <c r="I161" s="18" t="inlineStr">
        <is>
          <t>EU / Europe</t>
        </is>
      </c>
      <c r="J161" s="18" t="inlineStr">
        <is>
          <t>Mid</t>
        </is>
      </c>
      <c r="K161" s="18" t="inlineStr">
        <is>
          <t>Via Piemonte 5/11, 24052 Azzano San Paolo (BG)</t>
        </is>
      </c>
      <c r="L161" s="18" t="inlineStr"/>
      <c r="M161" s="18" t="inlineStr"/>
      <c r="N161" s="18" t="inlineStr">
        <is>
          <t>Brand owner</t>
        </is>
      </c>
      <c r="O161" s="18" t="inlineStr">
        <is>
          <t>Imetec appliances, Bellissima hair tools, Dreamland, Daga heated blankets</t>
        </is>
      </c>
      <c r="P161" s="18" t="inlineStr">
        <is>
          <t>Small appliances &amp; hair care</t>
        </is>
      </c>
      <c r="Q161" s="18" t="inlineStr">
        <is>
          <t>Account based</t>
        </is>
      </c>
      <c r="R161" s="18" t="inlineStr">
        <is>
          <t>Distributors &amp; retailers</t>
        </is>
      </c>
      <c r="S161" s="18" t="inlineStr">
        <is>
          <t>Reported UK sales director - ask</t>
        </is>
      </c>
      <c r="T161" s="18" t="inlineStr">
        <is>
          <t>Unknown</t>
        </is>
      </c>
      <c r="U161" s="18" t="inlineStr">
        <is>
          <t>Unknown</t>
        </is>
      </c>
      <c r="V161" s="18" t="inlineStr"/>
      <c r="W161" s="18" t="inlineStr">
        <is>
          <t>Imetec founded 1973; LEI registered; sold in EU, Americas, AU, ME</t>
        </is>
      </c>
      <c r="X161" s="18" t="inlineStr">
        <is>
          <t>Bellissima hair tools sell well (electricals: UK plug)</t>
        </is>
      </c>
      <c r="Y161" s="18" t="inlineStr"/>
      <c r="Z161" s="18" t="inlineStr">
        <is>
          <t>LEI register + trade press</t>
        </is>
      </c>
      <c r="AA161" s="19" t="inlineStr">
        <is>
          <t>Source link</t>
        </is>
      </c>
      <c r="AB161" s="19" t="inlineStr">
        <is>
          <t>Search LinkedIn</t>
        </is>
      </c>
      <c r="AC161" s="18" t="inlineStr">
        <is>
          <t>Round 4</t>
        </is>
      </c>
      <c r="AD161" s="20" t="inlineStr">
        <is>
          <t>Not contacted</t>
        </is>
      </c>
      <c r="AE161" s="21" t="n"/>
      <c r="AF161" s="20" t="n"/>
      <c r="AG161" s="20" t="n"/>
      <c r="AH161" s="20" t="n"/>
      <c r="AI161" s="21">
        <f>IF(AE161="","",WORKDAY(AE161,5))</f>
        <v/>
      </c>
      <c r="AJ161" s="20" t="n"/>
      <c r="AK161" s="20" t="n"/>
    </row>
    <row r="162">
      <c r="A162" s="15" t="inlineStr">
        <is>
          <t>Italy</t>
        </is>
      </c>
      <c r="B162" s="16" t="n">
        <v>161</v>
      </c>
      <c r="C162" s="17" t="n">
        <v>3</v>
      </c>
      <c r="D162" s="18" t="inlineStr">
        <is>
          <t>Home &amp; Kitchen</t>
        </is>
      </c>
      <c r="E162" s="18" t="inlineStr">
        <is>
          <t>ALESSI S.p.A.</t>
        </is>
      </c>
      <c r="F162" s="19" t="inlineStr">
        <is>
          <t>https://www.alessi.com</t>
        </is>
      </c>
      <c r="G162" s="18" t="inlineStr">
        <is>
          <t>Crusinallo di Omegna</t>
        </is>
      </c>
      <c r="H162" s="18" t="inlineStr"/>
      <c r="I162" s="18" t="inlineStr">
        <is>
          <t>EU / Europe</t>
        </is>
      </c>
      <c r="J162" s="18" t="inlineStr">
        <is>
          <t>Mid</t>
        </is>
      </c>
      <c r="K162" s="18" t="inlineStr">
        <is>
          <t>Via Privata Alessi 6, 28887 Crusinallo di Omegna (VB)</t>
        </is>
      </c>
      <c r="L162" s="18" t="inlineStr">
        <is>
          <t>+39 0323 868611 (verify)</t>
        </is>
      </c>
      <c r="M162" s="18" t="inlineStr"/>
      <c r="N162" s="18" t="inlineStr">
        <is>
          <t>Brand owner / manufacturer</t>
        </is>
      </c>
      <c r="O162" s="18" t="inlineStr">
        <is>
          <t>Alessi kettles, coffee makers, kitchen accessories</t>
        </is>
      </c>
      <c r="P162" s="18" t="inlineStr">
        <is>
          <t>Design housewares</t>
        </is>
      </c>
      <c r="Q162" s="18" t="inlineStr">
        <is>
          <t>Authorised retailer</t>
        </is>
      </c>
      <c r="R162" s="18" t="inlineStr">
        <is>
          <t>Selected retail partners &amp; distributors</t>
        </is>
      </c>
      <c r="S162" s="18" t="inlineStr">
        <is>
          <t>Ask - UK distribution exists</t>
        </is>
      </c>
      <c r="T162" s="18" t="inlineStr">
        <is>
          <t>Unknown</t>
        </is>
      </c>
      <c r="U162" s="18" t="inlineStr">
        <is>
          <t>Unknown</t>
        </is>
      </c>
      <c r="V162" s="18" t="inlineStr"/>
      <c r="W162" s="18" t="inlineStr">
        <is>
          <t>Founded 1921; Maison&amp;Objet exhibitor</t>
        </is>
      </c>
      <c r="X162" s="18" t="inlineStr">
        <is>
          <t>Premium gifts; brand controls pricing</t>
        </is>
      </c>
      <c r="Y162" s="18" t="inlineStr">
        <is>
          <t>Selective distribution - check Amazon resale terms</t>
        </is>
      </c>
      <c r="Z162" s="18" t="inlineStr">
        <is>
          <t>Trade fair listing</t>
        </is>
      </c>
      <c r="AA162" s="19" t="inlineStr">
        <is>
          <t>Source link</t>
        </is>
      </c>
      <c r="AB162" s="19" t="inlineStr">
        <is>
          <t>Search LinkedIn</t>
        </is>
      </c>
      <c r="AC162" s="18" t="inlineStr">
        <is>
          <t>Round 4</t>
        </is>
      </c>
      <c r="AD162" s="20" t="inlineStr">
        <is>
          <t>Not contacted</t>
        </is>
      </c>
      <c r="AE162" s="21" t="n"/>
      <c r="AF162" s="20" t="n"/>
      <c r="AG162" s="20" t="n"/>
      <c r="AH162" s="20" t="n"/>
      <c r="AI162" s="21">
        <f>IF(AE162="","",WORKDAY(AE162,5))</f>
        <v/>
      </c>
      <c r="AJ162" s="20" t="n"/>
      <c r="AK162" s="20" t="n"/>
    </row>
    <row r="163">
      <c r="A163" s="15" t="inlineStr">
        <is>
          <t>Italy</t>
        </is>
      </c>
      <c r="B163" s="16" t="n">
        <v>162</v>
      </c>
      <c r="C163" s="17" t="n">
        <v>3</v>
      </c>
      <c r="D163" s="18" t="inlineStr">
        <is>
          <t>Home &amp; Kitchen</t>
        </is>
      </c>
      <c r="E163" s="18" t="inlineStr">
        <is>
          <t>Ariete S.p.A. (De'Longhi Group)</t>
        </is>
      </c>
      <c r="F163" s="19" t="inlineStr">
        <is>
          <t>https://www.ariete.net/en/profile</t>
        </is>
      </c>
      <c r="G163" s="18" t="inlineStr">
        <is>
          <t>Tuscany (Florence area)</t>
        </is>
      </c>
      <c r="H163" s="18" t="inlineStr"/>
      <c r="I163" s="18" t="inlineStr">
        <is>
          <t>EU / Europe</t>
        </is>
      </c>
      <c r="J163" s="18" t="inlineStr">
        <is>
          <t>Mid</t>
        </is>
      </c>
      <c r="K163" s="18" t="inlineStr">
        <is>
          <t>Tuscany</t>
        </is>
      </c>
      <c r="L163" s="18" t="inlineStr"/>
      <c r="M163" s="18" t="inlineStr"/>
      <c r="N163" s="18" t="inlineStr">
        <is>
          <t>Brand owner (De'Longhi subsidiary)</t>
        </is>
      </c>
      <c r="O163" s="18" t="inlineStr">
        <is>
          <t>Ariete retro small appliances, coffee machines, steam cleaners</t>
        </is>
      </c>
      <c r="P163" s="18" t="inlineStr">
        <is>
          <t>Small domestic appliances</t>
        </is>
      </c>
      <c r="Q163" s="18" t="inlineStr">
        <is>
          <t>Account based</t>
        </is>
      </c>
      <c r="R163" s="18" t="inlineStr">
        <is>
          <t>Distributors &amp; retailers</t>
        </is>
      </c>
      <c r="S163" s="18" t="inlineStr">
        <is>
          <t>~60% exported; UK via De'Longhi partners (e.g. Bluestem) - ask</t>
        </is>
      </c>
      <c r="T163" s="18" t="inlineStr">
        <is>
          <t>Unknown</t>
        </is>
      </c>
      <c r="U163" s="18" t="inlineStr">
        <is>
          <t>Unknown</t>
        </is>
      </c>
      <c r="V163" s="18" t="inlineStr"/>
      <c r="W163" s="18" t="inlineStr">
        <is>
          <t>Founded 1964; part of De'Longhi Group</t>
        </is>
      </c>
      <c r="X163" s="18" t="inlineStr"/>
      <c r="Y163" s="18" t="inlineStr"/>
      <c r="Z163" s="18" t="inlineStr">
        <is>
          <t>Company website (via search)</t>
        </is>
      </c>
      <c r="AA163" s="19" t="inlineStr">
        <is>
          <t>Source link</t>
        </is>
      </c>
      <c r="AB163" s="19" t="inlineStr">
        <is>
          <t>Search LinkedIn</t>
        </is>
      </c>
      <c r="AC163" s="18" t="inlineStr">
        <is>
          <t>Round 4</t>
        </is>
      </c>
      <c r="AD163" s="20" t="inlineStr">
        <is>
          <t>Not contacted</t>
        </is>
      </c>
      <c r="AE163" s="21" t="n"/>
      <c r="AF163" s="20" t="n"/>
      <c r="AG163" s="20" t="n"/>
      <c r="AH163" s="20" t="n"/>
      <c r="AI163" s="21">
        <f>IF(AE163="","",WORKDAY(AE163,5))</f>
        <v/>
      </c>
      <c r="AJ163" s="20" t="n"/>
      <c r="AK163" s="20" t="n"/>
    </row>
    <row r="164">
      <c r="A164" s="15" t="inlineStr">
        <is>
          <t>Italy</t>
        </is>
      </c>
      <c r="B164" s="16" t="n">
        <v>163</v>
      </c>
      <c r="C164" s="17" t="n">
        <v>4</v>
      </c>
      <c r="D164" s="18" t="inlineStr">
        <is>
          <t>Pet Supplies</t>
        </is>
      </c>
      <c r="E164" s="18" t="inlineStr">
        <is>
          <t>Ferplast S.p.A.</t>
        </is>
      </c>
      <c r="F164" s="19" t="inlineStr">
        <is>
          <t>https://www.ferplast.com</t>
        </is>
      </c>
      <c r="G164" s="18" t="inlineStr">
        <is>
          <t>Castelgomberto (Vicenza)</t>
        </is>
      </c>
      <c r="H164" s="18" t="inlineStr"/>
      <c r="I164" s="18" t="inlineStr">
        <is>
          <t>EU / Europe</t>
        </is>
      </c>
      <c r="J164" s="18" t="inlineStr">
        <is>
          <t>Mid</t>
        </is>
      </c>
      <c r="K164" s="18" t="inlineStr">
        <is>
          <t>Via I Maggio 5, 36070 Castelgomberto (VI)</t>
        </is>
      </c>
      <c r="L164" s="18" t="inlineStr">
        <is>
          <t>+39 0445 429111</t>
        </is>
      </c>
      <c r="M164" s="18" t="inlineStr">
        <is>
          <t>info@ferplast.com</t>
        </is>
      </c>
      <c r="N164" s="18" t="inlineStr">
        <is>
          <t>Brand owner / manufacturer</t>
        </is>
      </c>
      <c r="O164" s="18" t="inlineStr">
        <is>
          <t>Ferplast cages, aquariums, beds, carriers, accessories - 5,000+ products</t>
        </is>
      </c>
      <c r="P164" s="18" t="inlineStr">
        <is>
          <t>Pet accessories &amp; habitats</t>
        </is>
      </c>
      <c r="Q164" s="18" t="inlineStr">
        <is>
          <t>On request</t>
        </is>
      </c>
      <c r="R164" s="18" t="inlineStr">
        <is>
          <t>Distributors &amp; retailers</t>
        </is>
      </c>
      <c r="S164" s="18" t="inlineStr">
        <is>
          <t>Reported UK branch - ask</t>
        </is>
      </c>
      <c r="T164" s="18" t="inlineStr">
        <is>
          <t>Unknown</t>
        </is>
      </c>
      <c r="U164" s="18" t="inlineStr">
        <is>
          <t>Unknown</t>
        </is>
      </c>
      <c r="V164" s="18" t="inlineStr"/>
      <c r="W164" s="18" t="inlineStr">
        <is>
          <t>Active in 85+ countries; EU manufacturing; Interzoo &amp; Zoomark exhibitor</t>
        </is>
      </c>
      <c r="X164" s="18" t="inlineStr">
        <is>
          <t>Bulky cages = high FBA fees; accessories fine</t>
        </is>
      </c>
      <c r="Y164" s="18" t="inlineStr"/>
      <c r="Z164" s="18" t="inlineStr">
        <is>
          <t>Trade fair listings</t>
        </is>
      </c>
      <c r="AA164" s="19" t="inlineStr">
        <is>
          <t>Source link</t>
        </is>
      </c>
      <c r="AB164" s="19" t="inlineStr">
        <is>
          <t>Search LinkedIn</t>
        </is>
      </c>
      <c r="AC164" s="18" t="inlineStr">
        <is>
          <t>Round 4</t>
        </is>
      </c>
      <c r="AD164" s="20" t="inlineStr">
        <is>
          <t>Not contacted</t>
        </is>
      </c>
      <c r="AE164" s="21" t="n"/>
      <c r="AF164" s="20" t="n"/>
      <c r="AG164" s="20" t="n"/>
      <c r="AH164" s="20" t="n"/>
      <c r="AI164" s="21">
        <f>IF(AE164="","",WORKDAY(AE164,5))</f>
        <v/>
      </c>
      <c r="AJ164" s="20" t="n"/>
      <c r="AK164" s="20" t="n"/>
    </row>
    <row r="165">
      <c r="A165" s="15" t="inlineStr">
        <is>
          <t>Italy</t>
        </is>
      </c>
      <c r="B165" s="16" t="n">
        <v>164</v>
      </c>
      <c r="C165" s="17" t="n">
        <v>4</v>
      </c>
      <c r="D165" s="18" t="inlineStr">
        <is>
          <t>Pet Supplies</t>
        </is>
      </c>
      <c r="E165" s="18" t="inlineStr">
        <is>
          <t>Georplast s.r.l.</t>
        </is>
      </c>
      <c r="F165" s="19" t="inlineStr">
        <is>
          <t>https://www.georplast.it</t>
        </is>
      </c>
      <c r="G165" s="18" t="inlineStr">
        <is>
          <t>Mezzago (MB)</t>
        </is>
      </c>
      <c r="H165" s="18" t="inlineStr"/>
      <c r="I165" s="18" t="inlineStr">
        <is>
          <t>EU / Europe</t>
        </is>
      </c>
      <c r="J165" s="18" t="inlineStr">
        <is>
          <t>Mid</t>
        </is>
      </c>
      <c r="K165" s="18" t="inlineStr">
        <is>
          <t>Via E. Curiel 57, 20883 Mezzago</t>
        </is>
      </c>
      <c r="L165" s="18" t="inlineStr">
        <is>
          <t>+39 039 602 0021</t>
        </is>
      </c>
      <c r="M165" s="18" t="inlineStr">
        <is>
          <t>georplast@georplast.it (verify)</t>
        </is>
      </c>
      <c r="N165" s="18" t="inlineStr">
        <is>
          <t>Manufacturer</t>
        </is>
      </c>
      <c r="O165" s="18" t="inlineStr">
        <is>
          <t>Georplast pet carriers, beds, bowls, litter trays</t>
        </is>
      </c>
      <c r="P165" s="18" t="inlineStr">
        <is>
          <t>Plastic pet accessories</t>
        </is>
      </c>
      <c r="Q165" s="18" t="inlineStr">
        <is>
          <t>On request</t>
        </is>
      </c>
      <c r="R165" s="18" t="inlineStr">
        <is>
          <t>Distributors / pet retailers</t>
        </is>
      </c>
      <c r="S165" s="18" t="inlineStr">
        <is>
          <t>Ask</t>
        </is>
      </c>
      <c r="T165" s="18" t="inlineStr">
        <is>
          <t>Unknown</t>
        </is>
      </c>
      <c r="U165" s="18" t="inlineStr">
        <is>
          <t>Unknown</t>
        </is>
      </c>
      <c r="V165" s="18" t="inlineStr"/>
      <c r="W165" s="18" t="inlineStr">
        <is>
          <t>Interzoo, Zoomark &amp; Ambiente exhibitor; injection moulder since 1970</t>
        </is>
      </c>
      <c r="X165" s="18" t="inlineStr">
        <is>
          <t>Carriers &amp; litter trays are core Amazon pet lines</t>
        </is>
      </c>
      <c r="Y165" s="18" t="inlineStr"/>
      <c r="Z165" s="18" t="inlineStr">
        <is>
          <t>Multiple trade fair listings</t>
        </is>
      </c>
      <c r="AA165" s="19" t="inlineStr">
        <is>
          <t>Source link</t>
        </is>
      </c>
      <c r="AB165" s="19" t="inlineStr">
        <is>
          <t>Search LinkedIn</t>
        </is>
      </c>
      <c r="AC165" s="18" t="inlineStr">
        <is>
          <t>Round 4</t>
        </is>
      </c>
      <c r="AD165" s="20" t="inlineStr">
        <is>
          <t>Not contacted</t>
        </is>
      </c>
      <c r="AE165" s="21" t="n"/>
      <c r="AF165" s="20" t="n"/>
      <c r="AG165" s="20" t="n"/>
      <c r="AH165" s="20" t="n"/>
      <c r="AI165" s="21">
        <f>IF(AE165="","",WORKDAY(AE165,5))</f>
        <v/>
      </c>
      <c r="AJ165" s="20" t="n"/>
      <c r="AK165" s="20" t="n"/>
    </row>
    <row r="166">
      <c r="A166" s="15" t="inlineStr">
        <is>
          <t>Italy</t>
        </is>
      </c>
      <c r="B166" s="16" t="n">
        <v>165</v>
      </c>
      <c r="C166" s="17" t="n">
        <v>3</v>
      </c>
      <c r="D166" s="18" t="inlineStr">
        <is>
          <t>Pet Supplies</t>
        </is>
      </c>
      <c r="E166" s="18" t="inlineStr">
        <is>
          <t>Camon &amp; Croci Pet Group S.p.A.</t>
        </is>
      </c>
      <c r="F166" s="19" t="inlineStr">
        <is>
          <t>https://croci-group.com</t>
        </is>
      </c>
      <c r="G166" s="18" t="inlineStr">
        <is>
          <t>Castronno (Varese)</t>
        </is>
      </c>
      <c r="H166" s="18" t="inlineStr"/>
      <c r="I166" s="18" t="inlineStr">
        <is>
          <t>EU / Europe</t>
        </is>
      </c>
      <c r="J166" s="18" t="inlineStr">
        <is>
          <t>Mid</t>
        </is>
      </c>
      <c r="K166" s="18" t="inlineStr">
        <is>
          <t>Via S. Alessandro 8, 21040 Castronno</t>
        </is>
      </c>
      <c r="L166" s="18" t="inlineStr">
        <is>
          <t>+39 0332 870860</t>
        </is>
      </c>
      <c r="M166" s="18" t="inlineStr">
        <is>
          <t>info@croci.net</t>
        </is>
      </c>
      <c r="N166" s="18" t="inlineStr">
        <is>
          <t>Brand owner / distributor</t>
        </is>
      </c>
      <c r="O166" s="18" t="inlineStr">
        <is>
          <t>Croci, Camon - 8,000+ pet accessories in 43 countries</t>
        </is>
      </c>
      <c r="P166" s="18" t="inlineStr">
        <is>
          <t>Pet accessories</t>
        </is>
      </c>
      <c r="Q166" s="18" t="inlineStr">
        <is>
          <t>On request</t>
        </is>
      </c>
      <c r="R166" s="18" t="inlineStr">
        <is>
          <t>Distributors &amp; retailers</t>
        </is>
      </c>
      <c r="S166" s="18" t="inlineStr">
        <is>
          <t>Exports to 43 countries - ask</t>
        </is>
      </c>
      <c r="T166" s="18" t="inlineStr">
        <is>
          <t>Unknown</t>
        </is>
      </c>
      <c r="U166" s="18" t="inlineStr">
        <is>
          <t>Unknown</t>
        </is>
      </c>
      <c r="V166" s="18" t="inlineStr"/>
      <c r="W166" s="18" t="inlineStr">
        <is>
          <t>Zoomark &amp; Interzoo exhibitor</t>
        </is>
      </c>
      <c r="X166" s="18" t="inlineStr"/>
      <c r="Y166" s="18" t="inlineStr"/>
      <c r="Z166" s="18" t="inlineStr">
        <is>
          <t>Trade show listings</t>
        </is>
      </c>
      <c r="AA166" s="19" t="inlineStr">
        <is>
          <t>Source link</t>
        </is>
      </c>
      <c r="AB166" s="19" t="inlineStr">
        <is>
          <t>Search LinkedIn</t>
        </is>
      </c>
      <c r="AC166" s="18" t="inlineStr">
        <is>
          <t>Round 3</t>
        </is>
      </c>
      <c r="AD166" s="20" t="inlineStr">
        <is>
          <t>Not contacted</t>
        </is>
      </c>
      <c r="AE166" s="21" t="n"/>
      <c r="AF166" s="20" t="n"/>
      <c r="AG166" s="20" t="n"/>
      <c r="AH166" s="20" t="n"/>
      <c r="AI166" s="21">
        <f>IF(AE166="","",WORKDAY(AE166,5))</f>
        <v/>
      </c>
      <c r="AJ166" s="20" t="n"/>
      <c r="AK166" s="20" t="n"/>
    </row>
    <row r="167">
      <c r="A167" s="15" t="inlineStr">
        <is>
          <t>Italy</t>
        </is>
      </c>
      <c r="B167" s="16" t="n">
        <v>166</v>
      </c>
      <c r="C167" s="17" t="n">
        <v>3</v>
      </c>
      <c r="D167" s="18" t="inlineStr">
        <is>
          <t>Pet Supplies</t>
        </is>
      </c>
      <c r="E167" s="18" t="inlineStr">
        <is>
          <t>IMAC S.r.l.</t>
        </is>
      </c>
      <c r="F167" s="19" t="inlineStr">
        <is>
          <t>https://www.imac.it</t>
        </is>
      </c>
      <c r="G167" s="18" t="inlineStr">
        <is>
          <t>Tezze di Arzignano (Vicenza)</t>
        </is>
      </c>
      <c r="H167" s="18" t="inlineStr"/>
      <c r="I167" s="18" t="inlineStr">
        <is>
          <t>EU / Europe</t>
        </is>
      </c>
      <c r="J167" s="18" t="inlineStr">
        <is>
          <t>Mid</t>
        </is>
      </c>
      <c r="K167" s="18" t="inlineStr">
        <is>
          <t>Via Ghisa 24, 36071 Tezze di Arzignano (VI)</t>
        </is>
      </c>
      <c r="L167" s="18" t="inlineStr">
        <is>
          <t>+39 0444 482301</t>
        </is>
      </c>
      <c r="M167" s="18" t="inlineStr"/>
      <c r="N167" s="18" t="inlineStr">
        <is>
          <t>Manufacturer (made in Italy)</t>
        </is>
      </c>
      <c r="O167" s="18" t="inlineStr">
        <is>
          <t>IMAC cages, carriers, litter boxes, beds, bowls (1,500+ products)</t>
        </is>
      </c>
      <c r="P167" s="18" t="inlineStr">
        <is>
          <t>Pet habitats &amp; accessories</t>
        </is>
      </c>
      <c r="Q167" s="18" t="inlineStr">
        <is>
          <t>On request</t>
        </is>
      </c>
      <c r="R167" s="18" t="inlineStr">
        <is>
          <t>Distributors (Export Sales Manager Ileana Zambelli)</t>
        </is>
      </c>
      <c r="S167" s="18" t="inlineStr">
        <is>
          <t>Distributed in 48-71 countries - ask</t>
        </is>
      </c>
      <c r="T167" s="18" t="inlineStr">
        <is>
          <t>Unknown</t>
        </is>
      </c>
      <c r="U167" s="18" t="inlineStr">
        <is>
          <t>Unknown</t>
        </is>
      </c>
      <c r="V167" s="18" t="inlineStr"/>
      <c r="W167" s="18" t="inlineStr">
        <is>
          <t>Interzoo &amp; Zoomark exhibitor</t>
        </is>
      </c>
      <c r="X167" s="18" t="inlineStr"/>
      <c r="Y167" s="18" t="inlineStr"/>
      <c r="Z167" s="18" t="inlineStr">
        <is>
          <t>Trade fair listings</t>
        </is>
      </c>
      <c r="AA167" s="19" t="inlineStr">
        <is>
          <t>Source link</t>
        </is>
      </c>
      <c r="AB167" s="19" t="inlineStr">
        <is>
          <t>Search LinkedIn</t>
        </is>
      </c>
      <c r="AC167" s="18" t="inlineStr">
        <is>
          <t>Round 4</t>
        </is>
      </c>
      <c r="AD167" s="20" t="inlineStr">
        <is>
          <t>Not contacted</t>
        </is>
      </c>
      <c r="AE167" s="21" t="n"/>
      <c r="AF167" s="20" t="n"/>
      <c r="AG167" s="20" t="n"/>
      <c r="AH167" s="20" t="n"/>
      <c r="AI167" s="21">
        <f>IF(AE167="","",WORKDAY(AE167,5))</f>
        <v/>
      </c>
      <c r="AJ167" s="20" t="n"/>
      <c r="AK167" s="20" t="n"/>
    </row>
    <row r="168">
      <c r="A168" s="15" t="inlineStr">
        <is>
          <t>Italy</t>
        </is>
      </c>
      <c r="B168" s="16" t="n">
        <v>167</v>
      </c>
      <c r="C168" s="17" t="n">
        <v>3</v>
      </c>
      <c r="D168" s="18" t="inlineStr">
        <is>
          <t>Pet Supplies</t>
        </is>
      </c>
      <c r="E168" s="18" t="inlineStr">
        <is>
          <t>United Pets S.r.l.</t>
        </is>
      </c>
      <c r="F168" s="19" t="inlineStr">
        <is>
          <t>https://www.unitedpets.com</t>
        </is>
      </c>
      <c r="G168" s="18" t="inlineStr">
        <is>
          <t>Milan</t>
        </is>
      </c>
      <c r="H168" s="18" t="inlineStr"/>
      <c r="I168" s="18" t="inlineStr">
        <is>
          <t>EU / Europe</t>
        </is>
      </c>
      <c r="J168" s="18" t="inlineStr">
        <is>
          <t>Mid</t>
        </is>
      </c>
      <c r="K168" s="18" t="inlineStr">
        <is>
          <t>Viale Certosa 46, 20155 Milano</t>
        </is>
      </c>
      <c r="L168" s="18" t="inlineStr">
        <is>
          <t>+39 02 392 7041</t>
        </is>
      </c>
      <c r="M168" s="18" t="inlineStr"/>
      <c r="N168" s="18" t="inlineStr">
        <is>
          <t>Brand owner / designer</t>
        </is>
      </c>
      <c r="O168" s="18" t="inlineStr">
        <is>
          <t>United Pets design dog &amp; cat accessories, bowls, poop bags</t>
        </is>
      </c>
      <c r="P168" s="18" t="inlineStr">
        <is>
          <t>Pet accessories</t>
        </is>
      </c>
      <c r="Q168" s="18" t="inlineStr">
        <is>
          <t>On request</t>
        </is>
      </c>
      <c r="R168" s="18" t="inlineStr">
        <is>
          <t>Retailers &amp; distributors</t>
        </is>
      </c>
      <c r="S168" s="18" t="inlineStr">
        <is>
          <t>Exports to 30+ countries - ask</t>
        </is>
      </c>
      <c r="T168" s="18" t="inlineStr">
        <is>
          <t>Unknown</t>
        </is>
      </c>
      <c r="U168" s="18" t="inlineStr">
        <is>
          <t>Unknown</t>
        </is>
      </c>
      <c r="V168" s="18" t="inlineStr"/>
      <c r="W168" s="18" t="inlineStr">
        <is>
          <t>Zoomark exhibitor; Pitti Bimbo exhibitor</t>
        </is>
      </c>
      <c r="X168" s="18" t="inlineStr">
        <is>
          <t>Contact direct - not via Faire (Faire bans Amazon sellers)</t>
        </is>
      </c>
      <c r="Y168" s="18" t="inlineStr"/>
      <c r="Z168" s="18" t="inlineStr">
        <is>
          <t>Trade fair listing</t>
        </is>
      </c>
      <c r="AA168" s="19" t="inlineStr">
        <is>
          <t>Source link</t>
        </is>
      </c>
      <c r="AB168" s="19" t="inlineStr">
        <is>
          <t>Search LinkedIn</t>
        </is>
      </c>
      <c r="AC168" s="18" t="inlineStr">
        <is>
          <t>Round 4</t>
        </is>
      </c>
      <c r="AD168" s="20" t="inlineStr">
        <is>
          <t>Not contacted</t>
        </is>
      </c>
      <c r="AE168" s="21" t="n"/>
      <c r="AF168" s="20" t="n"/>
      <c r="AG168" s="20" t="n"/>
      <c r="AH168" s="20" t="n"/>
      <c r="AI168" s="21">
        <f>IF(AE168="","",WORKDAY(AE168,5))</f>
        <v/>
      </c>
      <c r="AJ168" s="20" t="n"/>
      <c r="AK168" s="20" t="n"/>
    </row>
    <row r="169">
      <c r="A169" s="15" t="inlineStr">
        <is>
          <t>Italy</t>
        </is>
      </c>
      <c r="B169" s="16" t="n">
        <v>168</v>
      </c>
      <c r="C169" s="17" t="n">
        <v>4</v>
      </c>
      <c r="D169" s="18" t="inlineStr">
        <is>
          <t>Sports &amp; Outdoors</t>
        </is>
      </c>
      <c r="E169" s="18" t="inlineStr">
        <is>
          <t>Cressi Sub S.p.A.</t>
        </is>
      </c>
      <c r="F169" s="19" t="inlineStr">
        <is>
          <t>https://www.cressi.it</t>
        </is>
      </c>
      <c r="G169" s="18" t="inlineStr">
        <is>
          <t>Genoa</t>
        </is>
      </c>
      <c r="H169" s="18" t="inlineStr"/>
      <c r="I169" s="18" t="inlineStr">
        <is>
          <t>EU / Europe</t>
        </is>
      </c>
      <c r="J169" s="18" t="inlineStr">
        <is>
          <t>Mid</t>
        </is>
      </c>
      <c r="K169" s="18" t="inlineStr">
        <is>
          <t>Via G. Adamoli 501, 16165 Genova</t>
        </is>
      </c>
      <c r="L169" s="18" t="inlineStr"/>
      <c r="M169" s="18" t="inlineStr"/>
      <c r="N169" s="18" t="inlineStr">
        <is>
          <t>Brand owner / manufacturer</t>
        </is>
      </c>
      <c r="O169" s="18" t="inlineStr">
        <is>
          <t>Cressi masks, snorkels, fins, swim goggles, dive gear</t>
        </is>
      </c>
      <c r="P169" s="18" t="inlineStr">
        <is>
          <t>Snorkelling, swim &amp; diving</t>
        </is>
      </c>
      <c r="Q169" s="18" t="inlineStr">
        <is>
          <t>Account based</t>
        </is>
      </c>
      <c r="R169" s="18" t="inlineStr">
        <is>
          <t>Distributors &amp; branches (US, FR, ES, MX, BR, CN, TH)</t>
        </is>
      </c>
      <c r="S169" s="18" t="inlineStr">
        <is>
          <t>Ask</t>
        </is>
      </c>
      <c r="T169" s="18" t="inlineStr">
        <is>
          <t>Unknown</t>
        </is>
      </c>
      <c r="U169" s="18" t="inlineStr">
        <is>
          <t>Unknown</t>
        </is>
      </c>
      <c r="V169" s="18" t="inlineStr"/>
      <c r="W169" s="18" t="inlineStr">
        <is>
          <t>Family-owned since 1946; CNR public procurement supplier</t>
        </is>
      </c>
      <c r="X169" s="18" t="inlineStr">
        <is>
          <t>Snorkel sets &amp; swim goggles sell strongly in summer</t>
        </is>
      </c>
      <c r="Y169" s="18" t="inlineStr"/>
      <c r="Z169" s="18" t="inlineStr">
        <is>
          <t>Public procurement record + trade data</t>
        </is>
      </c>
      <c r="AA169" s="19" t="inlineStr">
        <is>
          <t>Source link</t>
        </is>
      </c>
      <c r="AB169" s="19" t="inlineStr">
        <is>
          <t>Search LinkedIn</t>
        </is>
      </c>
      <c r="AC169" s="18" t="inlineStr">
        <is>
          <t>Round 4</t>
        </is>
      </c>
      <c r="AD169" s="20" t="inlineStr">
        <is>
          <t>Not contacted</t>
        </is>
      </c>
      <c r="AE169" s="21" t="n"/>
      <c r="AF169" s="20" t="n"/>
      <c r="AG169" s="20" t="n"/>
      <c r="AH169" s="20" t="n"/>
      <c r="AI169" s="21">
        <f>IF(AE169="","",WORKDAY(AE169,5))</f>
        <v/>
      </c>
      <c r="AJ169" s="20" t="n"/>
      <c r="AK169" s="20" t="n"/>
    </row>
    <row r="170">
      <c r="A170" s="15" t="inlineStr">
        <is>
          <t>Italy</t>
        </is>
      </c>
      <c r="B170" s="16" t="n">
        <v>169</v>
      </c>
      <c r="C170" s="17" t="n">
        <v>3</v>
      </c>
      <c r="D170" s="18" t="inlineStr">
        <is>
          <t>Sports &amp; Outdoors</t>
        </is>
      </c>
      <c r="E170" s="18" t="inlineStr">
        <is>
          <t>Brunner GmbH/Srl</t>
        </is>
      </c>
      <c r="F170" s="19" t="inlineStr">
        <is>
          <t>https://www.fierabolzano.it/en/tempo-libero/exhibitor/brunner-gmbh</t>
        </is>
      </c>
      <c r="G170" s="18" t="inlineStr">
        <is>
          <t>Bolzano</t>
        </is>
      </c>
      <c r="H170" s="18" t="inlineStr"/>
      <c r="I170" s="18" t="inlineStr">
        <is>
          <t>EU / Europe</t>
        </is>
      </c>
      <c r="J170" s="18" t="inlineStr">
        <is>
          <t>Mid</t>
        </is>
      </c>
      <c r="K170" s="18" t="inlineStr">
        <is>
          <t>Via Buozzi 8, Bolzano</t>
        </is>
      </c>
      <c r="L170" s="18" t="inlineStr"/>
      <c r="M170" s="18" t="inlineStr"/>
      <c r="N170" s="18" t="inlineStr">
        <is>
          <t>Brand owner / distributor</t>
        </is>
      </c>
      <c r="O170" s="18" t="inlineStr">
        <is>
          <t>Brunner camping furniture, kitchens, coolers, caravan accessories</t>
        </is>
      </c>
      <c r="P170" s="18" t="inlineStr">
        <is>
          <t>Camping</t>
        </is>
      </c>
      <c r="Q170" s="18" t="inlineStr">
        <is>
          <t>On request</t>
        </is>
      </c>
      <c r="R170" s="18" t="inlineStr">
        <is>
          <t>Retailers &amp; dealers across Europe</t>
        </is>
      </c>
      <c r="S170" s="18" t="inlineStr">
        <is>
          <t>Distributes Europe-wide from 8 logistics centres - ask</t>
        </is>
      </c>
      <c r="T170" s="18" t="inlineStr">
        <is>
          <t>Unknown</t>
        </is>
      </c>
      <c r="U170" s="18" t="inlineStr">
        <is>
          <t>Unknown</t>
        </is>
      </c>
      <c r="V170" s="18" t="inlineStr"/>
      <c r="W170" s="18" t="inlineStr">
        <is>
          <t>Founded 1960; leading Italian outdoor company; Fiera Bolzano exhibitor</t>
        </is>
      </c>
      <c r="X170" s="18" t="inlineStr"/>
      <c r="Y170" s="18" t="inlineStr"/>
      <c r="Z170" s="18" t="inlineStr">
        <is>
          <t>Trade fair listing</t>
        </is>
      </c>
      <c r="AA170" s="19" t="inlineStr">
        <is>
          <t>Source link</t>
        </is>
      </c>
      <c r="AB170" s="19" t="inlineStr">
        <is>
          <t>Search LinkedIn</t>
        </is>
      </c>
      <c r="AC170" s="18" t="inlineStr">
        <is>
          <t>Round 4</t>
        </is>
      </c>
      <c r="AD170" s="20" t="inlineStr">
        <is>
          <t>Not contacted</t>
        </is>
      </c>
      <c r="AE170" s="21" t="n"/>
      <c r="AF170" s="20" t="n"/>
      <c r="AG170" s="20" t="n"/>
      <c r="AH170" s="20" t="n"/>
      <c r="AI170" s="21">
        <f>IF(AE170="","",WORKDAY(AE170,5))</f>
        <v/>
      </c>
      <c r="AJ170" s="20" t="n"/>
      <c r="AK170" s="20" t="n"/>
    </row>
    <row r="171">
      <c r="A171" s="15" t="inlineStr">
        <is>
          <t>Italy</t>
        </is>
      </c>
      <c r="B171" s="16" t="n">
        <v>170</v>
      </c>
      <c r="C171" s="17" t="n">
        <v>4</v>
      </c>
      <c r="D171" s="18" t="inlineStr">
        <is>
          <t>Stationery &amp; Office</t>
        </is>
      </c>
      <c r="E171" s="18" t="inlineStr">
        <is>
          <t>CARIOCA S.p.A.</t>
        </is>
      </c>
      <c r="F171" s="19" t="inlineStr">
        <is>
          <t>https://www.carioca.com</t>
        </is>
      </c>
      <c r="G171" s="18" t="inlineStr">
        <is>
          <t>Settimo Torinese (Turin)</t>
        </is>
      </c>
      <c r="H171" s="18" t="inlineStr"/>
      <c r="I171" s="18" t="inlineStr">
        <is>
          <t>EU / Europe</t>
        </is>
      </c>
      <c r="J171" s="18" t="inlineStr">
        <is>
          <t>Mid</t>
        </is>
      </c>
      <c r="K171" s="18" t="inlineStr">
        <is>
          <t>Via Verga 40 Ter, Settimo Torinese</t>
        </is>
      </c>
      <c r="L171" s="18" t="inlineStr"/>
      <c r="M171" s="18" t="inlineStr">
        <is>
          <t>amministrazione@carioca.it (ask for export)</t>
        </is>
      </c>
      <c r="N171" s="18" t="inlineStr">
        <is>
          <t>Brand owner / manufacturer</t>
        </is>
      </c>
      <c r="O171" s="18" t="inlineStr">
        <is>
          <t>Carioca markers, colouring pencils, tempera</t>
        </is>
      </c>
      <c r="P171" s="18" t="inlineStr">
        <is>
          <t>Kids art &amp; colouring</t>
        </is>
      </c>
      <c r="Q171" s="18" t="inlineStr">
        <is>
          <t>On request</t>
        </is>
      </c>
      <c r="R171" s="18" t="inlineStr">
        <is>
          <t>Distributors &amp; retailers; exports 70%+ of output to 80+ countries</t>
        </is>
      </c>
      <c r="S171" s="18" t="inlineStr">
        <is>
          <t>Ask</t>
        </is>
      </c>
      <c r="T171" s="18" t="inlineStr">
        <is>
          <t>Unknown</t>
        </is>
      </c>
      <c r="U171" s="18" t="inlineStr">
        <is>
          <t>Unknown</t>
        </is>
      </c>
      <c r="V171" s="18" t="inlineStr"/>
      <c r="W171" s="18" t="inlineStr">
        <is>
          <t>Creativeworld (Messe Frankfurt) 2026 exhibitor; ICE/Centro Estero listing</t>
        </is>
      </c>
      <c r="X171" s="18" t="inlineStr">
        <is>
          <t>Felt-tip and colouring sets sell well, especially back-to-school</t>
        </is>
      </c>
      <c r="Y171" s="18" t="inlineStr"/>
      <c r="Z171" s="18" t="inlineStr">
        <is>
          <t>Trade fair listing + trade promotion directory</t>
        </is>
      </c>
      <c r="AA171" s="19" t="inlineStr">
        <is>
          <t>Source link</t>
        </is>
      </c>
      <c r="AB171" s="19" t="inlineStr">
        <is>
          <t>Search LinkedIn</t>
        </is>
      </c>
      <c r="AC171" s="18" t="inlineStr">
        <is>
          <t>Round 4</t>
        </is>
      </c>
      <c r="AD171" s="20" t="inlineStr">
        <is>
          <t>Not contacted</t>
        </is>
      </c>
      <c r="AE171" s="21" t="n"/>
      <c r="AF171" s="20" t="n"/>
      <c r="AG171" s="20" t="n"/>
      <c r="AH171" s="20" t="n"/>
      <c r="AI171" s="21">
        <f>IF(AE171="","",WORKDAY(AE171,5))</f>
        <v/>
      </c>
      <c r="AJ171" s="20" t="n"/>
      <c r="AK171" s="20" t="n"/>
    </row>
    <row r="172">
      <c r="A172" s="15" t="inlineStr">
        <is>
          <t>Italy</t>
        </is>
      </c>
      <c r="B172" s="16" t="n">
        <v>171</v>
      </c>
      <c r="C172" s="17" t="n">
        <v>4</v>
      </c>
      <c r="D172" s="18" t="inlineStr">
        <is>
          <t>Stationery &amp; Office</t>
        </is>
      </c>
      <c r="E172" s="18" t="inlineStr">
        <is>
          <t>F.I.L.A. S.p.A. (Giotto, Lyra, DOMS, Canson, Daler-Rowney)</t>
        </is>
      </c>
      <c r="F172" s="19" t="inlineStr">
        <is>
          <t>https://www.fila.it</t>
        </is>
      </c>
      <c r="G172" s="18" t="inlineStr">
        <is>
          <t>Pero (Milan)</t>
        </is>
      </c>
      <c r="H172" s="18" t="inlineStr"/>
      <c r="I172" s="18" t="inlineStr">
        <is>
          <t>EU / Europe</t>
        </is>
      </c>
      <c r="J172" s="18" t="inlineStr">
        <is>
          <t>Mid</t>
        </is>
      </c>
      <c r="K172" s="18" t="inlineStr">
        <is>
          <t>Pero (MI)</t>
        </is>
      </c>
      <c r="L172" s="18" t="inlineStr"/>
      <c r="M172" s="18" t="inlineStr"/>
      <c r="N172" s="18" t="inlineStr">
        <is>
          <t>Brand owner / manufacturer (listed)</t>
        </is>
      </c>
      <c r="O172" s="18" t="inlineStr">
        <is>
          <t>Giotto, Tratto, Lyra, Canson, Daler-Rowney, Maimeri, DOMS</t>
        </is>
      </c>
      <c r="P172" s="18" t="inlineStr">
        <is>
          <t>Art &amp; school supplies</t>
        </is>
      </c>
      <c r="Q172" s="18" t="inlineStr">
        <is>
          <t>Account based</t>
        </is>
      </c>
      <c r="R172" s="18" t="inlineStr">
        <is>
          <t>Via 32 branches to wholesalers, school &amp; office suppliers, retailers</t>
        </is>
      </c>
      <c r="S172" s="18" t="inlineStr">
        <is>
          <t>Has UK branch (Daler-Rowney) - ask</t>
        </is>
      </c>
      <c r="T172" s="18" t="inlineStr">
        <is>
          <t>Unknown</t>
        </is>
      </c>
      <c r="U172" s="18" t="inlineStr">
        <is>
          <t>Unknown</t>
        </is>
      </c>
      <c r="V172" s="18" t="inlineStr"/>
      <c r="W172" s="18" t="inlineStr">
        <is>
          <t>Milan-listed; 21 plants; 3,000+ staff; sells in 150+ countries</t>
        </is>
      </c>
      <c r="X172" s="18" t="inlineStr">
        <is>
          <t>Art supplies are strong on Amazon</t>
        </is>
      </c>
      <c r="Y172" s="18" t="inlineStr"/>
      <c r="Z172" s="18" t="inlineStr">
        <is>
          <t>Investor relations + company site</t>
        </is>
      </c>
      <c r="AA172" s="19" t="inlineStr">
        <is>
          <t>Source link</t>
        </is>
      </c>
      <c r="AB172" s="19" t="inlineStr">
        <is>
          <t>Search LinkedIn</t>
        </is>
      </c>
      <c r="AC172" s="18" t="inlineStr">
        <is>
          <t>Round 4</t>
        </is>
      </c>
      <c r="AD172" s="20" t="inlineStr">
        <is>
          <t>Not contacted</t>
        </is>
      </c>
      <c r="AE172" s="21" t="n"/>
      <c r="AF172" s="20" t="n"/>
      <c r="AG172" s="20" t="n"/>
      <c r="AH172" s="20" t="n"/>
      <c r="AI172" s="21">
        <f>IF(AE172="","",WORKDAY(AE172,5))</f>
        <v/>
      </c>
      <c r="AJ172" s="20" t="n"/>
      <c r="AK172" s="20" t="n"/>
    </row>
    <row r="173">
      <c r="A173" s="15" t="inlineStr">
        <is>
          <t>Italy</t>
        </is>
      </c>
      <c r="B173" s="16" t="n">
        <v>172</v>
      </c>
      <c r="C173" s="17" t="n">
        <v>4</v>
      </c>
      <c r="D173" s="18" t="inlineStr">
        <is>
          <t>Toys &amp; Games</t>
        </is>
      </c>
      <c r="E173" s="18" t="inlineStr">
        <is>
          <t>Clementoni S.p.A.</t>
        </is>
      </c>
      <c r="F173" s="19" t="inlineStr">
        <is>
          <t>https://www.clementoni.com</t>
        </is>
      </c>
      <c r="G173" s="18" t="inlineStr">
        <is>
          <t>Recanati (Marche)</t>
        </is>
      </c>
      <c r="H173" s="18" t="inlineStr"/>
      <c r="I173" s="18" t="inlineStr">
        <is>
          <t>EU / Europe</t>
        </is>
      </c>
      <c r="J173" s="18" t="inlineStr">
        <is>
          <t>Mid</t>
        </is>
      </c>
      <c r="K173" s="18" t="inlineStr">
        <is>
          <t>Zona Industriale Fontenoce, 62019 Recanati</t>
        </is>
      </c>
      <c r="L173" s="18" t="inlineStr"/>
      <c r="M173" s="18" t="inlineStr"/>
      <c r="N173" s="18" t="inlineStr">
        <is>
          <t>Brand owner / manufacturer</t>
        </is>
      </c>
      <c r="O173" s="18" t="inlineStr">
        <is>
          <t>Clementoni puzzles, science &amp; educational toys, Sapientino</t>
        </is>
      </c>
      <c r="P173" s="18" t="inlineStr">
        <is>
          <t>Educational toys &amp; puzzles</t>
        </is>
      </c>
      <c r="Q173" s="18" t="inlineStr">
        <is>
          <t>Account based</t>
        </is>
      </c>
      <c r="R173" s="18" t="inlineStr">
        <is>
          <t>Retailers (via local subsidiaries)</t>
        </is>
      </c>
      <c r="S173" s="18" t="inlineStr">
        <is>
          <t>Has a UK sales subsidiary - contact UK office</t>
        </is>
      </c>
      <c r="T173" s="18" t="inlineStr">
        <is>
          <t>Unknown</t>
        </is>
      </c>
      <c r="U173" s="18" t="inlineStr">
        <is>
          <t>Unknown</t>
        </is>
      </c>
      <c r="V173" s="18" t="inlineStr"/>
      <c r="W173" s="18" t="inlineStr">
        <is>
          <t>Major Italian toy maker; subsidiaries in 9 countries; exports to 83</t>
        </is>
      </c>
      <c r="X173" s="18" t="inlineStr">
        <is>
          <t>Brand-direct; science kits &amp; puzzles sell well</t>
        </is>
      </c>
      <c r="Y173" s="18" t="inlineStr"/>
      <c r="Z173" s="18" t="inlineStr">
        <is>
          <t>Wikipedia + Forbes Italia</t>
        </is>
      </c>
      <c r="AA173" s="19" t="inlineStr">
        <is>
          <t>Source link</t>
        </is>
      </c>
      <c r="AB173" s="19" t="inlineStr">
        <is>
          <t>Search LinkedIn</t>
        </is>
      </c>
      <c r="AC173" s="18" t="inlineStr">
        <is>
          <t>Round 4</t>
        </is>
      </c>
      <c r="AD173" s="20" t="inlineStr">
        <is>
          <t>Not contacted</t>
        </is>
      </c>
      <c r="AE173" s="21" t="n"/>
      <c r="AF173" s="20" t="n"/>
      <c r="AG173" s="20" t="n"/>
      <c r="AH173" s="20" t="n"/>
      <c r="AI173" s="21">
        <f>IF(AE173="","",WORKDAY(AE173,5))</f>
        <v/>
      </c>
      <c r="AJ173" s="20" t="n"/>
      <c r="AK173" s="20" t="n"/>
    </row>
    <row r="174">
      <c r="A174" s="15" t="inlineStr">
        <is>
          <t>Italy</t>
        </is>
      </c>
      <c r="B174" s="16" t="n">
        <v>173</v>
      </c>
      <c r="C174" s="17" t="n">
        <v>4</v>
      </c>
      <c r="D174" s="18" t="inlineStr">
        <is>
          <t>Toys &amp; Games</t>
        </is>
      </c>
      <c r="E174" s="18" t="inlineStr">
        <is>
          <t>Quercetti &amp; C. S.p.A.</t>
        </is>
      </c>
      <c r="F174" s="19" t="inlineStr">
        <is>
          <t>https://www.quercetti.com</t>
        </is>
      </c>
      <c r="G174" s="18" t="inlineStr">
        <is>
          <t>Turin</t>
        </is>
      </c>
      <c r="H174" s="18" t="inlineStr"/>
      <c r="I174" s="18" t="inlineStr">
        <is>
          <t>EU / Europe</t>
        </is>
      </c>
      <c r="J174" s="18" t="inlineStr">
        <is>
          <t>Mid</t>
        </is>
      </c>
      <c r="K174" s="18" t="inlineStr">
        <is>
          <t>Corso Vigevano 25, 10152 Torino</t>
        </is>
      </c>
      <c r="L174" s="18" t="inlineStr">
        <is>
          <t>+39 011 235656 (verify)</t>
        </is>
      </c>
      <c r="M174" s="18" t="inlineStr">
        <is>
          <t>export@quercetti.com</t>
        </is>
      </c>
      <c r="N174" s="18" t="inlineStr">
        <is>
          <t>Brand owner / manufacturer</t>
        </is>
      </c>
      <c r="O174" s="18" t="inlineStr">
        <is>
          <t>Quercetti pegboards, marble runs, educational toys (made in Italy)</t>
        </is>
      </c>
      <c r="P174" s="18" t="inlineStr">
        <is>
          <t>Educational toys</t>
        </is>
      </c>
      <c r="Q174" s="18" t="inlineStr">
        <is>
          <t>On request</t>
        </is>
      </c>
      <c r="R174" s="18" t="inlineStr">
        <is>
          <t>Distributors &amp; retailers (export dept.)</t>
        </is>
      </c>
      <c r="S174" s="18" t="inlineStr">
        <is>
          <t>Ask</t>
        </is>
      </c>
      <c r="T174" s="18" t="inlineStr">
        <is>
          <t>Unknown</t>
        </is>
      </c>
      <c r="U174" s="18" t="inlineStr">
        <is>
          <t>Unknown</t>
        </is>
      </c>
      <c r="V174" s="18" t="inlineStr"/>
      <c r="W174" s="18" t="inlineStr">
        <is>
          <t>Long-running Italian toy maker; Maison&amp;Objet exhibitor; US subsidiary</t>
        </is>
      </c>
      <c r="X174" s="18" t="inlineStr"/>
      <c r="Y174" s="18" t="inlineStr"/>
      <c r="Z174" s="18" t="inlineStr">
        <is>
          <t>Supply-chain profile + trade data</t>
        </is>
      </c>
      <c r="AA174" s="19" t="inlineStr">
        <is>
          <t>Source link</t>
        </is>
      </c>
      <c r="AB174" s="19" t="inlineStr">
        <is>
          <t>Search LinkedIn</t>
        </is>
      </c>
      <c r="AC174" s="18" t="inlineStr">
        <is>
          <t>Round 4</t>
        </is>
      </c>
      <c r="AD174" s="20" t="inlineStr">
        <is>
          <t>Not contacted</t>
        </is>
      </c>
      <c r="AE174" s="21" t="n"/>
      <c r="AF174" s="20" t="n"/>
      <c r="AG174" s="20" t="n"/>
      <c r="AH174" s="20" t="n"/>
      <c r="AI174" s="21">
        <f>IF(AE174="","",WORKDAY(AE174,5))</f>
        <v/>
      </c>
      <c r="AJ174" s="20" t="n"/>
      <c r="AK174" s="20" t="n"/>
    </row>
    <row r="175">
      <c r="A175" s="15" t="inlineStr">
        <is>
          <t>Italy</t>
        </is>
      </c>
      <c r="B175" s="16" t="n">
        <v>174</v>
      </c>
      <c r="C175" s="17" t="n">
        <v>3</v>
      </c>
      <c r="D175" s="18" t="inlineStr">
        <is>
          <t>Toys &amp; Games</t>
        </is>
      </c>
      <c r="E175" s="18" t="inlineStr">
        <is>
          <t>Liscianigiochi S.p.A.</t>
        </is>
      </c>
      <c r="F175" s="19" t="inlineStr">
        <is>
          <t>https://www.liscianigiochi.it</t>
        </is>
      </c>
      <c r="G175" s="18" t="inlineStr">
        <is>
          <t>Teramo</t>
        </is>
      </c>
      <c r="H175" s="18" t="inlineStr"/>
      <c r="I175" s="18" t="inlineStr">
        <is>
          <t>EU / Europe</t>
        </is>
      </c>
      <c r="J175" s="18" t="inlineStr">
        <is>
          <t>Mid</t>
        </is>
      </c>
      <c r="K175" s="18" t="inlineStr">
        <is>
          <t>Via Ruscitti snc, 64100 Teramo</t>
        </is>
      </c>
      <c r="L175" s="18" t="inlineStr"/>
      <c r="M175" s="18" t="inlineStr"/>
      <c r="N175" s="18" t="inlineStr">
        <is>
          <t>Brand owner / manufacturer</t>
        </is>
      </c>
      <c r="O175" s="18" t="inlineStr">
        <is>
          <t>Lisciani educational games, puzzles, Carotina, licensed games</t>
        </is>
      </c>
      <c r="P175" s="18" t="inlineStr">
        <is>
          <t>Educational games</t>
        </is>
      </c>
      <c r="Q175" s="18" t="inlineStr">
        <is>
          <t>On request</t>
        </is>
      </c>
      <c r="R175" s="18" t="inlineStr">
        <is>
          <t>Retailers &amp; distributors</t>
        </is>
      </c>
      <c r="S175" s="18" t="inlineStr">
        <is>
          <t>Exports worldwide - ask</t>
        </is>
      </c>
      <c r="T175" s="18" t="inlineStr">
        <is>
          <t>Unknown</t>
        </is>
      </c>
      <c r="U175" s="18" t="inlineStr">
        <is>
          <t>Unknown</t>
        </is>
      </c>
      <c r="V175" s="18" t="inlineStr"/>
      <c r="W175" s="18" t="inlineStr">
        <is>
          <t>Major Italian toy maker (Il Sole 24 Ore profile)</t>
        </is>
      </c>
      <c r="X175" s="18" t="inlineStr">
        <is>
          <t>Contact direct - not via Faire (Faire bans Amazon sellers)</t>
        </is>
      </c>
      <c r="Y175" s="18" t="inlineStr"/>
      <c r="Z175" s="18" t="inlineStr">
        <is>
          <t>Business directory + national press</t>
        </is>
      </c>
      <c r="AA175" s="19" t="inlineStr">
        <is>
          <t>Source link</t>
        </is>
      </c>
      <c r="AB175" s="19" t="inlineStr">
        <is>
          <t>Search LinkedIn</t>
        </is>
      </c>
      <c r="AC175" s="18" t="inlineStr">
        <is>
          <t>Round 4</t>
        </is>
      </c>
      <c r="AD175" s="20" t="inlineStr">
        <is>
          <t>Not contacted</t>
        </is>
      </c>
      <c r="AE175" s="21" t="n"/>
      <c r="AF175" s="20" t="n"/>
      <c r="AG175" s="20" t="n"/>
      <c r="AH175" s="20" t="n"/>
      <c r="AI175" s="21">
        <f>IF(AE175="","",WORKDAY(AE175,5))</f>
        <v/>
      </c>
      <c r="AJ175" s="20" t="n"/>
      <c r="AK175" s="20" t="n"/>
    </row>
    <row r="176">
      <c r="A176" s="15" t="inlineStr">
        <is>
          <t>Italy</t>
        </is>
      </c>
      <c r="B176" s="16" t="n">
        <v>175</v>
      </c>
      <c r="C176" s="17" t="n">
        <v>2</v>
      </c>
      <c r="D176" s="18" t="inlineStr">
        <is>
          <t>Toys &amp; Games</t>
        </is>
      </c>
      <c r="E176" s="18" t="inlineStr">
        <is>
          <t>Joy Toy SpA</t>
        </is>
      </c>
      <c r="F176" s="18" t="inlineStr">
        <is>
          <t>Not confirmed - search company name</t>
        </is>
      </c>
      <c r="G176" s="18" t="inlineStr">
        <is>
          <t>Italy</t>
        </is>
      </c>
      <c r="H176" s="18" t="inlineStr"/>
      <c r="I176" s="18" t="inlineStr">
        <is>
          <t>EU / Europe</t>
        </is>
      </c>
      <c r="J176" s="18" t="inlineStr">
        <is>
          <t>Mid</t>
        </is>
      </c>
      <c r="K176" s="18" t="inlineStr"/>
      <c r="L176" s="18" t="inlineStr"/>
      <c r="M176" s="18" t="inlineStr"/>
      <c r="N176" s="18" t="inlineStr">
        <is>
          <t>Licensed toy distributor</t>
        </is>
      </c>
      <c r="O176" s="18" t="inlineStr">
        <is>
          <t>Licensed toys &amp; plush (30 years)</t>
        </is>
      </c>
      <c r="P176" s="18" t="inlineStr">
        <is>
          <t>Licensed toys</t>
        </is>
      </c>
      <c r="Q176" s="18" t="inlineStr">
        <is>
          <t>On request</t>
        </is>
      </c>
      <c r="R176" s="18" t="inlineStr">
        <is>
          <t>Retailers</t>
        </is>
      </c>
      <c r="S176" s="18" t="inlineStr">
        <is>
          <t>Italy/DE/AT/CH focus</t>
        </is>
      </c>
      <c r="T176" s="18" t="inlineStr">
        <is>
          <t>Unknown</t>
        </is>
      </c>
      <c r="U176" s="18" t="inlineStr">
        <is>
          <t>Unknown</t>
        </is>
      </c>
      <c r="V176" s="18" t="inlineStr"/>
      <c r="W176" s="18" t="inlineStr">
        <is>
          <t>30 years in licensed items</t>
        </is>
      </c>
      <c r="X176" s="18" t="inlineStr">
        <is>
          <t>Contact direct - not via Faire (Faire bans Amazon sellers)</t>
        </is>
      </c>
      <c r="Y176" s="18" t="inlineStr"/>
      <c r="Z176" s="18" t="inlineStr">
        <is>
          <t>Marketplace profile</t>
        </is>
      </c>
      <c r="AA176" s="19" t="inlineStr">
        <is>
          <t>Source link</t>
        </is>
      </c>
      <c r="AB176" s="19" t="inlineStr">
        <is>
          <t>Search LinkedIn</t>
        </is>
      </c>
      <c r="AC176" s="18" t="inlineStr">
        <is>
          <t>Round 2</t>
        </is>
      </c>
      <c r="AD176" s="20" t="inlineStr">
        <is>
          <t>Not contacted</t>
        </is>
      </c>
      <c r="AE176" s="21" t="n"/>
      <c r="AF176" s="20" t="n"/>
      <c r="AG176" s="20" t="n"/>
      <c r="AH176" s="20" t="n"/>
      <c r="AI176" s="21">
        <f>IF(AE176="","",WORKDAY(AE176,5))</f>
        <v/>
      </c>
      <c r="AJ176" s="20" t="n"/>
      <c r="AK176" s="20" t="n"/>
    </row>
    <row r="177">
      <c r="A177" s="22" t="inlineStr">
        <is>
          <t>Latvia</t>
        </is>
      </c>
      <c r="B177" s="23" t="n">
        <v>176</v>
      </c>
      <c r="C177" s="10" t="n">
        <v>4</v>
      </c>
      <c r="D177" s="11" t="inlineStr">
        <is>
          <t>Beauty</t>
        </is>
      </c>
      <c r="E177" s="27" t="inlineStr">
        <is>
          <t>AS MADARA Cosmetics</t>
        </is>
      </c>
      <c r="F177" s="12" t="inlineStr">
        <is>
          <t>https://madaracosmetics.lv/investors/</t>
        </is>
      </c>
      <c r="G177" s="11" t="inlineStr">
        <is>
          <t>Riga (Mārupe)</t>
        </is>
      </c>
      <c r="H177" s="11" t="inlineStr"/>
      <c r="I177" s="11" t="inlineStr">
        <is>
          <t>EU / Europe</t>
        </is>
      </c>
      <c r="J177" s="11" t="inlineStr">
        <is>
          <t>Low-cost</t>
        </is>
      </c>
      <c r="K177" s="11" t="inlineStr">
        <is>
          <t>Riga area, Latvia (see investor page)</t>
        </is>
      </c>
      <c r="L177" s="11" t="inlineStr"/>
      <c r="M177" s="11" t="inlineStr"/>
      <c r="N177" s="11" t="inlineStr">
        <is>
          <t>Brand owner / manufacturer (listed)</t>
        </is>
      </c>
      <c r="O177" s="11" t="inlineStr">
        <is>
          <t>MÁDARA organic skincare, sun care, haircare</t>
        </is>
      </c>
      <c r="P177" s="11" t="inlineStr">
        <is>
          <t>Organic / natural skincare</t>
        </is>
      </c>
      <c r="Q177" s="11" t="inlineStr">
        <is>
          <t>Account based</t>
        </is>
      </c>
      <c r="R177" s="11" t="inlineStr">
        <is>
          <t>Distributors &amp; retailers in 35+ countries</t>
        </is>
      </c>
      <c r="S177" s="11" t="inlineStr">
        <is>
          <t>Ask</t>
        </is>
      </c>
      <c r="T177" s="11" t="inlineStr">
        <is>
          <t>Unknown</t>
        </is>
      </c>
      <c r="U177" s="11" t="inlineStr">
        <is>
          <t>Unknown</t>
        </is>
      </c>
      <c r="V177" s="11" t="inlineStr">
        <is>
          <t>ISIN LV0000101624</t>
        </is>
      </c>
      <c r="W177" s="11" t="inlineStr">
        <is>
          <t>Listed on Nasdaq Riga First North (ISIN LV0000101624) since 2017</t>
        </is>
      </c>
      <c r="X177" s="11" t="inlineStr">
        <is>
          <t>Certified-organic skincare at Baltic cost levels; good fit for clean-beauty listings</t>
        </is>
      </c>
      <c r="Y177" s="11" t="inlineStr"/>
      <c r="Z177" s="11" t="inlineStr">
        <is>
          <t>Stock exchange filings</t>
        </is>
      </c>
      <c r="AA177" s="12" t="inlineStr">
        <is>
          <t>Source link</t>
        </is>
      </c>
      <c r="AB177" s="12" t="inlineStr">
        <is>
          <t>Search LinkedIn</t>
        </is>
      </c>
      <c r="AC177" s="11" t="inlineStr">
        <is>
          <t>Round 5</t>
        </is>
      </c>
      <c r="AD177" s="13" t="inlineStr">
        <is>
          <t>Not contacted</t>
        </is>
      </c>
      <c r="AE177" s="14" t="n"/>
      <c r="AF177" s="13" t="n"/>
      <c r="AG177" s="13" t="n"/>
      <c r="AH177" s="13" t="n"/>
      <c r="AI177" s="14">
        <f>IF(AE177="","",WORKDAY(AE177,5))</f>
        <v/>
      </c>
      <c r="AJ177" s="13" t="n"/>
      <c r="AK177" s="13" t="n"/>
    </row>
    <row r="178">
      <c r="A178" s="8" t="inlineStr">
        <is>
          <t>Lithuania</t>
        </is>
      </c>
      <c r="B178" s="9" t="n">
        <v>177</v>
      </c>
      <c r="C178" s="10" t="n">
        <v>2</v>
      </c>
      <c r="D178" s="11" t="inlineStr">
        <is>
          <t>DIY &amp; Tools</t>
        </is>
      </c>
      <c r="E178" s="11" t="inlineStr">
        <is>
          <t>Doho</t>
        </is>
      </c>
      <c r="F178" s="12" t="inlineStr">
        <is>
          <t>https://linkedin.com/company/do-ho</t>
        </is>
      </c>
      <c r="G178" s="11" t="inlineStr"/>
      <c r="H178" s="11" t="inlineStr"/>
      <c r="I178" s="11" t="inlineStr">
        <is>
          <t>EU / Europe</t>
        </is>
      </c>
      <c r="J178" s="11" t="inlineStr">
        <is>
          <t>Low-cost</t>
        </is>
      </c>
      <c r="K178" s="11" t="inlineStr"/>
      <c r="L178" s="11" t="inlineStr"/>
      <c r="M178" s="11" t="inlineStr"/>
      <c r="N178" s="11" t="inlineStr">
        <is>
          <t>Retailer &amp; wholesaler</t>
        </is>
      </c>
      <c r="O178" s="11" t="inlineStr">
        <is>
          <t>Bosch, Makita, DeWalt, Metabo, Stanley</t>
        </is>
      </c>
      <c r="P178" s="11" t="inlineStr">
        <is>
          <t>Power tools</t>
        </is>
      </c>
      <c r="Q178" s="11" t="inlineStr">
        <is>
          <t>On request</t>
        </is>
      </c>
      <c r="R178" s="11" t="inlineStr"/>
      <c r="S178" s="11" t="inlineStr">
        <is>
          <t>Ask</t>
        </is>
      </c>
      <c r="T178" s="11" t="inlineStr">
        <is>
          <t>Unknown</t>
        </is>
      </c>
      <c r="U178" s="11" t="inlineStr">
        <is>
          <t>Unknown</t>
        </is>
      </c>
      <c r="V178" s="11" t="inlineStr"/>
      <c r="W178" s="11" t="inlineStr">
        <is>
          <t>LinkedIn company page (2-10 staff)</t>
        </is>
      </c>
      <c r="X178" s="11" t="inlineStr"/>
      <c r="Y178" s="11" t="inlineStr">
        <is>
          <t>Small firm - verify.</t>
        </is>
      </c>
      <c r="Z178" s="11" t="inlineStr">
        <is>
          <t>LinkedIn only</t>
        </is>
      </c>
      <c r="AA178" s="12" t="inlineStr">
        <is>
          <t>Source link</t>
        </is>
      </c>
      <c r="AB178" s="12" t="inlineStr">
        <is>
          <t>Search LinkedIn</t>
        </is>
      </c>
      <c r="AC178" s="11" t="inlineStr">
        <is>
          <t>Round 2</t>
        </is>
      </c>
      <c r="AD178" s="13" t="inlineStr">
        <is>
          <t>Not contacted</t>
        </is>
      </c>
      <c r="AE178" s="14" t="n"/>
      <c r="AF178" s="13" t="n"/>
      <c r="AG178" s="13" t="n"/>
      <c r="AH178" s="13" t="n"/>
      <c r="AI178" s="14">
        <f>IF(AE178="","",WORKDAY(AE178,5))</f>
        <v/>
      </c>
      <c r="AJ178" s="13" t="n"/>
      <c r="AK178" s="13" t="n"/>
    </row>
    <row r="179">
      <c r="A179" s="22" t="inlineStr">
        <is>
          <t>Luxembourg</t>
        </is>
      </c>
      <c r="B179" s="23" t="n">
        <v>178</v>
      </c>
      <c r="C179" s="10" t="n">
        <v>3</v>
      </c>
      <c r="D179" s="11" t="inlineStr">
        <is>
          <t>Home &amp; Kitchen</t>
        </is>
      </c>
      <c r="E179" s="11" t="inlineStr">
        <is>
          <t>Keter Luxembourg SARL (Curver)</t>
        </is>
      </c>
      <c r="F179" s="12" t="inlineStr">
        <is>
          <t>https://www.curver.com</t>
        </is>
      </c>
      <c r="G179" s="11" t="inlineStr">
        <is>
          <t>Niedercorn</t>
        </is>
      </c>
      <c r="H179" s="11" t="inlineStr"/>
      <c r="I179" s="11" t="inlineStr">
        <is>
          <t>EU / Europe</t>
        </is>
      </c>
      <c r="J179" s="11" t="inlineStr">
        <is>
          <t>Higher</t>
        </is>
      </c>
      <c r="K179" s="11" t="inlineStr">
        <is>
          <t>Zone Industrielle Hahneboesch 151, 4562 Niedercorn</t>
        </is>
      </c>
      <c r="L179" s="11" t="inlineStr">
        <is>
          <t>+352 52 47 17 773</t>
        </is>
      </c>
      <c r="M179" s="11" t="inlineStr"/>
      <c r="N179" s="11" t="inlineStr">
        <is>
          <t>Brand owner / manufacturer</t>
        </is>
      </c>
      <c r="O179" s="11" t="inlineStr">
        <is>
          <t>Curver storage boxes &amp; baskets, Keter</t>
        </is>
      </c>
      <c r="P179" s="11" t="inlineStr">
        <is>
          <t>Home storage &amp; organisation</t>
        </is>
      </c>
      <c r="Q179" s="11" t="inlineStr">
        <is>
          <t>Account based</t>
        </is>
      </c>
      <c r="R179" s="11" t="inlineStr">
        <is>
          <t>Retail &amp; distributor accounts</t>
        </is>
      </c>
      <c r="S179" s="11" t="inlineStr">
        <is>
          <t>Ask - Keter has UK operations</t>
        </is>
      </c>
      <c r="T179" s="11" t="inlineStr">
        <is>
          <t>Unknown</t>
        </is>
      </c>
      <c r="U179" s="11" t="inlineStr">
        <is>
          <t>Unknown</t>
        </is>
      </c>
      <c r="V179" s="11" t="inlineStr"/>
      <c r="W179" s="11" t="inlineStr">
        <is>
          <t>Ambiente (Messe Frankfurt) exhibitor; 6 European factories, 75+ years</t>
        </is>
      </c>
      <c r="X179" s="11" t="inlineStr">
        <is>
          <t>Storage boxes sell well but are bulky - check FBA fees</t>
        </is>
      </c>
      <c r="Y179" s="11" t="inlineStr"/>
      <c r="Z179" s="11" t="inlineStr">
        <is>
          <t>Trade fair exhibitor listing</t>
        </is>
      </c>
      <c r="AA179" s="12" t="inlineStr">
        <is>
          <t>Source link</t>
        </is>
      </c>
      <c r="AB179" s="12" t="inlineStr">
        <is>
          <t>Search LinkedIn</t>
        </is>
      </c>
      <c r="AC179" s="11" t="inlineStr">
        <is>
          <t>Round 4</t>
        </is>
      </c>
      <c r="AD179" s="13" t="inlineStr">
        <is>
          <t>Not contacted</t>
        </is>
      </c>
      <c r="AE179" s="14" t="n"/>
      <c r="AF179" s="13" t="n"/>
      <c r="AG179" s="13" t="n"/>
      <c r="AH179" s="13" t="n"/>
      <c r="AI179" s="14">
        <f>IF(AE179="","",WORKDAY(AE179,5))</f>
        <v/>
      </c>
      <c r="AJ179" s="13" t="n"/>
      <c r="AK179" s="13" t="n"/>
    </row>
    <row r="180">
      <c r="A180" s="8" t="inlineStr">
        <is>
          <t>Netherlands</t>
        </is>
      </c>
      <c r="B180" s="9" t="n">
        <v>179</v>
      </c>
      <c r="C180" s="10" t="n">
        <v>4</v>
      </c>
      <c r="D180" s="11" t="inlineStr">
        <is>
          <t>Baby Products</t>
        </is>
      </c>
      <c r="E180" s="11" t="inlineStr">
        <is>
          <t>Difrax B.V.</t>
        </is>
      </c>
      <c r="F180" s="12" t="inlineStr">
        <is>
          <t>https://difrax.com/en/pages/about-us</t>
        </is>
      </c>
      <c r="G180" s="11" t="inlineStr">
        <is>
          <t>Bilthoven</t>
        </is>
      </c>
      <c r="H180" s="11" t="inlineStr"/>
      <c r="I180" s="11" t="inlineStr">
        <is>
          <t>EU / Europe</t>
        </is>
      </c>
      <c r="J180" s="11" t="inlineStr">
        <is>
          <t>Higher</t>
        </is>
      </c>
      <c r="K180" s="11" t="inlineStr">
        <is>
          <t>Rembrandtlaan 42, Bilthoven</t>
        </is>
      </c>
      <c r="L180" s="11" t="inlineStr"/>
      <c r="M180" s="11" t="inlineStr">
        <is>
          <t>sales@difrax.com</t>
        </is>
      </c>
      <c r="N180" s="11" t="inlineStr">
        <is>
          <t>Brand owner (building EU distributor network)</t>
        </is>
      </c>
      <c r="O180" s="11" t="inlineStr">
        <is>
          <t>Difrax bottles, dummies, feeding (Benelux market leader)</t>
        </is>
      </c>
      <c r="P180" s="11" t="inlineStr">
        <is>
          <t>Baby feeding</t>
        </is>
      </c>
      <c r="Q180" s="11" t="inlineStr">
        <is>
          <t>On request</t>
        </is>
      </c>
      <c r="R180" s="11" t="inlineStr">
        <is>
          <t>Distributors &amp; retailers</t>
        </is>
      </c>
      <c r="S180" s="11" t="inlineStr">
        <is>
          <t>Sold in 50+ countries - ask</t>
        </is>
      </c>
      <c r="T180" s="11" t="inlineStr">
        <is>
          <t>Unknown</t>
        </is>
      </c>
      <c r="U180" s="11" t="inlineStr">
        <is>
          <t>Unknown</t>
        </is>
      </c>
      <c r="V180" s="11" t="inlineStr"/>
      <c r="W180" s="11" t="inlineStr">
        <is>
          <t>Benelux market leader in bottles &amp; pacifiers; now part of Canpol group</t>
        </is>
      </c>
      <c r="X180" s="11" t="inlineStr">
        <is>
          <t>Brand-direct invoices</t>
        </is>
      </c>
      <c r="Y180" s="11" t="inlineStr">
        <is>
          <t>Actively recruiting distributors.</t>
        </is>
      </c>
      <c r="Z180" s="11" t="inlineStr">
        <is>
          <t>Company website (via search)</t>
        </is>
      </c>
      <c r="AA180" s="12" t="inlineStr">
        <is>
          <t>Source link</t>
        </is>
      </c>
      <c r="AB180" s="12" t="inlineStr">
        <is>
          <t>Search LinkedIn</t>
        </is>
      </c>
      <c r="AC180" s="11" t="inlineStr">
        <is>
          <t>Round 3</t>
        </is>
      </c>
      <c r="AD180" s="13" t="inlineStr">
        <is>
          <t>Not contacted</t>
        </is>
      </c>
      <c r="AE180" s="14" t="n"/>
      <c r="AF180" s="13" t="n"/>
      <c r="AG180" s="13" t="n"/>
      <c r="AH180" s="13" t="n"/>
      <c r="AI180" s="14">
        <f>IF(AE180="","",WORKDAY(AE180,5))</f>
        <v/>
      </c>
      <c r="AJ180" s="13" t="n"/>
      <c r="AK180" s="13" t="n"/>
    </row>
    <row r="181">
      <c r="A181" s="15" t="inlineStr">
        <is>
          <t>Netherlands</t>
        </is>
      </c>
      <c r="B181" s="16" t="n">
        <v>180</v>
      </c>
      <c r="C181" s="17" t="n">
        <v>3</v>
      </c>
      <c r="D181" s="18" t="inlineStr">
        <is>
          <t>Baby Products</t>
        </is>
      </c>
      <c r="E181" s="18" t="inlineStr">
        <is>
          <t>Atelier 49 Nederland B.V. (Bébé-Jou, Luma)</t>
        </is>
      </c>
      <c r="F181" s="19" t="inlineStr">
        <is>
          <t>https://www.bebe-jou.com</t>
        </is>
      </c>
      <c r="G181" s="18" t="inlineStr">
        <is>
          <t>Staphorst</t>
        </is>
      </c>
      <c r="H181" s="18" t="inlineStr"/>
      <c r="I181" s="18" t="inlineStr">
        <is>
          <t>EU / Europe</t>
        </is>
      </c>
      <c r="J181" s="18" t="inlineStr">
        <is>
          <t>Higher</t>
        </is>
      </c>
      <c r="K181" s="18" t="inlineStr">
        <is>
          <t>Wethouder Buitenhuisstraat 1, 7951 SJ Staphorst</t>
        </is>
      </c>
      <c r="L181" s="18" t="inlineStr"/>
      <c r="M181" s="18" t="inlineStr"/>
      <c r="N181" s="18" t="inlineStr">
        <is>
          <t>Brand owner</t>
        </is>
      </c>
      <c r="O181" s="18" t="inlineStr">
        <is>
          <t>Bébé-Jou changing mats, baby baths, bags; Luma Babycare</t>
        </is>
      </c>
      <c r="P181" s="18" t="inlineStr">
        <is>
          <t>Baby care accessories</t>
        </is>
      </c>
      <c r="Q181" s="18" t="inlineStr">
        <is>
          <t>On request</t>
        </is>
      </c>
      <c r="R181" s="18" t="inlineStr">
        <is>
          <t>Retailers &amp; distributors</t>
        </is>
      </c>
      <c r="S181" s="18" t="inlineStr">
        <is>
          <t>Ask</t>
        </is>
      </c>
      <c r="T181" s="18" t="inlineStr">
        <is>
          <t>Unknown</t>
        </is>
      </c>
      <c r="U181" s="18" t="inlineStr">
        <is>
          <t>Unknown</t>
        </is>
      </c>
      <c r="V181" s="18" t="inlineStr"/>
      <c r="W181" s="18" t="inlineStr">
        <is>
          <t>Has exclusive distributors abroad (e.g. Kids Inspirations, PL)</t>
        </is>
      </c>
      <c r="X181" s="18" t="inlineStr"/>
      <c r="Y181" s="18" t="inlineStr"/>
      <c r="Z181" s="18" t="inlineStr">
        <is>
          <t>Company directory + trade fair</t>
        </is>
      </c>
      <c r="AA181" s="19" t="inlineStr">
        <is>
          <t>Source link</t>
        </is>
      </c>
      <c r="AB181" s="19" t="inlineStr">
        <is>
          <t>Search LinkedIn</t>
        </is>
      </c>
      <c r="AC181" s="18" t="inlineStr">
        <is>
          <t>Round 4</t>
        </is>
      </c>
      <c r="AD181" s="20" t="inlineStr">
        <is>
          <t>Not contacted</t>
        </is>
      </c>
      <c r="AE181" s="21" t="n"/>
      <c r="AF181" s="20" t="n"/>
      <c r="AG181" s="20" t="n"/>
      <c r="AH181" s="20" t="n"/>
      <c r="AI181" s="21">
        <f>IF(AE181="","",WORKDAY(AE181,5))</f>
        <v/>
      </c>
      <c r="AJ181" s="20" t="n"/>
      <c r="AK181" s="20" t="n"/>
    </row>
    <row r="182">
      <c r="A182" s="15" t="inlineStr">
        <is>
          <t>Netherlands</t>
        </is>
      </c>
      <c r="B182" s="16" t="n">
        <v>181</v>
      </c>
      <c r="C182" s="17" t="n">
        <v>3</v>
      </c>
      <c r="D182" s="18" t="inlineStr">
        <is>
          <t>Beauty</t>
        </is>
      </c>
      <c r="E182" s="18" t="inlineStr">
        <is>
          <t>AH Beauté BV</t>
        </is>
      </c>
      <c r="F182" s="19" t="inlineStr">
        <is>
          <t>https://www.beautetrade.com/suppliers/ah-beauty-bv-107939/</t>
        </is>
      </c>
      <c r="G182" s="18" t="inlineStr">
        <is>
          <t>Utrecht (warehouses Rotterdam &amp; Antwerp)</t>
        </is>
      </c>
      <c r="H182" s="18" t="inlineStr"/>
      <c r="I182" s="18" t="inlineStr">
        <is>
          <t>EU / Europe</t>
        </is>
      </c>
      <c r="J182" s="18" t="inlineStr">
        <is>
          <t>Higher</t>
        </is>
      </c>
      <c r="K182" s="18" t="inlineStr">
        <is>
          <t>Utrecht</t>
        </is>
      </c>
      <c r="L182" s="18" t="inlineStr"/>
      <c r="M182" s="18" t="inlineStr"/>
      <c r="N182" s="18" t="inlineStr">
        <is>
          <t>Wholesaler</t>
        </is>
      </c>
      <c r="O182" s="18" t="inlineStr">
        <is>
          <t>Branded skincare, haircare, make-up, fragrance (claims L'Oréal lines)</t>
        </is>
      </c>
      <c r="P182" s="18" t="inlineStr">
        <is>
          <t>Mass &amp; prestige beauty</t>
        </is>
      </c>
      <c r="Q182" s="18" t="inlineStr">
        <is>
          <t>Partial orders &amp; break-bulk available</t>
        </is>
      </c>
      <c r="R182" s="18" t="inlineStr">
        <is>
          <t>B2B</t>
        </is>
      </c>
      <c r="S182" s="18" t="inlineStr">
        <is>
          <t>Ask</t>
        </is>
      </c>
      <c r="T182" s="18" t="inlineStr">
        <is>
          <t>Unknown</t>
        </is>
      </c>
      <c r="U182" s="18" t="inlineStr">
        <is>
          <t>Unknown</t>
        </is>
      </c>
      <c r="V182" s="18" t="inlineStr"/>
      <c r="W182" s="18" t="inlineStr">
        <is>
          <t>Founded 2014 (self-described)</t>
        </is>
      </c>
      <c r="X182" s="18" t="inlineStr">
        <is>
          <t>Break-bulk = small starter orders possible</t>
        </is>
      </c>
      <c r="Y182" s="18" t="inlineStr"/>
      <c r="Z182" s="18" t="inlineStr">
        <is>
          <t>Marketplace profile - verify KvK</t>
        </is>
      </c>
      <c r="AA182" s="19" t="inlineStr">
        <is>
          <t>Source link</t>
        </is>
      </c>
      <c r="AB182" s="19" t="inlineStr">
        <is>
          <t>Search LinkedIn</t>
        </is>
      </c>
      <c r="AC182" s="18" t="inlineStr">
        <is>
          <t>Round 2</t>
        </is>
      </c>
      <c r="AD182" s="20" t="inlineStr">
        <is>
          <t>Not contacted</t>
        </is>
      </c>
      <c r="AE182" s="21" t="n"/>
      <c r="AF182" s="20" t="n"/>
      <c r="AG182" s="20" t="n"/>
      <c r="AH182" s="20" t="n"/>
      <c r="AI182" s="21">
        <f>IF(AE182="","",WORKDAY(AE182,5))</f>
        <v/>
      </c>
      <c r="AJ182" s="20" t="n"/>
      <c r="AK182" s="20" t="n"/>
    </row>
    <row r="183">
      <c r="A183" s="15" t="inlineStr">
        <is>
          <t>Netherlands</t>
        </is>
      </c>
      <c r="B183" s="16" t="n">
        <v>182</v>
      </c>
      <c r="C183" s="17" t="n">
        <v>2</v>
      </c>
      <c r="D183" s="18" t="inlineStr">
        <is>
          <t>Beauty</t>
        </is>
      </c>
      <c r="E183" s="18" t="inlineStr">
        <is>
          <t>Groothandel Beauty</t>
        </is>
      </c>
      <c r="F183" s="19" t="inlineStr">
        <is>
          <t>https://www.groothandelbeauty.nl</t>
        </is>
      </c>
      <c r="G183" s="18" t="inlineStr">
        <is>
          <t>Leusden</t>
        </is>
      </c>
      <c r="H183" s="18" t="inlineStr"/>
      <c r="I183" s="18" t="inlineStr">
        <is>
          <t>EU / Europe</t>
        </is>
      </c>
      <c r="J183" s="18" t="inlineStr">
        <is>
          <t>Higher</t>
        </is>
      </c>
      <c r="K183" s="18" t="inlineStr">
        <is>
          <t>Plantageweg 11b, Leusden</t>
        </is>
      </c>
      <c r="L183" s="18" t="inlineStr">
        <is>
          <t>+31 33 ... (see website)</t>
        </is>
      </c>
      <c r="M183" s="18" t="inlineStr"/>
      <c r="N183" s="18" t="inlineStr">
        <is>
          <t>Wholesaler</t>
        </is>
      </c>
      <c r="O183" s="18" t="inlineStr">
        <is>
          <t>Makeup, nails, skincare, shaving &amp; hair removal</t>
        </is>
      </c>
      <c r="P183" s="18" t="inlineStr">
        <is>
          <t>Mass beauty</t>
        </is>
      </c>
      <c r="Q183" s="18" t="inlineStr">
        <is>
          <t>On request</t>
        </is>
      </c>
      <c r="R183" s="18" t="inlineStr">
        <is>
          <t>Trade</t>
        </is>
      </c>
      <c r="S183" s="18" t="inlineStr">
        <is>
          <t>Ask</t>
        </is>
      </c>
      <c r="T183" s="18" t="inlineStr">
        <is>
          <t>Unknown</t>
        </is>
      </c>
      <c r="U183" s="18" t="inlineStr">
        <is>
          <t>Unknown</t>
        </is>
      </c>
      <c r="V183" s="18" t="inlineStr"/>
      <c r="W183" s="18" t="inlineStr">
        <is>
          <t>Directory listing</t>
        </is>
      </c>
      <c r="X183" s="18" t="inlineStr"/>
      <c r="Y183" s="18" t="inlineStr"/>
      <c r="Z183" s="18" t="inlineStr">
        <is>
          <t>Directory only</t>
        </is>
      </c>
      <c r="AA183" s="19" t="inlineStr">
        <is>
          <t>Source link</t>
        </is>
      </c>
      <c r="AB183" s="19" t="inlineStr">
        <is>
          <t>Search LinkedIn</t>
        </is>
      </c>
      <c r="AC183" s="18" t="inlineStr">
        <is>
          <t>Round 2</t>
        </is>
      </c>
      <c r="AD183" s="20" t="inlineStr">
        <is>
          <t>Not contacted</t>
        </is>
      </c>
      <c r="AE183" s="21" t="n"/>
      <c r="AF183" s="20" t="n"/>
      <c r="AG183" s="20" t="n"/>
      <c r="AH183" s="20" t="n"/>
      <c r="AI183" s="21">
        <f>IF(AE183="","",WORKDAY(AE183,5))</f>
        <v/>
      </c>
      <c r="AJ183" s="20" t="n"/>
      <c r="AK183" s="20" t="n"/>
    </row>
    <row r="184">
      <c r="A184" s="15" t="inlineStr">
        <is>
          <t>Netherlands</t>
        </is>
      </c>
      <c r="B184" s="16" t="n">
        <v>183</v>
      </c>
      <c r="C184" s="17" t="n">
        <v>3</v>
      </c>
      <c r="D184" s="18" t="inlineStr">
        <is>
          <t>Fragrance</t>
        </is>
      </c>
      <c r="E184" s="18" t="inlineStr">
        <is>
          <t>Beautinow B.V.</t>
        </is>
      </c>
      <c r="F184" s="19" t="inlineStr">
        <is>
          <t>https://beautinow.com/wholesale-perfume-supplier-europe/</t>
        </is>
      </c>
      <c r="G184" s="18" t="inlineStr">
        <is>
          <t>Netherlands</t>
        </is>
      </c>
      <c r="H184" s="18" t="inlineStr"/>
      <c r="I184" s="18" t="inlineStr">
        <is>
          <t>EU / Europe</t>
        </is>
      </c>
      <c r="J184" s="18" t="inlineStr">
        <is>
          <t>Higher</t>
        </is>
      </c>
      <c r="K184" s="18" t="inlineStr"/>
      <c r="L184" s="18" t="inlineStr">
        <is>
          <t>+31 684 714 856 (WhatsApp - verify)</t>
        </is>
      </c>
      <c r="M184" s="18" t="inlineStr">
        <is>
          <t>via website wholesale form</t>
        </is>
      </c>
      <c r="N184" s="18" t="inlineStr">
        <is>
          <t>Wholesaler + online retailer</t>
        </is>
      </c>
      <c r="O184" s="18" t="inlineStr">
        <is>
          <t>2,000+ fragrances, 200+ designer &amp; niche brands</t>
        </is>
      </c>
      <c r="P184" s="18" t="inlineStr">
        <is>
          <t>Designer / niche fragrance</t>
        </is>
      </c>
      <c r="Q184" s="18" t="inlineStr">
        <is>
          <t>On request</t>
        </is>
      </c>
      <c r="R184" s="18" t="inlineStr">
        <is>
          <t>Enquiry form - account manager responds within 1 working day</t>
        </is>
      </c>
      <c r="S184" s="18" t="inlineStr">
        <is>
          <t>Check</t>
        </is>
      </c>
      <c r="T184" s="18" t="inlineStr">
        <is>
          <t>Unknown</t>
        </is>
      </c>
      <c r="U184" s="18" t="inlineStr">
        <is>
          <t>Unknown</t>
        </is>
      </c>
      <c r="V184" s="18" t="inlineStr"/>
      <c r="W184" s="18" t="inlineStr">
        <is>
          <t>Parent company is a beauty wholesaler</t>
        </is>
      </c>
      <c r="X184" s="18" t="inlineStr">
        <is>
          <t>Also offers dropshipping</t>
        </is>
      </c>
      <c r="Y184" s="18" t="inlineStr"/>
      <c r="Z184" s="18" t="inlineStr">
        <is>
          <t>Company website (via search)</t>
        </is>
      </c>
      <c r="AA184" s="19" t="inlineStr">
        <is>
          <t>Source link</t>
        </is>
      </c>
      <c r="AB184" s="19" t="inlineStr">
        <is>
          <t>Search LinkedIn</t>
        </is>
      </c>
      <c r="AC184" s="18" t="inlineStr">
        <is>
          <t>Round 1</t>
        </is>
      </c>
      <c r="AD184" s="20" t="inlineStr">
        <is>
          <t>Not contacted</t>
        </is>
      </c>
      <c r="AE184" s="21" t="n"/>
      <c r="AF184" s="20" t="n"/>
      <c r="AG184" s="20" t="n"/>
      <c r="AH184" s="20" t="n"/>
      <c r="AI184" s="21">
        <f>IF(AE184="","",WORKDAY(AE184,5))</f>
        <v/>
      </c>
      <c r="AJ184" s="20" t="n"/>
      <c r="AK184" s="20" t="n"/>
    </row>
    <row r="185">
      <c r="A185" s="15" t="inlineStr">
        <is>
          <t>Netherlands</t>
        </is>
      </c>
      <c r="B185" s="16" t="n">
        <v>184</v>
      </c>
      <c r="C185" s="17" t="n">
        <v>2</v>
      </c>
      <c r="D185" s="18" t="inlineStr">
        <is>
          <t>Fragrance</t>
        </is>
      </c>
      <c r="E185" s="18" t="inlineStr">
        <is>
          <t>B&amp;S Group (B&amp;S Beauty)</t>
        </is>
      </c>
      <c r="F185" s="18" t="inlineStr">
        <is>
          <t>Not confirmed - search company name</t>
        </is>
      </c>
      <c r="G185" s="18" t="inlineStr">
        <is>
          <t>Dordrecht (NL)</t>
        </is>
      </c>
      <c r="H185" s="18" t="inlineStr">
        <is>
          <t>Luxembourg</t>
        </is>
      </c>
      <c r="I185" s="18" t="inlineStr">
        <is>
          <t>EU / Europe</t>
        </is>
      </c>
      <c r="J185" s="18" t="inlineStr">
        <is>
          <t>Higher</t>
        </is>
      </c>
      <c r="K185" s="18" t="inlineStr">
        <is>
          <t>Rijksstraatweg 7, 3316 EE Dordrecht</t>
        </is>
      </c>
      <c r="L185" s="18" t="inlineStr">
        <is>
          <t>+352 26870881 (Luxembourg)</t>
        </is>
      </c>
      <c r="M185" s="18" t="inlineStr"/>
      <c r="N185" s="18" t="inlineStr">
        <is>
          <t>Large distributor</t>
        </is>
      </c>
      <c r="O185" s="18" t="inlineStr">
        <is>
          <t>Beauty, personal care, health, food, liquor - major fragrance distributor</t>
        </is>
      </c>
      <c r="P185" s="18" t="inlineStr">
        <is>
          <t>Designer fragrance / FMCG</t>
        </is>
      </c>
      <c r="Q185" s="18" t="inlineStr">
        <is>
          <t>High (large volume)</t>
        </is>
      </c>
      <c r="R185" s="18" t="inlineStr">
        <is>
          <t>Business accounts</t>
        </is>
      </c>
      <c r="S185" s="18" t="inlineStr">
        <is>
          <t>Check</t>
        </is>
      </c>
      <c r="T185" s="18" t="inlineStr">
        <is>
          <t>Unknown</t>
        </is>
      </c>
      <c r="U185" s="18" t="inlineStr">
        <is>
          <t>Unknown</t>
        </is>
      </c>
      <c r="V185" s="18" t="inlineStr"/>
      <c r="W185" s="18" t="inlineStr">
        <is>
          <t>Publicly listed (Frankfurt) distributor; owns FragranceNet stake</t>
        </is>
      </c>
      <c r="X185" s="18" t="inlineStr">
        <is>
          <t>Major player - better for later scale</t>
        </is>
      </c>
      <c r="Y185" s="18" t="inlineStr"/>
      <c r="Z185" s="18" t="inlineStr">
        <is>
          <t>Investor profiles - confirm website</t>
        </is>
      </c>
      <c r="AA185" s="19" t="inlineStr">
        <is>
          <t>Source link</t>
        </is>
      </c>
      <c r="AB185" s="19" t="inlineStr">
        <is>
          <t>Search LinkedIn</t>
        </is>
      </c>
      <c r="AC185" s="18" t="inlineStr">
        <is>
          <t>Round 1</t>
        </is>
      </c>
      <c r="AD185" s="20" t="inlineStr">
        <is>
          <t>Not contacted</t>
        </is>
      </c>
      <c r="AE185" s="21" t="n"/>
      <c r="AF185" s="20" t="n"/>
      <c r="AG185" s="20" t="n"/>
      <c r="AH185" s="20" t="n"/>
      <c r="AI185" s="21">
        <f>IF(AE185="","",WORKDAY(AE185,5))</f>
        <v/>
      </c>
      <c r="AJ185" s="20" t="n"/>
      <c r="AK185" s="20" t="n"/>
    </row>
    <row r="186">
      <c r="A186" s="15" t="inlineStr">
        <is>
          <t>Netherlands</t>
        </is>
      </c>
      <c r="B186" s="16" t="n">
        <v>185</v>
      </c>
      <c r="C186" s="17" t="n">
        <v>2</v>
      </c>
      <c r="D186" s="18" t="inlineStr">
        <is>
          <t>Fragrance</t>
        </is>
      </c>
      <c r="E186" s="18" t="inlineStr">
        <is>
          <t>EleganceWholesale</t>
        </is>
      </c>
      <c r="F186" s="19" t="inlineStr">
        <is>
          <t>https://elegancewholesale.co.nl</t>
        </is>
      </c>
      <c r="G186" s="18" t="inlineStr">
        <is>
          <t>Bergen op Zoom</t>
        </is>
      </c>
      <c r="H186" s="18" t="inlineStr"/>
      <c r="I186" s="18" t="inlineStr">
        <is>
          <t>EU / Europe</t>
        </is>
      </c>
      <c r="J186" s="18" t="inlineStr">
        <is>
          <t>Higher</t>
        </is>
      </c>
      <c r="K186" s="18" t="inlineStr"/>
      <c r="L186" s="18" t="inlineStr"/>
      <c r="M186" s="18" t="inlineStr">
        <is>
          <t>via website</t>
        </is>
      </c>
      <c r="N186" s="18" t="inlineStr">
        <is>
          <t>Wholesaler</t>
        </is>
      </c>
      <c r="O186" s="18" t="inlineStr">
        <is>
          <t>Luxury perfumes, cosmetics, designer clothing</t>
        </is>
      </c>
      <c r="P186" s="18" t="inlineStr">
        <is>
          <t>Designer fragrance</t>
        </is>
      </c>
      <c r="Q186" s="18" t="inlineStr">
        <is>
          <t>On request</t>
        </is>
      </c>
      <c r="R186" s="18" t="inlineStr">
        <is>
          <t>Verified businesses only</t>
        </is>
      </c>
      <c r="S186" s="18" t="inlineStr">
        <is>
          <t>Check</t>
        </is>
      </c>
      <c r="T186" s="18" t="inlineStr">
        <is>
          <t>Unknown</t>
        </is>
      </c>
      <c r="U186" s="18" t="inlineStr">
        <is>
          <t>Unknown</t>
        </is>
      </c>
      <c r="V186" s="18" t="inlineStr"/>
      <c r="W186" s="18" t="inlineStr">
        <is>
          <t>States full EU VAT compliance - no KVK found in search</t>
        </is>
      </c>
      <c r="X186" s="18" t="inlineStr"/>
      <c r="Y186" s="18" t="inlineStr">
        <is>
          <t>RED FLAG check: confirm KvK number at kvk.nl.</t>
        </is>
      </c>
      <c r="Z186" s="18" t="inlineStr">
        <is>
          <t>Company website only - VERIFY KVK before ordering</t>
        </is>
      </c>
      <c r="AA186" s="19" t="inlineStr">
        <is>
          <t>Source link</t>
        </is>
      </c>
      <c r="AB186" s="19" t="inlineStr">
        <is>
          <t>Search LinkedIn</t>
        </is>
      </c>
      <c r="AC186" s="18" t="inlineStr">
        <is>
          <t>Round 1</t>
        </is>
      </c>
      <c r="AD186" s="20" t="inlineStr">
        <is>
          <t>Not contacted</t>
        </is>
      </c>
      <c r="AE186" s="21" t="n"/>
      <c r="AF186" s="20" t="n"/>
      <c r="AG186" s="20" t="n"/>
      <c r="AH186" s="20" t="n"/>
      <c r="AI186" s="21">
        <f>IF(AE186="","",WORKDAY(AE186,5))</f>
        <v/>
      </c>
      <c r="AJ186" s="20" t="n"/>
      <c r="AK186" s="20" t="n"/>
    </row>
    <row r="187">
      <c r="A187" s="15" t="inlineStr">
        <is>
          <t>Netherlands</t>
        </is>
      </c>
      <c r="B187" s="16" t="n">
        <v>186</v>
      </c>
      <c r="C187" s="17" t="n">
        <v>1</v>
      </c>
      <c r="D187" s="18" t="inlineStr">
        <is>
          <t>Fragrance</t>
        </is>
      </c>
      <c r="E187" s="18" t="inlineStr">
        <is>
          <t>Join Stadskanaal B.V.</t>
        </is>
      </c>
      <c r="F187" s="19" t="inlineStr">
        <is>
          <t>https://www.beautetrade.com/products/global-wholesale-distributor-of-cosmetics-skincare-fragrances/75837</t>
        </is>
      </c>
      <c r="G187" s="18" t="inlineStr">
        <is>
          <t>Gasselternijveen</t>
        </is>
      </c>
      <c r="H187" s="18" t="inlineStr"/>
      <c r="I187" s="18" t="inlineStr">
        <is>
          <t>EU / Europe</t>
        </is>
      </c>
      <c r="J187" s="18" t="inlineStr">
        <is>
          <t>Higher</t>
        </is>
      </c>
      <c r="K187" s="18" t="inlineStr">
        <is>
          <t>Dollard 4, 9514 CR Gasselternijveen</t>
        </is>
      </c>
      <c r="L187" s="18" t="inlineStr">
        <is>
          <t>(on Beautetrade listing)</t>
        </is>
      </c>
      <c r="M187" s="18" t="inlineStr"/>
      <c r="N187" s="18" t="inlineStr">
        <is>
          <t>Distributor</t>
        </is>
      </c>
      <c r="O187" s="18" t="inlineStr">
        <is>
          <t>Cosmetics, skincare, fragrances, personal care - claims 10,000+ SKUs</t>
        </is>
      </c>
      <c r="P187" s="18" t="inlineStr">
        <is>
          <t>Mixed beauty</t>
        </is>
      </c>
      <c r="Q187" s="18" t="inlineStr">
        <is>
          <t>No MOQ listed</t>
        </is>
      </c>
      <c r="R187" s="18" t="inlineStr"/>
      <c r="S187" s="18" t="inlineStr">
        <is>
          <t>Check</t>
        </is>
      </c>
      <c r="T187" s="18" t="inlineStr">
        <is>
          <t>Unknown</t>
        </is>
      </c>
      <c r="U187" s="18" t="inlineStr">
        <is>
          <t>Unknown</t>
        </is>
      </c>
      <c r="V187" s="18" t="inlineStr"/>
      <c r="W187" s="18" t="inlineStr">
        <is>
          <t>Marketplace profile only; contact Johan Smit</t>
        </is>
      </c>
      <c r="X187" s="18" t="inlineStr"/>
      <c r="Y187" s="18" t="inlineStr">
        <is>
          <t>Low confidence - verify before engaging.</t>
        </is>
      </c>
      <c r="Z187" s="18" t="inlineStr">
        <is>
          <t>Marketplace listing only - VERIFY KvK</t>
        </is>
      </c>
      <c r="AA187" s="19" t="inlineStr">
        <is>
          <t>Source link</t>
        </is>
      </c>
      <c r="AB187" s="19" t="inlineStr">
        <is>
          <t>Search LinkedIn</t>
        </is>
      </c>
      <c r="AC187" s="18" t="inlineStr">
        <is>
          <t>Round 1</t>
        </is>
      </c>
      <c r="AD187" s="20" t="inlineStr">
        <is>
          <t>Not contacted</t>
        </is>
      </c>
      <c r="AE187" s="21" t="n"/>
      <c r="AF187" s="20" t="n"/>
      <c r="AG187" s="20" t="n"/>
      <c r="AH187" s="20" t="n"/>
      <c r="AI187" s="21">
        <f>IF(AE187="","",WORKDAY(AE187,5))</f>
        <v/>
      </c>
      <c r="AJ187" s="20" t="n"/>
      <c r="AK187" s="20" t="n"/>
    </row>
    <row r="188">
      <c r="A188" s="15" t="inlineStr">
        <is>
          <t>Netherlands</t>
        </is>
      </c>
      <c r="B188" s="16" t="n">
        <v>187</v>
      </c>
      <c r="C188" s="17" t="n">
        <v>4</v>
      </c>
      <c r="D188" s="18" t="inlineStr">
        <is>
          <t>General Wholesale / FMCG</t>
        </is>
      </c>
      <c r="E188" s="18" t="inlineStr">
        <is>
          <t>West Coast Supply Group</t>
        </is>
      </c>
      <c r="F188" s="19" t="inlineStr">
        <is>
          <t>https://www.westcoastsupplygroup.com</t>
        </is>
      </c>
      <c r="G188" s="18" t="inlineStr">
        <is>
          <t>Leiden</t>
        </is>
      </c>
      <c r="H188" s="18" t="inlineStr"/>
      <c r="I188" s="18" t="inlineStr">
        <is>
          <t>EU / Europe</t>
        </is>
      </c>
      <c r="J188" s="18" t="inlineStr">
        <is>
          <t>Higher</t>
        </is>
      </c>
      <c r="K188" s="18" t="inlineStr">
        <is>
          <t>12 Admiraal Banckertweg, Leiden (verify)</t>
        </is>
      </c>
      <c r="L188" s="18" t="inlineStr"/>
      <c r="M188" s="18" t="inlineStr">
        <is>
          <t>sales@westcoastsupplygroup.com</t>
        </is>
      </c>
      <c r="N188" s="18" t="inlineStr">
        <is>
          <t>A-brand FMCG distributor</t>
        </is>
      </c>
      <c r="O188" s="18" t="inlineStr">
        <is>
          <t>A-brands: personal care, beauty, home care, food, drinks, medical, electronics</t>
        </is>
      </c>
      <c r="P188" s="18" t="inlineStr">
        <is>
          <t>FMCG A-brands</t>
        </is>
      </c>
      <c r="Q188" s="18" t="inlineStr">
        <is>
          <t>Pallet / container level likely</t>
        </is>
      </c>
      <c r="R188" s="18" t="inlineStr">
        <is>
          <t>B2B</t>
        </is>
      </c>
      <c r="S188" s="18" t="inlineStr">
        <is>
          <t>Exports to 75+ countries</t>
        </is>
      </c>
      <c r="T188" s="18" t="inlineStr">
        <is>
          <t>Unknown</t>
        </is>
      </c>
      <c r="U188" s="18" t="inlineStr">
        <is>
          <t>Unknown</t>
        </is>
      </c>
      <c r="V188" s="18" t="inlineStr"/>
      <c r="W188" s="18" t="inlineStr">
        <is>
          <t>40+ years in business; LinkedIn company page</t>
        </is>
      </c>
      <c r="X188" s="18" t="inlineStr">
        <is>
          <t>A-brand FMCG - strong Amazon sellers</t>
        </is>
      </c>
      <c r="Y188" s="18" t="inlineStr"/>
      <c r="Z188" s="18" t="inlineStr">
        <is>
          <t>LinkedIn + directories</t>
        </is>
      </c>
      <c r="AA188" s="19" t="inlineStr">
        <is>
          <t>Source link</t>
        </is>
      </c>
      <c r="AB188" s="19" t="inlineStr">
        <is>
          <t>Search LinkedIn</t>
        </is>
      </c>
      <c r="AC188" s="18" t="inlineStr">
        <is>
          <t>Round 1</t>
        </is>
      </c>
      <c r="AD188" s="20" t="inlineStr">
        <is>
          <t>Not contacted</t>
        </is>
      </c>
      <c r="AE188" s="21" t="n"/>
      <c r="AF188" s="20" t="n"/>
      <c r="AG188" s="20" t="n"/>
      <c r="AH188" s="20" t="n"/>
      <c r="AI188" s="21">
        <f>IF(AE188="","",WORKDAY(AE188,5))</f>
        <v/>
      </c>
      <c r="AJ188" s="20" t="n"/>
      <c r="AK188" s="20" t="n"/>
    </row>
    <row r="189">
      <c r="A189" s="15" t="inlineStr">
        <is>
          <t>Netherlands</t>
        </is>
      </c>
      <c r="B189" s="16" t="n">
        <v>188</v>
      </c>
      <c r="C189" s="17" t="n">
        <v>2</v>
      </c>
      <c r="D189" s="18" t="inlineStr">
        <is>
          <t>General Wholesale / FMCG</t>
        </is>
      </c>
      <c r="E189" s="18" t="inlineStr">
        <is>
          <t>METRO / Makro (EU cash &amp; carry)</t>
        </is>
      </c>
      <c r="F189" s="19" t="inlineStr">
        <is>
          <t>https://www.makro.nl</t>
        </is>
      </c>
      <c r="G189" s="18" t="inlineStr">
        <is>
          <t>Nationwide</t>
        </is>
      </c>
      <c r="H189" s="18" t="inlineStr">
        <is>
          <t>Germany</t>
        </is>
      </c>
      <c r="I189" s="18" t="inlineStr">
        <is>
          <t>EU / Europe</t>
        </is>
      </c>
      <c r="J189" s="18" t="inlineStr">
        <is>
          <t>Higher</t>
        </is>
      </c>
      <c r="K189" s="18" t="inlineStr"/>
      <c r="L189" s="18" t="inlineStr"/>
      <c r="M189" s="18" t="inlineStr"/>
      <c r="N189" s="18" t="inlineStr">
        <is>
          <t>Cash &amp; carry</t>
        </is>
      </c>
      <c r="O189" s="18" t="inlineStr">
        <is>
          <t>FMCG, household, H&amp;B, toys, electronics</t>
        </is>
      </c>
      <c r="P189" s="18" t="inlineStr">
        <is>
          <t>FMCG</t>
        </is>
      </c>
      <c r="Q189" s="18" t="inlineStr">
        <is>
          <t>None</t>
        </is>
      </c>
      <c r="R189" s="18" t="inlineStr">
        <is>
          <t>Business customer card; foreign businesses need ID + proof of business (Chamber of Commerce extract)</t>
        </is>
      </c>
      <c r="S189" s="18" t="inlineStr">
        <is>
          <t>Collect only</t>
        </is>
      </c>
      <c r="T189" s="18" t="inlineStr">
        <is>
          <t>Unknown</t>
        </is>
      </c>
      <c r="U189" s="18" t="inlineStr">
        <is>
          <t>Unknown</t>
        </is>
      </c>
      <c r="V189" s="18" t="inlineStr"/>
      <c r="W189" s="18" t="inlineStr">
        <is>
          <t>Metro AG group</t>
        </is>
      </c>
      <c r="X189" s="18" t="inlineStr">
        <is>
          <t>Useful for Amazon EU sellers</t>
        </is>
      </c>
      <c r="Y189" s="18" t="inlineStr"/>
      <c r="Z189" s="18" t="inlineStr">
        <is>
          <t>Official help centre</t>
        </is>
      </c>
      <c r="AA189" s="19" t="inlineStr">
        <is>
          <t>Source link</t>
        </is>
      </c>
      <c r="AB189" s="19" t="inlineStr">
        <is>
          <t>Search LinkedIn</t>
        </is>
      </c>
      <c r="AC189" s="18" t="inlineStr">
        <is>
          <t>Round 1</t>
        </is>
      </c>
      <c r="AD189" s="20" t="inlineStr">
        <is>
          <t>Not contacted</t>
        </is>
      </c>
      <c r="AE189" s="21" t="n"/>
      <c r="AF189" s="20" t="n"/>
      <c r="AG189" s="20" t="n"/>
      <c r="AH189" s="20" t="n"/>
      <c r="AI189" s="21">
        <f>IF(AE189="","",WORKDAY(AE189,5))</f>
        <v/>
      </c>
      <c r="AJ189" s="20" t="n"/>
      <c r="AK189" s="20" t="n"/>
    </row>
    <row r="190">
      <c r="A190" s="15" t="inlineStr">
        <is>
          <t>Netherlands</t>
        </is>
      </c>
      <c r="B190" s="16" t="n">
        <v>189</v>
      </c>
      <c r="C190" s="17" t="n">
        <v>4</v>
      </c>
      <c r="D190" s="18" t="inlineStr">
        <is>
          <t>Health &amp; Personal Care</t>
        </is>
      </c>
      <c r="E190" s="18" t="inlineStr">
        <is>
          <t>NaskorSports B.V.</t>
        </is>
      </c>
      <c r="F190" s="19" t="inlineStr">
        <is>
          <t>https://www.naskorsports.com</t>
        </is>
      </c>
      <c r="G190" s="18" t="inlineStr">
        <is>
          <t>Venlo (Tegelen)</t>
        </is>
      </c>
      <c r="H190" s="18" t="inlineStr"/>
      <c r="I190" s="18" t="inlineStr">
        <is>
          <t>EU / Europe</t>
        </is>
      </c>
      <c r="J190" s="18" t="inlineStr">
        <is>
          <t>Higher</t>
        </is>
      </c>
      <c r="K190" s="18" t="inlineStr">
        <is>
          <t>Trappistenweg 8, 5932 NB Venlo</t>
        </is>
      </c>
      <c r="L190" s="18" t="inlineStr">
        <is>
          <t>+31 77 720 1200</t>
        </is>
      </c>
      <c r="M190" s="18" t="inlineStr"/>
      <c r="N190" s="18" t="inlineStr">
        <is>
          <t>Sports nutrition wholesaler</t>
        </is>
      </c>
      <c r="O190" s="18" t="inlineStr">
        <is>
          <t>140+ sports nutrition brands, 8,000+ products</t>
        </is>
      </c>
      <c r="P190" s="18" t="inlineStr">
        <is>
          <t>Sports nutrition / supplements</t>
        </is>
      </c>
      <c r="Q190" s="18" t="inlineStr">
        <is>
          <t>On request</t>
        </is>
      </c>
      <c r="R190" s="18" t="inlineStr">
        <is>
          <t>Retailers, gyms, online shops</t>
        </is>
      </c>
      <c r="S190" s="18" t="inlineStr">
        <is>
          <t>Serves 33-40 countries - ask about UK</t>
        </is>
      </c>
      <c r="T190" s="18" t="inlineStr">
        <is>
          <t>Yes (online shops)</t>
        </is>
      </c>
      <c r="U190" s="18" t="inlineStr">
        <is>
          <t>Unknown</t>
        </is>
      </c>
      <c r="V190" s="18" t="inlineStr"/>
      <c r="W190" s="18" t="inlineStr">
        <is>
          <t>Founded 2008; 3,700+ B2B customers; FIBO exhibitor; one of Europe's largest sports nutrition wholesalers</t>
        </is>
      </c>
      <c r="X190" s="18" t="inlineStr">
        <is>
          <t>Supplies online shops - good fit (supplements need Amazon compliance docs)</t>
        </is>
      </c>
      <c r="Y190" s="18" t="inlineStr">
        <is>
          <t>Sales Director listed as Matthias Wolff.</t>
        </is>
      </c>
      <c r="Z190" s="18" t="inlineStr">
        <is>
          <t>Directory + job listings + trade show</t>
        </is>
      </c>
      <c r="AA190" s="19" t="inlineStr">
        <is>
          <t>Source link</t>
        </is>
      </c>
      <c r="AB190" s="19" t="inlineStr">
        <is>
          <t>Search LinkedIn</t>
        </is>
      </c>
      <c r="AC190" s="18" t="inlineStr">
        <is>
          <t>Round 2</t>
        </is>
      </c>
      <c r="AD190" s="20" t="inlineStr">
        <is>
          <t>Not contacted</t>
        </is>
      </c>
      <c r="AE190" s="21" t="n"/>
      <c r="AF190" s="20" t="n"/>
      <c r="AG190" s="20" t="n"/>
      <c r="AH190" s="20" t="n"/>
      <c r="AI190" s="21">
        <f>IF(AE190="","",WORKDAY(AE190,5))</f>
        <v/>
      </c>
      <c r="AJ190" s="20" t="n"/>
      <c r="AK190" s="20" t="n"/>
    </row>
    <row r="191">
      <c r="A191" s="15" t="inlineStr">
        <is>
          <t>Netherlands</t>
        </is>
      </c>
      <c r="B191" s="16" t="n">
        <v>190</v>
      </c>
      <c r="C191" s="17" t="n">
        <v>4</v>
      </c>
      <c r="D191" s="18" t="inlineStr">
        <is>
          <t>Health &amp; Personal Care</t>
        </is>
      </c>
      <c r="E191" s="18" t="inlineStr">
        <is>
          <t>Parallel B.V. (ParallelBroker)</t>
        </is>
      </c>
      <c r="F191" s="19" t="inlineStr">
        <is>
          <t>https://parallelbroker.com</t>
        </is>
      </c>
      <c r="G191" s="18" t="inlineStr">
        <is>
          <t>Amsterdam</t>
        </is>
      </c>
      <c r="H191" s="18" t="inlineStr"/>
      <c r="I191" s="18" t="inlineStr">
        <is>
          <t>EU / Europe</t>
        </is>
      </c>
      <c r="J191" s="18" t="inlineStr">
        <is>
          <t>Higher</t>
        </is>
      </c>
      <c r="K191" s="18" t="inlineStr">
        <is>
          <t>Amsterdam (KvK registered)</t>
        </is>
      </c>
      <c r="L191" s="18" t="inlineStr"/>
      <c r="M191" s="18" t="inlineStr">
        <is>
          <t>via website</t>
        </is>
      </c>
      <c r="N191" s="18" t="inlineStr">
        <is>
          <t>B2B FMCG marketplace (EEA parallel trade)</t>
        </is>
      </c>
      <c r="O191" s="18" t="inlineStr">
        <is>
          <t>~104,000 offers across 260 brands: P&amp;G, Unilever, Pampers, detergents, toiletries, food</t>
        </is>
      </c>
      <c r="P191" s="18" t="inlineStr">
        <is>
          <t>FMCG A-brands</t>
        </is>
      </c>
      <c r="Q191" s="18" t="inlineStr">
        <is>
          <t>Per offer (e.g. 42-1,386 cartons Pampers; 72 cartons detergent)</t>
        </is>
      </c>
      <c r="R191" s="18" t="inlineStr">
        <is>
          <t>VAT-registered business (VAT IDs verified)</t>
        </is>
      </c>
      <c r="S191" s="18" t="inlineStr">
        <is>
          <t>EXW NL/DE - you arrange UK import</t>
        </is>
      </c>
      <c r="T191" s="18" t="inlineStr">
        <is>
          <t>Unknown</t>
        </is>
      </c>
      <c r="U191" s="18" t="inlineStr">
        <is>
          <t>No</t>
        </is>
      </c>
      <c r="V191" s="18" t="inlineStr"/>
      <c r="W191" s="18" t="inlineStr">
        <is>
          <t>Escrow: payment held until goods pass independent inspection; single contractual counterparty</t>
        </is>
      </c>
      <c r="X191" s="18" t="inlineStr">
        <is>
          <t>Parallel/grey stock - fine for unrestricted FMCG, weaker for brand-gated ungating</t>
        </is>
      </c>
      <c r="Y191" s="18" t="inlineStr">
        <is>
          <t>Check fees on Pricing page. Pallet-level buying.</t>
        </is>
      </c>
      <c r="Z191" s="18" t="inlineStr">
        <is>
          <t>Company website (via search)</t>
        </is>
      </c>
      <c r="AA191" s="19" t="inlineStr">
        <is>
          <t>Source link</t>
        </is>
      </c>
      <c r="AB191" s="19" t="inlineStr">
        <is>
          <t>Search LinkedIn</t>
        </is>
      </c>
      <c r="AC191" s="18" t="inlineStr">
        <is>
          <t>Round 2</t>
        </is>
      </c>
      <c r="AD191" s="20" t="inlineStr">
        <is>
          <t>Not contacted</t>
        </is>
      </c>
      <c r="AE191" s="21" t="n"/>
      <c r="AF191" s="20" t="n"/>
      <c r="AG191" s="20" t="n"/>
      <c r="AH191" s="20" t="n"/>
      <c r="AI191" s="21">
        <f>IF(AE191="","",WORKDAY(AE191,5))</f>
        <v/>
      </c>
      <c r="AJ191" s="20" t="n"/>
      <c r="AK191" s="20" t="n"/>
    </row>
    <row r="192">
      <c r="A192" s="15" t="inlineStr">
        <is>
          <t>Netherlands</t>
        </is>
      </c>
      <c r="B192" s="16" t="n">
        <v>191</v>
      </c>
      <c r="C192" s="17" t="n">
        <v>2</v>
      </c>
      <c r="D192" s="18" t="inlineStr">
        <is>
          <t>Health &amp; Personal Care</t>
        </is>
      </c>
      <c r="E192" s="18" t="inlineStr">
        <is>
          <t>Topbrands</t>
        </is>
      </c>
      <c r="F192" s="19" t="inlineStr">
        <is>
          <t>https://www.topbrands.nl</t>
        </is>
      </c>
      <c r="G192" s="18" t="inlineStr">
        <is>
          <t>Oud-Beijerland (+ offices SE, FR, ES, DE, IT)</t>
        </is>
      </c>
      <c r="H192" s="18" t="inlineStr"/>
      <c r="I192" s="18" t="inlineStr">
        <is>
          <t>EU / Europe</t>
        </is>
      </c>
      <c r="J192" s="18" t="inlineStr">
        <is>
          <t>Higher</t>
        </is>
      </c>
      <c r="K192" s="18" t="inlineStr">
        <is>
          <t>Oud-Beijerland</t>
        </is>
      </c>
      <c r="L192" s="18" t="inlineStr"/>
      <c r="M192" s="18" t="inlineStr">
        <is>
          <t>via contact form</t>
        </is>
      </c>
      <c r="N192" s="18" t="inlineStr">
        <is>
          <t>A-brand stock-lot trader</t>
        </is>
      </c>
      <c r="O192" s="18" t="inlineStr">
        <is>
          <t>160m+ A-brand items from 200+ manufacturers: personal care, home care, confectionery</t>
        </is>
      </c>
      <c r="P192" s="18" t="inlineStr">
        <is>
          <t>FMCG stock lots</t>
        </is>
      </c>
      <c r="Q192" s="18" t="inlineStr">
        <is>
          <t>Large (works with chains, typically 100+ stores)</t>
        </is>
      </c>
      <c r="R192" s="18" t="inlineStr">
        <is>
          <t>Retail chains / wholesalers</t>
        </is>
      </c>
      <c r="S192" s="18" t="inlineStr">
        <is>
          <t>Ask</t>
        </is>
      </c>
      <c r="T192" s="18" t="inlineStr">
        <is>
          <t>Unknown</t>
        </is>
      </c>
      <c r="U192" s="18" t="inlineStr">
        <is>
          <t>No</t>
        </is>
      </c>
      <c r="V192" s="18" t="inlineStr"/>
      <c r="W192" s="18" t="inlineStr">
        <is>
          <t>Trading since 2002; multi-country offices</t>
        </is>
      </c>
      <c r="X192" s="18" t="inlineStr">
        <is>
          <t>Stock lots - check expiry/packaging condition</t>
        </is>
      </c>
      <c r="Y192" s="18" t="inlineStr">
        <is>
          <t>Target later when volumes grow.</t>
        </is>
      </c>
      <c r="Z192" s="18" t="inlineStr">
        <is>
          <t>Company website (via search)</t>
        </is>
      </c>
      <c r="AA192" s="19" t="inlineStr">
        <is>
          <t>Source link</t>
        </is>
      </c>
      <c r="AB192" s="19" t="inlineStr">
        <is>
          <t>Search LinkedIn</t>
        </is>
      </c>
      <c r="AC192" s="18" t="inlineStr">
        <is>
          <t>Round 2</t>
        </is>
      </c>
      <c r="AD192" s="20" t="inlineStr">
        <is>
          <t>Not contacted</t>
        </is>
      </c>
      <c r="AE192" s="21" t="n"/>
      <c r="AF192" s="20" t="n"/>
      <c r="AG192" s="20" t="n"/>
      <c r="AH192" s="20" t="n"/>
      <c r="AI192" s="21">
        <f>IF(AE192="","",WORKDAY(AE192,5))</f>
        <v/>
      </c>
      <c r="AJ192" s="20" t="n"/>
      <c r="AK192" s="20" t="n"/>
    </row>
    <row r="193">
      <c r="A193" s="15" t="inlineStr">
        <is>
          <t>Netherlands</t>
        </is>
      </c>
      <c r="B193" s="16" t="n">
        <v>192</v>
      </c>
      <c r="C193" s="17" t="n">
        <v>2</v>
      </c>
      <c r="D193" s="18" t="inlineStr">
        <is>
          <t>Health &amp; Personal Care</t>
        </is>
      </c>
      <c r="E193" s="18" t="inlineStr">
        <is>
          <t>Van der Tang Trading (cosmeticapartijen.nl)</t>
        </is>
      </c>
      <c r="F193" s="19" t="inlineStr">
        <is>
          <t>https://www.cosmeticapartijen.nl</t>
        </is>
      </c>
      <c r="G193" s="18" t="inlineStr">
        <is>
          <t>Netherlands</t>
        </is>
      </c>
      <c r="H193" s="18" t="inlineStr"/>
      <c r="I193" s="18" t="inlineStr">
        <is>
          <t>EU / Europe</t>
        </is>
      </c>
      <c r="J193" s="18" t="inlineStr">
        <is>
          <t>Higher</t>
        </is>
      </c>
      <c r="K193" s="18" t="inlineStr"/>
      <c r="L193" s="18" t="inlineStr"/>
      <c r="M193" s="18" t="inlineStr"/>
      <c r="N193" s="18" t="inlineStr">
        <is>
          <t>Drugstore goods wholesaler</t>
        </is>
      </c>
      <c r="O193" s="18" t="inlineStr">
        <is>
          <t>Baby care, hair, makeup, oral hygiene, skincare - branded drugstore lots</t>
        </is>
      </c>
      <c r="P193" s="18" t="inlineStr">
        <is>
          <t>Drugstore / personal care</t>
        </is>
      </c>
      <c r="Q193" s="18" t="inlineStr">
        <is>
          <t>Per lot</t>
        </is>
      </c>
      <c r="R193" s="18" t="inlineStr">
        <is>
          <t>B2B</t>
        </is>
      </c>
      <c r="S193" s="18" t="inlineStr">
        <is>
          <t>Ask</t>
        </is>
      </c>
      <c r="T193" s="18" t="inlineStr">
        <is>
          <t>Unknown</t>
        </is>
      </c>
      <c r="U193" s="18" t="inlineStr">
        <is>
          <t>Unknown</t>
        </is>
      </c>
      <c r="V193" s="18" t="inlineStr"/>
      <c r="W193" s="18" t="inlineStr">
        <is>
          <t>Directory listing</t>
        </is>
      </c>
      <c r="X193" s="18" t="inlineStr">
        <is>
          <t>Stock lots - check dates &amp; packaging</t>
        </is>
      </c>
      <c r="Y193" s="18" t="inlineStr"/>
      <c r="Z193" s="18" t="inlineStr">
        <is>
          <t>Directory only</t>
        </is>
      </c>
      <c r="AA193" s="19" t="inlineStr">
        <is>
          <t>Source link</t>
        </is>
      </c>
      <c r="AB193" s="19" t="inlineStr">
        <is>
          <t>Search LinkedIn</t>
        </is>
      </c>
      <c r="AC193" s="18" t="inlineStr">
        <is>
          <t>Round 3</t>
        </is>
      </c>
      <c r="AD193" s="20" t="inlineStr">
        <is>
          <t>Not contacted</t>
        </is>
      </c>
      <c r="AE193" s="21" t="n"/>
      <c r="AF193" s="20" t="n"/>
      <c r="AG193" s="20" t="n"/>
      <c r="AH193" s="20" t="n"/>
      <c r="AI193" s="21">
        <f>IF(AE193="","",WORKDAY(AE193,5))</f>
        <v/>
      </c>
      <c r="AJ193" s="20" t="n"/>
      <c r="AK193" s="20" t="n"/>
    </row>
    <row r="194">
      <c r="A194" s="15" t="inlineStr">
        <is>
          <t>Netherlands</t>
        </is>
      </c>
      <c r="B194" s="16" t="n">
        <v>193</v>
      </c>
      <c r="C194" s="17" t="n">
        <v>2</v>
      </c>
      <c r="D194" s="18" t="inlineStr">
        <is>
          <t>Health &amp; Personal Care</t>
        </is>
      </c>
      <c r="E194" s="18" t="inlineStr">
        <is>
          <t>W Pharma Europe</t>
        </is>
      </c>
      <c r="F194" s="19" t="inlineStr">
        <is>
          <t>https://w-pharma-europe3.odoo.com</t>
        </is>
      </c>
      <c r="G194" s="18" t="inlineStr">
        <is>
          <t>Schiphol / Rotterdam</t>
        </is>
      </c>
      <c r="H194" s="18" t="inlineStr"/>
      <c r="I194" s="18" t="inlineStr">
        <is>
          <t>EU / Europe</t>
        </is>
      </c>
      <c r="J194" s="18" t="inlineStr">
        <is>
          <t>Higher</t>
        </is>
      </c>
      <c r="K194" s="18" t="inlineStr"/>
      <c r="L194" s="18" t="inlineStr"/>
      <c r="M194" s="18" t="inlineStr">
        <is>
          <t>via 'Request Wholesale Access' form</t>
        </is>
      </c>
      <c r="N194" s="18" t="inlineStr">
        <is>
          <t>Health &amp; beauty wholesaler</t>
        </is>
      </c>
      <c r="O194" s="18" t="inlineStr">
        <is>
          <t>Medical devices, para-pharma, dermo-cosmetics, personal care, duty-free</t>
        </is>
      </c>
      <c r="P194" s="18" t="inlineStr">
        <is>
          <t>Health / dermo-cosmetics</t>
        </is>
      </c>
      <c r="Q194" s="18" t="inlineStr">
        <is>
          <t>On request</t>
        </is>
      </c>
      <c r="R194" s="18" t="inlineStr">
        <is>
          <t>B2B only</t>
        </is>
      </c>
      <c r="S194" s="18" t="inlineStr">
        <is>
          <t>Check</t>
        </is>
      </c>
      <c r="T194" s="18" t="inlineStr">
        <is>
          <t>Unknown</t>
        </is>
      </c>
      <c r="U194" s="18" t="inlineStr">
        <is>
          <t>Unknown</t>
        </is>
      </c>
      <c r="V194" s="18" t="inlineStr"/>
      <c r="W194" s="18" t="inlineStr">
        <is>
          <t>Claims GDP-compliant; founder Nikki Wong</t>
        </is>
      </c>
      <c r="X194" s="18" t="inlineStr"/>
      <c r="Y194" s="18" t="inlineStr">
        <is>
          <t>Young/unverified - check KvK.</t>
        </is>
      </c>
      <c r="Z194" s="18" t="inlineStr">
        <is>
          <t>Company website only - VERIFY KvK</t>
        </is>
      </c>
      <c r="AA194" s="19" t="inlineStr">
        <is>
          <t>Source link</t>
        </is>
      </c>
      <c r="AB194" s="19" t="inlineStr">
        <is>
          <t>Search LinkedIn</t>
        </is>
      </c>
      <c r="AC194" s="18" t="inlineStr">
        <is>
          <t>Round 1</t>
        </is>
      </c>
      <c r="AD194" s="20" t="inlineStr">
        <is>
          <t>Not contacted</t>
        </is>
      </c>
      <c r="AE194" s="21" t="n"/>
      <c r="AF194" s="20" t="n"/>
      <c r="AG194" s="20" t="n"/>
      <c r="AH194" s="20" t="n"/>
      <c r="AI194" s="21">
        <f>IF(AE194="","",WORKDAY(AE194,5))</f>
        <v/>
      </c>
      <c r="AJ194" s="20" t="n"/>
      <c r="AK194" s="20" t="n"/>
    </row>
    <row r="195">
      <c r="A195" s="15" t="inlineStr">
        <is>
          <t>Netherlands</t>
        </is>
      </c>
      <c r="B195" s="16" t="n">
        <v>194</v>
      </c>
      <c r="C195" s="17" t="n">
        <v>1</v>
      </c>
      <c r="D195" s="18" t="inlineStr">
        <is>
          <t>Health &amp; Personal Care</t>
        </is>
      </c>
      <c r="E195" s="18" t="inlineStr">
        <is>
          <t>Europe Pharma Group B.V.</t>
        </is>
      </c>
      <c r="F195" s="19" t="inlineStr">
        <is>
          <t>https://www.beautetrade.com/suppliers/europe-pharma-group-bv-83659/</t>
        </is>
      </c>
      <c r="G195" s="18" t="inlineStr">
        <is>
          <t>Schiphol-Rijk</t>
        </is>
      </c>
      <c r="H195" s="18" t="inlineStr"/>
      <c r="I195" s="18" t="inlineStr">
        <is>
          <t>EU / Europe</t>
        </is>
      </c>
      <c r="J195" s="18" t="inlineStr">
        <is>
          <t>Higher</t>
        </is>
      </c>
      <c r="K195" s="18" t="inlineStr"/>
      <c r="L195" s="18" t="inlineStr"/>
      <c r="M195" s="18" t="inlineStr"/>
      <c r="N195" s="18" t="inlineStr">
        <is>
          <t>Distributor</t>
        </is>
      </c>
      <c r="O195" s="18" t="inlineStr">
        <is>
          <t>Cosmetics, skincare, healthcare</t>
        </is>
      </c>
      <c r="P195" s="18" t="inlineStr">
        <is>
          <t>Health / skincare</t>
        </is>
      </c>
      <c r="Q195" s="18" t="inlineStr">
        <is>
          <t>On request</t>
        </is>
      </c>
      <c r="R195" s="18" t="inlineStr">
        <is>
          <t>B2B</t>
        </is>
      </c>
      <c r="S195" s="18" t="inlineStr">
        <is>
          <t>Check</t>
        </is>
      </c>
      <c r="T195" s="18" t="inlineStr">
        <is>
          <t>Unknown</t>
        </is>
      </c>
      <c r="U195" s="18" t="inlineStr">
        <is>
          <t>Unknown</t>
        </is>
      </c>
      <c r="V195" s="18" t="inlineStr"/>
      <c r="W195" s="18" t="inlineStr">
        <is>
          <t>Marketplace profile</t>
        </is>
      </c>
      <c r="X195" s="18" t="inlineStr"/>
      <c r="Y195" s="18" t="inlineStr"/>
      <c r="Z195" s="18" t="inlineStr">
        <is>
          <t>Marketplace profile only</t>
        </is>
      </c>
      <c r="AA195" s="19" t="inlineStr">
        <is>
          <t>Source link</t>
        </is>
      </c>
      <c r="AB195" s="19" t="inlineStr">
        <is>
          <t>Search LinkedIn</t>
        </is>
      </c>
      <c r="AC195" s="18" t="inlineStr">
        <is>
          <t>Round 1</t>
        </is>
      </c>
      <c r="AD195" s="20" t="inlineStr">
        <is>
          <t>Not contacted</t>
        </is>
      </c>
      <c r="AE195" s="21" t="n"/>
      <c r="AF195" s="20" t="n"/>
      <c r="AG195" s="20" t="n"/>
      <c r="AH195" s="20" t="n"/>
      <c r="AI195" s="21">
        <f>IF(AE195="","",WORKDAY(AE195,5))</f>
        <v/>
      </c>
      <c r="AJ195" s="20" t="n"/>
      <c r="AK195" s="20" t="n"/>
    </row>
    <row r="196">
      <c r="A196" s="15" t="inlineStr">
        <is>
          <t>Netherlands</t>
        </is>
      </c>
      <c r="B196" s="16" t="n">
        <v>195</v>
      </c>
      <c r="C196" s="17" t="n">
        <v>4</v>
      </c>
      <c r="D196" s="18" t="inlineStr">
        <is>
          <t>Home &amp; Kitchen</t>
        </is>
      </c>
      <c r="E196" s="18" t="inlineStr">
        <is>
          <t>Bolsius Nederland BV</t>
        </is>
      </c>
      <c r="F196" s="19" t="inlineStr">
        <is>
          <t>https://www.bolsius.com</t>
        </is>
      </c>
      <c r="G196" s="18" t="inlineStr">
        <is>
          <t>Schijndel</t>
        </is>
      </c>
      <c r="H196" s="18" t="inlineStr"/>
      <c r="I196" s="18" t="inlineStr">
        <is>
          <t>EU / Europe</t>
        </is>
      </c>
      <c r="J196" s="18" t="inlineStr">
        <is>
          <t>Higher</t>
        </is>
      </c>
      <c r="K196" s="18" t="inlineStr">
        <is>
          <t>Kerkendijk 126, 5482 KK Schijndel</t>
        </is>
      </c>
      <c r="L196" s="18" t="inlineStr">
        <is>
          <t>+31 73 543 3000</t>
        </is>
      </c>
      <c r="M196" s="18" t="inlineStr"/>
      <c r="N196" s="18" t="inlineStr">
        <is>
          <t>Brand owner / manufacturer</t>
        </is>
      </c>
      <c r="O196" s="18" t="inlineStr">
        <is>
          <t>Bolsius candles, tealights, citronella, LED candles</t>
        </is>
      </c>
      <c r="P196" s="18" t="inlineStr">
        <is>
          <t>Candles &amp; home fragrance</t>
        </is>
      </c>
      <c r="Q196" s="18" t="inlineStr">
        <is>
          <t>Account based</t>
        </is>
      </c>
      <c r="R196" s="18" t="inlineStr">
        <is>
          <t>Retail &amp; wholesale accounts; 6 sales offices</t>
        </is>
      </c>
      <c r="S196" s="18" t="inlineStr">
        <is>
          <t>Ask - present in 50+ countries</t>
        </is>
      </c>
      <c r="T196" s="18" t="inlineStr">
        <is>
          <t>Unknown</t>
        </is>
      </c>
      <c r="U196" s="18" t="inlineStr">
        <is>
          <t>Unknown</t>
        </is>
      </c>
      <c r="V196" s="18" t="inlineStr"/>
      <c r="W196" s="18" t="inlineStr">
        <is>
          <t>Ambiente 2025/2026 exhibitor; European factories; stocked by Albert Heijn</t>
        </is>
      </c>
      <c r="X196" s="18" t="inlineStr">
        <is>
          <t>Scented &amp; citronella candles sell well (seasonal)</t>
        </is>
      </c>
      <c r="Y196" s="18" t="inlineStr">
        <is>
          <t>Candles can be heavy - check FBA fees</t>
        </is>
      </c>
      <c r="Z196" s="18" t="inlineStr">
        <is>
          <t>Trade fair exhibitor listing + retailer data</t>
        </is>
      </c>
      <c r="AA196" s="19" t="inlineStr">
        <is>
          <t>Source link</t>
        </is>
      </c>
      <c r="AB196" s="19" t="inlineStr">
        <is>
          <t>Search LinkedIn</t>
        </is>
      </c>
      <c r="AC196" s="18" t="inlineStr">
        <is>
          <t>Round 4</t>
        </is>
      </c>
      <c r="AD196" s="20" t="inlineStr">
        <is>
          <t>Not contacted</t>
        </is>
      </c>
      <c r="AE196" s="21" t="n"/>
      <c r="AF196" s="20" t="n"/>
      <c r="AG196" s="20" t="n"/>
      <c r="AH196" s="20" t="n"/>
      <c r="AI196" s="21">
        <f>IF(AE196="","",WORKDAY(AE196,5))</f>
        <v/>
      </c>
      <c r="AJ196" s="20" t="n"/>
      <c r="AK196" s="20" t="n"/>
    </row>
    <row r="197">
      <c r="A197" s="15" t="inlineStr">
        <is>
          <t>Netherlands</t>
        </is>
      </c>
      <c r="B197" s="16" t="n">
        <v>196</v>
      </c>
      <c r="C197" s="17" t="n">
        <v>4</v>
      </c>
      <c r="D197" s="18" t="inlineStr">
        <is>
          <t>Home &amp; Kitchen</t>
        </is>
      </c>
      <c r="E197" s="18" t="inlineStr">
        <is>
          <t>Koopman International B.V.</t>
        </is>
      </c>
      <c r="F197" s="19" t="inlineStr">
        <is>
          <t>https://www.koopmanint.com/en/</t>
        </is>
      </c>
      <c r="G197" s="18" t="inlineStr">
        <is>
          <t>Amsterdam</t>
        </is>
      </c>
      <c r="H197" s="18" t="inlineStr"/>
      <c r="I197" s="18" t="inlineStr">
        <is>
          <t>EU / Europe</t>
        </is>
      </c>
      <c r="J197" s="18" t="inlineStr">
        <is>
          <t>Higher</t>
        </is>
      </c>
      <c r="K197" s="18" t="inlineStr">
        <is>
          <t>Distelweg 88, Amsterdam</t>
        </is>
      </c>
      <c r="L197" s="18" t="inlineStr">
        <is>
          <t>+31 20 494 7777</t>
        </is>
      </c>
      <c r="M197" s="18" t="inlineStr">
        <is>
          <t>info@koopmanint.com</t>
        </is>
      </c>
      <c r="N197" s="18" t="inlineStr">
        <is>
          <t>Importer / exporter (non-food)</t>
        </is>
      </c>
      <c r="O197" s="18" t="inlineStr">
        <is>
          <t>30,000+ non-food items: houseware, kitchen, storage, seasonal, garden, DIY</t>
        </is>
      </c>
      <c r="P197" s="18" t="inlineStr">
        <is>
          <t>General houseware</t>
        </is>
      </c>
      <c r="Q197" s="18" t="inlineStr">
        <is>
          <t>On request</t>
        </is>
      </c>
      <c r="R197" s="18" t="inlineStr">
        <is>
          <t>Retail trade (supermarkets, hardware, webshops)</t>
        </is>
      </c>
      <c r="S197" s="18" t="inlineStr">
        <is>
          <t>Yes - Koopman International UK Ltd (SC376922)</t>
        </is>
      </c>
      <c r="T197" s="18" t="inlineStr">
        <is>
          <t>Unknown</t>
        </is>
      </c>
      <c r="U197" s="18" t="inlineStr">
        <is>
          <t>Unknown</t>
        </is>
      </c>
      <c r="V197" s="18" t="inlineStr">
        <is>
          <t>UK arm: CH SC376922</t>
        </is>
      </c>
      <c r="W197" s="18" t="inlineStr">
        <is>
          <t>Founded 1937; 17,500 m2 showroom; own DC</t>
        </is>
      </c>
      <c r="X197" s="18" t="inlineStr">
        <is>
          <t>Mostly own/unbranded lines - check listing ownership</t>
        </is>
      </c>
      <c r="Y197" s="18" t="inlineStr"/>
      <c r="Z197" s="18" t="inlineStr">
        <is>
          <t>Company website (via search) + Companies House</t>
        </is>
      </c>
      <c r="AA197" s="19" t="inlineStr">
        <is>
          <t>Source link</t>
        </is>
      </c>
      <c r="AB197" s="19" t="inlineStr">
        <is>
          <t>Search LinkedIn</t>
        </is>
      </c>
      <c r="AC197" s="18" t="inlineStr">
        <is>
          <t>Round 3</t>
        </is>
      </c>
      <c r="AD197" s="20" t="inlineStr">
        <is>
          <t>Not contacted</t>
        </is>
      </c>
      <c r="AE197" s="21" t="n"/>
      <c r="AF197" s="20" t="n"/>
      <c r="AG197" s="20" t="n"/>
      <c r="AH197" s="20" t="n"/>
      <c r="AI197" s="21">
        <f>IF(AE197="","",WORKDAY(AE197,5))</f>
        <v/>
      </c>
      <c r="AJ197" s="20" t="n"/>
      <c r="AK197" s="20" t="n"/>
    </row>
    <row r="198">
      <c r="A198" s="15" t="inlineStr">
        <is>
          <t>Netherlands</t>
        </is>
      </c>
      <c r="B198" s="16" t="n">
        <v>197</v>
      </c>
      <c r="C198" s="17" t="n">
        <v>4</v>
      </c>
      <c r="D198" s="18" t="inlineStr">
        <is>
          <t>Home &amp; Kitchen</t>
        </is>
      </c>
      <c r="E198" s="18" t="inlineStr">
        <is>
          <t>Mepal B.V.</t>
        </is>
      </c>
      <c r="F198" s="19" t="inlineStr">
        <is>
          <t>https://www.mepal.com</t>
        </is>
      </c>
      <c r="G198" s="18" t="inlineStr">
        <is>
          <t>Lochem</t>
        </is>
      </c>
      <c r="H198" s="18" t="inlineStr"/>
      <c r="I198" s="18" t="inlineStr">
        <is>
          <t>EU / Europe</t>
        </is>
      </c>
      <c r="J198" s="18" t="inlineStr">
        <is>
          <t>Higher</t>
        </is>
      </c>
      <c r="K198" s="18" t="inlineStr">
        <is>
          <t>Aalsvoort 101, 7241 MB Lochem</t>
        </is>
      </c>
      <c r="L198" s="18" t="inlineStr">
        <is>
          <t>+31 573 820 840</t>
        </is>
      </c>
      <c r="M198" s="18" t="inlineStr">
        <is>
          <t>info@mepal.com</t>
        </is>
      </c>
      <c r="N198" s="18" t="inlineStr">
        <is>
          <t>Brand owner / manufacturer</t>
        </is>
      </c>
      <c r="O198" s="18" t="inlineStr">
        <is>
          <t>Mepal Campus lunchboxes &amp; bottles, storage, tableware</t>
        </is>
      </c>
      <c r="P198" s="18" t="inlineStr">
        <is>
          <t>Food storage / lunchware</t>
        </is>
      </c>
      <c r="Q198" s="18" t="inlineStr">
        <is>
          <t>Account based</t>
        </is>
      </c>
      <c r="R198" s="18" t="inlineStr">
        <is>
          <t>Retailers &amp; distributors</t>
        </is>
      </c>
      <c r="S198" s="18" t="inlineStr">
        <is>
          <t>Ask</t>
        </is>
      </c>
      <c r="T198" s="18" t="inlineStr">
        <is>
          <t>Unknown</t>
        </is>
      </c>
      <c r="U198" s="18" t="inlineStr">
        <is>
          <t>Unknown</t>
        </is>
      </c>
      <c r="V198" s="18" t="inlineStr"/>
      <c r="W198" s="18" t="inlineStr">
        <is>
          <t>Dutch manufacturer (produces largely in NL); stocked by Kruidvat</t>
        </is>
      </c>
      <c r="X198" s="18" t="inlineStr">
        <is>
          <t>Lunchboxes &amp; drink bottles sell well, especially back-to-school</t>
        </is>
      </c>
      <c r="Y198" s="18" t="inlineStr"/>
      <c r="Z198" s="18" t="inlineStr">
        <is>
          <t>Retailer GPSR manufacturer data</t>
        </is>
      </c>
      <c r="AA198" s="19" t="inlineStr">
        <is>
          <t>Source link</t>
        </is>
      </c>
      <c r="AB198" s="19" t="inlineStr">
        <is>
          <t>Search LinkedIn</t>
        </is>
      </c>
      <c r="AC198" s="18" t="inlineStr">
        <is>
          <t>Round 4</t>
        </is>
      </c>
      <c r="AD198" s="20" t="inlineStr">
        <is>
          <t>Not contacted</t>
        </is>
      </c>
      <c r="AE198" s="21" t="n"/>
      <c r="AF198" s="20" t="n"/>
      <c r="AG198" s="20" t="n"/>
      <c r="AH198" s="20" t="n"/>
      <c r="AI198" s="21">
        <f>IF(AE198="","",WORKDAY(AE198,5))</f>
        <v/>
      </c>
      <c r="AJ198" s="20" t="n"/>
      <c r="AK198" s="20" t="n"/>
    </row>
    <row r="199">
      <c r="A199" s="15" t="inlineStr">
        <is>
          <t>Netherlands</t>
        </is>
      </c>
      <c r="B199" s="16" t="n">
        <v>198</v>
      </c>
      <c r="C199" s="17" t="n">
        <v>4</v>
      </c>
      <c r="D199" s="18" t="inlineStr">
        <is>
          <t>Home &amp; Kitchen</t>
        </is>
      </c>
      <c r="E199" s="18" t="inlineStr">
        <is>
          <t>Tristar Europe B.V. (Smartwares Group)</t>
        </is>
      </c>
      <c r="F199" s="19" t="inlineStr">
        <is>
          <t>https://www.tristar.eu</t>
        </is>
      </c>
      <c r="G199" s="18" t="inlineStr">
        <is>
          <t>Tilburg</t>
        </is>
      </c>
      <c r="H199" s="18" t="inlineStr"/>
      <c r="I199" s="18" t="inlineStr">
        <is>
          <t>EU / Europe</t>
        </is>
      </c>
      <c r="J199" s="18" t="inlineStr">
        <is>
          <t>Higher</t>
        </is>
      </c>
      <c r="K199" s="18" t="inlineStr">
        <is>
          <t>Jules Verneweg 87, 5015 BH Tilburg</t>
        </is>
      </c>
      <c r="L199" s="18" t="inlineStr"/>
      <c r="M199" s="18" t="inlineStr"/>
      <c r="N199" s="18" t="inlineStr">
        <is>
          <t>Brand owner (small domestic appliances)</t>
        </is>
      </c>
      <c r="O199" s="18" t="inlineStr">
        <is>
          <t>Tristar air fryers, kitchen &amp; personal care appliances; Smartwares, Princess</t>
        </is>
      </c>
      <c r="P199" s="18" t="inlineStr">
        <is>
          <t>Small domestic appliances</t>
        </is>
      </c>
      <c r="Q199" s="18" t="inlineStr">
        <is>
          <t>On request</t>
        </is>
      </c>
      <c r="R199" s="18" t="inlineStr">
        <is>
          <t>Retailers &amp; distributors</t>
        </is>
      </c>
      <c r="S199" s="18" t="inlineStr">
        <is>
          <t>Electricals need UK plug versions - ask</t>
        </is>
      </c>
      <c r="T199" s="18" t="inlineStr">
        <is>
          <t>Unknown</t>
        </is>
      </c>
      <c r="U199" s="18" t="inlineStr">
        <is>
          <t>Unknown</t>
        </is>
      </c>
      <c r="V199" s="18" t="inlineStr"/>
      <c r="W199" s="18" t="inlineStr">
        <is>
          <t>Part of Smartwares Group (NPM Capital backed); 24,000 m2 warehouse</t>
        </is>
      </c>
      <c r="X199" s="18" t="inlineStr">
        <is>
          <t>Budget appliances sell well; check UKCA/UK plug</t>
        </is>
      </c>
      <c r="Y199" s="18" t="inlineStr"/>
      <c r="Z199" s="18" t="inlineStr">
        <is>
          <t>Product manuals + investor page</t>
        </is>
      </c>
      <c r="AA199" s="19" t="inlineStr">
        <is>
          <t>Source link</t>
        </is>
      </c>
      <c r="AB199" s="19" t="inlineStr">
        <is>
          <t>Search LinkedIn</t>
        </is>
      </c>
      <c r="AC199" s="18" t="inlineStr">
        <is>
          <t>Round 4</t>
        </is>
      </c>
      <c r="AD199" s="20" t="inlineStr">
        <is>
          <t>Not contacted</t>
        </is>
      </c>
      <c r="AE199" s="21" t="n"/>
      <c r="AF199" s="20" t="n"/>
      <c r="AG199" s="20" t="n"/>
      <c r="AH199" s="20" t="n"/>
      <c r="AI199" s="21">
        <f>IF(AE199="","",WORKDAY(AE199,5))</f>
        <v/>
      </c>
      <c r="AJ199" s="20" t="n"/>
      <c r="AK199" s="20" t="n"/>
    </row>
    <row r="200">
      <c r="A200" s="15" t="inlineStr">
        <is>
          <t>Netherlands</t>
        </is>
      </c>
      <c r="B200" s="16" t="n">
        <v>199</v>
      </c>
      <c r="C200" s="17" t="n">
        <v>3</v>
      </c>
      <c r="D200" s="18" t="inlineStr">
        <is>
          <t>Home &amp; Kitchen</t>
        </is>
      </c>
      <c r="E200" s="18" t="inlineStr">
        <is>
          <t>Brabantia Export BV</t>
        </is>
      </c>
      <c r="F200" s="19" t="inlineStr">
        <is>
          <t>https://www.brabantia.com/uk/offices</t>
        </is>
      </c>
      <c r="G200" s="18" t="inlineStr">
        <is>
          <t>Valkenswaard</t>
        </is>
      </c>
      <c r="H200" s="18" t="inlineStr"/>
      <c r="I200" s="18" t="inlineStr">
        <is>
          <t>EU / Europe</t>
        </is>
      </c>
      <c r="J200" s="18" t="inlineStr">
        <is>
          <t>Higher</t>
        </is>
      </c>
      <c r="K200" s="18" t="inlineStr">
        <is>
          <t>Leenderweg 182, 5555 CJ Valkenswaard</t>
        </is>
      </c>
      <c r="L200" s="18" t="inlineStr">
        <is>
          <t>+31 40 20 72 318</t>
        </is>
      </c>
      <c r="M200" s="18" t="inlineStr">
        <is>
          <t>via website</t>
        </is>
      </c>
      <c r="N200" s="18" t="inlineStr">
        <is>
          <t>Brand owner - export desk</t>
        </is>
      </c>
      <c r="O200" s="18" t="inlineStr">
        <is>
          <t>Brabantia bins, laundry, kitchen &amp; bathroom</t>
        </is>
      </c>
      <c r="P200" s="18" t="inlineStr">
        <is>
          <t>Household</t>
        </is>
      </c>
      <c r="Q200" s="18" t="inlineStr">
        <is>
          <t>Account based</t>
        </is>
      </c>
      <c r="R200" s="18" t="inlineStr">
        <is>
          <t>Retailers (local offices incl. UK)</t>
        </is>
      </c>
      <c r="S200" s="18" t="inlineStr">
        <is>
          <t>Yes - has UK office</t>
        </is>
      </c>
      <c r="T200" s="18" t="inlineStr">
        <is>
          <t>Unknown</t>
        </is>
      </c>
      <c r="U200" s="18" t="inlineStr">
        <is>
          <t>Unknown</t>
        </is>
      </c>
      <c r="V200" s="18" t="inlineStr"/>
      <c r="W200" s="18" t="inlineStr">
        <is>
          <t>Major Dutch household brand; DC in Pelt, Belgium</t>
        </is>
      </c>
      <c r="X200" s="18" t="inlineStr">
        <is>
          <t>Brand-direct; check online pricing policy</t>
        </is>
      </c>
      <c r="Y200" s="18" t="inlineStr">
        <is>
          <t>Contact UK office for UK accounts.</t>
        </is>
      </c>
      <c r="Z200" s="18" t="inlineStr">
        <is>
          <t>Company website (via search)</t>
        </is>
      </c>
      <c r="AA200" s="19" t="inlineStr">
        <is>
          <t>Source link</t>
        </is>
      </c>
      <c r="AB200" s="19" t="inlineStr">
        <is>
          <t>Search LinkedIn</t>
        </is>
      </c>
      <c r="AC200" s="18" t="inlineStr">
        <is>
          <t>Round 3</t>
        </is>
      </c>
      <c r="AD200" s="20" t="inlineStr">
        <is>
          <t>Not contacted</t>
        </is>
      </c>
      <c r="AE200" s="21" t="n"/>
      <c r="AF200" s="20" t="n"/>
      <c r="AG200" s="20" t="n"/>
      <c r="AH200" s="20" t="n"/>
      <c r="AI200" s="21">
        <f>IF(AE200="","",WORKDAY(AE200,5))</f>
        <v/>
      </c>
      <c r="AJ200" s="20" t="n"/>
      <c r="AK200" s="20" t="n"/>
    </row>
    <row r="201">
      <c r="A201" s="15" t="inlineStr">
        <is>
          <t>Netherlands</t>
        </is>
      </c>
      <c r="B201" s="16" t="n">
        <v>200</v>
      </c>
      <c r="C201" s="17" t="n">
        <v>3</v>
      </c>
      <c r="D201" s="18" t="inlineStr">
        <is>
          <t>Home &amp; Kitchen</t>
        </is>
      </c>
      <c r="E201" s="18" t="inlineStr">
        <is>
          <t>Sunware B.V.</t>
        </is>
      </c>
      <c r="F201" s="19" t="inlineStr">
        <is>
          <t>https://www.sunware.nl</t>
        </is>
      </c>
      <c r="G201" s="18" t="inlineStr">
        <is>
          <t>Tilburg</t>
        </is>
      </c>
      <c r="H201" s="18" t="inlineStr"/>
      <c r="I201" s="18" t="inlineStr">
        <is>
          <t>EU / Europe</t>
        </is>
      </c>
      <c r="J201" s="18" t="inlineStr">
        <is>
          <t>Higher</t>
        </is>
      </c>
      <c r="K201" s="18" t="inlineStr">
        <is>
          <t>Tilburg (20,000 m2 warehouse)</t>
        </is>
      </c>
      <c r="L201" s="18" t="inlineStr"/>
      <c r="M201" s="18" t="inlineStr"/>
      <c r="N201" s="18" t="inlineStr">
        <is>
          <t>Brand owner / manufacturer</t>
        </is>
      </c>
      <c r="O201" s="18" t="inlineStr">
        <is>
          <t>Sunware Q-Line, Sigma Home storage boxes</t>
        </is>
      </c>
      <c r="P201" s="18" t="inlineStr">
        <is>
          <t>Home storage</t>
        </is>
      </c>
      <c r="Q201" s="18" t="inlineStr">
        <is>
          <t>On request</t>
        </is>
      </c>
      <c r="R201" s="18" t="inlineStr">
        <is>
          <t>Retailers &amp; distributors</t>
        </is>
      </c>
      <c r="S201" s="18" t="inlineStr">
        <is>
          <t>Ask</t>
        </is>
      </c>
      <c r="T201" s="18" t="inlineStr">
        <is>
          <t>Unknown</t>
        </is>
      </c>
      <c r="U201" s="18" t="inlineStr">
        <is>
          <t>Unknown</t>
        </is>
      </c>
      <c r="V201" s="18" t="inlineStr"/>
      <c r="W201" s="18" t="inlineStr">
        <is>
          <t>In Tilburg since 1991; sold via Hubo, Galaxus, Schäfer Shop</t>
        </is>
      </c>
      <c r="X201" s="18" t="inlineStr">
        <is>
          <t>Storage boxes: bulky - check FBA size tiers</t>
        </is>
      </c>
      <c r="Y201" s="18" t="inlineStr"/>
      <c r="Z201" s="18" t="inlineStr">
        <is>
          <t>Company profile + retailer listings</t>
        </is>
      </c>
      <c r="AA201" s="19" t="inlineStr">
        <is>
          <t>Source link</t>
        </is>
      </c>
      <c r="AB201" s="19" t="inlineStr">
        <is>
          <t>Search LinkedIn</t>
        </is>
      </c>
      <c r="AC201" s="18" t="inlineStr">
        <is>
          <t>Round 4</t>
        </is>
      </c>
      <c r="AD201" s="20" t="inlineStr">
        <is>
          <t>Not contacted</t>
        </is>
      </c>
      <c r="AE201" s="21" t="n"/>
      <c r="AF201" s="20" t="n"/>
      <c r="AG201" s="20" t="n"/>
      <c r="AH201" s="20" t="n"/>
      <c r="AI201" s="21">
        <f>IF(AE201="","",WORKDAY(AE201,5))</f>
        <v/>
      </c>
      <c r="AJ201" s="20" t="n"/>
      <c r="AK201" s="20" t="n"/>
    </row>
    <row r="202">
      <c r="A202" s="15" t="inlineStr">
        <is>
          <t>Netherlands</t>
        </is>
      </c>
      <c r="B202" s="16" t="n">
        <v>201</v>
      </c>
      <c r="C202" s="17" t="n">
        <v>3</v>
      </c>
      <c r="D202" s="18" t="inlineStr">
        <is>
          <t>Home &amp; Kitchen</t>
        </is>
      </c>
      <c r="E202" s="18" t="inlineStr">
        <is>
          <t>vidaXL / dropshippingXL</t>
        </is>
      </c>
      <c r="F202" s="19" t="inlineStr">
        <is>
          <t>https://www.vidaxl.com</t>
        </is>
      </c>
      <c r="G202" s="18" t="inlineStr">
        <is>
          <t>Venlo</t>
        </is>
      </c>
      <c r="H202" s="18" t="inlineStr"/>
      <c r="I202" s="18" t="inlineStr">
        <is>
          <t>EU / Europe</t>
        </is>
      </c>
      <c r="J202" s="18" t="inlineStr">
        <is>
          <t>Higher</t>
        </is>
      </c>
      <c r="K202" s="18" t="inlineStr"/>
      <c r="L202" s="18" t="inlineStr"/>
      <c r="M202" s="18" t="inlineStr"/>
      <c r="N202" s="18" t="inlineStr">
        <is>
          <t>Brand owner + dropship/B2B programme</t>
        </is>
      </c>
      <c r="O202" s="18" t="inlineStr">
        <is>
          <t>vidaXL own-brand furniture, home, garden (100k+ SKUs)</t>
        </is>
      </c>
      <c r="P202" s="18" t="inlineStr">
        <is>
          <t>Home, furniture, garden</t>
        </is>
      </c>
      <c r="Q202" s="18" t="inlineStr">
        <is>
          <t>None (dropship) / B2B bulk</t>
        </is>
      </c>
      <c r="R202" s="18" t="inlineStr">
        <is>
          <t>Registered seller (subscription)</t>
        </is>
      </c>
      <c r="S202" s="18" t="inlineStr">
        <is>
          <t>Yes (UK warehouse)</t>
        </is>
      </c>
      <c r="T202" s="18" t="inlineStr">
        <is>
          <t>Yes</t>
        </is>
      </c>
      <c r="U202" s="18" t="inlineStr">
        <is>
          <t>Yes</t>
        </is>
      </c>
      <c r="V202" s="18" t="inlineStr"/>
      <c r="W202" s="18" t="inlineStr">
        <is>
          <t>Large Dutch e-commerce group</t>
        </is>
      </c>
      <c r="X202" s="18" t="inlineStr">
        <is>
          <t>Permits marketplace selling; Amazon requires you to be seller of record on dropship orders</t>
        </is>
      </c>
      <c r="Y202" s="18" t="inlineStr"/>
      <c r="Z202" s="18" t="inlineStr">
        <is>
          <t>Company FAQ + reviews</t>
        </is>
      </c>
      <c r="AA202" s="19" t="inlineStr">
        <is>
          <t>Source link</t>
        </is>
      </c>
      <c r="AB202" s="19" t="inlineStr">
        <is>
          <t>Search LinkedIn</t>
        </is>
      </c>
      <c r="AC202" s="18" t="inlineStr">
        <is>
          <t>Round 2</t>
        </is>
      </c>
      <c r="AD202" s="20" t="inlineStr">
        <is>
          <t>Not contacted</t>
        </is>
      </c>
      <c r="AE202" s="21" t="n"/>
      <c r="AF202" s="20" t="n"/>
      <c r="AG202" s="20" t="n"/>
      <c r="AH202" s="20" t="n"/>
      <c r="AI202" s="21">
        <f>IF(AE202="","",WORKDAY(AE202,5))</f>
        <v/>
      </c>
      <c r="AJ202" s="20" t="n"/>
      <c r="AK202" s="20" t="n"/>
    </row>
    <row r="203">
      <c r="A203" s="15" t="inlineStr">
        <is>
          <t>Netherlands</t>
        </is>
      </c>
      <c r="B203" s="16" t="n">
        <v>202</v>
      </c>
      <c r="C203" s="17" t="n">
        <v>4</v>
      </c>
      <c r="D203" s="18" t="inlineStr">
        <is>
          <t>Pet Supplies</t>
        </is>
      </c>
      <c r="E203" s="18" t="inlineStr">
        <is>
          <t>Beaphar B.V.</t>
        </is>
      </c>
      <c r="F203" s="19" t="inlineStr">
        <is>
          <t>https://www.beaphar.com</t>
        </is>
      </c>
      <c r="G203" s="18" t="inlineStr">
        <is>
          <t>Raalte</t>
        </is>
      </c>
      <c r="H203" s="18" t="inlineStr"/>
      <c r="I203" s="18" t="inlineStr">
        <is>
          <t>EU / Europe</t>
        </is>
      </c>
      <c r="J203" s="18" t="inlineStr">
        <is>
          <t>Higher</t>
        </is>
      </c>
      <c r="K203" s="18" t="inlineStr">
        <is>
          <t>Drostenkamp 3, 8101 BX Raalte (KvK 38018586)</t>
        </is>
      </c>
      <c r="L203" s="18" t="inlineStr">
        <is>
          <t>+31 572 348834 (verify)</t>
        </is>
      </c>
      <c r="M203" s="18" t="inlineStr"/>
      <c r="N203" s="18" t="inlineStr">
        <is>
          <t>Brand owner / distributor</t>
        </is>
      </c>
      <c r="O203" s="18" t="inlineStr">
        <is>
          <t>Beaphar pet health &amp; care (flea, worming, grooming, treats) - 600+ products</t>
        </is>
      </c>
      <c r="P203" s="18" t="inlineStr">
        <is>
          <t>Pet health &amp; care</t>
        </is>
      </c>
      <c r="Q203" s="18" t="inlineStr">
        <is>
          <t>Account based</t>
        </is>
      </c>
      <c r="R203" s="18" t="inlineStr">
        <is>
          <t>Pet trade &amp; distributors</t>
        </is>
      </c>
      <c r="S203" s="18" t="inlineStr">
        <is>
          <t>Has UK presence - ask</t>
        </is>
      </c>
      <c r="T203" s="18" t="inlineStr">
        <is>
          <t>Unknown</t>
        </is>
      </c>
      <c r="U203" s="18" t="inlineStr">
        <is>
          <t>Unknown</t>
        </is>
      </c>
      <c r="V203" s="18" t="inlineStr">
        <is>
          <t>KvK 38018586</t>
        </is>
      </c>
      <c r="W203" s="18" t="inlineStr">
        <is>
          <t>Family business; KvK registered; sold internationally</t>
        </is>
      </c>
      <c r="X203" s="18" t="inlineStr">
        <is>
          <t>Pet health products may need extra compliance (vet medicines are restricted)</t>
        </is>
      </c>
      <c r="Y203" s="18" t="inlineStr"/>
      <c r="Z203" s="18" t="inlineStr">
        <is>
          <t>KvK data + trade press</t>
        </is>
      </c>
      <c r="AA203" s="19" t="inlineStr">
        <is>
          <t>Source link</t>
        </is>
      </c>
      <c r="AB203" s="19" t="inlineStr">
        <is>
          <t>Search LinkedIn</t>
        </is>
      </c>
      <c r="AC203" s="18" t="inlineStr">
        <is>
          <t>Round 4</t>
        </is>
      </c>
      <c r="AD203" s="20" t="inlineStr">
        <is>
          <t>Not contacted</t>
        </is>
      </c>
      <c r="AE203" s="21" t="n"/>
      <c r="AF203" s="20" t="n"/>
      <c r="AG203" s="20" t="n"/>
      <c r="AH203" s="20" t="n"/>
      <c r="AI203" s="21">
        <f>IF(AE203="","",WORKDAY(AE203,5))</f>
        <v/>
      </c>
      <c r="AJ203" s="20" t="n"/>
      <c r="AK203" s="20" t="n"/>
    </row>
    <row r="204">
      <c r="A204" s="15" t="inlineStr">
        <is>
          <t>Netherlands</t>
        </is>
      </c>
      <c r="B204" s="16" t="n">
        <v>203</v>
      </c>
      <c r="C204" s="17" t="n">
        <v>3</v>
      </c>
      <c r="D204" s="18" t="inlineStr">
        <is>
          <t>Pet Supplies</t>
        </is>
      </c>
      <c r="E204" s="18" t="inlineStr">
        <is>
          <t>Beeztees</t>
        </is>
      </c>
      <c r="F204" s="19" t="inlineStr">
        <is>
          <t>https://www.beeztees.nl</t>
        </is>
      </c>
      <c r="G204" s="18" t="inlineStr">
        <is>
          <t>Waalwijk</t>
        </is>
      </c>
      <c r="H204" s="18" t="inlineStr"/>
      <c r="I204" s="18" t="inlineStr">
        <is>
          <t>EU / Europe</t>
        </is>
      </c>
      <c r="J204" s="18" t="inlineStr">
        <is>
          <t>Higher</t>
        </is>
      </c>
      <c r="K204" s="18" t="inlineStr">
        <is>
          <t>Energieweg 4, 5145 NW Waalwijk (verify)</t>
        </is>
      </c>
      <c r="L204" s="18" t="inlineStr"/>
      <c r="M204" s="18" t="inlineStr"/>
      <c r="N204" s="18" t="inlineStr">
        <is>
          <t>Brand owner / wholesaler</t>
        </is>
      </c>
      <c r="O204" s="18" t="inlineStr">
        <is>
          <t>Beeztees, Karlie pet accessories</t>
        </is>
      </c>
      <c r="P204" s="18" t="inlineStr">
        <is>
          <t>Pet accessories</t>
        </is>
      </c>
      <c r="Q204" s="18" t="inlineStr">
        <is>
          <t>On request</t>
        </is>
      </c>
      <c r="R204" s="18" t="inlineStr">
        <is>
          <t>Retailers</t>
        </is>
      </c>
      <c r="S204" s="18" t="inlineStr">
        <is>
          <t>Ask</t>
        </is>
      </c>
      <c r="T204" s="18" t="inlineStr">
        <is>
          <t>Unknown</t>
        </is>
      </c>
      <c r="U204" s="18" t="inlineStr">
        <is>
          <t>Unknown</t>
        </is>
      </c>
      <c r="V204" s="18" t="inlineStr"/>
      <c r="W204" s="18" t="inlineStr">
        <is>
          <t>~95 staff; owns Karlie brand &amp; a production site</t>
        </is>
      </c>
      <c r="X204" s="18" t="inlineStr"/>
      <c r="Y204" s="18" t="inlineStr"/>
      <c r="Z204" s="18" t="inlineStr">
        <is>
          <t>Industry directory + trade press</t>
        </is>
      </c>
      <c r="AA204" s="19" t="inlineStr">
        <is>
          <t>Source link</t>
        </is>
      </c>
      <c r="AB204" s="19" t="inlineStr">
        <is>
          <t>Search LinkedIn</t>
        </is>
      </c>
      <c r="AC204" s="18" t="inlineStr">
        <is>
          <t>Round 3</t>
        </is>
      </c>
      <c r="AD204" s="20" t="inlineStr">
        <is>
          <t>Not contacted</t>
        </is>
      </c>
      <c r="AE204" s="21" t="n"/>
      <c r="AF204" s="20" t="n"/>
      <c r="AG204" s="20" t="n"/>
      <c r="AH204" s="20" t="n"/>
      <c r="AI204" s="21">
        <f>IF(AE204="","",WORKDAY(AE204,5))</f>
        <v/>
      </c>
      <c r="AJ204" s="20" t="n"/>
      <c r="AK204" s="20" t="n"/>
    </row>
    <row r="205">
      <c r="A205" s="15" t="inlineStr">
        <is>
          <t>Netherlands</t>
        </is>
      </c>
      <c r="B205" s="16" t="n">
        <v>204</v>
      </c>
      <c r="C205" s="17" t="n">
        <v>3</v>
      </c>
      <c r="D205" s="18" t="inlineStr">
        <is>
          <t>Pet Supplies</t>
        </is>
      </c>
      <c r="E205" s="18" t="inlineStr">
        <is>
          <t>Van der Meer Groothandel in Dierbenodigdheden B.V.</t>
        </is>
      </c>
      <c r="F205" s="19" t="inlineStr">
        <is>
          <t>https://www.vandermeerrotterdam.nl</t>
        </is>
      </c>
      <c r="G205" s="18" t="inlineStr">
        <is>
          <t>Rotterdam</t>
        </is>
      </c>
      <c r="H205" s="18" t="inlineStr"/>
      <c r="I205" s="18" t="inlineStr">
        <is>
          <t>EU / Europe</t>
        </is>
      </c>
      <c r="J205" s="18" t="inlineStr">
        <is>
          <t>Higher</t>
        </is>
      </c>
      <c r="K205" s="18" t="inlineStr">
        <is>
          <t>Hongkongstraat 71, Rotterdam</t>
        </is>
      </c>
      <c r="L205" s="18" t="inlineStr"/>
      <c r="M205" s="18" t="inlineStr"/>
      <c r="N205" s="18" t="inlineStr">
        <is>
          <t>Cash &amp; carry wholesaler + dropship</t>
        </is>
      </c>
      <c r="O205" s="18" t="inlineStr">
        <is>
          <t>10,000+ pet products</t>
        </is>
      </c>
      <c r="P205" s="18" t="inlineStr">
        <is>
          <t>Pet supplies</t>
        </is>
      </c>
      <c r="Q205" s="18" t="inlineStr">
        <is>
          <t>On request</t>
        </is>
      </c>
      <c r="R205" s="18" t="inlineStr">
        <is>
          <t>Pet shops &amp; online shops</t>
        </is>
      </c>
      <c r="S205" s="18" t="inlineStr">
        <is>
          <t>NL/BE/DE delivery 1-3 days</t>
        </is>
      </c>
      <c r="T205" s="18" t="inlineStr">
        <is>
          <t>Yes (webshops)</t>
        </is>
      </c>
      <c r="U205" s="18" t="inlineStr">
        <is>
          <t>Yes</t>
        </is>
      </c>
      <c r="V205" s="18" t="inlineStr"/>
      <c r="W205" s="18" t="inlineStr">
        <is>
          <t>One of NL's largest pet cash &amp; carries; WooCommerce/Lightspeed integrations</t>
        </is>
      </c>
      <c r="X205" s="18" t="inlineStr">
        <is>
          <t>Dropship integrations for webshops</t>
        </is>
      </c>
      <c r="Y205" s="18" t="inlineStr"/>
      <c r="Z205" s="18" t="inlineStr">
        <is>
          <t>Directory + integration partners</t>
        </is>
      </c>
      <c r="AA205" s="19" t="inlineStr">
        <is>
          <t>Source link</t>
        </is>
      </c>
      <c r="AB205" s="19" t="inlineStr">
        <is>
          <t>Search LinkedIn</t>
        </is>
      </c>
      <c r="AC205" s="18" t="inlineStr">
        <is>
          <t>Round 2</t>
        </is>
      </c>
      <c r="AD205" s="20" t="inlineStr">
        <is>
          <t>Not contacted</t>
        </is>
      </c>
      <c r="AE205" s="21" t="n"/>
      <c r="AF205" s="20" t="n"/>
      <c r="AG205" s="20" t="n"/>
      <c r="AH205" s="20" t="n"/>
      <c r="AI205" s="21">
        <f>IF(AE205="","",WORKDAY(AE205,5))</f>
        <v/>
      </c>
      <c r="AJ205" s="20" t="n"/>
      <c r="AK205" s="20" t="n"/>
    </row>
    <row r="206">
      <c r="A206" s="15" t="inlineStr">
        <is>
          <t>Netherlands</t>
        </is>
      </c>
      <c r="B206" s="16" t="n">
        <v>205</v>
      </c>
      <c r="C206" s="17" t="n">
        <v>2</v>
      </c>
      <c r="D206" s="18" t="inlineStr">
        <is>
          <t>Pet Supplies</t>
        </is>
      </c>
      <c r="E206" s="18" t="inlineStr">
        <is>
          <t>Papillon Pet Products B.V.</t>
        </is>
      </c>
      <c r="F206" s="19" t="inlineStr">
        <is>
          <t>https://www.papillonpetproducts.com</t>
        </is>
      </c>
      <c r="G206" s="18" t="inlineStr">
        <is>
          <t>Zaltbommel</t>
        </is>
      </c>
      <c r="H206" s="18" t="inlineStr"/>
      <c r="I206" s="18" t="inlineStr">
        <is>
          <t>EU / Europe</t>
        </is>
      </c>
      <c r="J206" s="18" t="inlineStr">
        <is>
          <t>Higher</t>
        </is>
      </c>
      <c r="K206" s="18" t="inlineStr">
        <is>
          <t>Van Voordenpark 13, 5301 KP Zaltbommel</t>
        </is>
      </c>
      <c r="L206" s="18" t="inlineStr">
        <is>
          <t>+31 162 311 109</t>
        </is>
      </c>
      <c r="M206" s="18" t="inlineStr">
        <is>
          <t>info@papillonpetproducts.com</t>
        </is>
      </c>
      <c r="N206" s="18" t="inlineStr">
        <is>
          <t>Importer / distributor</t>
        </is>
      </c>
      <c r="O206" s="18" t="inlineStr">
        <is>
          <t>Papillon pet accessories (mainly imported)</t>
        </is>
      </c>
      <c r="P206" s="18" t="inlineStr">
        <is>
          <t>Pet accessories</t>
        </is>
      </c>
      <c r="Q206" s="18" t="inlineStr">
        <is>
          <t>On request</t>
        </is>
      </c>
      <c r="R206" s="18" t="inlineStr">
        <is>
          <t>Wholesalers &amp; retail chains</t>
        </is>
      </c>
      <c r="S206" s="18" t="inlineStr">
        <is>
          <t>Exports to 30 countries - ask</t>
        </is>
      </c>
      <c r="T206" s="18" t="inlineStr">
        <is>
          <t>Unknown</t>
        </is>
      </c>
      <c r="U206" s="18" t="inlineStr">
        <is>
          <t>Unknown</t>
        </is>
      </c>
      <c r="V206" s="18" t="inlineStr"/>
      <c r="W206" s="18" t="inlineStr">
        <is>
          <t>Founded 2010; KvK 34264656 (OpenCorporates)</t>
        </is>
      </c>
      <c r="X206" s="18" t="inlineStr"/>
      <c r="Y206" s="18" t="inlineStr"/>
      <c r="Z206" s="18" t="inlineStr">
        <is>
          <t>Trade show listings</t>
        </is>
      </c>
      <c r="AA206" s="19" t="inlineStr">
        <is>
          <t>Source link</t>
        </is>
      </c>
      <c r="AB206" s="19" t="inlineStr">
        <is>
          <t>Search LinkedIn</t>
        </is>
      </c>
      <c r="AC206" s="18" t="inlineStr">
        <is>
          <t>Round 2</t>
        </is>
      </c>
      <c r="AD206" s="20" t="inlineStr">
        <is>
          <t>Not contacted</t>
        </is>
      </c>
      <c r="AE206" s="21" t="n"/>
      <c r="AF206" s="20" t="n"/>
      <c r="AG206" s="20" t="n"/>
      <c r="AH206" s="20" t="n"/>
      <c r="AI206" s="21">
        <f>IF(AE206="","",WORKDAY(AE206,5))</f>
        <v/>
      </c>
      <c r="AJ206" s="20" t="n"/>
      <c r="AK206" s="20" t="n"/>
    </row>
    <row r="207">
      <c r="A207" s="15" t="inlineStr">
        <is>
          <t>Netherlands</t>
        </is>
      </c>
      <c r="B207" s="16" t="n">
        <v>206</v>
      </c>
      <c r="C207" s="17" t="n">
        <v>4</v>
      </c>
      <c r="D207" s="18" t="inlineStr">
        <is>
          <t>Sports &amp; Outdoors</t>
        </is>
      </c>
      <c r="E207" s="18" t="inlineStr">
        <is>
          <t>Tunturi New Fitness B.V.</t>
        </is>
      </c>
      <c r="F207" s="19" t="inlineStr">
        <is>
          <t>https://www.tunturi.com</t>
        </is>
      </c>
      <c r="G207" s="18" t="inlineStr">
        <is>
          <t>Almere</t>
        </is>
      </c>
      <c r="H207" s="18" t="inlineStr"/>
      <c r="I207" s="18" t="inlineStr">
        <is>
          <t>EU / Europe</t>
        </is>
      </c>
      <c r="J207" s="18" t="inlineStr">
        <is>
          <t>Higher</t>
        </is>
      </c>
      <c r="K207" s="18" t="inlineStr">
        <is>
          <t>Purmerweg 1, 1311 XE Almere</t>
        </is>
      </c>
      <c r="L207" s="18" t="inlineStr"/>
      <c r="M207" s="18" t="inlineStr">
        <is>
          <t>dsa@tunturi.com</t>
        </is>
      </c>
      <c r="N207" s="18" t="inlineStr">
        <is>
          <t>Brand owner</t>
        </is>
      </c>
      <c r="O207" s="18" t="inlineStr">
        <is>
          <t>Tunturi home fitness, dumbbells, mats, accessories; Bremshey</t>
        </is>
      </c>
      <c r="P207" s="18" t="inlineStr">
        <is>
          <t>Home fitness</t>
        </is>
      </c>
      <c r="Q207" s="18" t="inlineStr">
        <is>
          <t>Account based</t>
        </is>
      </c>
      <c r="R207" s="18" t="inlineStr">
        <is>
          <t>Retailers &amp; distributors (e.g. Velomarket in Baltics)</t>
        </is>
      </c>
      <c r="S207" s="18" t="inlineStr">
        <is>
          <t>Ask</t>
        </is>
      </c>
      <c r="T207" s="18" t="inlineStr">
        <is>
          <t>Unknown</t>
        </is>
      </c>
      <c r="U207" s="18" t="inlineStr">
        <is>
          <t>Unknown</t>
        </is>
      </c>
      <c r="V207" s="18" t="inlineStr"/>
      <c r="W207" s="18" t="inlineStr">
        <is>
          <t>EU responsible person on Decathlon marketplace listings; heritage Finnish brand</t>
        </is>
      </c>
      <c r="X207" s="18" t="inlineStr">
        <is>
          <t>Fitness accessories (mats, dumbbells, bands) sell year-round</t>
        </is>
      </c>
      <c r="Y207" s="18" t="inlineStr"/>
      <c r="Z207" s="18" t="inlineStr">
        <is>
          <t>Marketplace GPSR data + distributor site</t>
        </is>
      </c>
      <c r="AA207" s="19" t="inlineStr">
        <is>
          <t>Source link</t>
        </is>
      </c>
      <c r="AB207" s="19" t="inlineStr">
        <is>
          <t>Search LinkedIn</t>
        </is>
      </c>
      <c r="AC207" s="18" t="inlineStr">
        <is>
          <t>Round 4</t>
        </is>
      </c>
      <c r="AD207" s="20" t="inlineStr">
        <is>
          <t>Not contacted</t>
        </is>
      </c>
      <c r="AE207" s="21" t="n"/>
      <c r="AF207" s="20" t="n"/>
      <c r="AG207" s="20" t="n"/>
      <c r="AH207" s="20" t="n"/>
      <c r="AI207" s="21">
        <f>IF(AE207="","",WORKDAY(AE207,5))</f>
        <v/>
      </c>
      <c r="AJ207" s="20" t="n"/>
      <c r="AK207" s="20" t="n"/>
    </row>
    <row r="208">
      <c r="A208" s="15" t="inlineStr">
        <is>
          <t>Netherlands</t>
        </is>
      </c>
      <c r="B208" s="16" t="n">
        <v>207</v>
      </c>
      <c r="C208" s="17" t="n">
        <v>3</v>
      </c>
      <c r="D208" s="18" t="inlineStr">
        <is>
          <t>Sports &amp; Outdoors</t>
        </is>
      </c>
      <c r="E208" s="18" t="inlineStr">
        <is>
          <t>NRG Fitness B.V.</t>
        </is>
      </c>
      <c r="F208" s="19" t="inlineStr">
        <is>
          <t>https://www.decathlon.nl/mp/seller/nrg-fitness-bv/14f44405-4091-46fe-a1eb-7c464a2aad45</t>
        </is>
      </c>
      <c r="G208" s="18" t="inlineStr">
        <is>
          <t>Halsteren (North Brabant)</t>
        </is>
      </c>
      <c r="H208" s="18" t="inlineStr"/>
      <c r="I208" s="18" t="inlineStr">
        <is>
          <t>EU / Europe</t>
        </is>
      </c>
      <c r="J208" s="18" t="inlineStr">
        <is>
          <t>Higher</t>
        </is>
      </c>
      <c r="K208" s="18" t="inlineStr">
        <is>
          <t>Vang 4-6, 4661 TX Halsteren</t>
        </is>
      </c>
      <c r="L208" s="18" t="inlineStr"/>
      <c r="M208" s="18" t="inlineStr"/>
      <c r="N208" s="18" t="inlineStr">
        <is>
          <t>Fitness distributor</t>
        </is>
      </c>
      <c r="O208" s="18" t="inlineStr">
        <is>
          <t>Centr, Centr x Hyrox, Garlando, Toorx</t>
        </is>
      </c>
      <c r="P208" s="18" t="inlineStr">
        <is>
          <t>Home fitness equipment</t>
        </is>
      </c>
      <c r="Q208" s="18" t="inlineStr">
        <is>
          <t>On request</t>
        </is>
      </c>
      <c r="R208" s="18" t="inlineStr">
        <is>
          <t>Resellers</t>
        </is>
      </c>
      <c r="S208" s="18" t="inlineStr">
        <is>
          <t>Benelux &amp; Europe - ask about UK</t>
        </is>
      </c>
      <c r="T208" s="18" t="inlineStr">
        <is>
          <t>Yes (sells there itself)</t>
        </is>
      </c>
      <c r="U208" s="18" t="inlineStr">
        <is>
          <t>Unknown</t>
        </is>
      </c>
      <c r="V208" s="18" t="inlineStr"/>
      <c r="W208" s="18" t="inlineStr">
        <is>
          <t>Sells via Decathlon, Bol &amp; Amazon marketplaces</t>
        </is>
      </c>
      <c r="X208" s="18" t="inlineStr">
        <is>
          <t>Already sells on Amazon - may compete; ask about reseller terms</t>
        </is>
      </c>
      <c r="Y208" s="18" t="inlineStr"/>
      <c r="Z208" s="18" t="inlineStr">
        <is>
          <t>Marketplace seller profile + company profile</t>
        </is>
      </c>
      <c r="AA208" s="19" t="inlineStr">
        <is>
          <t>Source link</t>
        </is>
      </c>
      <c r="AB208" s="19" t="inlineStr">
        <is>
          <t>Search LinkedIn</t>
        </is>
      </c>
      <c r="AC208" s="18" t="inlineStr">
        <is>
          <t>Round 2</t>
        </is>
      </c>
      <c r="AD208" s="20" t="inlineStr">
        <is>
          <t>Not contacted</t>
        </is>
      </c>
      <c r="AE208" s="21" t="n"/>
      <c r="AF208" s="20" t="n"/>
      <c r="AG208" s="20" t="n"/>
      <c r="AH208" s="20" t="n"/>
      <c r="AI208" s="21">
        <f>IF(AE208="","",WORKDAY(AE208,5))</f>
        <v/>
      </c>
      <c r="AJ208" s="20" t="n"/>
      <c r="AK208" s="20" t="n"/>
    </row>
    <row r="209">
      <c r="A209" s="15" t="inlineStr">
        <is>
          <t>Netherlands</t>
        </is>
      </c>
      <c r="B209" s="16" t="n">
        <v>208</v>
      </c>
      <c r="C209" s="17" t="n">
        <v>3</v>
      </c>
      <c r="D209" s="18" t="inlineStr">
        <is>
          <t>Stationery &amp; Office</t>
        </is>
      </c>
      <c r="E209" s="18" t="inlineStr">
        <is>
          <t>ALSO Nederland</t>
        </is>
      </c>
      <c r="F209" s="19" t="inlineStr">
        <is>
          <t>https://www.also.com/ec/cms5/en_2420/2420/index.jsp</t>
        </is>
      </c>
      <c r="G209" s="18" t="inlineStr">
        <is>
          <t>Netherlands</t>
        </is>
      </c>
      <c r="H209" s="18" t="inlineStr"/>
      <c r="I209" s="18" t="inlineStr">
        <is>
          <t>EU / Europe</t>
        </is>
      </c>
      <c r="J209" s="18" t="inlineStr">
        <is>
          <t>Higher</t>
        </is>
      </c>
      <c r="K209" s="18" t="inlineStr"/>
      <c r="L209" s="18" t="inlineStr"/>
      <c r="M209" s="18" t="inlineStr"/>
      <c r="N209" s="18" t="inlineStr">
        <is>
          <t>Distributor (resellers &amp; webshops only)</t>
        </is>
      </c>
      <c r="O209" s="18" t="inlineStr">
        <is>
          <t>Original printing supplies &amp; office brands (largest in Europe for original print supplies)</t>
        </is>
      </c>
      <c r="P209" s="18" t="inlineStr">
        <is>
          <t>Ink, toner &amp; office</t>
        </is>
      </c>
      <c r="Q209" s="18" t="inlineStr">
        <is>
          <t>On request</t>
        </is>
      </c>
      <c r="R209" s="18" t="inlineStr">
        <is>
          <t>Resellers, office retailers, webshops</t>
        </is>
      </c>
      <c r="S209" s="18" t="inlineStr">
        <is>
          <t>NL - ask</t>
        </is>
      </c>
      <c r="T209" s="18" t="inlineStr">
        <is>
          <t>Yes (webshops)</t>
        </is>
      </c>
      <c r="U209" s="18" t="inlineStr">
        <is>
          <t>Unknown</t>
        </is>
      </c>
      <c r="V209" s="18" t="inlineStr"/>
      <c r="W209" s="18" t="inlineStr">
        <is>
          <t>Part of ALSO Holding (Swiss-listed)</t>
        </is>
      </c>
      <c r="X209" s="18" t="inlineStr">
        <is>
          <t>Supplies webshops</t>
        </is>
      </c>
      <c r="Y209" s="18" t="inlineStr"/>
      <c r="Z209" s="18" t="inlineStr">
        <is>
          <t>Company website (via search)</t>
        </is>
      </c>
      <c r="AA209" s="19" t="inlineStr">
        <is>
          <t>Source link</t>
        </is>
      </c>
      <c r="AB209" s="19" t="inlineStr">
        <is>
          <t>Search LinkedIn</t>
        </is>
      </c>
      <c r="AC209" s="18" t="inlineStr">
        <is>
          <t>Round 2</t>
        </is>
      </c>
      <c r="AD209" s="20" t="inlineStr">
        <is>
          <t>Not contacted</t>
        </is>
      </c>
      <c r="AE209" s="21" t="n"/>
      <c r="AF209" s="20" t="n"/>
      <c r="AG209" s="20" t="n"/>
      <c r="AH209" s="20" t="n"/>
      <c r="AI209" s="21">
        <f>IF(AE209="","",WORKDAY(AE209,5))</f>
        <v/>
      </c>
      <c r="AJ209" s="20" t="n"/>
      <c r="AK209" s="20" t="n"/>
    </row>
    <row r="210">
      <c r="A210" s="15" t="inlineStr">
        <is>
          <t>Netherlands</t>
        </is>
      </c>
      <c r="B210" s="16" t="n">
        <v>209</v>
      </c>
      <c r="C210" s="17" t="n">
        <v>3</v>
      </c>
      <c r="D210" s="18" t="inlineStr">
        <is>
          <t>Stationery &amp; Office</t>
        </is>
      </c>
      <c r="E210" s="18" t="inlineStr">
        <is>
          <t>Complies BV</t>
        </is>
      </c>
      <c r="F210" s="19" t="inlineStr">
        <is>
          <t>https://wisepim.com/suppliers/complies</t>
        </is>
      </c>
      <c r="G210" s="18" t="inlineStr">
        <is>
          <t>Netherlands</t>
        </is>
      </c>
      <c r="H210" s="18" t="inlineStr"/>
      <c r="I210" s="18" t="inlineStr">
        <is>
          <t>EU / Europe</t>
        </is>
      </c>
      <c r="J210" s="18" t="inlineStr">
        <is>
          <t>Higher</t>
        </is>
      </c>
      <c r="K210" s="18" t="inlineStr"/>
      <c r="L210" s="18" t="inlineStr"/>
      <c r="M210" s="18" t="inlineStr"/>
      <c r="N210" s="18" t="inlineStr">
        <is>
          <t>IT &amp; office distributor</t>
        </is>
      </c>
      <c r="O210" s="18" t="inlineStr">
        <is>
          <t>IT hardware, software &amp; office products</t>
        </is>
      </c>
      <c r="P210" s="18" t="inlineStr">
        <is>
          <t>IT &amp; office</t>
        </is>
      </c>
      <c r="Q210" s="18" t="inlineStr">
        <is>
          <t>On request</t>
        </is>
      </c>
      <c r="R210" s="18" t="inlineStr">
        <is>
          <t>Resellers &amp; webshops</t>
        </is>
      </c>
      <c r="S210" s="18" t="inlineStr">
        <is>
          <t>Ask</t>
        </is>
      </c>
      <c r="T210" s="18" t="inlineStr">
        <is>
          <t>Yes (webshops)</t>
        </is>
      </c>
      <c r="U210" s="18" t="inlineStr">
        <is>
          <t>Yes</t>
        </is>
      </c>
      <c r="V210" s="18" t="inlineStr"/>
      <c r="W210" s="18" t="inlineStr">
        <is>
          <t>Founded 1992; 6,000 m2 warehouse</t>
        </is>
      </c>
      <c r="X210" s="18" t="inlineStr">
        <is>
          <t>Dropshipment for webshop owners</t>
        </is>
      </c>
      <c r="Y210" s="18" t="inlineStr"/>
      <c r="Z210" s="18" t="inlineStr">
        <is>
          <t>PIM supplier profile</t>
        </is>
      </c>
      <c r="AA210" s="19" t="inlineStr">
        <is>
          <t>Source link</t>
        </is>
      </c>
      <c r="AB210" s="19" t="inlineStr">
        <is>
          <t>Search LinkedIn</t>
        </is>
      </c>
      <c r="AC210" s="18" t="inlineStr">
        <is>
          <t>Round 2</t>
        </is>
      </c>
      <c r="AD210" s="20" t="inlineStr">
        <is>
          <t>Not contacted</t>
        </is>
      </c>
      <c r="AE210" s="21" t="n"/>
      <c r="AF210" s="20" t="n"/>
      <c r="AG210" s="20" t="n"/>
      <c r="AH210" s="20" t="n"/>
      <c r="AI210" s="21">
        <f>IF(AE210="","",WORKDAY(AE210,5))</f>
        <v/>
      </c>
      <c r="AJ210" s="20" t="n"/>
      <c r="AK210" s="20" t="n"/>
    </row>
    <row r="211">
      <c r="A211" s="15" t="inlineStr">
        <is>
          <t>Netherlands</t>
        </is>
      </c>
      <c r="B211" s="16" t="n">
        <v>210</v>
      </c>
      <c r="C211" s="17" t="n">
        <v>4</v>
      </c>
      <c r="D211" s="18" t="inlineStr">
        <is>
          <t>Toys &amp; Games</t>
        </is>
      </c>
      <c r="E211" s="18" t="inlineStr">
        <is>
          <t>European Player Network (EPN) - Asmodee</t>
        </is>
      </c>
      <c r="F211" s="19" t="inlineStr">
        <is>
          <t>https://epngames.com</t>
        </is>
      </c>
      <c r="G211" s="18" t="inlineStr">
        <is>
          <t>Helmond</t>
        </is>
      </c>
      <c r="H211" s="18" t="inlineStr"/>
      <c r="I211" s="18" t="inlineStr">
        <is>
          <t>EU / Europe</t>
        </is>
      </c>
      <c r="J211" s="18" t="inlineStr">
        <is>
          <t>Higher</t>
        </is>
      </c>
      <c r="K211" s="18" t="inlineStr">
        <is>
          <t>Helmond</t>
        </is>
      </c>
      <c r="L211" s="18" t="inlineStr"/>
      <c r="M211" s="18" t="inlineStr">
        <is>
          <t>info@epn-europe.com</t>
        </is>
      </c>
      <c r="N211" s="18" t="inlineStr">
        <is>
          <t>Board game distributor (Asmodee Group)</t>
        </is>
      </c>
      <c r="O211" s="18" t="inlineStr">
        <is>
          <t>English-language tabletop games: AEG, Mandoo, Runes Editions + more</t>
        </is>
      </c>
      <c r="P211" s="18" t="inlineStr">
        <is>
          <t>Board games</t>
        </is>
      </c>
      <c r="Q211" s="18" t="inlineStr">
        <is>
          <t>Store orders ship from €500 (2023 report)</t>
        </is>
      </c>
      <c r="R211" s="18" t="inlineStr">
        <is>
          <t>Retailers via B2B webshop</t>
        </is>
      </c>
      <c r="S211" s="18" t="inlineStr">
        <is>
          <t>Europe-wide - ask</t>
        </is>
      </c>
      <c r="T211" s="18" t="inlineStr">
        <is>
          <t>Unknown</t>
        </is>
      </c>
      <c r="U211" s="18" t="inlineStr">
        <is>
          <t>No</t>
        </is>
      </c>
      <c r="V211" s="18" t="inlineStr"/>
      <c r="W211" s="18" t="inlineStr">
        <is>
          <t>Part of Asmodee Group; NL warehouse</t>
        </is>
      </c>
      <c r="X211" s="18" t="inlineStr">
        <is>
          <t>Board games sell strongly on Amazon UK</t>
        </is>
      </c>
      <c r="Y211" s="18" t="inlineStr"/>
      <c r="Z211" s="18" t="inlineStr">
        <is>
          <t>Company website + trade press</t>
        </is>
      </c>
      <c r="AA211" s="19" t="inlineStr">
        <is>
          <t>Source link</t>
        </is>
      </c>
      <c r="AB211" s="19" t="inlineStr">
        <is>
          <t>Search LinkedIn</t>
        </is>
      </c>
      <c r="AC211" s="18" t="inlineStr">
        <is>
          <t>Round 2</t>
        </is>
      </c>
      <c r="AD211" s="20" t="inlineStr">
        <is>
          <t>Not contacted</t>
        </is>
      </c>
      <c r="AE211" s="21" t="n"/>
      <c r="AF211" s="20" t="n"/>
      <c r="AG211" s="20" t="n"/>
      <c r="AH211" s="20" t="n"/>
      <c r="AI211" s="21">
        <f>IF(AE211="","",WORKDAY(AE211,5))</f>
        <v/>
      </c>
      <c r="AJ211" s="20" t="n"/>
      <c r="AK211" s="20" t="n"/>
    </row>
    <row r="212">
      <c r="A212" s="15" t="inlineStr">
        <is>
          <t>Netherlands</t>
        </is>
      </c>
      <c r="B212" s="16" t="n">
        <v>211</v>
      </c>
      <c r="C212" s="17" t="n">
        <v>4</v>
      </c>
      <c r="D212" s="18" t="inlineStr">
        <is>
          <t>Toys &amp; Games</t>
        </is>
      </c>
      <c r="E212" s="18" t="inlineStr">
        <is>
          <t>Koninklijke Jumbo B.V. (Jumbo Group)</t>
        </is>
      </c>
      <c r="F212" s="19" t="inlineStr">
        <is>
          <t>https://www.jumbo.eu/en/about/</t>
        </is>
      </c>
      <c r="G212" s="18" t="inlineStr">
        <is>
          <t>Zaandam</t>
        </is>
      </c>
      <c r="H212" s="18" t="inlineStr"/>
      <c r="I212" s="18" t="inlineStr">
        <is>
          <t>EU / Europe</t>
        </is>
      </c>
      <c r="J212" s="18" t="inlineStr">
        <is>
          <t>Higher</t>
        </is>
      </c>
      <c r="K212" s="18" t="inlineStr">
        <is>
          <t>Westzijde 184, 1506 EK Zaandam</t>
        </is>
      </c>
      <c r="L212" s="18" t="inlineStr"/>
      <c r="M212" s="18" t="inlineStr"/>
      <c r="N212" s="18" t="inlineStr">
        <is>
          <t>Brand owner / publisher</t>
        </is>
      </c>
      <c r="O212" s="18" t="inlineStr">
        <is>
          <t>Jumbo games &amp; puzzles, Diset (ES), James Galt (UK), Dujardin (FR)</t>
        </is>
      </c>
      <c r="P212" s="18" t="inlineStr">
        <is>
          <t>Games &amp; puzzles</t>
        </is>
      </c>
      <c r="Q212" s="18" t="inlineStr">
        <is>
          <t>Account based</t>
        </is>
      </c>
      <c r="R212" s="18" t="inlineStr">
        <is>
          <t>Retailers; export department for other markets</t>
        </is>
      </c>
      <c r="S212" s="18" t="inlineStr">
        <is>
          <t>Yes - UK office (James Galt)</t>
        </is>
      </c>
      <c r="T212" s="18" t="inlineStr">
        <is>
          <t>Unknown</t>
        </is>
      </c>
      <c r="U212" s="18" t="inlineStr">
        <is>
          <t>Unknown</t>
        </is>
      </c>
      <c r="V212" s="18" t="inlineStr"/>
      <c r="W212" s="18" t="inlineStr">
        <is>
          <t>Royal-warranted Dutch games company; ~130 staff; offices BE, DE, UK</t>
        </is>
      </c>
      <c r="X212" s="18" t="inlineStr">
        <is>
          <t>Puzzles &amp; games strong year-round</t>
        </is>
      </c>
      <c r="Y212" s="18" t="inlineStr"/>
      <c r="Z212" s="18" t="inlineStr">
        <is>
          <t>Company site + Wikipedia</t>
        </is>
      </c>
      <c r="AA212" s="19" t="inlineStr">
        <is>
          <t>Source link</t>
        </is>
      </c>
      <c r="AB212" s="19" t="inlineStr">
        <is>
          <t>Search LinkedIn</t>
        </is>
      </c>
      <c r="AC212" s="18" t="inlineStr">
        <is>
          <t>Round 4</t>
        </is>
      </c>
      <c r="AD212" s="20" t="inlineStr">
        <is>
          <t>Not contacted</t>
        </is>
      </c>
      <c r="AE212" s="21" t="n"/>
      <c r="AF212" s="20" t="n"/>
      <c r="AG212" s="20" t="n"/>
      <c r="AH212" s="20" t="n"/>
      <c r="AI212" s="21">
        <f>IF(AE212="","",WORKDAY(AE212,5))</f>
        <v/>
      </c>
      <c r="AJ212" s="20" t="n"/>
      <c r="AK212" s="20" t="n"/>
    </row>
    <row r="213">
      <c r="A213" s="15" t="inlineStr">
        <is>
          <t>Netherlands</t>
        </is>
      </c>
      <c r="B213" s="16" t="n">
        <v>212</v>
      </c>
      <c r="C213" s="17" t="n">
        <v>4</v>
      </c>
      <c r="D213" s="18" t="inlineStr">
        <is>
          <t>Toys &amp; Games</t>
        </is>
      </c>
      <c r="E213" s="18" t="inlineStr">
        <is>
          <t>SES Creative B.V.</t>
        </is>
      </c>
      <c r="F213" s="19" t="inlineStr">
        <is>
          <t>https://www.ses-creative.com</t>
        </is>
      </c>
      <c r="G213" s="18" t="inlineStr">
        <is>
          <t>Enschede</t>
        </is>
      </c>
      <c r="H213" s="18" t="inlineStr"/>
      <c r="I213" s="18" t="inlineStr">
        <is>
          <t>EU / Europe</t>
        </is>
      </c>
      <c r="J213" s="18" t="inlineStr">
        <is>
          <t>Higher</t>
        </is>
      </c>
      <c r="K213" s="18" t="inlineStr">
        <is>
          <t>Marssteden 46, 7547 TC Enschede</t>
        </is>
      </c>
      <c r="L213" s="18" t="inlineStr">
        <is>
          <t>+31 53 428 9666</t>
        </is>
      </c>
      <c r="M213" s="18" t="inlineStr"/>
      <c r="N213" s="18" t="inlineStr">
        <is>
          <t>Brand owner / manufacturer</t>
        </is>
      </c>
      <c r="O213" s="18" t="inlineStr">
        <is>
          <t>SES Creative arts &amp; crafts, early-years creative toys (500+ products)</t>
        </is>
      </c>
      <c r="P213" s="18" t="inlineStr">
        <is>
          <t>Creative / craft toys</t>
        </is>
      </c>
      <c r="Q213" s="18" t="inlineStr">
        <is>
          <t>On request</t>
        </is>
      </c>
      <c r="R213" s="18" t="inlineStr">
        <is>
          <t>Retailers &amp; distributors</t>
        </is>
      </c>
      <c r="S213" s="18" t="inlineStr">
        <is>
          <t>Has UK &amp; Ireland country manager (Damien Collett)</t>
        </is>
      </c>
      <c r="T213" s="18" t="inlineStr">
        <is>
          <t>Unknown</t>
        </is>
      </c>
      <c r="U213" s="18" t="inlineStr">
        <is>
          <t>Unknown</t>
        </is>
      </c>
      <c r="V213" s="18" t="inlineStr"/>
      <c r="W213" s="18" t="inlineStr">
        <is>
          <t>Sold in 70-75+ countries; London Toy Fair exhibitor</t>
        </is>
      </c>
      <c r="X213" s="18" t="inlineStr">
        <is>
          <t>Brand-direct invoices; craft kits are strong sellers</t>
        </is>
      </c>
      <c r="Y213" s="18" t="inlineStr"/>
      <c r="Z213" s="18" t="inlineStr">
        <is>
          <t>Toy Fair listing + company profile</t>
        </is>
      </c>
      <c r="AA213" s="19" t="inlineStr">
        <is>
          <t>Source link</t>
        </is>
      </c>
      <c r="AB213" s="19" t="inlineStr">
        <is>
          <t>Search LinkedIn</t>
        </is>
      </c>
      <c r="AC213" s="18" t="inlineStr">
        <is>
          <t>Round 4</t>
        </is>
      </c>
      <c r="AD213" s="20" t="inlineStr">
        <is>
          <t>Not contacted</t>
        </is>
      </c>
      <c r="AE213" s="21" t="n"/>
      <c r="AF213" s="20" t="n"/>
      <c r="AG213" s="20" t="n"/>
      <c r="AH213" s="20" t="n"/>
      <c r="AI213" s="21">
        <f>IF(AE213="","",WORKDAY(AE213,5))</f>
        <v/>
      </c>
      <c r="AJ213" s="20" t="n"/>
      <c r="AK213" s="20" t="n"/>
    </row>
    <row r="214">
      <c r="A214" s="15" t="inlineStr">
        <is>
          <t>Netherlands</t>
        </is>
      </c>
      <c r="B214" s="16" t="n">
        <v>213</v>
      </c>
      <c r="C214" s="17" t="n">
        <v>3</v>
      </c>
      <c r="D214" s="18" t="inlineStr">
        <is>
          <t>Toys &amp; Games</t>
        </is>
      </c>
      <c r="E214" s="18" t="inlineStr">
        <is>
          <t>Spectron The Toy Company</t>
        </is>
      </c>
      <c r="F214" s="19" t="inlineStr">
        <is>
          <t>https://www.spectrontoys.com</t>
        </is>
      </c>
      <c r="G214" s="18" t="inlineStr">
        <is>
          <t>Deventer</t>
        </is>
      </c>
      <c r="H214" s="18" t="inlineStr"/>
      <c r="I214" s="18" t="inlineStr">
        <is>
          <t>EU / Europe</t>
        </is>
      </c>
      <c r="J214" s="18" t="inlineStr">
        <is>
          <t>Higher</t>
        </is>
      </c>
      <c r="K214" s="18" t="inlineStr">
        <is>
          <t>Solingenstraat 53, 7421 ZR Deventer</t>
        </is>
      </c>
      <c r="L214" s="18" t="inlineStr"/>
      <c r="M214" s="18" t="inlineStr"/>
      <c r="N214" s="18" t="inlineStr">
        <is>
          <t>Exclusive Benelux distributor</t>
        </is>
      </c>
      <c r="O214" s="18" t="inlineStr">
        <is>
          <t>Silverlit, IMC Toys, TOMY, Lamaze, 3Doodler, XQ Toys, Gear2Play, Tech4Kids</t>
        </is>
      </c>
      <c r="P214" s="18" t="inlineStr">
        <is>
          <t>Branded toys</t>
        </is>
      </c>
      <c r="Q214" s="18" t="inlineStr">
        <is>
          <t>On request</t>
        </is>
      </c>
      <c r="R214" s="18" t="inlineStr">
        <is>
          <t>Retailers, online retailers, buying groups</t>
        </is>
      </c>
      <c r="S214" s="18" t="inlineStr">
        <is>
          <t>Benelux/DE focus - check</t>
        </is>
      </c>
      <c r="T214" s="18" t="inlineStr">
        <is>
          <t>Unknown</t>
        </is>
      </c>
      <c r="U214" s="18" t="inlineStr">
        <is>
          <t>Unknown</t>
        </is>
      </c>
      <c r="V214" s="18" t="inlineStr"/>
      <c r="W214" s="18" t="inlineStr">
        <is>
          <t>Offices NL/DE/BE; MD John Boeyen</t>
        </is>
      </c>
      <c r="X214" s="18" t="inlineStr">
        <is>
          <t>Supplies online retailers</t>
        </is>
      </c>
      <c r="Y214" s="18" t="inlineStr">
        <is>
          <t>For Amazon EU (DE/NL) more than UK.</t>
        </is>
      </c>
      <c r="Z214" s="18" t="inlineStr">
        <is>
          <t>Directory + trade press</t>
        </is>
      </c>
      <c r="AA214" s="19" t="inlineStr">
        <is>
          <t>Source link</t>
        </is>
      </c>
      <c r="AB214" s="19" t="inlineStr">
        <is>
          <t>Search LinkedIn</t>
        </is>
      </c>
      <c r="AC214" s="18" t="inlineStr">
        <is>
          <t>Round 1</t>
        </is>
      </c>
      <c r="AD214" s="20" t="inlineStr">
        <is>
          <t>Not contacted</t>
        </is>
      </c>
      <c r="AE214" s="21" t="n"/>
      <c r="AF214" s="20" t="n"/>
      <c r="AG214" s="20" t="n"/>
      <c r="AH214" s="20" t="n"/>
      <c r="AI214" s="21">
        <f>IF(AE214="","",WORKDAY(AE214,5))</f>
        <v/>
      </c>
      <c r="AJ214" s="20" t="n"/>
      <c r="AK214" s="20" t="n"/>
    </row>
    <row r="215">
      <c r="A215" s="15" t="inlineStr">
        <is>
          <t>Netherlands</t>
        </is>
      </c>
      <c r="B215" s="16" t="n">
        <v>214</v>
      </c>
      <c r="C215" s="17" t="n">
        <v>3</v>
      </c>
      <c r="D215" s="18" t="inlineStr">
        <is>
          <t>Toys &amp; Games</t>
        </is>
      </c>
      <c r="E215" s="18" t="inlineStr">
        <is>
          <t>Toi-Toys</t>
        </is>
      </c>
      <c r="F215" s="18" t="inlineStr">
        <is>
          <t>Not confirmed - search company name</t>
        </is>
      </c>
      <c r="G215" s="18" t="inlineStr">
        <is>
          <t>Eindhoven</t>
        </is>
      </c>
      <c r="H215" s="18" t="inlineStr"/>
      <c r="I215" s="18" t="inlineStr">
        <is>
          <t>EU / Europe</t>
        </is>
      </c>
      <c r="J215" s="18" t="inlineStr">
        <is>
          <t>Higher</t>
        </is>
      </c>
      <c r="K215" s="18" t="inlineStr">
        <is>
          <t>Luchthavenweg 48, 5657 EB Eindhoven (KvK 17072521)</t>
        </is>
      </c>
      <c r="L215" s="18" t="inlineStr">
        <is>
          <t>+31 40 254 3610 (verify)</t>
        </is>
      </c>
      <c r="M215" s="18" t="inlineStr"/>
      <c r="N215" s="18" t="inlineStr">
        <is>
          <t>Toy wholesaler / own brand</t>
        </is>
      </c>
      <c r="O215" s="18" t="inlineStr">
        <is>
          <t>Toi-Toys pocket-money &amp; budget toys</t>
        </is>
      </c>
      <c r="P215" s="18" t="inlineStr">
        <is>
          <t>Budget toys</t>
        </is>
      </c>
      <c r="Q215" s="18" t="inlineStr">
        <is>
          <t>On request</t>
        </is>
      </c>
      <c r="R215" s="18" t="inlineStr">
        <is>
          <t>Toy shops, supermarkets, drugstores, department stores</t>
        </is>
      </c>
      <c r="S215" s="18" t="inlineStr">
        <is>
          <t>Ask</t>
        </is>
      </c>
      <c r="T215" s="18" t="inlineStr">
        <is>
          <t>Unknown</t>
        </is>
      </c>
      <c r="U215" s="18" t="inlineStr">
        <is>
          <t>Unknown</t>
        </is>
      </c>
      <c r="V215" s="18" t="inlineStr">
        <is>
          <t>KvK 17072521</t>
        </is>
      </c>
      <c r="W215" s="18" t="inlineStr">
        <is>
          <t>KvK registered</t>
        </is>
      </c>
      <c r="X215" s="18" t="inlineStr">
        <is>
          <t>Own-brand budget toys - watch FBA fees on low prices</t>
        </is>
      </c>
      <c r="Y215" s="18" t="inlineStr"/>
      <c r="Z215" s="18" t="inlineStr">
        <is>
          <t>KvK data + data aggregator</t>
        </is>
      </c>
      <c r="AA215" s="19" t="inlineStr">
        <is>
          <t>Source link</t>
        </is>
      </c>
      <c r="AB215" s="19" t="inlineStr">
        <is>
          <t>Search LinkedIn</t>
        </is>
      </c>
      <c r="AC215" s="18" t="inlineStr">
        <is>
          <t>Round 3</t>
        </is>
      </c>
      <c r="AD215" s="20" t="inlineStr">
        <is>
          <t>Not contacted</t>
        </is>
      </c>
      <c r="AE215" s="21" t="n"/>
      <c r="AF215" s="20" t="n"/>
      <c r="AG215" s="20" t="n"/>
      <c r="AH215" s="20" t="n"/>
      <c r="AI215" s="21">
        <f>IF(AE215="","",WORKDAY(AE215,5))</f>
        <v/>
      </c>
      <c r="AJ215" s="20" t="n"/>
      <c r="AK215" s="20" t="n"/>
    </row>
    <row r="216">
      <c r="A216" s="15" t="inlineStr">
        <is>
          <t>Netherlands</t>
        </is>
      </c>
      <c r="B216" s="16" t="n">
        <v>215</v>
      </c>
      <c r="C216" s="17" t="n">
        <v>2</v>
      </c>
      <c r="D216" s="18" t="inlineStr">
        <is>
          <t>Toys &amp; Games</t>
        </is>
      </c>
      <c r="E216" s="18" t="inlineStr">
        <is>
          <t>Bellus Toys B.V.</t>
        </is>
      </c>
      <c r="F216" s="19" t="inlineStr">
        <is>
          <t>https://iaapa.org/partners/marketplace/bellus-toys-bv</t>
        </is>
      </c>
      <c r="G216" s="18" t="inlineStr">
        <is>
          <t>Geldrop</t>
        </is>
      </c>
      <c r="H216" s="18" t="inlineStr"/>
      <c r="I216" s="18" t="inlineStr">
        <is>
          <t>EU / Europe</t>
        </is>
      </c>
      <c r="J216" s="18" t="inlineStr">
        <is>
          <t>Higher</t>
        </is>
      </c>
      <c r="K216" s="18" t="inlineStr">
        <is>
          <t>Spaarpot Oost 4-B, 5667 KT Geldrop</t>
        </is>
      </c>
      <c r="L216" s="18" t="inlineStr"/>
      <c r="M216" s="18" t="inlineStr"/>
      <c r="N216" s="18" t="inlineStr">
        <is>
          <t>Toy wholesaler</t>
        </is>
      </c>
      <c r="O216" s="18" t="inlineStr">
        <is>
          <t>Plush &amp; small toys</t>
        </is>
      </c>
      <c r="P216" s="18" t="inlineStr">
        <is>
          <t>Plush toys</t>
        </is>
      </c>
      <c r="Q216" s="18" t="inlineStr">
        <is>
          <t>On request</t>
        </is>
      </c>
      <c r="R216" s="18" t="inlineStr">
        <is>
          <t>Trade</t>
        </is>
      </c>
      <c r="S216" s="18" t="inlineStr">
        <is>
          <t>Ask</t>
        </is>
      </c>
      <c r="T216" s="18" t="inlineStr">
        <is>
          <t>Unknown</t>
        </is>
      </c>
      <c r="U216" s="18" t="inlineStr">
        <is>
          <t>Unknown</t>
        </is>
      </c>
      <c r="V216" s="18" t="inlineStr"/>
      <c r="W216" s="18" t="inlineStr">
        <is>
          <t>Founded 2015; IAAPA marketplace listing</t>
        </is>
      </c>
      <c r="X216" s="18" t="inlineStr"/>
      <c r="Y216" s="18" t="inlineStr"/>
      <c r="Z216" s="18" t="inlineStr">
        <is>
          <t>Trade directory</t>
        </is>
      </c>
      <c r="AA216" s="19" t="inlineStr">
        <is>
          <t>Source link</t>
        </is>
      </c>
      <c r="AB216" s="19" t="inlineStr">
        <is>
          <t>Search LinkedIn</t>
        </is>
      </c>
      <c r="AC216" s="18" t="inlineStr">
        <is>
          <t>Round 3</t>
        </is>
      </c>
      <c r="AD216" s="20" t="inlineStr">
        <is>
          <t>Not contacted</t>
        </is>
      </c>
      <c r="AE216" s="21" t="n"/>
      <c r="AF216" s="20" t="n"/>
      <c r="AG216" s="20" t="n"/>
      <c r="AH216" s="20" t="n"/>
      <c r="AI216" s="21">
        <f>IF(AE216="","",WORKDAY(AE216,5))</f>
        <v/>
      </c>
      <c r="AJ216" s="20" t="n"/>
      <c r="AK216" s="20" t="n"/>
    </row>
    <row r="217">
      <c r="A217" s="15" t="inlineStr">
        <is>
          <t>Netherlands</t>
        </is>
      </c>
      <c r="B217" s="16" t="n">
        <v>216</v>
      </c>
      <c r="C217" s="17" t="n">
        <v>2</v>
      </c>
      <c r="D217" s="18" t="inlineStr">
        <is>
          <t>Toys &amp; Games</t>
        </is>
      </c>
      <c r="E217" s="18" t="inlineStr">
        <is>
          <t>Channel Distribution B.V.</t>
        </is>
      </c>
      <c r="F217" s="19" t="inlineStr">
        <is>
          <t>https://www.channeldistribution.nl</t>
        </is>
      </c>
      <c r="G217" s="18" t="inlineStr">
        <is>
          <t>Drachten</t>
        </is>
      </c>
      <c r="H217" s="18" t="inlineStr"/>
      <c r="I217" s="18" t="inlineStr">
        <is>
          <t>EU / Europe</t>
        </is>
      </c>
      <c r="J217" s="18" t="inlineStr">
        <is>
          <t>Higher</t>
        </is>
      </c>
      <c r="K217" s="18" t="inlineStr">
        <is>
          <t>Drachten</t>
        </is>
      </c>
      <c r="L217" s="18" t="inlineStr">
        <is>
          <t>+31 512 570 050</t>
        </is>
      </c>
      <c r="M217" s="18" t="inlineStr"/>
      <c r="N217" s="18" t="inlineStr">
        <is>
          <t>Gifts &amp; gadgets wholesaler</t>
        </is>
      </c>
      <c r="O217" s="18" t="inlineStr">
        <is>
          <t>Gifts, gadgets, novelty</t>
        </is>
      </c>
      <c r="P217" s="18" t="inlineStr">
        <is>
          <t>Gifts &amp; gadgets</t>
        </is>
      </c>
      <c r="Q217" s="18" t="inlineStr">
        <is>
          <t>On request</t>
        </is>
      </c>
      <c r="R217" s="18" t="inlineStr">
        <is>
          <t>Retailers</t>
        </is>
      </c>
      <c r="S217" s="18" t="inlineStr">
        <is>
          <t>Ask</t>
        </is>
      </c>
      <c r="T217" s="18" t="inlineStr">
        <is>
          <t>Unknown</t>
        </is>
      </c>
      <c r="U217" s="18" t="inlineStr">
        <is>
          <t>Unknown</t>
        </is>
      </c>
      <c r="V217" s="18" t="inlineStr"/>
      <c r="W217" s="18" t="inlineStr">
        <is>
          <t>Directory listing</t>
        </is>
      </c>
      <c r="X217" s="18" t="inlineStr"/>
      <c r="Y217" s="18" t="inlineStr"/>
      <c r="Z217" s="18" t="inlineStr">
        <is>
          <t>Directory only</t>
        </is>
      </c>
      <c r="AA217" s="19" t="inlineStr">
        <is>
          <t>Source link</t>
        </is>
      </c>
      <c r="AB217" s="19" t="inlineStr">
        <is>
          <t>Search LinkedIn</t>
        </is>
      </c>
      <c r="AC217" s="18" t="inlineStr">
        <is>
          <t>Round 2</t>
        </is>
      </c>
      <c r="AD217" s="20" t="inlineStr">
        <is>
          <t>Not contacted</t>
        </is>
      </c>
      <c r="AE217" s="21" t="n"/>
      <c r="AF217" s="20" t="n"/>
      <c r="AG217" s="20" t="n"/>
      <c r="AH217" s="20" t="n"/>
      <c r="AI217" s="21">
        <f>IF(AE217="","",WORKDAY(AE217,5))</f>
        <v/>
      </c>
      <c r="AJ217" s="20" t="n"/>
      <c r="AK217" s="20" t="n"/>
    </row>
    <row r="218">
      <c r="A218" s="22" t="inlineStr">
        <is>
          <t>Poland</t>
        </is>
      </c>
      <c r="B218" s="23" t="n">
        <v>217</v>
      </c>
      <c r="C218" s="10" t="n">
        <v>1</v>
      </c>
      <c r="D218" s="11" t="inlineStr">
        <is>
          <t>B2B Marketplace</t>
        </is>
      </c>
      <c r="E218" s="11" t="inlineStr">
        <is>
          <t>Merkandi</t>
        </is>
      </c>
      <c r="F218" s="12" t="inlineStr">
        <is>
          <t>https://merkandi.com</t>
        </is>
      </c>
      <c r="G218" s="11" t="inlineStr"/>
      <c r="H218" s="11" t="inlineStr"/>
      <c r="I218" s="11" t="inlineStr">
        <is>
          <t>EU / Europe</t>
        </is>
      </c>
      <c r="J218" s="11" t="inlineStr">
        <is>
          <t>Low-cost</t>
        </is>
      </c>
      <c r="K218" s="11" t="inlineStr"/>
      <c r="L218" s="11" t="inlineStr"/>
      <c r="M218" s="11" t="inlineStr"/>
      <c r="N218" s="11" t="inlineStr">
        <is>
          <t>Stock-lot / liquidation marketplace</t>
        </is>
      </c>
      <c r="O218" s="11" t="inlineStr">
        <is>
          <t>Overstock, clearance, returns (mixed condition)</t>
        </is>
      </c>
      <c r="P218" s="11" t="inlineStr">
        <is>
          <t>Clearance lots</t>
        </is>
      </c>
      <c r="Q218" s="11" t="inlineStr">
        <is>
          <t>Per lot</t>
        </is>
      </c>
      <c r="R218" s="11" t="inlineStr">
        <is>
          <t>Annual subscription</t>
        </is>
      </c>
      <c r="S218" s="11" t="inlineStr">
        <is>
          <t>Yes</t>
        </is>
      </c>
      <c r="T218" s="11" t="inlineStr">
        <is>
          <t>Unknown</t>
        </is>
      </c>
      <c r="U218" s="11" t="inlineStr">
        <is>
          <t>Unknown</t>
        </is>
      </c>
      <c r="V218" s="11" t="inlineStr"/>
      <c r="W218" s="11" t="inlineStr">
        <is>
          <t>Large EU platform</t>
        </is>
      </c>
      <c r="X218" s="11" t="inlineStr">
        <is>
          <t>CAUTION: filter for 'New' grade only; vet each seller</t>
        </is>
      </c>
      <c r="Y218" s="11" t="inlineStr"/>
      <c r="Z218" s="11" t="inlineStr">
        <is>
          <t>Reviews</t>
        </is>
      </c>
      <c r="AA218" s="12" t="inlineStr">
        <is>
          <t>Source link</t>
        </is>
      </c>
      <c r="AB218" s="12" t="inlineStr">
        <is>
          <t>Search LinkedIn</t>
        </is>
      </c>
      <c r="AC218" s="11" t="inlineStr">
        <is>
          <t>Round 1</t>
        </is>
      </c>
      <c r="AD218" s="13" t="inlineStr">
        <is>
          <t>Not contacted</t>
        </is>
      </c>
      <c r="AE218" s="14" t="n"/>
      <c r="AF218" s="13" t="n"/>
      <c r="AG218" s="13" t="n"/>
      <c r="AH218" s="13" t="n"/>
      <c r="AI218" s="14">
        <f>IF(AE218="","",WORKDAY(AE218,5))</f>
        <v/>
      </c>
      <c r="AJ218" s="13" t="n"/>
      <c r="AK218" s="13" t="n"/>
    </row>
    <row r="219">
      <c r="A219" s="24" t="inlineStr">
        <is>
          <t>Poland</t>
        </is>
      </c>
      <c r="B219" s="25" t="n">
        <v>218</v>
      </c>
      <c r="C219" s="17" t="n">
        <v>5</v>
      </c>
      <c r="D219" s="18" t="inlineStr">
        <is>
          <t>Baby Products</t>
        </is>
      </c>
      <c r="E219" s="18" t="inlineStr">
        <is>
          <t>BrandLine Group Sp. z o.o. (Lionelo)</t>
        </is>
      </c>
      <c r="F219" s="19" t="inlineStr">
        <is>
          <t>https://www.lionelo.com</t>
        </is>
      </c>
      <c r="G219" s="18" t="inlineStr">
        <is>
          <t>Poznań</t>
        </is>
      </c>
      <c r="H219" s="18" t="inlineStr"/>
      <c r="I219" s="18" t="inlineStr">
        <is>
          <t>EU / Europe</t>
        </is>
      </c>
      <c r="J219" s="18" t="inlineStr">
        <is>
          <t>Low-cost</t>
        </is>
      </c>
      <c r="K219" s="18" t="inlineStr">
        <is>
          <t>ul. A. Kręglewskiego 1, 61-248 Poznań</t>
        </is>
      </c>
      <c r="L219" s="18" t="inlineStr">
        <is>
          <t>+48 61 222 2980</t>
        </is>
      </c>
      <c r="M219" s="18" t="inlineStr">
        <is>
          <t>sprzedaz@brandlinegroup.com</t>
        </is>
      </c>
      <c r="N219" s="18" t="inlineStr">
        <is>
          <t>Brand owner</t>
        </is>
      </c>
      <c r="O219" s="18" t="inlineStr">
        <is>
          <t>Lionelo baby products; also Overmax electronics, Pelvio</t>
        </is>
      </c>
      <c r="P219" s="18" t="inlineStr">
        <is>
          <t>Nursery, feeding, baby tech</t>
        </is>
      </c>
      <c r="Q219" s="18" t="inlineStr">
        <is>
          <t>On request</t>
        </is>
      </c>
      <c r="R219" s="18" t="inlineStr">
        <is>
          <t>Chains, distributors, agents, local shops &amp; marketplace stores</t>
        </is>
      </c>
      <c r="S219" s="18" t="inlineStr">
        <is>
          <t>Has international key account team - ask</t>
        </is>
      </c>
      <c r="T219" s="18" t="inlineStr">
        <is>
          <t>Yes (marketplace stores)</t>
        </is>
      </c>
      <c r="U219" s="18" t="inlineStr">
        <is>
          <t>Unknown</t>
        </is>
      </c>
      <c r="V219" s="18" t="inlineStr"/>
      <c r="W219" s="18" t="inlineStr">
        <is>
          <t>~20 years trading; Kids' Time exhibitor</t>
        </is>
      </c>
      <c r="X219" s="18" t="inlineStr">
        <is>
          <t>Explicitly works with marketplace-type stores</t>
        </is>
      </c>
      <c r="Y219" s="18" t="inlineStr"/>
      <c r="Z219" s="18" t="inlineStr">
        <is>
          <t>Trade fair listing + job listing</t>
        </is>
      </c>
      <c r="AA219" s="19" t="inlineStr">
        <is>
          <t>Source link</t>
        </is>
      </c>
      <c r="AB219" s="19" t="inlineStr">
        <is>
          <t>Search LinkedIn</t>
        </is>
      </c>
      <c r="AC219" s="18" t="inlineStr">
        <is>
          <t>Round 4</t>
        </is>
      </c>
      <c r="AD219" s="20" t="inlineStr">
        <is>
          <t>Not contacted</t>
        </is>
      </c>
      <c r="AE219" s="21" t="n"/>
      <c r="AF219" s="20" t="n"/>
      <c r="AG219" s="20" t="n"/>
      <c r="AH219" s="20" t="n"/>
      <c r="AI219" s="21">
        <f>IF(AE219="","",WORKDAY(AE219,5))</f>
        <v/>
      </c>
      <c r="AJ219" s="20" t="n"/>
      <c r="AK219" s="20" t="n"/>
    </row>
    <row r="220">
      <c r="A220" s="24" t="inlineStr">
        <is>
          <t>Poland</t>
        </is>
      </c>
      <c r="B220" s="25" t="n">
        <v>219</v>
      </c>
      <c r="C220" s="17" t="n">
        <v>4</v>
      </c>
      <c r="D220" s="18" t="inlineStr">
        <is>
          <t>Baby Products</t>
        </is>
      </c>
      <c r="E220" s="18" t="inlineStr">
        <is>
          <t>4Kraft Sp. z o.o. (Kinderkraft, Kiddy)</t>
        </is>
      </c>
      <c r="F220" s="19" t="inlineStr">
        <is>
          <t>https://www.kinderkraft.com</t>
        </is>
      </c>
      <c r="G220" s="18" t="inlineStr">
        <is>
          <t>Poznań</t>
        </is>
      </c>
      <c r="H220" s="18" t="inlineStr"/>
      <c r="I220" s="18" t="inlineStr">
        <is>
          <t>EU / Europe</t>
        </is>
      </c>
      <c r="J220" s="18" t="inlineStr">
        <is>
          <t>Low-cost</t>
        </is>
      </c>
      <c r="K220" s="18" t="inlineStr">
        <is>
          <t>Poznań (offices also Frankfurt &amp; Suzhou)</t>
        </is>
      </c>
      <c r="L220" s="18" t="inlineStr"/>
      <c r="M220" s="18" t="inlineStr"/>
      <c r="N220" s="18" t="inlineStr">
        <is>
          <t>Brand owner (B2B &amp; e-commerce)</t>
        </is>
      </c>
      <c r="O220" s="18" t="inlineStr">
        <is>
          <t>Kinderkraft pushchairs, car seats, high chairs, cots; Kiddy car seats</t>
        </is>
      </c>
      <c r="P220" s="18" t="inlineStr">
        <is>
          <t>Nursery &amp; travel</t>
        </is>
      </c>
      <c r="Q220" s="18" t="inlineStr">
        <is>
          <t>On request</t>
        </is>
      </c>
      <c r="R220" s="18" t="inlineStr">
        <is>
          <t>B2B partners &amp; e-commerce</t>
        </is>
      </c>
      <c r="S220" s="18" t="inlineStr">
        <is>
          <t>Sold across Europe - ask</t>
        </is>
      </c>
      <c r="T220" s="18" t="inlineStr">
        <is>
          <t>Yes (e-commerce focus)</t>
        </is>
      </c>
      <c r="U220" s="18" t="inlineStr">
        <is>
          <t>Unknown</t>
        </is>
      </c>
      <c r="V220" s="18" t="inlineStr"/>
      <c r="W220" s="18" t="inlineStr">
        <is>
          <t>Established Polish nursery brand; offices in PL, DE, CN</t>
        </is>
      </c>
      <c r="X220" s="18" t="inlineStr">
        <is>
          <t>Very strong Amazon EU/UK brand; car seats need extra compliance care</t>
        </is>
      </c>
      <c r="Y220" s="18" t="inlineStr"/>
      <c r="Z220" s="18" t="inlineStr">
        <is>
          <t>Investor &amp; company profiles</t>
        </is>
      </c>
      <c r="AA220" s="19" t="inlineStr">
        <is>
          <t>Source link</t>
        </is>
      </c>
      <c r="AB220" s="19" t="inlineStr">
        <is>
          <t>Search LinkedIn</t>
        </is>
      </c>
      <c r="AC220" s="18" t="inlineStr">
        <is>
          <t>Round 4</t>
        </is>
      </c>
      <c r="AD220" s="20" t="inlineStr">
        <is>
          <t>Not contacted</t>
        </is>
      </c>
      <c r="AE220" s="21" t="n"/>
      <c r="AF220" s="20" t="n"/>
      <c r="AG220" s="20" t="n"/>
      <c r="AH220" s="20" t="n"/>
      <c r="AI220" s="21">
        <f>IF(AE220="","",WORKDAY(AE220,5))</f>
        <v/>
      </c>
      <c r="AJ220" s="20" t="n"/>
      <c r="AK220" s="20" t="n"/>
    </row>
    <row r="221">
      <c r="A221" s="24" t="inlineStr">
        <is>
          <t>Poland</t>
        </is>
      </c>
      <c r="B221" s="25" t="n">
        <v>220</v>
      </c>
      <c r="C221" s="17" t="n">
        <v>4</v>
      </c>
      <c r="D221" s="18" t="inlineStr">
        <is>
          <t>Baby Products</t>
        </is>
      </c>
      <c r="E221" s="18" t="inlineStr">
        <is>
          <t>Canpol Sp. z o.o. (Canpol babies, LOVI, Difrax)</t>
        </is>
      </c>
      <c r="F221" s="19" t="inlineStr">
        <is>
          <t>https://canpolbabies.com/gb_EN/about-us</t>
        </is>
      </c>
      <c r="G221" s="18" t="inlineStr">
        <is>
          <t>Warsaw</t>
        </is>
      </c>
      <c r="H221" s="18" t="inlineStr"/>
      <c r="I221" s="18" t="inlineStr">
        <is>
          <t>EU / Europe</t>
        </is>
      </c>
      <c r="J221" s="18" t="inlineStr">
        <is>
          <t>Low-cost</t>
        </is>
      </c>
      <c r="K221" s="18" t="inlineStr">
        <is>
          <t>ul. Puławska 430, 02-884 Warszawa (KRS 0000732574)</t>
        </is>
      </c>
      <c r="L221" s="18" t="inlineStr"/>
      <c r="M221" s="18" t="inlineStr">
        <is>
          <t>babies@canpolbabies.com</t>
        </is>
      </c>
      <c r="N221" s="18" t="inlineStr">
        <is>
          <t>Brand owner / manufacturer</t>
        </is>
      </c>
      <c r="O221" s="18" t="inlineStr">
        <is>
          <t>Canpol babies, LOVI, Difrax - bottles, dummies, feeding, baby accessories</t>
        </is>
      </c>
      <c r="P221" s="18" t="inlineStr">
        <is>
          <t>Baby feeding &amp; accessories</t>
        </is>
      </c>
      <c r="Q221" s="18" t="inlineStr">
        <is>
          <t>On request</t>
        </is>
      </c>
      <c r="R221" s="18" t="inlineStr">
        <is>
          <t>Distributors &amp; retailers</t>
        </is>
      </c>
      <c r="S221" s="18" t="inlineStr">
        <is>
          <t>Sold in 50 countries - ask</t>
        </is>
      </c>
      <c r="T221" s="18" t="inlineStr">
        <is>
          <t>Unknown</t>
        </is>
      </c>
      <c r="U221" s="18" t="inlineStr">
        <is>
          <t>Unknown</t>
        </is>
      </c>
      <c r="V221" s="18" t="inlineStr">
        <is>
          <t>KRS 0000732574</t>
        </is>
      </c>
      <c r="W221" s="18" t="inlineStr">
        <is>
          <t>Leading baby-accessories producer in Poland/CEE; acquired Difrax</t>
        </is>
      </c>
      <c r="X221" s="18" t="inlineStr">
        <is>
          <t>Brand-direct invoices; also on Qogita</t>
        </is>
      </c>
      <c r="Y221" s="18" t="inlineStr"/>
      <c r="Z221" s="18" t="inlineStr">
        <is>
          <t>Company registry + company site</t>
        </is>
      </c>
      <c r="AA221" s="19" t="inlineStr">
        <is>
          <t>Source link</t>
        </is>
      </c>
      <c r="AB221" s="19" t="inlineStr">
        <is>
          <t>Search LinkedIn</t>
        </is>
      </c>
      <c r="AC221" s="18" t="inlineStr">
        <is>
          <t>Round 3</t>
        </is>
      </c>
      <c r="AD221" s="20" t="inlineStr">
        <is>
          <t>Not contacted</t>
        </is>
      </c>
      <c r="AE221" s="21" t="n"/>
      <c r="AF221" s="20" t="n"/>
      <c r="AG221" s="20" t="n"/>
      <c r="AH221" s="20" t="n"/>
      <c r="AI221" s="21">
        <f>IF(AE221="","",WORKDAY(AE221,5))</f>
        <v/>
      </c>
      <c r="AJ221" s="20" t="n"/>
      <c r="AK221" s="20" t="n"/>
    </row>
    <row r="222">
      <c r="A222" s="24" t="inlineStr">
        <is>
          <t>Poland</t>
        </is>
      </c>
      <c r="B222" s="25" t="n">
        <v>221</v>
      </c>
      <c r="C222" s="17" t="n">
        <v>3</v>
      </c>
      <c r="D222" s="18" t="inlineStr">
        <is>
          <t>Baby Products</t>
        </is>
      </c>
      <c r="E222" s="18" t="inlineStr">
        <is>
          <t>BabyOno</t>
        </is>
      </c>
      <c r="F222" s="18" t="inlineStr">
        <is>
          <t>Not confirmed - search company name</t>
        </is>
      </c>
      <c r="G222" s="18" t="inlineStr">
        <is>
          <t>Poznań</t>
        </is>
      </c>
      <c r="H222" s="18" t="inlineStr"/>
      <c r="I222" s="18" t="inlineStr">
        <is>
          <t>EU / Europe</t>
        </is>
      </c>
      <c r="J222" s="18" t="inlineStr">
        <is>
          <t>Low-cost</t>
        </is>
      </c>
      <c r="K222" s="18" t="inlineStr">
        <is>
          <t>Poznań</t>
        </is>
      </c>
      <c r="L222" s="18" t="inlineStr"/>
      <c r="M222" s="18" t="inlineStr">
        <is>
          <t>babyono@babyono.pl (verify)</t>
        </is>
      </c>
      <c r="N222" s="18" t="inlineStr">
        <is>
          <t>Brand owner</t>
        </is>
      </c>
      <c r="O222" s="18" t="inlineStr">
        <is>
          <t>BabyOno baby care, feeding, maternity accessories</t>
        </is>
      </c>
      <c r="P222" s="18" t="inlineStr">
        <is>
          <t>Baby accessories</t>
        </is>
      </c>
      <c r="Q222" s="18" t="inlineStr">
        <is>
          <t>On request</t>
        </is>
      </c>
      <c r="R222" s="18" t="inlineStr">
        <is>
          <t>Retailers</t>
        </is>
      </c>
      <c r="S222" s="18" t="inlineStr">
        <is>
          <t>Ask</t>
        </is>
      </c>
      <c r="T222" s="18" t="inlineStr">
        <is>
          <t>Unknown</t>
        </is>
      </c>
      <c r="U222" s="18" t="inlineStr">
        <is>
          <t>Unknown</t>
        </is>
      </c>
      <c r="V222" s="18" t="inlineStr"/>
      <c r="W222" s="18" t="inlineStr">
        <is>
          <t>Founded 1990; sold by major PL/CZ pharmacy chains</t>
        </is>
      </c>
      <c r="X222" s="18" t="inlineStr">
        <is>
          <t>Also on Qogita</t>
        </is>
      </c>
      <c r="Y222" s="18" t="inlineStr"/>
      <c r="Z222" s="18" t="inlineStr">
        <is>
          <t>Retailer listings</t>
        </is>
      </c>
      <c r="AA222" s="19" t="inlineStr">
        <is>
          <t>Source link</t>
        </is>
      </c>
      <c r="AB222" s="19" t="inlineStr">
        <is>
          <t>Search LinkedIn</t>
        </is>
      </c>
      <c r="AC222" s="18" t="inlineStr">
        <is>
          <t>Round 3</t>
        </is>
      </c>
      <c r="AD222" s="20" t="inlineStr">
        <is>
          <t>Not contacted</t>
        </is>
      </c>
      <c r="AE222" s="21" t="n"/>
      <c r="AF222" s="20" t="n"/>
      <c r="AG222" s="20" t="n"/>
      <c r="AH222" s="20" t="n"/>
      <c r="AI222" s="21">
        <f>IF(AE222="","",WORKDAY(AE222,5))</f>
        <v/>
      </c>
      <c r="AJ222" s="20" t="n"/>
      <c r="AK222" s="20" t="n"/>
    </row>
    <row r="223">
      <c r="A223" s="24" t="inlineStr">
        <is>
          <t>Poland</t>
        </is>
      </c>
      <c r="B223" s="25" t="n">
        <v>222</v>
      </c>
      <c r="C223" s="17" t="n">
        <v>3</v>
      </c>
      <c r="D223" s="18" t="inlineStr">
        <is>
          <t>Baby Products</t>
        </is>
      </c>
      <c r="E223" s="18" t="inlineStr">
        <is>
          <t>Kids Inspirations Sp. z o.o.</t>
        </is>
      </c>
      <c r="F223" s="19" t="inlineStr">
        <is>
          <t>https://trade.gov.pl/en/?p=63431</t>
        </is>
      </c>
      <c r="G223" s="18" t="inlineStr">
        <is>
          <t>Warsaw</t>
        </is>
      </c>
      <c r="H223" s="18" t="inlineStr"/>
      <c r="I223" s="18" t="inlineStr">
        <is>
          <t>EU / Europe</t>
        </is>
      </c>
      <c r="J223" s="18" t="inlineStr">
        <is>
          <t>Low-cost</t>
        </is>
      </c>
      <c r="K223" s="18" t="inlineStr">
        <is>
          <t>Warsaw</t>
        </is>
      </c>
      <c r="L223" s="18" t="inlineStr">
        <is>
          <t>+48 887 554 048</t>
        </is>
      </c>
      <c r="M223" s="18" t="inlineStr">
        <is>
          <t>sklep@kidsinspirations.pl</t>
        </is>
      </c>
      <c r="N223" s="18" t="inlineStr">
        <is>
          <t>Exclusive distributor</t>
        </is>
      </c>
      <c r="O223" s="18" t="inlineStr">
        <is>
          <t>Little Dutch, Baby Brezza, Auzou, TIMIO, Bébé-Jou (PL exclusive)</t>
        </is>
      </c>
      <c r="P223" s="18" t="inlineStr">
        <is>
          <t>Baby &amp; kids brands</t>
        </is>
      </c>
      <c r="Q223" s="18" t="inlineStr">
        <is>
          <t>On request</t>
        </is>
      </c>
      <c r="R223" s="18" t="inlineStr">
        <is>
          <t>Retailers</t>
        </is>
      </c>
      <c r="S223" s="18" t="inlineStr">
        <is>
          <t>PL territory - ask about export</t>
        </is>
      </c>
      <c r="T223" s="18" t="inlineStr">
        <is>
          <t>Unknown</t>
        </is>
      </c>
      <c r="U223" s="18" t="inlineStr">
        <is>
          <t>Unknown</t>
        </is>
      </c>
      <c r="V223" s="18" t="inlineStr"/>
      <c r="W223" s="18" t="inlineStr">
        <is>
          <t>Kids' Time exhibitor; listed on Polish trade portal</t>
        </is>
      </c>
      <c r="X223" s="18" t="inlineStr"/>
      <c r="Y223" s="18" t="inlineStr"/>
      <c r="Z223" s="18" t="inlineStr">
        <is>
          <t>Trade fair + gov trade portal</t>
        </is>
      </c>
      <c r="AA223" s="19" t="inlineStr">
        <is>
          <t>Source link</t>
        </is>
      </c>
      <c r="AB223" s="19" t="inlineStr">
        <is>
          <t>Search LinkedIn</t>
        </is>
      </c>
      <c r="AC223" s="18" t="inlineStr">
        <is>
          <t>Round 4</t>
        </is>
      </c>
      <c r="AD223" s="20" t="inlineStr">
        <is>
          <t>Not contacted</t>
        </is>
      </c>
      <c r="AE223" s="21" t="n"/>
      <c r="AF223" s="20" t="n"/>
      <c r="AG223" s="20" t="n"/>
      <c r="AH223" s="20" t="n"/>
      <c r="AI223" s="21">
        <f>IF(AE223="","",WORKDAY(AE223,5))</f>
        <v/>
      </c>
      <c r="AJ223" s="20" t="n"/>
      <c r="AK223" s="20" t="n"/>
    </row>
    <row r="224">
      <c r="A224" s="24" t="inlineStr">
        <is>
          <t>Poland</t>
        </is>
      </c>
      <c r="B224" s="25" t="n">
        <v>223</v>
      </c>
      <c r="C224" s="17" t="n">
        <v>4</v>
      </c>
      <c r="D224" s="18" t="inlineStr">
        <is>
          <t>Beauty</t>
        </is>
      </c>
      <c r="E224" s="18" t="inlineStr">
        <is>
          <t>Bielenda Group S.A.</t>
        </is>
      </c>
      <c r="F224" s="19" t="inlineStr">
        <is>
          <t>https://www.bielenda.pl/en/about-us</t>
        </is>
      </c>
      <c r="G224" s="18" t="inlineStr">
        <is>
          <t>Kraków</t>
        </is>
      </c>
      <c r="H224" s="18" t="inlineStr"/>
      <c r="I224" s="18" t="inlineStr">
        <is>
          <t>EU / Europe</t>
        </is>
      </c>
      <c r="J224" s="18" t="inlineStr">
        <is>
          <t>Low-cost</t>
        </is>
      </c>
      <c r="K224" s="18" t="inlineStr">
        <is>
          <t>Fabryczna 20, 31-553 Kraków</t>
        </is>
      </c>
      <c r="L224" s="18" t="inlineStr"/>
      <c r="M224" s="18" t="inlineStr"/>
      <c r="N224" s="18" t="inlineStr">
        <is>
          <t>Brand owner / manufacturer</t>
        </is>
      </c>
      <c r="O224" s="18" t="inlineStr">
        <is>
          <t>Bielenda, Bielenda Professional, Soraya, Dermika, BodyBoom</t>
        </is>
      </c>
      <c r="P224" s="18" t="inlineStr">
        <is>
          <t>Skincare &amp; body care</t>
        </is>
      </c>
      <c r="Q224" s="18" t="inlineStr">
        <is>
          <t>On request</t>
        </is>
      </c>
      <c r="R224" s="18" t="inlineStr">
        <is>
          <t>Distributors &amp; retailers (international sales team in Kraków)</t>
        </is>
      </c>
      <c r="S224" s="18" t="inlineStr">
        <is>
          <t>Sold in 45-55 countries incl. UK - ask</t>
        </is>
      </c>
      <c r="T224" s="18" t="inlineStr">
        <is>
          <t>Unknown</t>
        </is>
      </c>
      <c r="U224" s="18" t="inlineStr">
        <is>
          <t>Unknown</t>
        </is>
      </c>
      <c r="V224" s="18" t="inlineStr"/>
      <c r="W224" s="18" t="inlineStr">
        <is>
          <t>Major Polish cosmetics group; own R&amp;D &amp; manufacturing</t>
        </is>
      </c>
      <c r="X224" s="18" t="inlineStr">
        <is>
          <t>Good-value skincare brands; brand-direct invoices</t>
        </is>
      </c>
      <c r="Y224" s="18" t="inlineStr"/>
      <c r="Z224" s="18" t="inlineStr">
        <is>
          <t>Company site + job listings</t>
        </is>
      </c>
      <c r="AA224" s="19" t="inlineStr">
        <is>
          <t>Source link</t>
        </is>
      </c>
      <c r="AB224" s="19" t="inlineStr">
        <is>
          <t>Search LinkedIn</t>
        </is>
      </c>
      <c r="AC224" s="18" t="inlineStr">
        <is>
          <t>Round 4</t>
        </is>
      </c>
      <c r="AD224" s="20" t="inlineStr">
        <is>
          <t>Not contacted</t>
        </is>
      </c>
      <c r="AE224" s="21" t="n"/>
      <c r="AF224" s="20" t="n"/>
      <c r="AG224" s="20" t="n"/>
      <c r="AH224" s="20" t="n"/>
      <c r="AI224" s="21">
        <f>IF(AE224="","",WORKDAY(AE224,5))</f>
        <v/>
      </c>
      <c r="AJ224" s="20" t="n"/>
      <c r="AK224" s="20" t="n"/>
    </row>
    <row r="225">
      <c r="A225" s="24" t="inlineStr">
        <is>
          <t>Poland</t>
        </is>
      </c>
      <c r="B225" s="25" t="n">
        <v>224</v>
      </c>
      <c r="C225" s="17" t="n">
        <v>4</v>
      </c>
      <c r="D225" s="18" t="inlineStr">
        <is>
          <t>Beauty</t>
        </is>
      </c>
      <c r="E225" s="26" t="inlineStr">
        <is>
          <t>Delia Cosmetics Sp. z o.o.</t>
        </is>
      </c>
      <c r="F225" s="18" t="inlineStr">
        <is>
          <t>Not confirmed - search company name</t>
        </is>
      </c>
      <c r="G225" s="18" t="inlineStr">
        <is>
          <t>Rzgów (Łódź)</t>
        </is>
      </c>
      <c r="H225" s="18" t="inlineStr"/>
      <c r="I225" s="18" t="inlineStr">
        <is>
          <t>EU / Europe</t>
        </is>
      </c>
      <c r="J225" s="18" t="inlineStr">
        <is>
          <t>Low-cost</t>
        </is>
      </c>
      <c r="K225" s="18" t="inlineStr">
        <is>
          <t>ul. Leśna 5, 95-030 Rzgów</t>
        </is>
      </c>
      <c r="L225" s="18" t="inlineStr"/>
      <c r="M225" s="18" t="inlineStr"/>
      <c r="N225" s="18" t="inlineStr">
        <is>
          <t>Brand owner / manufacturer</t>
        </is>
      </c>
      <c r="O225" s="18" t="inlineStr">
        <is>
          <t>Delia, Cameleo (hair), Humanist</t>
        </is>
      </c>
      <c r="P225" s="18" t="inlineStr">
        <is>
          <t>Hair colour, nail &amp; skincare</t>
        </is>
      </c>
      <c r="Q225" s="18" t="inlineStr">
        <is>
          <t>On request</t>
        </is>
      </c>
      <c r="R225" s="18" t="inlineStr">
        <is>
          <t>Distributors (75+ countries)</t>
        </is>
      </c>
      <c r="S225" s="18" t="inlineStr">
        <is>
          <t>Ask</t>
        </is>
      </c>
      <c r="T225" s="18" t="inlineStr">
        <is>
          <t>Unknown</t>
        </is>
      </c>
      <c r="U225" s="18" t="inlineStr">
        <is>
          <t>Unknown</t>
        </is>
      </c>
      <c r="V225" s="18" t="inlineStr"/>
      <c r="W225" s="18" t="inlineStr">
        <is>
          <t>Polish government export portal (trade.gov.pl) profile; ~EUR 35m turnover; ISO 9001 / GMP; 2 factories</t>
        </is>
      </c>
      <c r="X225" s="18" t="inlineStr">
        <is>
          <t>Polish cosmetics are cheap to buy wholesale - good margin on hennas &amp; brow tints</t>
        </is>
      </c>
      <c r="Y225" s="18" t="inlineStr"/>
      <c r="Z225" s="18" t="inlineStr">
        <is>
          <t>Government export portal + trade data</t>
        </is>
      </c>
      <c r="AA225" s="19" t="inlineStr">
        <is>
          <t>Source link</t>
        </is>
      </c>
      <c r="AB225" s="19" t="inlineStr">
        <is>
          <t>Search LinkedIn</t>
        </is>
      </c>
      <c r="AC225" s="18" t="inlineStr">
        <is>
          <t>Round 5</t>
        </is>
      </c>
      <c r="AD225" s="20" t="inlineStr">
        <is>
          <t>Not contacted</t>
        </is>
      </c>
      <c r="AE225" s="21" t="n"/>
      <c r="AF225" s="20" t="n"/>
      <c r="AG225" s="20" t="n"/>
      <c r="AH225" s="20" t="n"/>
      <c r="AI225" s="21">
        <f>IF(AE225="","",WORKDAY(AE225,5))</f>
        <v/>
      </c>
      <c r="AJ225" s="20" t="n"/>
      <c r="AK225" s="20" t="n"/>
    </row>
    <row r="226">
      <c r="A226" s="24" t="inlineStr">
        <is>
          <t>Poland</t>
        </is>
      </c>
      <c r="B226" s="25" t="n">
        <v>225</v>
      </c>
      <c r="C226" s="17" t="n">
        <v>4</v>
      </c>
      <c r="D226" s="18" t="inlineStr">
        <is>
          <t>Beauty</t>
        </is>
      </c>
      <c r="E226" s="18" t="inlineStr">
        <is>
          <t>Eveline Cosmetics</t>
        </is>
      </c>
      <c r="F226" s="19" t="inlineStr">
        <is>
          <t>https://www.eveline.com.pl</t>
        </is>
      </c>
      <c r="G226" s="18" t="inlineStr">
        <is>
          <t>Lesznowola (near Warsaw)</t>
        </is>
      </c>
      <c r="H226" s="18" t="inlineStr"/>
      <c r="I226" s="18" t="inlineStr">
        <is>
          <t>EU / Europe</t>
        </is>
      </c>
      <c r="J226" s="18" t="inlineStr">
        <is>
          <t>Low-cost</t>
        </is>
      </c>
      <c r="K226" s="18" t="inlineStr">
        <is>
          <t>ul. Żytnia, Lesznowola (verify)</t>
        </is>
      </c>
      <c r="L226" s="18" t="inlineStr">
        <is>
          <t>+48 22 228 8228 (verify)</t>
        </is>
      </c>
      <c r="M226" s="18" t="inlineStr"/>
      <c r="N226" s="18" t="inlineStr">
        <is>
          <t>Brand owner / manufacturer &amp; exporter</t>
        </is>
      </c>
      <c r="O226" s="18" t="inlineStr">
        <is>
          <t>Eveline skincare, makeup, body care</t>
        </is>
      </c>
      <c r="P226" s="18" t="inlineStr">
        <is>
          <t>Mass beauty</t>
        </is>
      </c>
      <c r="Q226" s="18" t="inlineStr">
        <is>
          <t>On request</t>
        </is>
      </c>
      <c r="R226" s="18" t="inlineStr">
        <is>
          <t>Distributors &amp; retailers</t>
        </is>
      </c>
      <c r="S226" s="18" t="inlineStr">
        <is>
          <t>Present in 70+ countries - ask</t>
        </is>
      </c>
      <c r="T226" s="18" t="inlineStr">
        <is>
          <t>Unknown</t>
        </is>
      </c>
      <c r="U226" s="18" t="inlineStr">
        <is>
          <t>Unknown</t>
        </is>
      </c>
      <c r="V226" s="18" t="inlineStr"/>
      <c r="W226" s="18" t="inlineStr">
        <is>
          <t>Largest Polish cosmetics manufacturer &amp; exporter (Targi Kielce)</t>
        </is>
      </c>
      <c r="X226" s="18" t="inlineStr">
        <is>
          <t>Brand-direct invoices; budget beauty sells well</t>
        </is>
      </c>
      <c r="Y226" s="18" t="inlineStr">
        <is>
          <t>Has export directors by region.</t>
        </is>
      </c>
      <c r="Z226" s="18" t="inlineStr">
        <is>
          <t>Trade fair notice + data aggregator</t>
        </is>
      </c>
      <c r="AA226" s="19" t="inlineStr">
        <is>
          <t>Source link</t>
        </is>
      </c>
      <c r="AB226" s="19" t="inlineStr">
        <is>
          <t>Search LinkedIn</t>
        </is>
      </c>
      <c r="AC226" s="18" t="inlineStr">
        <is>
          <t>Round 3</t>
        </is>
      </c>
      <c r="AD226" s="20" t="inlineStr">
        <is>
          <t>Not contacted</t>
        </is>
      </c>
      <c r="AE226" s="21" t="n"/>
      <c r="AF226" s="20" t="n"/>
      <c r="AG226" s="20" t="n"/>
      <c r="AH226" s="20" t="n"/>
      <c r="AI226" s="21">
        <f>IF(AE226="","",WORKDAY(AE226,5))</f>
        <v/>
      </c>
      <c r="AJ226" s="20" t="n"/>
      <c r="AK226" s="20" t="n"/>
    </row>
    <row r="227">
      <c r="A227" s="24" t="inlineStr">
        <is>
          <t>Poland</t>
        </is>
      </c>
      <c r="B227" s="25" t="n">
        <v>226</v>
      </c>
      <c r="C227" s="17" t="n">
        <v>4</v>
      </c>
      <c r="D227" s="18" t="inlineStr">
        <is>
          <t>Beauty</t>
        </is>
      </c>
      <c r="E227" s="18" t="inlineStr">
        <is>
          <t>Laboratorium Kosmetyków Naturalnych Farmona Sp. z o.o.</t>
        </is>
      </c>
      <c r="F227" s="19" t="inlineStr">
        <is>
          <t>https://farmona.pl/en/company/export/</t>
        </is>
      </c>
      <c r="G227" s="18" t="inlineStr">
        <is>
          <t>Kraków</t>
        </is>
      </c>
      <c r="H227" s="18" t="inlineStr"/>
      <c r="I227" s="18" t="inlineStr">
        <is>
          <t>EU / Europe</t>
        </is>
      </c>
      <c r="J227" s="18" t="inlineStr">
        <is>
          <t>Low-cost</t>
        </is>
      </c>
      <c r="K227" s="18" t="inlineStr">
        <is>
          <t>Jugowicka 10C, Kraków</t>
        </is>
      </c>
      <c r="L227" s="18" t="inlineStr"/>
      <c r="M227" s="18" t="inlineStr"/>
      <c r="N227" s="18" t="inlineStr">
        <is>
          <t>Brand owner / manufacturer</t>
        </is>
      </c>
      <c r="O227" s="18" t="inlineStr">
        <is>
          <t>Farmona, Tutti Frutti, Nivelazione, Herbal Care, Radical</t>
        </is>
      </c>
      <c r="P227" s="18" t="inlineStr">
        <is>
          <t>Skincare &amp; body care</t>
        </is>
      </c>
      <c r="Q227" s="18" t="inlineStr">
        <is>
          <t>On request</t>
        </is>
      </c>
      <c r="R227" s="18" t="inlineStr">
        <is>
          <t>Distributors (seeking new markets)</t>
        </is>
      </c>
      <c r="S227" s="18" t="inlineStr">
        <is>
          <t>Exports to 30+ countries - ask</t>
        </is>
      </c>
      <c r="T227" s="18" t="inlineStr">
        <is>
          <t>Unknown</t>
        </is>
      </c>
      <c r="U227" s="18" t="inlineStr">
        <is>
          <t>Unknown</t>
        </is>
      </c>
      <c r="V227" s="18" t="inlineStr"/>
      <c r="W227" s="18" t="inlineStr">
        <is>
          <t>ISO 22716 GMP certified; Cosmoprof &amp; Beautyworld exhibitor</t>
        </is>
      </c>
      <c r="X227" s="18" t="inlineStr"/>
      <c r="Y227" s="18" t="inlineStr">
        <is>
          <t>Has a dedicated export page.</t>
        </is>
      </c>
      <c r="Z227" s="18" t="inlineStr">
        <is>
          <t>Company export page + trade data</t>
        </is>
      </c>
      <c r="AA227" s="19" t="inlineStr">
        <is>
          <t>Source link</t>
        </is>
      </c>
      <c r="AB227" s="19" t="inlineStr">
        <is>
          <t>Search LinkedIn</t>
        </is>
      </c>
      <c r="AC227" s="18" t="inlineStr">
        <is>
          <t>Round 4</t>
        </is>
      </c>
      <c r="AD227" s="20" t="inlineStr">
        <is>
          <t>Not contacted</t>
        </is>
      </c>
      <c r="AE227" s="21" t="n"/>
      <c r="AF227" s="20" t="n"/>
      <c r="AG227" s="20" t="n"/>
      <c r="AH227" s="20" t="n"/>
      <c r="AI227" s="21">
        <f>IF(AE227="","",WORKDAY(AE227,5))</f>
        <v/>
      </c>
      <c r="AJ227" s="20" t="n"/>
      <c r="AK227" s="20" t="n"/>
    </row>
    <row r="228">
      <c r="A228" s="24" t="inlineStr">
        <is>
          <t>Poland</t>
        </is>
      </c>
      <c r="B228" s="25" t="n">
        <v>227</v>
      </c>
      <c r="C228" s="17" t="n">
        <v>3</v>
      </c>
      <c r="D228" s="18" t="inlineStr">
        <is>
          <t>Beauty</t>
        </is>
      </c>
      <c r="E228" s="18" t="inlineStr">
        <is>
          <t>Davi (Hurtownia Davi)</t>
        </is>
      </c>
      <c r="F228" s="18" t="inlineStr">
        <is>
          <t>Not confirmed - search company name</t>
        </is>
      </c>
      <c r="G228" s="18" t="inlineStr">
        <is>
          <t>Czachorów (near Gostyń)</t>
        </is>
      </c>
      <c r="H228" s="18" t="inlineStr"/>
      <c r="I228" s="18" t="inlineStr">
        <is>
          <t>EU / Europe</t>
        </is>
      </c>
      <c r="J228" s="18" t="inlineStr">
        <is>
          <t>Low-cost</t>
        </is>
      </c>
      <c r="K228" s="18" t="inlineStr">
        <is>
          <t>Czachorów, Gostyń</t>
        </is>
      </c>
      <c r="L228" s="18" t="inlineStr">
        <is>
          <t>+48 603 670 521 (2016 - verify)</t>
        </is>
      </c>
      <c r="M228" s="18" t="inlineStr"/>
      <c r="N228" s="18" t="inlineStr">
        <is>
          <t>Cosmetics wholesaler &amp; importer</t>
        </is>
      </c>
      <c r="O228" s="18" t="inlineStr">
        <is>
          <t>Mass cosmetics + exclusive Spanish &amp; Italian imported brands</t>
        </is>
      </c>
      <c r="P228" s="18" t="inlineStr">
        <is>
          <t>Mass beauty</t>
        </is>
      </c>
      <c r="Q228" s="18" t="inlineStr">
        <is>
          <t>On request</t>
        </is>
      </c>
      <c r="R228" s="18" t="inlineStr">
        <is>
          <t>Anyone selling cosmetics - B2B platform</t>
        </is>
      </c>
      <c r="S228" s="18" t="inlineStr">
        <is>
          <t>Ask</t>
        </is>
      </c>
      <c r="T228" s="18" t="inlineStr">
        <is>
          <t>Unknown</t>
        </is>
      </c>
      <c r="U228" s="18" t="inlineStr">
        <is>
          <t>Unknown</t>
        </is>
      </c>
      <c r="V228" s="18" t="inlineStr"/>
      <c r="W228" s="18" t="inlineStr">
        <is>
          <t>Established Polish wholesaler; B2B platform since 2019; 24h dispatch</t>
        </is>
      </c>
      <c r="X228" s="18" t="inlineStr"/>
      <c r="Y228" s="18" t="inlineStr"/>
      <c r="Z228" s="18" t="inlineStr">
        <is>
          <t>Trade press (Wiadomości Kosmetyczne)</t>
        </is>
      </c>
      <c r="AA228" s="19" t="inlineStr">
        <is>
          <t>Source link</t>
        </is>
      </c>
      <c r="AB228" s="19" t="inlineStr">
        <is>
          <t>Search LinkedIn</t>
        </is>
      </c>
      <c r="AC228" s="18" t="inlineStr">
        <is>
          <t>Round 2</t>
        </is>
      </c>
      <c r="AD228" s="20" t="inlineStr">
        <is>
          <t>Not contacted</t>
        </is>
      </c>
      <c r="AE228" s="21" t="n"/>
      <c r="AF228" s="20" t="n"/>
      <c r="AG228" s="20" t="n"/>
      <c r="AH228" s="20" t="n"/>
      <c r="AI228" s="21">
        <f>IF(AE228="","",WORKDAY(AE228,5))</f>
        <v/>
      </c>
      <c r="AJ228" s="20" t="n"/>
      <c r="AK228" s="20" t="n"/>
    </row>
    <row r="229">
      <c r="A229" s="24" t="inlineStr">
        <is>
          <t>Poland</t>
        </is>
      </c>
      <c r="B229" s="25" t="n">
        <v>228</v>
      </c>
      <c r="C229" s="17" t="n">
        <v>3</v>
      </c>
      <c r="D229" s="18" t="inlineStr">
        <is>
          <t>Beauty</t>
        </is>
      </c>
      <c r="E229" s="18" t="inlineStr">
        <is>
          <t>INGLOT Sp. z o.o.</t>
        </is>
      </c>
      <c r="F229" s="19" t="inlineStr">
        <is>
          <t>https://corp.inglotcosmetics.com/about-us/company-overview/</t>
        </is>
      </c>
      <c r="G229" s="18" t="inlineStr">
        <is>
          <t>Przemyśl</t>
        </is>
      </c>
      <c r="H229" s="18" t="inlineStr"/>
      <c r="I229" s="18" t="inlineStr">
        <is>
          <t>EU / Europe</t>
        </is>
      </c>
      <c r="J229" s="18" t="inlineStr">
        <is>
          <t>Low-cost</t>
        </is>
      </c>
      <c r="K229" s="18" t="inlineStr">
        <is>
          <t>Lwowska 154, 37-700 Przemyśl</t>
        </is>
      </c>
      <c r="L229" s="18" t="inlineStr"/>
      <c r="M229" s="18" t="inlineStr"/>
      <c r="N229" s="18" t="inlineStr">
        <is>
          <t>Brand owner / manufacturer</t>
        </is>
      </c>
      <c r="O229" s="18" t="inlineStr">
        <is>
          <t>INGLOT makeup, nail polish, Freedom System palettes</t>
        </is>
      </c>
      <c r="P229" s="18" t="inlineStr">
        <is>
          <t>Cosmetics</t>
        </is>
      </c>
      <c r="Q229" s="18" t="inlineStr">
        <is>
          <t>Account based</t>
        </is>
      </c>
      <c r="R229" s="18" t="inlineStr">
        <is>
          <t>Distribution partners (CSO Joanna Kobryło expanding channels)</t>
        </is>
      </c>
      <c r="S229" s="18" t="inlineStr">
        <is>
          <t>Exports to 90 markets - ask</t>
        </is>
      </c>
      <c r="T229" s="18" t="inlineStr">
        <is>
          <t>Unknown</t>
        </is>
      </c>
      <c r="U229" s="18" t="inlineStr">
        <is>
          <t>Unknown</t>
        </is>
      </c>
      <c r="V229" s="18" t="inlineStr"/>
      <c r="W229" s="18" t="inlineStr">
        <is>
          <t>Family-owned; own factory; US subsidiary</t>
        </is>
      </c>
      <c r="X229" s="18" t="inlineStr"/>
      <c r="Y229" s="18" t="inlineStr"/>
      <c r="Z229" s="18" t="inlineStr">
        <is>
          <t>Corporate site + business press</t>
        </is>
      </c>
      <c r="AA229" s="19" t="inlineStr">
        <is>
          <t>Source link</t>
        </is>
      </c>
      <c r="AB229" s="19" t="inlineStr">
        <is>
          <t>Search LinkedIn</t>
        </is>
      </c>
      <c r="AC229" s="18" t="inlineStr">
        <is>
          <t>Round 4</t>
        </is>
      </c>
      <c r="AD229" s="20" t="inlineStr">
        <is>
          <t>Not contacted</t>
        </is>
      </c>
      <c r="AE229" s="21" t="n"/>
      <c r="AF229" s="20" t="n"/>
      <c r="AG229" s="20" t="n"/>
      <c r="AH229" s="20" t="n"/>
      <c r="AI229" s="21">
        <f>IF(AE229="","",WORKDAY(AE229,5))</f>
        <v/>
      </c>
      <c r="AJ229" s="20" t="n"/>
      <c r="AK229" s="20" t="n"/>
    </row>
    <row r="230">
      <c r="A230" s="24" t="inlineStr">
        <is>
          <t>Poland</t>
        </is>
      </c>
      <c r="B230" s="25" t="n">
        <v>229</v>
      </c>
      <c r="C230" s="17" t="n">
        <v>3</v>
      </c>
      <c r="D230" s="18" t="inlineStr">
        <is>
          <t>Beauty</t>
        </is>
      </c>
      <c r="E230" s="26" t="inlineStr">
        <is>
          <t>Laboratorium Kosmetyczne Joanna sp.j.</t>
        </is>
      </c>
      <c r="F230" s="18" t="inlineStr">
        <is>
          <t>Not confirmed - search company name</t>
        </is>
      </c>
      <c r="G230" s="18" t="inlineStr">
        <is>
          <t>Warsaw</t>
        </is>
      </c>
      <c r="H230" s="18" t="inlineStr"/>
      <c r="I230" s="18" t="inlineStr">
        <is>
          <t>EU / Europe</t>
        </is>
      </c>
      <c r="J230" s="18" t="inlineStr">
        <is>
          <t>Low-cost</t>
        </is>
      </c>
      <c r="K230" s="18" t="inlineStr">
        <is>
          <t>ul. Gen. Józefa Zajączka 11/C2, 01-510 Warszawa</t>
        </is>
      </c>
      <c r="L230" s="18" t="inlineStr"/>
      <c r="M230" s="18" t="inlineStr"/>
      <c r="N230" s="18" t="inlineStr">
        <is>
          <t>Brand owner / manufacturer</t>
        </is>
      </c>
      <c r="O230" s="18" t="inlineStr">
        <is>
          <t>Joanna hair care, hair colour, depilation</t>
        </is>
      </c>
      <c r="P230" s="18" t="inlineStr">
        <is>
          <t>Hair care (budget)</t>
        </is>
      </c>
      <c r="Q230" s="18" t="inlineStr">
        <is>
          <t>On request</t>
        </is>
      </c>
      <c r="R230" s="18" t="inlineStr">
        <is>
          <t>Distributors / foreign partners</t>
        </is>
      </c>
      <c r="S230" s="18" t="inlineStr">
        <is>
          <t>Ask</t>
        </is>
      </c>
      <c r="T230" s="18" t="inlineStr">
        <is>
          <t>Unknown</t>
        </is>
      </c>
      <c r="U230" s="18" t="inlineStr">
        <is>
          <t>Unknown</t>
        </is>
      </c>
      <c r="V230" s="18" t="inlineStr"/>
      <c r="W230" s="18" t="inlineStr">
        <is>
          <t>40-year Polish brand (438 products); covered by trade press</t>
        </is>
      </c>
      <c r="X230" s="18" t="inlineStr">
        <is>
          <t>Very low unit cost hair care; check UK labelling</t>
        </is>
      </c>
      <c r="Y230" s="18" t="inlineStr"/>
      <c r="Z230" s="18" t="inlineStr">
        <is>
          <t>Trade press + company registry listing</t>
        </is>
      </c>
      <c r="AA230" s="19" t="inlineStr">
        <is>
          <t>Source link</t>
        </is>
      </c>
      <c r="AB230" s="19" t="inlineStr">
        <is>
          <t>Search LinkedIn</t>
        </is>
      </c>
      <c r="AC230" s="18" t="inlineStr">
        <is>
          <t>Round 5</t>
        </is>
      </c>
      <c r="AD230" s="20" t="inlineStr">
        <is>
          <t>Not contacted</t>
        </is>
      </c>
      <c r="AE230" s="21" t="n"/>
      <c r="AF230" s="20" t="n"/>
      <c r="AG230" s="20" t="n"/>
      <c r="AH230" s="20" t="n"/>
      <c r="AI230" s="21">
        <f>IF(AE230="","",WORKDAY(AE230,5))</f>
        <v/>
      </c>
      <c r="AJ230" s="20" t="n"/>
      <c r="AK230" s="20" t="n"/>
    </row>
    <row r="231">
      <c r="A231" s="24" t="inlineStr">
        <is>
          <t>Poland</t>
        </is>
      </c>
      <c r="B231" s="25" t="n">
        <v>230</v>
      </c>
      <c r="C231" s="17" t="n">
        <v>3</v>
      </c>
      <c r="D231" s="18" t="inlineStr">
        <is>
          <t>Beauty</t>
        </is>
      </c>
      <c r="E231" s="18" t="inlineStr">
        <is>
          <t>Ziaja Ltd</t>
        </is>
      </c>
      <c r="F231" s="19" t="inlineStr">
        <is>
          <t>https://www.ziaja.com</t>
        </is>
      </c>
      <c r="G231" s="18" t="inlineStr">
        <is>
          <t>Gdańsk</t>
        </is>
      </c>
      <c r="H231" s="18" t="inlineStr"/>
      <c r="I231" s="18" t="inlineStr">
        <is>
          <t>EU / Europe</t>
        </is>
      </c>
      <c r="J231" s="18" t="inlineStr">
        <is>
          <t>Low-cost</t>
        </is>
      </c>
      <c r="K231" s="18" t="inlineStr">
        <is>
          <t>Gdańsk</t>
        </is>
      </c>
      <c r="L231" s="18" t="inlineStr"/>
      <c r="M231" s="18" t="inlineStr"/>
      <c r="N231" s="18" t="inlineStr">
        <is>
          <t>Brand owner / manufacturer</t>
        </is>
      </c>
      <c r="O231" s="18" t="inlineStr">
        <is>
          <t>Ziaja skincare &amp; body care</t>
        </is>
      </c>
      <c r="P231" s="18" t="inlineStr">
        <is>
          <t>Skincare</t>
        </is>
      </c>
      <c r="Q231" s="18" t="inlineStr">
        <is>
          <t>On request</t>
        </is>
      </c>
      <c r="R231" s="18" t="inlineStr">
        <is>
          <t>Distributors &amp; retailers</t>
        </is>
      </c>
      <c r="S231" s="18" t="inlineStr">
        <is>
          <t>Already sold in UK - ask who the UK distributor is</t>
        </is>
      </c>
      <c r="T231" s="18" t="inlineStr">
        <is>
          <t>Unknown</t>
        </is>
      </c>
      <c r="U231" s="18" t="inlineStr">
        <is>
          <t>Unknown</t>
        </is>
      </c>
      <c r="V231" s="18" t="inlineStr"/>
      <c r="W231" s="18" t="inlineStr">
        <is>
          <t>Founded 1989; sold in 10+ countries</t>
        </is>
      </c>
      <c r="X231" s="18" t="inlineStr"/>
      <c r="Y231" s="18" t="inlineStr"/>
      <c r="Z231" s="18" t="inlineStr">
        <is>
          <t>Wikipedia</t>
        </is>
      </c>
      <c r="AA231" s="19" t="inlineStr">
        <is>
          <t>Source link</t>
        </is>
      </c>
      <c r="AB231" s="19" t="inlineStr">
        <is>
          <t>Search LinkedIn</t>
        </is>
      </c>
      <c r="AC231" s="18" t="inlineStr">
        <is>
          <t>Round 3</t>
        </is>
      </c>
      <c r="AD231" s="20" t="inlineStr">
        <is>
          <t>Not contacted</t>
        </is>
      </c>
      <c r="AE231" s="21" t="n"/>
      <c r="AF231" s="20" t="n"/>
      <c r="AG231" s="20" t="n"/>
      <c r="AH231" s="20" t="n"/>
      <c r="AI231" s="21">
        <f>IF(AE231="","",WORKDAY(AE231,5))</f>
        <v/>
      </c>
      <c r="AJ231" s="20" t="n"/>
      <c r="AK231" s="20" t="n"/>
    </row>
    <row r="232">
      <c r="A232" s="24" t="inlineStr">
        <is>
          <t>Poland</t>
        </is>
      </c>
      <c r="B232" s="25" t="n">
        <v>231</v>
      </c>
      <c r="C232" s="17" t="n">
        <v>5</v>
      </c>
      <c r="D232" s="18" t="inlineStr">
        <is>
          <t>DIY &amp; Tools</t>
        </is>
      </c>
      <c r="E232" s="18" t="inlineStr">
        <is>
          <t>TOYA S.A. (YATO, VOREL, STHOR, FLO, LUND)</t>
        </is>
      </c>
      <c r="F232" s="19" t="inlineStr">
        <is>
          <t>https://toya.pl/en/toya-group</t>
        </is>
      </c>
      <c r="G232" s="18" t="inlineStr">
        <is>
          <t>Wrocław</t>
        </is>
      </c>
      <c r="H232" s="18" t="inlineStr"/>
      <c r="I232" s="18" t="inlineStr">
        <is>
          <t>EU / Europe</t>
        </is>
      </c>
      <c r="J232" s="18" t="inlineStr">
        <is>
          <t>Low-cost</t>
        </is>
      </c>
      <c r="K232" s="18" t="inlineStr">
        <is>
          <t>ul. Sołtysowicka 13-15, 51-168 Wrocław</t>
        </is>
      </c>
      <c r="L232" s="18" t="inlineStr">
        <is>
          <t>+48 71 32 46 200</t>
        </is>
      </c>
      <c r="M232" s="18" t="inlineStr">
        <is>
          <t>export@yato.pl</t>
        </is>
      </c>
      <c r="N232" s="18" t="inlineStr">
        <is>
          <t>Brand owner / distributor (listed)</t>
        </is>
      </c>
      <c r="O232" s="18" t="inlineStr">
        <is>
          <t>YATO professional tools, VOREL, STHOR, FLO garden, LUND</t>
        </is>
      </c>
      <c r="P232" s="18" t="inlineStr">
        <is>
          <t>Hand &amp; power tools</t>
        </is>
      </c>
      <c r="Q232" s="18" t="inlineStr">
        <is>
          <t>On request</t>
        </is>
      </c>
      <c r="R232" s="18" t="inlineStr">
        <is>
          <t>Distributors &amp; retailers</t>
        </is>
      </c>
      <c r="S232" s="18" t="inlineStr">
        <is>
          <t>Distributes to 100+ countries - ask</t>
        </is>
      </c>
      <c r="T232" s="18" t="inlineStr">
        <is>
          <t>Unknown</t>
        </is>
      </c>
      <c r="U232" s="18" t="inlineStr">
        <is>
          <t>Unknown</t>
        </is>
      </c>
      <c r="V232" s="18" t="inlineStr"/>
      <c r="W232" s="18" t="inlineStr">
        <is>
          <t>Warsaw-listed group; Messe Frankfurt exhibitor; subsidiaries RO &amp; CN</t>
        </is>
      </c>
      <c r="X232" s="18" t="inlineStr">
        <is>
          <t>YATO is widely sold on Amazon EU - brand-direct invoices</t>
        </is>
      </c>
      <c r="Y232" s="18" t="inlineStr">
        <is>
          <t>Dedicated export email.</t>
        </is>
      </c>
      <c r="Z232" s="18" t="inlineStr">
        <is>
          <t>Company profile (trade fair) + company site</t>
        </is>
      </c>
      <c r="AA232" s="19" t="inlineStr">
        <is>
          <t>Source link</t>
        </is>
      </c>
      <c r="AB232" s="19" t="inlineStr">
        <is>
          <t>Search LinkedIn</t>
        </is>
      </c>
      <c r="AC232" s="18" t="inlineStr">
        <is>
          <t>Round 4</t>
        </is>
      </c>
      <c r="AD232" s="20" t="inlineStr">
        <is>
          <t>Not contacted</t>
        </is>
      </c>
      <c r="AE232" s="21" t="n"/>
      <c r="AF232" s="20" t="n"/>
      <c r="AG232" s="20" t="n"/>
      <c r="AH232" s="20" t="n"/>
      <c r="AI232" s="21">
        <f>IF(AE232="","",WORKDAY(AE232,5))</f>
        <v/>
      </c>
      <c r="AJ232" s="20" t="n"/>
      <c r="AK232" s="20" t="n"/>
    </row>
    <row r="233">
      <c r="A233" s="24" t="inlineStr">
        <is>
          <t>Poland</t>
        </is>
      </c>
      <c r="B233" s="25" t="n">
        <v>232</v>
      </c>
      <c r="C233" s="17" t="n">
        <v>4</v>
      </c>
      <c r="D233" s="18" t="inlineStr">
        <is>
          <t>DIY &amp; Tools</t>
        </is>
      </c>
      <c r="E233" s="18" t="inlineStr">
        <is>
          <t>GTX Poland Sp. z o.o. Sp. k. (formerly Grupa Topex)</t>
        </is>
      </c>
      <c r="F233" s="19" t="inlineStr">
        <is>
          <t>https://www.gtx-group.com/en/about-the-company/</t>
        </is>
      </c>
      <c r="G233" s="18" t="inlineStr">
        <is>
          <t>Warsaw</t>
        </is>
      </c>
      <c r="H233" s="18" t="inlineStr"/>
      <c r="I233" s="18" t="inlineStr">
        <is>
          <t>EU / Europe</t>
        </is>
      </c>
      <c r="J233" s="18" t="inlineStr">
        <is>
          <t>Low-cost</t>
        </is>
      </c>
      <c r="K233" s="18" t="inlineStr">
        <is>
          <t>Pograniczna 2/4, 02-285 Warszawa</t>
        </is>
      </c>
      <c r="L233" s="18" t="inlineStr"/>
      <c r="M233" s="18" t="inlineStr">
        <is>
          <t>office@gtx-group.com</t>
        </is>
      </c>
      <c r="N233" s="18" t="inlineStr">
        <is>
          <t>Brand owner / distributor</t>
        </is>
      </c>
      <c r="O233" s="18" t="inlineStr">
        <is>
          <t>NEO TOOLS, TOPEX, VERTO, TOP TOOLS, GRAPHITE, BAILDON</t>
        </is>
      </c>
      <c r="P233" s="18" t="inlineStr">
        <is>
          <t>Hand &amp; power tools</t>
        </is>
      </c>
      <c r="Q233" s="18" t="inlineStr">
        <is>
          <t>On request</t>
        </is>
      </c>
      <c r="R233" s="18" t="inlineStr">
        <is>
          <t>Sales partners (4,000 worldwide)</t>
        </is>
      </c>
      <c r="S233" s="18" t="inlineStr">
        <is>
          <t>Sold in 40 countries - ask</t>
        </is>
      </c>
      <c r="T233" s="18" t="inlineStr">
        <is>
          <t>Unknown</t>
        </is>
      </c>
      <c r="U233" s="18" t="inlineStr">
        <is>
          <t>Unknown</t>
        </is>
      </c>
      <c r="V233" s="18" t="inlineStr"/>
      <c r="W233" s="18" t="inlineStr">
        <is>
          <t>Major Polish tools group; subsidiaries in RO, UA, CN</t>
        </is>
      </c>
      <c r="X233" s="18" t="inlineStr">
        <is>
          <t>Own brands = direct invoices; NEO Tools strong on Amazon EU</t>
        </is>
      </c>
      <c r="Y233" s="18" t="inlineStr"/>
      <c r="Z233" s="18" t="inlineStr">
        <is>
          <t>Company website (via search)</t>
        </is>
      </c>
      <c r="AA233" s="19" t="inlineStr">
        <is>
          <t>Source link</t>
        </is>
      </c>
      <c r="AB233" s="19" t="inlineStr">
        <is>
          <t>Search LinkedIn</t>
        </is>
      </c>
      <c r="AC233" s="18" t="inlineStr">
        <is>
          <t>Round 3</t>
        </is>
      </c>
      <c r="AD233" s="20" t="inlineStr">
        <is>
          <t>Not contacted</t>
        </is>
      </c>
      <c r="AE233" s="21" t="n"/>
      <c r="AF233" s="20" t="n"/>
      <c r="AG233" s="20" t="n"/>
      <c r="AH233" s="20" t="n"/>
      <c r="AI233" s="21">
        <f>IF(AE233="","",WORKDAY(AE233,5))</f>
        <v/>
      </c>
      <c r="AJ233" s="20" t="n"/>
      <c r="AK233" s="20" t="n"/>
    </row>
    <row r="234">
      <c r="A234" s="24" t="inlineStr">
        <is>
          <t>Poland</t>
        </is>
      </c>
      <c r="B234" s="25" t="n">
        <v>233</v>
      </c>
      <c r="C234" s="17" t="n">
        <v>3</v>
      </c>
      <c r="D234" s="18" t="inlineStr">
        <is>
          <t>DIY &amp; Tools</t>
        </is>
      </c>
      <c r="E234" s="18" t="inlineStr">
        <is>
          <t>Dedra Exim Sp. z o.o.</t>
        </is>
      </c>
      <c r="F234" s="19" t="inlineStr">
        <is>
          <t>https://www.dedra.pl</t>
        </is>
      </c>
      <c r="G234" s="18" t="inlineStr">
        <is>
          <t>Pruszków (near Warsaw)</t>
        </is>
      </c>
      <c r="H234" s="18" t="inlineStr"/>
      <c r="I234" s="18" t="inlineStr">
        <is>
          <t>EU / Europe</t>
        </is>
      </c>
      <c r="J234" s="18" t="inlineStr">
        <is>
          <t>Low-cost</t>
        </is>
      </c>
      <c r="K234" s="18" t="inlineStr">
        <is>
          <t>ul. 3 Maja 8, 05-800 Pruszków</t>
        </is>
      </c>
      <c r="L234" s="18" t="inlineStr">
        <is>
          <t>+48 22 73 83 777</t>
        </is>
      </c>
      <c r="M234" s="18" t="inlineStr"/>
      <c r="N234" s="18" t="inlineStr">
        <is>
          <t>Brand owner / distributor</t>
        </is>
      </c>
      <c r="O234" s="18" t="inlineStr">
        <is>
          <t>Dedra power tools, garden &amp; workshop equipment</t>
        </is>
      </c>
      <c r="P234" s="18" t="inlineStr">
        <is>
          <t>Power tools &amp; garden</t>
        </is>
      </c>
      <c r="Q234" s="18" t="inlineStr">
        <is>
          <t>On request</t>
        </is>
      </c>
      <c r="R234" s="18" t="inlineStr">
        <is>
          <t>Trade - B2B portal</t>
        </is>
      </c>
      <c r="S234" s="18" t="inlineStr">
        <is>
          <t>Operates in 13 European countries - ask</t>
        </is>
      </c>
      <c r="T234" s="18" t="inlineStr">
        <is>
          <t>Unknown</t>
        </is>
      </c>
      <c r="U234" s="18" t="inlineStr">
        <is>
          <t>Unknown</t>
        </is>
      </c>
      <c r="V234" s="18" t="inlineStr"/>
      <c r="W234" s="18" t="inlineStr">
        <is>
          <t>Founded 1991; ~300 staff</t>
        </is>
      </c>
      <c r="X234" s="18" t="inlineStr"/>
      <c r="Y234" s="18" t="inlineStr"/>
      <c r="Z234" s="18" t="inlineStr">
        <is>
          <t>Product manuals + directories</t>
        </is>
      </c>
      <c r="AA234" s="19" t="inlineStr">
        <is>
          <t>Source link</t>
        </is>
      </c>
      <c r="AB234" s="19" t="inlineStr">
        <is>
          <t>Search LinkedIn</t>
        </is>
      </c>
      <c r="AC234" s="18" t="inlineStr">
        <is>
          <t>Round 3</t>
        </is>
      </c>
      <c r="AD234" s="20" t="inlineStr">
        <is>
          <t>Not contacted</t>
        </is>
      </c>
      <c r="AE234" s="21" t="n"/>
      <c r="AF234" s="20" t="n"/>
      <c r="AG234" s="20" t="n"/>
      <c r="AH234" s="20" t="n"/>
      <c r="AI234" s="21">
        <f>IF(AE234="","",WORKDAY(AE234,5))</f>
        <v/>
      </c>
      <c r="AJ234" s="20" t="n"/>
      <c r="AK234" s="20" t="n"/>
    </row>
    <row r="235">
      <c r="A235" s="24" t="inlineStr">
        <is>
          <t>Poland</t>
        </is>
      </c>
      <c r="B235" s="25" t="n">
        <v>234</v>
      </c>
      <c r="C235" s="17" t="n">
        <v>3</v>
      </c>
      <c r="D235" s="18" t="inlineStr">
        <is>
          <t>DIY &amp; Tools</t>
        </is>
      </c>
      <c r="E235" s="18" t="inlineStr">
        <is>
          <t>Logo-Tools Sp. z o.o.</t>
        </is>
      </c>
      <c r="F235" s="19" t="inlineStr">
        <is>
          <t>https://logo-tools.pl</t>
        </is>
      </c>
      <c r="G235" s="18" t="inlineStr">
        <is>
          <t>Puszczykowo (near Poznań)</t>
        </is>
      </c>
      <c r="H235" s="18" t="inlineStr"/>
      <c r="I235" s="18" t="inlineStr">
        <is>
          <t>EU / Europe</t>
        </is>
      </c>
      <c r="J235" s="18" t="inlineStr">
        <is>
          <t>Low-cost</t>
        </is>
      </c>
      <c r="K235" s="18" t="inlineStr">
        <is>
          <t>ul. Gen. J. H. Dąbrowskiego 22, 62-040 Puszczykowo</t>
        </is>
      </c>
      <c r="L235" s="18" t="inlineStr"/>
      <c r="M235" s="18" t="inlineStr"/>
      <c r="N235" s="18" t="inlineStr">
        <is>
          <t>Distributor + own brand</t>
        </is>
      </c>
      <c r="O235" s="18" t="inlineStr">
        <is>
          <t>Knipex, Ridgid, Virax, Super-Ego, Alpen + own brand</t>
        </is>
      </c>
      <c r="P235" s="18" t="inlineStr">
        <is>
          <t>Professional hand tools</t>
        </is>
      </c>
      <c r="Q235" s="18" t="inlineStr">
        <is>
          <t>On request</t>
        </is>
      </c>
      <c r="R235" s="18" t="inlineStr">
        <is>
          <t>Trade</t>
        </is>
      </c>
      <c r="S235" s="18" t="inlineStr">
        <is>
          <t>Ask</t>
        </is>
      </c>
      <c r="T235" s="18" t="inlineStr">
        <is>
          <t>Unknown</t>
        </is>
      </c>
      <c r="U235" s="18" t="inlineStr">
        <is>
          <t>Unknown</t>
        </is>
      </c>
      <c r="V235" s="18" t="inlineStr">
        <is>
          <t>KRS 0000646758</t>
        </is>
      </c>
      <c r="W235" s="18" t="inlineStr">
        <is>
          <t>KRS 0000646758, NIP 7831749974</t>
        </is>
      </c>
      <c r="X235" s="18" t="inlineStr">
        <is>
          <t>Knipex is a strong Amazon seller - confirm official distributor status</t>
        </is>
      </c>
      <c r="Y235" s="18" t="inlineStr"/>
      <c r="Z235" s="18" t="inlineStr">
        <is>
          <t>Company registry</t>
        </is>
      </c>
      <c r="AA235" s="19" t="inlineStr">
        <is>
          <t>Source link</t>
        </is>
      </c>
      <c r="AB235" s="19" t="inlineStr">
        <is>
          <t>Search LinkedIn</t>
        </is>
      </c>
      <c r="AC235" s="18" t="inlineStr">
        <is>
          <t>Round 2</t>
        </is>
      </c>
      <c r="AD235" s="20" t="inlineStr">
        <is>
          <t>Not contacted</t>
        </is>
      </c>
      <c r="AE235" s="21" t="n"/>
      <c r="AF235" s="20" t="n"/>
      <c r="AG235" s="20" t="n"/>
      <c r="AH235" s="20" t="n"/>
      <c r="AI235" s="21">
        <f>IF(AE235="","",WORKDAY(AE235,5))</f>
        <v/>
      </c>
      <c r="AJ235" s="20" t="n"/>
      <c r="AK235" s="20" t="n"/>
    </row>
    <row r="236">
      <c r="A236" s="24" t="inlineStr">
        <is>
          <t>Poland</t>
        </is>
      </c>
      <c r="B236" s="25" t="n">
        <v>235</v>
      </c>
      <c r="C236" s="17" t="n">
        <v>2</v>
      </c>
      <c r="D236" s="18" t="inlineStr">
        <is>
          <t>DIY &amp; Tools</t>
        </is>
      </c>
      <c r="E236" s="18" t="inlineStr">
        <is>
          <t>Alpex-Tools</t>
        </is>
      </c>
      <c r="F236" s="18" t="inlineStr">
        <is>
          <t>Not confirmed - search company name</t>
        </is>
      </c>
      <c r="G236" s="18" t="inlineStr">
        <is>
          <t>Toruń</t>
        </is>
      </c>
      <c r="H236" s="18" t="inlineStr"/>
      <c r="I236" s="18" t="inlineStr">
        <is>
          <t>EU / Europe</t>
        </is>
      </c>
      <c r="J236" s="18" t="inlineStr">
        <is>
          <t>Low-cost</t>
        </is>
      </c>
      <c r="K236" s="18" t="inlineStr">
        <is>
          <t>Toruń</t>
        </is>
      </c>
      <c r="L236" s="18" t="inlineStr"/>
      <c r="M236" s="18" t="inlineStr"/>
      <c r="N236" s="18" t="inlineStr">
        <is>
          <t>Tools wholesaler</t>
        </is>
      </c>
      <c r="O236" s="18" t="inlineStr">
        <is>
          <t>Tools, power tools, welding &amp; abrasives</t>
        </is>
      </c>
      <c r="P236" s="18" t="inlineStr">
        <is>
          <t>Tools &amp; consumables</t>
        </is>
      </c>
      <c r="Q236" s="18" t="inlineStr">
        <is>
          <t>On request</t>
        </is>
      </c>
      <c r="R236" s="18" t="inlineStr">
        <is>
          <t>Large firms &amp; small shops</t>
        </is>
      </c>
      <c r="S236" s="18" t="inlineStr">
        <is>
          <t>Ask</t>
        </is>
      </c>
      <c r="T236" s="18" t="inlineStr">
        <is>
          <t>Unknown</t>
        </is>
      </c>
      <c r="U236" s="18" t="inlineStr">
        <is>
          <t>Unknown</t>
        </is>
      </c>
      <c r="V236" s="18" t="inlineStr"/>
      <c r="W236" s="18" t="inlineStr">
        <is>
          <t>Trading since 1993</t>
        </is>
      </c>
      <c r="X236" s="18" t="inlineStr"/>
      <c r="Y236" s="18" t="inlineStr"/>
      <c r="Z236" s="18" t="inlineStr">
        <is>
          <t>Job portal profile</t>
        </is>
      </c>
      <c r="AA236" s="19" t="inlineStr">
        <is>
          <t>Source link</t>
        </is>
      </c>
      <c r="AB236" s="19" t="inlineStr">
        <is>
          <t>Search LinkedIn</t>
        </is>
      </c>
      <c r="AC236" s="18" t="inlineStr">
        <is>
          <t>Round 2</t>
        </is>
      </c>
      <c r="AD236" s="20" t="inlineStr">
        <is>
          <t>Not contacted</t>
        </is>
      </c>
      <c r="AE236" s="21" t="n"/>
      <c r="AF236" s="20" t="n"/>
      <c r="AG236" s="20" t="n"/>
      <c r="AH236" s="20" t="n"/>
      <c r="AI236" s="21">
        <f>IF(AE236="","",WORKDAY(AE236,5))</f>
        <v/>
      </c>
      <c r="AJ236" s="20" t="n"/>
      <c r="AK236" s="20" t="n"/>
    </row>
    <row r="237">
      <c r="A237" s="24" t="inlineStr">
        <is>
          <t>Poland</t>
        </is>
      </c>
      <c r="B237" s="25" t="n">
        <v>236</v>
      </c>
      <c r="C237" s="17" t="n">
        <v>3</v>
      </c>
      <c r="D237" s="18" t="inlineStr">
        <is>
          <t>Fragrance</t>
        </is>
      </c>
      <c r="E237" s="18" t="inlineStr">
        <is>
          <t>MisterM Plus Sp. z o.o. Sp.k.</t>
        </is>
      </c>
      <c r="F237" s="18" t="inlineStr">
        <is>
          <t>Not confirmed - search company name</t>
        </is>
      </c>
      <c r="G237" s="18" t="inlineStr">
        <is>
          <t>Kraków</t>
        </is>
      </c>
      <c r="H237" s="18" t="inlineStr"/>
      <c r="I237" s="18" t="inlineStr">
        <is>
          <t>EU / Europe</t>
        </is>
      </c>
      <c r="J237" s="18" t="inlineStr">
        <is>
          <t>Low-cost</t>
        </is>
      </c>
      <c r="K237" s="18" t="inlineStr">
        <is>
          <t>Trybuny Ludów 15, 30-660 Kraków (KRS 0000567077, NIP 6793113882)</t>
        </is>
      </c>
      <c r="L237" s="18" t="inlineStr"/>
      <c r="M237" s="18" t="inlineStr"/>
      <c r="N237" s="18" t="inlineStr">
        <is>
          <t>Wholesaler / Exporter</t>
        </is>
      </c>
      <c r="O237" s="18" t="inlineStr">
        <is>
          <t>Coty, P&amp;G, Reckitt Benckiser - perfumes, cosmetics, hygiene</t>
        </is>
      </c>
      <c r="P237" s="18" t="inlineStr">
        <is>
          <t>Mass fragrance / FMCG</t>
        </is>
      </c>
      <c r="Q237" s="18" t="inlineStr">
        <is>
          <t>On request</t>
        </is>
      </c>
      <c r="R237" s="18" t="inlineStr">
        <is>
          <t>Trade only</t>
        </is>
      </c>
      <c r="S237" s="18" t="inlineStr">
        <is>
          <t>Exports - check UK</t>
        </is>
      </c>
      <c r="T237" s="18" t="inlineStr">
        <is>
          <t>Unknown</t>
        </is>
      </c>
      <c r="U237" s="18" t="inlineStr">
        <is>
          <t>Unknown</t>
        </is>
      </c>
      <c r="V237" s="18" t="inlineStr"/>
      <c r="W237" s="18" t="inlineStr">
        <is>
          <t>20+ years in wholesale perfume &amp; cosmetics</t>
        </is>
      </c>
      <c r="X237" s="18" t="inlineStr">
        <is>
          <t>FMCG brands (P&amp;G/Coty) - strong Amazon sellers</t>
        </is>
      </c>
      <c r="Y237" s="18" t="inlineStr"/>
      <c r="Z237" s="18" t="inlineStr">
        <is>
          <t>Registry data - find website</t>
        </is>
      </c>
      <c r="AA237" s="19" t="inlineStr">
        <is>
          <t>Source link</t>
        </is>
      </c>
      <c r="AB237" s="19" t="inlineStr">
        <is>
          <t>Search LinkedIn</t>
        </is>
      </c>
      <c r="AC237" s="18" t="inlineStr">
        <is>
          <t>Round 1</t>
        </is>
      </c>
      <c r="AD237" s="20" t="inlineStr">
        <is>
          <t>Not contacted</t>
        </is>
      </c>
      <c r="AE237" s="21" t="n"/>
      <c r="AF237" s="20" t="n"/>
      <c r="AG237" s="20" t="n"/>
      <c r="AH237" s="20" t="n"/>
      <c r="AI237" s="21">
        <f>IF(AE237="","",WORKDAY(AE237,5))</f>
        <v/>
      </c>
      <c r="AJ237" s="20" t="n"/>
      <c r="AK237" s="20" t="n"/>
    </row>
    <row r="238">
      <c r="A238" s="24" t="inlineStr">
        <is>
          <t>Poland</t>
        </is>
      </c>
      <c r="B238" s="25" t="n">
        <v>237</v>
      </c>
      <c r="C238" s="17" t="n">
        <v>3</v>
      </c>
      <c r="D238" s="18" t="inlineStr">
        <is>
          <t>Fragrance</t>
        </is>
      </c>
      <c r="E238" s="18" t="inlineStr">
        <is>
          <t>Parfum Company Sp. z o.o. S.K.A.</t>
        </is>
      </c>
      <c r="F238" s="18" t="inlineStr">
        <is>
          <t>Not confirmed - search company name</t>
        </is>
      </c>
      <c r="G238" s="18" t="inlineStr">
        <is>
          <t>Zakręt (near Warsaw)</t>
        </is>
      </c>
      <c r="H238" s="18" t="inlineStr"/>
      <c r="I238" s="18" t="inlineStr">
        <is>
          <t>EU / Europe</t>
        </is>
      </c>
      <c r="J238" s="18" t="inlineStr">
        <is>
          <t>Low-cost</t>
        </is>
      </c>
      <c r="K238" s="18" t="inlineStr">
        <is>
          <t>Lubelska 42, 05-077 Zakręt (NIP 1132861515)</t>
        </is>
      </c>
      <c r="L238" s="18" t="inlineStr"/>
      <c r="M238" s="18" t="inlineStr"/>
      <c r="N238" s="18" t="inlineStr">
        <is>
          <t>Wholesaler</t>
        </is>
      </c>
      <c r="O238" s="18" t="inlineStr">
        <is>
          <t>Hundreds of thousands of perfumes in stock; B2B platform</t>
        </is>
      </c>
      <c r="P238" s="18" t="inlineStr">
        <is>
          <t>Designer fragrance</t>
        </is>
      </c>
      <c r="Q238" s="18" t="inlineStr">
        <is>
          <t>On request</t>
        </is>
      </c>
      <c r="R238" s="18" t="inlineStr">
        <is>
          <t>B2B platform registration</t>
        </is>
      </c>
      <c r="S238" s="18" t="inlineStr">
        <is>
          <t>Check</t>
        </is>
      </c>
      <c r="T238" s="18" t="inlineStr">
        <is>
          <t>Unknown</t>
        </is>
      </c>
      <c r="U238" s="18" t="inlineStr">
        <is>
          <t>Unknown</t>
        </is>
      </c>
      <c r="V238" s="18" t="inlineStr"/>
      <c r="W238" s="18" t="inlineStr">
        <is>
          <t>15+ years trading; claims largest perfume wholesaler in Poland</t>
        </is>
      </c>
      <c r="X238" s="18" t="inlineStr"/>
      <c r="Y238" s="18" t="inlineStr"/>
      <c r="Z238" s="18" t="inlineStr">
        <is>
          <t>Job portal listing - find website</t>
        </is>
      </c>
      <c r="AA238" s="19" t="inlineStr">
        <is>
          <t>Source link</t>
        </is>
      </c>
      <c r="AB238" s="19" t="inlineStr">
        <is>
          <t>Search LinkedIn</t>
        </is>
      </c>
      <c r="AC238" s="18" t="inlineStr">
        <is>
          <t>Round 1</t>
        </is>
      </c>
      <c r="AD238" s="20" t="inlineStr">
        <is>
          <t>Not contacted</t>
        </is>
      </c>
      <c r="AE238" s="21" t="n"/>
      <c r="AF238" s="20" t="n"/>
      <c r="AG238" s="20" t="n"/>
      <c r="AH238" s="20" t="n"/>
      <c r="AI238" s="21">
        <f>IF(AE238="","",WORKDAY(AE238,5))</f>
        <v/>
      </c>
      <c r="AJ238" s="20" t="n"/>
      <c r="AK238" s="20" t="n"/>
    </row>
    <row r="239">
      <c r="A239" s="24" t="inlineStr">
        <is>
          <t>Poland</t>
        </is>
      </c>
      <c r="B239" s="25" t="n">
        <v>238</v>
      </c>
      <c r="C239" s="17" t="n">
        <v>4</v>
      </c>
      <c r="D239" s="18" t="inlineStr">
        <is>
          <t>Health &amp; Personal Care</t>
        </is>
      </c>
      <c r="E239" s="18" t="inlineStr">
        <is>
          <t>Olimp Laboratories Sp. z o.o. (Olimp Sport Nutrition)</t>
        </is>
      </c>
      <c r="F239" s="19" t="inlineStr">
        <is>
          <t>https://www.olimp-supplements.com</t>
        </is>
      </c>
      <c r="G239" s="18" t="inlineStr">
        <is>
          <t>Dębica</t>
        </is>
      </c>
      <c r="H239" s="18" t="inlineStr"/>
      <c r="I239" s="18" t="inlineStr">
        <is>
          <t>EU / Europe</t>
        </is>
      </c>
      <c r="J239" s="18" t="inlineStr">
        <is>
          <t>Low-cost</t>
        </is>
      </c>
      <c r="K239" s="18" t="inlineStr">
        <is>
          <t>Pustynia 84F, 39-200 Dębica</t>
        </is>
      </c>
      <c r="L239" s="18" t="inlineStr"/>
      <c r="M239" s="18" t="inlineStr"/>
      <c r="N239" s="18" t="inlineStr">
        <is>
          <t>Brand owner / manufacturer (pharma)</t>
        </is>
      </c>
      <c r="O239" s="18" t="inlineStr">
        <is>
          <t>Olimp Sport Nutrition, Olimp Labs supplements</t>
        </is>
      </c>
      <c r="P239" s="18" t="inlineStr">
        <is>
          <t>Sports nutrition &amp; supplements</t>
        </is>
      </c>
      <c r="Q239" s="18" t="inlineStr">
        <is>
          <t>On request</t>
        </is>
      </c>
      <c r="R239" s="18" t="inlineStr">
        <is>
          <t>Distributors &amp; retailers (export specialists per market)</t>
        </is>
      </c>
      <c r="S239" s="18" t="inlineStr">
        <is>
          <t>Exports widely - ask</t>
        </is>
      </c>
      <c r="T239" s="18" t="inlineStr">
        <is>
          <t>Unknown</t>
        </is>
      </c>
      <c r="U239" s="18" t="inlineStr">
        <is>
          <t>Unknown</t>
        </is>
      </c>
      <c r="V239" s="18" t="inlineStr"/>
      <c r="W239" s="18" t="inlineStr">
        <is>
          <t>Operating since 1990; pharma manufacturer; international trade-fair exhibitor</t>
        </is>
      </c>
      <c r="X239" s="18" t="inlineStr">
        <is>
          <t>Supplements need compliant UK labels</t>
        </is>
      </c>
      <c r="Y239" s="18" t="inlineStr"/>
      <c r="Z239" s="18" t="inlineStr">
        <is>
          <t>Trademark registry + job listings</t>
        </is>
      </c>
      <c r="AA239" s="19" t="inlineStr">
        <is>
          <t>Source link</t>
        </is>
      </c>
      <c r="AB239" s="19" t="inlineStr">
        <is>
          <t>Search LinkedIn</t>
        </is>
      </c>
      <c r="AC239" s="18" t="inlineStr">
        <is>
          <t>Round 4</t>
        </is>
      </c>
      <c r="AD239" s="20" t="inlineStr">
        <is>
          <t>Not contacted</t>
        </is>
      </c>
      <c r="AE239" s="21" t="n"/>
      <c r="AF239" s="20" t="n"/>
      <c r="AG239" s="20" t="n"/>
      <c r="AH239" s="20" t="n"/>
      <c r="AI239" s="21">
        <f>IF(AE239="","",WORKDAY(AE239,5))</f>
        <v/>
      </c>
      <c r="AJ239" s="20" t="n"/>
      <c r="AK239" s="20" t="n"/>
    </row>
    <row r="240">
      <c r="A240" s="24" t="inlineStr">
        <is>
          <t>Poland</t>
        </is>
      </c>
      <c r="B240" s="25" t="n">
        <v>239</v>
      </c>
      <c r="C240" s="17" t="n">
        <v>4</v>
      </c>
      <c r="D240" s="18" t="inlineStr">
        <is>
          <t>Health &amp; Personal Care</t>
        </is>
      </c>
      <c r="E240" s="18" t="inlineStr">
        <is>
          <t>Olivit Sp. z o.o.</t>
        </is>
      </c>
      <c r="F240" s="18" t="inlineStr">
        <is>
          <t>Not confirmed - search company name</t>
        </is>
      </c>
      <c r="G240" s="18" t="inlineStr">
        <is>
          <t>Poland (warehouses PL &amp; GB)</t>
        </is>
      </c>
      <c r="H240" s="18" t="inlineStr">
        <is>
          <t>UK</t>
        </is>
      </c>
      <c r="I240" s="18" t="inlineStr">
        <is>
          <t>EU / Europe</t>
        </is>
      </c>
      <c r="J240" s="18" t="inlineStr">
        <is>
          <t>Low-cost</t>
        </is>
      </c>
      <c r="K240" s="18" t="inlineStr"/>
      <c r="L240" s="18" t="inlineStr"/>
      <c r="M240" s="18" t="inlineStr"/>
      <c r="N240" s="18" t="inlineStr">
        <is>
          <t>Supplements &amp; vitamins distributor</t>
        </is>
      </c>
      <c r="O240" s="18" t="inlineStr">
        <is>
          <t>~50 brands / 9,000+ products incl. own brand Osavi</t>
        </is>
      </c>
      <c r="P240" s="18" t="inlineStr">
        <is>
          <t>Vitamins &amp; supplements</t>
        </is>
      </c>
      <c r="Q240" s="18" t="inlineStr">
        <is>
          <t>On request</t>
        </is>
      </c>
      <c r="R240" s="18" t="inlineStr">
        <is>
          <t>B2B</t>
        </is>
      </c>
      <c r="S240" s="18" t="inlineStr">
        <is>
          <t>Yes - has GB warehouse</t>
        </is>
      </c>
      <c r="T240" s="18" t="inlineStr">
        <is>
          <t>Unknown</t>
        </is>
      </c>
      <c r="U240" s="18" t="inlineStr">
        <is>
          <t>Unknown</t>
        </is>
      </c>
      <c r="V240" s="18" t="inlineStr"/>
      <c r="W240" s="18" t="inlineStr">
        <is>
          <t>Exports to 50+ countries; WorldFood Poland exhibitor; GOED member</t>
        </is>
      </c>
      <c r="X240" s="18" t="inlineStr">
        <is>
          <t>UK warehouse removes import hassle</t>
        </is>
      </c>
      <c r="Y240" s="18" t="inlineStr"/>
      <c r="Z240" s="18" t="inlineStr">
        <is>
          <t>Trade fair catalogue + industry profiles</t>
        </is>
      </c>
      <c r="AA240" s="19" t="inlineStr">
        <is>
          <t>Source link</t>
        </is>
      </c>
      <c r="AB240" s="19" t="inlineStr">
        <is>
          <t>Search LinkedIn</t>
        </is>
      </c>
      <c r="AC240" s="18" t="inlineStr">
        <is>
          <t>Round 2</t>
        </is>
      </c>
      <c r="AD240" s="20" t="inlineStr">
        <is>
          <t>Not contacted</t>
        </is>
      </c>
      <c r="AE240" s="21" t="n"/>
      <c r="AF240" s="20" t="n"/>
      <c r="AG240" s="20" t="n"/>
      <c r="AH240" s="20" t="n"/>
      <c r="AI240" s="21">
        <f>IF(AE240="","",WORKDAY(AE240,5))</f>
        <v/>
      </c>
      <c r="AJ240" s="20" t="n"/>
      <c r="AK240" s="20" t="n"/>
    </row>
    <row r="241">
      <c r="A241" s="24" t="inlineStr">
        <is>
          <t>Poland</t>
        </is>
      </c>
      <c r="B241" s="25" t="n">
        <v>240</v>
      </c>
      <c r="C241" s="17" t="n">
        <v>3</v>
      </c>
      <c r="D241" s="18" t="inlineStr">
        <is>
          <t>Health &amp; Personal Care</t>
        </is>
      </c>
      <c r="E241" s="18" t="inlineStr">
        <is>
          <t>Trec Nutrition Sp. z o.o. (Aflofarm group)</t>
        </is>
      </c>
      <c r="F241" s="19" t="inlineStr">
        <is>
          <t>https://www.trec.pl</t>
        </is>
      </c>
      <c r="G241" s="18" t="inlineStr">
        <is>
          <t>Gdynia</t>
        </is>
      </c>
      <c r="H241" s="18" t="inlineStr"/>
      <c r="I241" s="18" t="inlineStr">
        <is>
          <t>EU / Europe</t>
        </is>
      </c>
      <c r="J241" s="18" t="inlineStr">
        <is>
          <t>Low-cost</t>
        </is>
      </c>
      <c r="K241" s="18" t="inlineStr">
        <is>
          <t>Inż. J. Śmidowicza 48, 81-127 Gdynia</t>
        </is>
      </c>
      <c r="L241" s="18" t="inlineStr"/>
      <c r="M241" s="18" t="inlineStr"/>
      <c r="N241" s="18" t="inlineStr">
        <is>
          <t>Brand owner / manufacturer</t>
        </is>
      </c>
      <c r="O241" s="18" t="inlineStr">
        <is>
          <t>Trec Nutrition, Formotiva, Beltor, Better Choice</t>
        </is>
      </c>
      <c r="P241" s="18" t="inlineStr">
        <is>
          <t>Sports nutrition</t>
        </is>
      </c>
      <c r="Q241" s="18" t="inlineStr">
        <is>
          <t>On request</t>
        </is>
      </c>
      <c r="R241" s="18" t="inlineStr">
        <is>
          <t>Distributors &amp; retailers</t>
        </is>
      </c>
      <c r="S241" s="18" t="inlineStr">
        <is>
          <t>Ask</t>
        </is>
      </c>
      <c r="T241" s="18" t="inlineStr">
        <is>
          <t>Unknown</t>
        </is>
      </c>
      <c r="U241" s="18" t="inlineStr">
        <is>
          <t>Unknown</t>
        </is>
      </c>
      <c r="V241" s="18" t="inlineStr"/>
      <c r="W241" s="18" t="inlineStr">
        <is>
          <t>Owned by Aflofarm (major Polish pharma); own Gdynia plant</t>
        </is>
      </c>
      <c r="X241" s="18" t="inlineStr"/>
      <c r="Y241" s="18" t="inlineStr"/>
      <c r="Z241" s="18" t="inlineStr">
        <is>
          <t>Parent company announcement + registry</t>
        </is>
      </c>
      <c r="AA241" s="19" t="inlineStr">
        <is>
          <t>Source link</t>
        </is>
      </c>
      <c r="AB241" s="19" t="inlineStr">
        <is>
          <t>Search LinkedIn</t>
        </is>
      </c>
      <c r="AC241" s="18" t="inlineStr">
        <is>
          <t>Round 4</t>
        </is>
      </c>
      <c r="AD241" s="20" t="inlineStr">
        <is>
          <t>Not contacted</t>
        </is>
      </c>
      <c r="AE241" s="21" t="n"/>
      <c r="AF241" s="20" t="n"/>
      <c r="AG241" s="20" t="n"/>
      <c r="AH241" s="20" t="n"/>
      <c r="AI241" s="21">
        <f>IF(AE241="","",WORKDAY(AE241,5))</f>
        <v/>
      </c>
      <c r="AJ241" s="20" t="n"/>
      <c r="AK241" s="20" t="n"/>
    </row>
    <row r="242">
      <c r="A242" s="24" t="inlineStr">
        <is>
          <t>Poland</t>
        </is>
      </c>
      <c r="B242" s="25" t="n">
        <v>241</v>
      </c>
      <c r="C242" s="17" t="n">
        <v>3</v>
      </c>
      <c r="D242" s="18" t="inlineStr">
        <is>
          <t>Health &amp; Personal Care</t>
        </is>
      </c>
      <c r="E242" s="18" t="inlineStr">
        <is>
          <t>ZIP Wieczorek Sp. z o.o.</t>
        </is>
      </c>
      <c r="F242" s="19" t="inlineStr">
        <is>
          <t>https://www.trade.gov.pl/en/?p=51061</t>
        </is>
      </c>
      <c r="G242" s="18" t="inlineStr">
        <is>
          <t>Lublin</t>
        </is>
      </c>
      <c r="H242" s="18" t="inlineStr"/>
      <c r="I242" s="18" t="inlineStr">
        <is>
          <t>EU / Europe</t>
        </is>
      </c>
      <c r="J242" s="18" t="inlineStr">
        <is>
          <t>Low-cost</t>
        </is>
      </c>
      <c r="K242" s="18" t="inlineStr">
        <is>
          <t>Biskupińska 59, 20-830 Lublin</t>
        </is>
      </c>
      <c r="L242" s="18" t="inlineStr"/>
      <c r="M242" s="18" t="inlineStr"/>
      <c r="N242" s="18" t="inlineStr">
        <is>
          <t>Branded FMCG wholesaler / exporter</t>
        </is>
      </c>
      <c r="O242" s="18" t="inlineStr">
        <is>
          <t>Branded cosmetics, detergents, beverages, bakery</t>
        </is>
      </c>
      <c r="P242" s="18" t="inlineStr">
        <is>
          <t>FMCG A-brands</t>
        </is>
      </c>
      <c r="Q242" s="18" t="inlineStr">
        <is>
          <t>On request</t>
        </is>
      </c>
      <c r="R242" s="18" t="inlineStr">
        <is>
          <t>B2B - invites direct enquiries</t>
        </is>
      </c>
      <c r="S242" s="18" t="inlineStr">
        <is>
          <t>Exports across EU - ask about UK</t>
        </is>
      </c>
      <c r="T242" s="18" t="inlineStr">
        <is>
          <t>Unknown</t>
        </is>
      </c>
      <c r="U242" s="18" t="inlineStr">
        <is>
          <t>No</t>
        </is>
      </c>
      <c r="V242" s="18" t="inlineStr">
        <is>
          <t>LEI 259400D1L7KLV95ORL10</t>
        </is>
      </c>
      <c r="W242" s="18" t="inlineStr">
        <is>
          <t>Family firm founded 1990; listed by Polish Investment &amp; Trade Agency; has LEI</t>
        </is>
      </c>
      <c r="X242" s="18" t="inlineStr"/>
      <c r="Y242" s="18" t="inlineStr"/>
      <c r="Z242" s="18" t="inlineStr">
        <is>
          <t>Government trade portal + LEI register</t>
        </is>
      </c>
      <c r="AA242" s="19" t="inlineStr">
        <is>
          <t>Source link</t>
        </is>
      </c>
      <c r="AB242" s="19" t="inlineStr">
        <is>
          <t>Search LinkedIn</t>
        </is>
      </c>
      <c r="AC242" s="18" t="inlineStr">
        <is>
          <t>Round 2</t>
        </is>
      </c>
      <c r="AD242" s="20" t="inlineStr">
        <is>
          <t>Not contacted</t>
        </is>
      </c>
      <c r="AE242" s="21" t="n"/>
      <c r="AF242" s="20" t="n"/>
      <c r="AG242" s="20" t="n"/>
      <c r="AH242" s="20" t="n"/>
      <c r="AI242" s="21">
        <f>IF(AE242="","",WORKDAY(AE242,5))</f>
        <v/>
      </c>
      <c r="AJ242" s="20" t="n"/>
      <c r="AK242" s="20" t="n"/>
    </row>
    <row r="243">
      <c r="A243" s="24" t="inlineStr">
        <is>
          <t>Poland</t>
        </is>
      </c>
      <c r="B243" s="25" t="n">
        <v>242</v>
      </c>
      <c r="C243" s="17" t="n">
        <v>2</v>
      </c>
      <c r="D243" s="18" t="inlineStr">
        <is>
          <t>Health &amp; Personal Care</t>
        </is>
      </c>
      <c r="E243" s="18" t="inlineStr">
        <is>
          <t>Profimed</t>
        </is>
      </c>
      <c r="F243" s="18" t="inlineStr">
        <is>
          <t>Not confirmed - search company name</t>
        </is>
      </c>
      <c r="G243" s="18" t="inlineStr">
        <is>
          <t>Warsaw</t>
        </is>
      </c>
      <c r="H243" s="18" t="inlineStr"/>
      <c r="I243" s="18" t="inlineStr">
        <is>
          <t>EU / Europe</t>
        </is>
      </c>
      <c r="J243" s="18" t="inlineStr">
        <is>
          <t>Low-cost</t>
        </is>
      </c>
      <c r="K243" s="18" t="inlineStr">
        <is>
          <t>Warsaw</t>
        </is>
      </c>
      <c r="L243" s="18" t="inlineStr"/>
      <c r="M243" s="18" t="inlineStr"/>
      <c r="N243" s="18" t="inlineStr">
        <is>
          <t>Oral care distributor</t>
        </is>
      </c>
      <c r="O243" s="18" t="inlineStr">
        <is>
          <t>7+ global professional oral care brands (CEE)</t>
        </is>
      </c>
      <c r="P243" s="18" t="inlineStr">
        <is>
          <t>Oral care</t>
        </is>
      </c>
      <c r="Q243" s="18" t="inlineStr">
        <is>
          <t>On request</t>
        </is>
      </c>
      <c r="R243" s="18" t="inlineStr">
        <is>
          <t>Trade</t>
        </is>
      </c>
      <c r="S243" s="18" t="inlineStr">
        <is>
          <t>CEE territory - ask</t>
        </is>
      </c>
      <c r="T243" s="18" t="inlineStr">
        <is>
          <t>Unknown</t>
        </is>
      </c>
      <c r="U243" s="18" t="inlineStr">
        <is>
          <t>Unknown</t>
        </is>
      </c>
      <c r="V243" s="18" t="inlineStr"/>
      <c r="W243" s="18" t="inlineStr">
        <is>
          <t>Largest professional oral care distributor in Central Europe (trade fair listing)</t>
        </is>
      </c>
      <c r="X243" s="18" t="inlineStr"/>
      <c r="Y243" s="18" t="inlineStr"/>
      <c r="Z243" s="18" t="inlineStr">
        <is>
          <t>Trade fair catalogue</t>
        </is>
      </c>
      <c r="AA243" s="19" t="inlineStr">
        <is>
          <t>Source link</t>
        </is>
      </c>
      <c r="AB243" s="19" t="inlineStr">
        <is>
          <t>Search LinkedIn</t>
        </is>
      </c>
      <c r="AC243" s="18" t="inlineStr">
        <is>
          <t>Round 2</t>
        </is>
      </c>
      <c r="AD243" s="20" t="inlineStr">
        <is>
          <t>Not contacted</t>
        </is>
      </c>
      <c r="AE243" s="21" t="n"/>
      <c r="AF243" s="20" t="n"/>
      <c r="AG243" s="20" t="n"/>
      <c r="AH243" s="20" t="n"/>
      <c r="AI243" s="21">
        <f>IF(AE243="","",WORKDAY(AE243,5))</f>
        <v/>
      </c>
      <c r="AJ243" s="20" t="n"/>
      <c r="AK243" s="20" t="n"/>
    </row>
    <row r="244">
      <c r="A244" s="24" t="inlineStr">
        <is>
          <t>Poland</t>
        </is>
      </c>
      <c r="B244" s="25" t="n">
        <v>243</v>
      </c>
      <c r="C244" s="17" t="n">
        <v>4</v>
      </c>
      <c r="D244" s="18" t="inlineStr">
        <is>
          <t>Home &amp; Kitchen</t>
        </is>
      </c>
      <c r="E244" s="26" t="inlineStr">
        <is>
          <t>KONEX Sp. z o.o.</t>
        </is>
      </c>
      <c r="F244" s="19" t="inlineStr">
        <is>
          <t>https://www.konex.pl</t>
        </is>
      </c>
      <c r="G244" s="18" t="inlineStr">
        <is>
          <t>Łódź</t>
        </is>
      </c>
      <c r="H244" s="18" t="inlineStr"/>
      <c r="I244" s="18" t="inlineStr">
        <is>
          <t>EU / Europe</t>
        </is>
      </c>
      <c r="J244" s="18" t="inlineStr">
        <is>
          <t>Low-cost</t>
        </is>
      </c>
      <c r="K244" s="18" t="inlineStr">
        <is>
          <t>ul. Chłopska 5/9, 91-202 Łódź</t>
        </is>
      </c>
      <c r="L244" s="18" t="inlineStr"/>
      <c r="M244" s="18" t="inlineStr">
        <is>
          <t>export@konex.pl</t>
        </is>
      </c>
      <c r="N244" s="18" t="inlineStr">
        <is>
          <t>Manufacturer</t>
        </is>
      </c>
      <c r="O244" s="18" t="inlineStr">
        <is>
          <t>Konex mops, brushes, dustpans, cleaning sets; private label</t>
        </is>
      </c>
      <c r="P244" s="18" t="inlineStr">
        <is>
          <t>Household cleaning articles</t>
        </is>
      </c>
      <c r="Q244" s="18" t="inlineStr">
        <is>
          <t>On request</t>
        </is>
      </c>
      <c r="R244" s="18" t="inlineStr">
        <is>
          <t>Wholesale &amp; private label; exports to FR, NL, DE, US</t>
        </is>
      </c>
      <c r="S244" s="18" t="inlineStr">
        <is>
          <t>Ask</t>
        </is>
      </c>
      <c r="T244" s="18" t="inlineStr">
        <is>
          <t>Unknown</t>
        </is>
      </c>
      <c r="U244" s="18" t="inlineStr">
        <is>
          <t>Unknown</t>
        </is>
      </c>
      <c r="V244" s="18" t="inlineStr"/>
      <c r="W244" s="18" t="inlineStr">
        <is>
          <t>trade.gov.pl profile; founded 1990; 110 staff; ~EUR 7m turnover (2023)</t>
        </is>
      </c>
      <c r="X244" s="18" t="inlineStr">
        <is>
          <t>Cleaning tools are cheap to make in PL; bundles work well</t>
        </is>
      </c>
      <c r="Y244" s="18" t="inlineStr"/>
      <c r="Z244" s="18" t="inlineStr">
        <is>
          <t>Government export portal + company profile PDF</t>
        </is>
      </c>
      <c r="AA244" s="19" t="inlineStr">
        <is>
          <t>Source link</t>
        </is>
      </c>
      <c r="AB244" s="19" t="inlineStr">
        <is>
          <t>Search LinkedIn</t>
        </is>
      </c>
      <c r="AC244" s="18" t="inlineStr">
        <is>
          <t>Round 5</t>
        </is>
      </c>
      <c r="AD244" s="20" t="inlineStr">
        <is>
          <t>Not contacted</t>
        </is>
      </c>
      <c r="AE244" s="21" t="n"/>
      <c r="AF244" s="20" t="n"/>
      <c r="AG244" s="20" t="n"/>
      <c r="AH244" s="20" t="n"/>
      <c r="AI244" s="21">
        <f>IF(AE244="","",WORKDAY(AE244,5))</f>
        <v/>
      </c>
      <c r="AJ244" s="20" t="n"/>
      <c r="AK244" s="20" t="n"/>
    </row>
    <row r="245">
      <c r="A245" s="24" t="inlineStr">
        <is>
          <t>Poland</t>
        </is>
      </c>
      <c r="B245" s="25" t="n">
        <v>244</v>
      </c>
      <c r="C245" s="17" t="n">
        <v>3</v>
      </c>
      <c r="D245" s="18" t="inlineStr">
        <is>
          <t>Home &amp; Kitchen</t>
        </is>
      </c>
      <c r="E245" s="26" t="inlineStr">
        <is>
          <t>Florentyna Sp. z o.o. (Florina)</t>
        </is>
      </c>
      <c r="F245" s="19" t="inlineStr">
        <is>
          <t>https://florina.pl</t>
        </is>
      </c>
      <c r="G245" s="18" t="inlineStr">
        <is>
          <t>Poland (see website)</t>
        </is>
      </c>
      <c r="H245" s="18" t="inlineStr"/>
      <c r="I245" s="18" t="inlineStr">
        <is>
          <t>EU / Europe</t>
        </is>
      </c>
      <c r="J245" s="18" t="inlineStr">
        <is>
          <t>Low-cost</t>
        </is>
      </c>
      <c r="K245" s="18" t="inlineStr"/>
      <c r="L245" s="18" t="inlineStr"/>
      <c r="M245" s="18" t="inlineStr"/>
      <c r="N245" s="18" t="inlineStr">
        <is>
          <t>Brand owner / distributor</t>
        </is>
      </c>
      <c r="O245" s="18" t="inlineStr">
        <is>
          <t>Florina cookware, pans, kitchen utensils</t>
        </is>
      </c>
      <c r="P245" s="18" t="inlineStr">
        <is>
          <t>Cookware &amp; kitchen tools</t>
        </is>
      </c>
      <c r="Q245" s="18" t="inlineStr">
        <is>
          <t>On request</t>
        </is>
      </c>
      <c r="R245" s="18" t="inlineStr">
        <is>
          <t>Retail &amp; wholesale accounts</t>
        </is>
      </c>
      <c r="S245" s="18" t="inlineStr">
        <is>
          <t>Ask</t>
        </is>
      </c>
      <c r="T245" s="18" t="inlineStr">
        <is>
          <t>Unknown</t>
        </is>
      </c>
      <c r="U245" s="18" t="inlineStr">
        <is>
          <t>Unknown</t>
        </is>
      </c>
      <c r="V245" s="18" t="inlineStr"/>
      <c r="W245" s="18" t="inlineStr">
        <is>
          <t>Ambiente 2025 exhibitor; sold via Media Expert &amp; Morele</t>
        </is>
      </c>
      <c r="X245" s="18" t="inlineStr">
        <is>
          <t>Budget cookware sets; check against Tefal pricing</t>
        </is>
      </c>
      <c r="Y245" s="18" t="inlineStr">
        <is>
          <t>Get the registered address (KRS) before ordering</t>
        </is>
      </c>
      <c r="Z245" s="18" t="inlineStr">
        <is>
          <t>Trade fair exhibitor listing</t>
        </is>
      </c>
      <c r="AA245" s="19" t="inlineStr">
        <is>
          <t>Source link</t>
        </is>
      </c>
      <c r="AB245" s="19" t="inlineStr">
        <is>
          <t>Search LinkedIn</t>
        </is>
      </c>
      <c r="AC245" s="18" t="inlineStr">
        <is>
          <t>Round 5</t>
        </is>
      </c>
      <c r="AD245" s="20" t="inlineStr">
        <is>
          <t>Not contacted</t>
        </is>
      </c>
      <c r="AE245" s="21" t="n"/>
      <c r="AF245" s="20" t="n"/>
      <c r="AG245" s="20" t="n"/>
      <c r="AH245" s="20" t="n"/>
      <c r="AI245" s="21">
        <f>IF(AE245="","",WORKDAY(AE245,5))</f>
        <v/>
      </c>
      <c r="AJ245" s="20" t="n"/>
      <c r="AK245" s="20" t="n"/>
    </row>
    <row r="246">
      <c r="A246" s="24" t="inlineStr">
        <is>
          <t>Poland</t>
        </is>
      </c>
      <c r="B246" s="25" t="n">
        <v>245</v>
      </c>
      <c r="C246" s="17" t="n">
        <v>3</v>
      </c>
      <c r="D246" s="18" t="inlineStr">
        <is>
          <t>Home &amp; Kitchen</t>
        </is>
      </c>
      <c r="E246" s="18" t="inlineStr">
        <is>
          <t>Gerlach S.A.</t>
        </is>
      </c>
      <c r="F246" s="19" t="inlineStr">
        <is>
          <t>https://www.gerlach.pl</t>
        </is>
      </c>
      <c r="G246" s="18" t="inlineStr">
        <is>
          <t>Drzewica (Łódź)</t>
        </is>
      </c>
      <c r="H246" s="18" t="inlineStr"/>
      <c r="I246" s="18" t="inlineStr">
        <is>
          <t>EU / Europe</t>
        </is>
      </c>
      <c r="J246" s="18" t="inlineStr">
        <is>
          <t>Low-cost</t>
        </is>
      </c>
      <c r="K246" s="18" t="inlineStr">
        <is>
          <t>ul. Braci Kobylańskich 41, 26-340 Drzewica</t>
        </is>
      </c>
      <c r="L246" s="18" t="inlineStr"/>
      <c r="M246" s="18" t="inlineStr"/>
      <c r="N246" s="18" t="inlineStr">
        <is>
          <t>Brand owner / manufacturer</t>
        </is>
      </c>
      <c r="O246" s="18" t="inlineStr">
        <is>
          <t>Gerlach cutlery, cookware, kitchen knives</t>
        </is>
      </c>
      <c r="P246" s="18" t="inlineStr">
        <is>
          <t>Cutlery &amp; cookware</t>
        </is>
      </c>
      <c r="Q246" s="18" t="inlineStr">
        <is>
          <t>On request</t>
        </is>
      </c>
      <c r="R246" s="18" t="inlineStr">
        <is>
          <t>Partners in W. Europe, Nordics, Baltics etc.</t>
        </is>
      </c>
      <c r="S246" s="18" t="inlineStr">
        <is>
          <t>Already sells to the UK</t>
        </is>
      </c>
      <c r="T246" s="18" t="inlineStr">
        <is>
          <t>Unknown</t>
        </is>
      </c>
      <c r="U246" s="18" t="inlineStr">
        <is>
          <t>Unknown</t>
        </is>
      </c>
      <c r="V246" s="18" t="inlineStr"/>
      <c r="W246" s="18" t="inlineStr">
        <is>
          <t>Historic Polish cutlery brand; listed on Polish Investment &amp; Trade Agency portal</t>
        </is>
      </c>
      <c r="X246" s="18" t="inlineStr"/>
      <c r="Y246" s="18" t="inlineStr"/>
      <c r="Z246" s="18" t="inlineStr">
        <is>
          <t>Government trade portal + business database</t>
        </is>
      </c>
      <c r="AA246" s="19" t="inlineStr">
        <is>
          <t>Source link</t>
        </is>
      </c>
      <c r="AB246" s="19" t="inlineStr">
        <is>
          <t>Search LinkedIn</t>
        </is>
      </c>
      <c r="AC246" s="18" t="inlineStr">
        <is>
          <t>Round 4</t>
        </is>
      </c>
      <c r="AD246" s="20" t="inlineStr">
        <is>
          <t>Not contacted</t>
        </is>
      </c>
      <c r="AE246" s="21" t="n"/>
      <c r="AF246" s="20" t="n"/>
      <c r="AG246" s="20" t="n"/>
      <c r="AH246" s="20" t="n"/>
      <c r="AI246" s="21">
        <f>IF(AE246="","",WORKDAY(AE246,5))</f>
        <v/>
      </c>
      <c r="AJ246" s="20" t="n"/>
      <c r="AK246" s="20" t="n"/>
    </row>
    <row r="247">
      <c r="A247" s="24" t="inlineStr">
        <is>
          <t>Poland</t>
        </is>
      </c>
      <c r="B247" s="25" t="n">
        <v>246</v>
      </c>
      <c r="C247" s="17" t="n">
        <v>3</v>
      </c>
      <c r="D247" s="18" t="inlineStr">
        <is>
          <t>Home &amp; Kitchen</t>
        </is>
      </c>
      <c r="E247" s="26" t="inlineStr">
        <is>
          <t>M.T.M. Sp. z o.o. Sp.K.</t>
        </is>
      </c>
      <c r="F247" s="18" t="inlineStr">
        <is>
          <t>Not confirmed - search company name</t>
        </is>
      </c>
      <c r="G247" s="18" t="inlineStr">
        <is>
          <t>Warsaw</t>
        </is>
      </c>
      <c r="H247" s="18" t="inlineStr"/>
      <c r="I247" s="18" t="inlineStr">
        <is>
          <t>EU / Europe</t>
        </is>
      </c>
      <c r="J247" s="18" t="inlineStr">
        <is>
          <t>Low-cost</t>
        </is>
      </c>
      <c r="K247" s="18" t="inlineStr">
        <is>
          <t>ul. Mechaników 10, 03-684 Warszawa</t>
        </is>
      </c>
      <c r="L247" s="18" t="inlineStr">
        <is>
          <t>+48 22 678 54 10</t>
        </is>
      </c>
      <c r="M247" s="18" t="inlineStr"/>
      <c r="N247" s="18" t="inlineStr">
        <is>
          <t>Manufacturer</t>
        </is>
      </c>
      <c r="O247" s="18" t="inlineStr">
        <is>
          <t>MTM plastic clothes pegs, hangers, food containers</t>
        </is>
      </c>
      <c r="P247" s="18" t="inlineStr">
        <is>
          <t>Household plastics</t>
        </is>
      </c>
      <c r="Q247" s="18" t="inlineStr">
        <is>
          <t>On request</t>
        </is>
      </c>
      <c r="R247" s="18" t="inlineStr">
        <is>
          <t>Supplies large European distributors (30+ years)</t>
        </is>
      </c>
      <c r="S247" s="18" t="inlineStr">
        <is>
          <t>Ask</t>
        </is>
      </c>
      <c r="T247" s="18" t="inlineStr">
        <is>
          <t>Unknown</t>
        </is>
      </c>
      <c r="U247" s="18" t="inlineStr">
        <is>
          <t>Unknown</t>
        </is>
      </c>
      <c r="V247" s="18" t="inlineStr"/>
      <c r="W247" s="18" t="inlineStr">
        <is>
          <t>Ambiente 2025 exhibitor</t>
        </is>
      </c>
      <c r="X247" s="18" t="inlineStr">
        <is>
          <t>Pegs &amp; hangers multipacks - cheap, light, repeat buys</t>
        </is>
      </c>
      <c r="Y247" s="18" t="inlineStr"/>
      <c r="Z247" s="18" t="inlineStr">
        <is>
          <t>Trade fair exhibitor listing</t>
        </is>
      </c>
      <c r="AA247" s="19" t="inlineStr">
        <is>
          <t>Source link</t>
        </is>
      </c>
      <c r="AB247" s="19" t="inlineStr">
        <is>
          <t>Search LinkedIn</t>
        </is>
      </c>
      <c r="AC247" s="18" t="inlineStr">
        <is>
          <t>Round 5</t>
        </is>
      </c>
      <c r="AD247" s="20" t="inlineStr">
        <is>
          <t>Not contacted</t>
        </is>
      </c>
      <c r="AE247" s="21" t="n"/>
      <c r="AF247" s="20" t="n"/>
      <c r="AG247" s="20" t="n"/>
      <c r="AH247" s="20" t="n"/>
      <c r="AI247" s="21">
        <f>IF(AE247="","",WORKDAY(AE247,5))</f>
        <v/>
      </c>
      <c r="AJ247" s="20" t="n"/>
      <c r="AK247" s="20" t="n"/>
    </row>
    <row r="248">
      <c r="A248" s="24" t="inlineStr">
        <is>
          <t>Poland</t>
        </is>
      </c>
      <c r="B248" s="25" t="n">
        <v>247</v>
      </c>
      <c r="C248" s="17" t="n">
        <v>3</v>
      </c>
      <c r="D248" s="18" t="inlineStr">
        <is>
          <t>Home &amp; Kitchen</t>
        </is>
      </c>
      <c r="E248" s="18" t="inlineStr">
        <is>
          <t>N2H Sp. z o.o. (Homla)</t>
        </is>
      </c>
      <c r="F248" s="19" t="inlineStr">
        <is>
          <t>https://www.trade.gov.pl/en/?p=150252</t>
        </is>
      </c>
      <c r="G248" s="18" t="inlineStr">
        <is>
          <t>Poland</t>
        </is>
      </c>
      <c r="H248" s="18" t="inlineStr"/>
      <c r="I248" s="18" t="inlineStr">
        <is>
          <t>EU / Europe</t>
        </is>
      </c>
      <c r="J248" s="18" t="inlineStr">
        <is>
          <t>Low-cost</t>
        </is>
      </c>
      <c r="K248" s="18" t="inlineStr"/>
      <c r="L248" s="18" t="inlineStr"/>
      <c r="M248" s="18" t="inlineStr"/>
      <c r="N248" s="18" t="inlineStr">
        <is>
          <t>Brand owner / retailer seeking distributors</t>
        </is>
      </c>
      <c r="O248" s="18" t="inlineStr">
        <is>
          <t>Homla kitchenware, tableware, glassware, textiles, home accessories</t>
        </is>
      </c>
      <c r="P248" s="18" t="inlineStr">
        <is>
          <t>Home &amp; kitchen</t>
        </is>
      </c>
      <c r="Q248" s="18" t="inlineStr">
        <is>
          <t>On request</t>
        </is>
      </c>
      <c r="R248" s="18" t="inlineStr">
        <is>
          <t>Distributors (W. Europe, Nordics, Balkans)</t>
        </is>
      </c>
      <c r="S248" s="18" t="inlineStr">
        <is>
          <t>Seeking Western European partners</t>
        </is>
      </c>
      <c r="T248" s="18" t="inlineStr">
        <is>
          <t>Unknown</t>
        </is>
      </c>
      <c r="U248" s="18" t="inlineStr">
        <is>
          <t>Unknown</t>
        </is>
      </c>
      <c r="V248" s="18" t="inlineStr"/>
      <c r="W248" s="18" t="inlineStr">
        <is>
          <t>Listed on Polish Investment &amp; Trade Agency portal</t>
        </is>
      </c>
      <c r="X248" s="18" t="inlineStr"/>
      <c r="Y248" s="18" t="inlineStr"/>
      <c r="Z248" s="18" t="inlineStr">
        <is>
          <t>Government trade portal</t>
        </is>
      </c>
      <c r="AA248" s="19" t="inlineStr">
        <is>
          <t>Source link</t>
        </is>
      </c>
      <c r="AB248" s="19" t="inlineStr">
        <is>
          <t>Search LinkedIn</t>
        </is>
      </c>
      <c r="AC248" s="18" t="inlineStr">
        <is>
          <t>Round 4</t>
        </is>
      </c>
      <c r="AD248" s="20" t="inlineStr">
        <is>
          <t>Not contacted</t>
        </is>
      </c>
      <c r="AE248" s="21" t="n"/>
      <c r="AF248" s="20" t="n"/>
      <c r="AG248" s="20" t="n"/>
      <c r="AH248" s="20" t="n"/>
      <c r="AI248" s="21">
        <f>IF(AE248="","",WORKDAY(AE248,5))</f>
        <v/>
      </c>
      <c r="AJ248" s="20" t="n"/>
      <c r="AK248" s="20" t="n"/>
    </row>
    <row r="249">
      <c r="A249" s="24" t="inlineStr">
        <is>
          <t>Poland</t>
        </is>
      </c>
      <c r="B249" s="25" t="n">
        <v>248</v>
      </c>
      <c r="C249" s="17" t="n">
        <v>4</v>
      </c>
      <c r="D249" s="18" t="inlineStr">
        <is>
          <t>Pet Supplies</t>
        </is>
      </c>
      <c r="E249" s="26" t="inlineStr">
        <is>
          <t>Amiplay Sp. z o.o. (Comfy)</t>
        </is>
      </c>
      <c r="F249" s="18" t="inlineStr">
        <is>
          <t>Not confirmed - search company name</t>
        </is>
      </c>
      <c r="G249" s="18" t="inlineStr">
        <is>
          <t>Warsaw</t>
        </is>
      </c>
      <c r="H249" s="18" t="inlineStr"/>
      <c r="I249" s="18" t="inlineStr">
        <is>
          <t>EU / Europe</t>
        </is>
      </c>
      <c r="J249" s="18" t="inlineStr">
        <is>
          <t>Low-cost</t>
        </is>
      </c>
      <c r="K249" s="18" t="inlineStr">
        <is>
          <t>ul. Krasnowolska 50, 02-849 Warszawa</t>
        </is>
      </c>
      <c r="L249" s="18" t="inlineStr"/>
      <c r="M249" s="18" t="inlineStr"/>
      <c r="N249" s="18" t="inlineStr">
        <is>
          <t>Manufacturer / brand owner</t>
        </is>
      </c>
      <c r="O249" s="18" t="inlineStr">
        <is>
          <t>Comfy &amp; Amiplay dog/cat toys, beds, leads, travel &amp; hygiene</t>
        </is>
      </c>
      <c r="P249" s="18" t="inlineStr">
        <is>
          <t>Pet accessories &amp; toys</t>
        </is>
      </c>
      <c r="Q249" s="18" t="inlineStr">
        <is>
          <t>On request</t>
        </is>
      </c>
      <c r="R249" s="18" t="inlineStr">
        <is>
          <t>Distributors / pet retail</t>
        </is>
      </c>
      <c r="S249" s="18" t="inlineStr">
        <is>
          <t>Ask</t>
        </is>
      </c>
      <c r="T249" s="18" t="inlineStr">
        <is>
          <t>Unknown</t>
        </is>
      </c>
      <c r="U249" s="18" t="inlineStr">
        <is>
          <t>Unknown</t>
        </is>
      </c>
      <c r="V249" s="18" t="inlineStr"/>
      <c r="W249" s="18" t="inlineStr">
        <is>
          <t>Interzoo exhibitor (Hall 1); made in Poland</t>
        </is>
      </c>
      <c r="X249" s="18" t="inlineStr">
        <is>
          <t>Dog toys &amp; leads - core Amazon pet lines at Polish prices</t>
        </is>
      </c>
      <c r="Y249" s="18" t="inlineStr"/>
      <c r="Z249" s="18" t="inlineStr">
        <is>
          <t>Trade fair exhibitor listing</t>
        </is>
      </c>
      <c r="AA249" s="19" t="inlineStr">
        <is>
          <t>Source link</t>
        </is>
      </c>
      <c r="AB249" s="19" t="inlineStr">
        <is>
          <t>Search LinkedIn</t>
        </is>
      </c>
      <c r="AC249" s="18" t="inlineStr">
        <is>
          <t>Round 5</t>
        </is>
      </c>
      <c r="AD249" s="20" t="inlineStr">
        <is>
          <t>Not contacted</t>
        </is>
      </c>
      <c r="AE249" s="21" t="n"/>
      <c r="AF249" s="20" t="n"/>
      <c r="AG249" s="20" t="n"/>
      <c r="AH249" s="20" t="n"/>
      <c r="AI249" s="21">
        <f>IF(AE249="","",WORKDAY(AE249,5))</f>
        <v/>
      </c>
      <c r="AJ249" s="20" t="n"/>
      <c r="AK249" s="20" t="n"/>
    </row>
    <row r="250">
      <c r="A250" s="24" t="inlineStr">
        <is>
          <t>Poland</t>
        </is>
      </c>
      <c r="B250" s="25" t="n">
        <v>249</v>
      </c>
      <c r="C250" s="17" t="n">
        <v>4</v>
      </c>
      <c r="D250" s="18" t="inlineStr">
        <is>
          <t>Pet Supplies</t>
        </is>
      </c>
      <c r="E250" s="26" t="inlineStr">
        <is>
          <t>Cazo Sp. z o.o.</t>
        </is>
      </c>
      <c r="F250" s="19" t="inlineStr">
        <is>
          <t>https://cazo.eu</t>
        </is>
      </c>
      <c r="G250" s="18" t="inlineStr">
        <is>
          <t>Częstochowa</t>
        </is>
      </c>
      <c r="H250" s="18" t="inlineStr"/>
      <c r="I250" s="18" t="inlineStr">
        <is>
          <t>EU / Europe</t>
        </is>
      </c>
      <c r="J250" s="18" t="inlineStr">
        <is>
          <t>Low-cost</t>
        </is>
      </c>
      <c r="K250" s="18" t="inlineStr">
        <is>
          <t>ul. Rakowska 1, 42-208 Częstochowa</t>
        </is>
      </c>
      <c r="L250" s="18" t="inlineStr">
        <is>
          <t>+48 34 323 50 77</t>
        </is>
      </c>
      <c r="M250" s="18" t="inlineStr">
        <is>
          <t>cazo@cazo.eu</t>
        </is>
      </c>
      <c r="N250" s="18" t="inlineStr">
        <is>
          <t>Manufacturer</t>
        </is>
      </c>
      <c r="O250" s="18" t="inlineStr">
        <is>
          <t>Cazo dog &amp; cat beds, mattresses, houses, carriers</t>
        </is>
      </c>
      <c r="P250" s="18" t="inlineStr">
        <is>
          <t>Pet beds &amp; carriers</t>
        </is>
      </c>
      <c r="Q250" s="18" t="inlineStr">
        <is>
          <t>On request</t>
        </is>
      </c>
      <c r="R250" s="18" t="inlineStr">
        <is>
          <t>Distributors in 30+ countries</t>
        </is>
      </c>
      <c r="S250" s="18" t="inlineStr">
        <is>
          <t>Ask</t>
        </is>
      </c>
      <c r="T250" s="18" t="inlineStr">
        <is>
          <t>Unknown</t>
        </is>
      </c>
      <c r="U250" s="18" t="inlineStr">
        <is>
          <t>Unknown</t>
        </is>
      </c>
      <c r="V250" s="18" t="inlineStr"/>
      <c r="W250" s="18" t="inlineStr">
        <is>
          <t>Zoomark 2025 exhibitor (Polish pavilion); stocked by Alve (EE)</t>
        </is>
      </c>
      <c r="X250" s="18" t="inlineStr">
        <is>
          <t>Pet beds sell well; bulky - check FBA size tiers</t>
        </is>
      </c>
      <c r="Y250" s="18" t="inlineStr"/>
      <c r="Z250" s="18" t="inlineStr">
        <is>
          <t>Trade fair exhibitor listing + retailer data</t>
        </is>
      </c>
      <c r="AA250" s="19" t="inlineStr">
        <is>
          <t>Source link</t>
        </is>
      </c>
      <c r="AB250" s="19" t="inlineStr">
        <is>
          <t>Search LinkedIn</t>
        </is>
      </c>
      <c r="AC250" s="18" t="inlineStr">
        <is>
          <t>Round 5</t>
        </is>
      </c>
      <c r="AD250" s="20" t="inlineStr">
        <is>
          <t>Not contacted</t>
        </is>
      </c>
      <c r="AE250" s="21" t="n"/>
      <c r="AF250" s="20" t="n"/>
      <c r="AG250" s="20" t="n"/>
      <c r="AH250" s="20" t="n"/>
      <c r="AI250" s="21">
        <f>IF(AE250="","",WORKDAY(AE250,5))</f>
        <v/>
      </c>
      <c r="AJ250" s="20" t="n"/>
      <c r="AK250" s="20" t="n"/>
    </row>
    <row r="251">
      <c r="A251" s="24" t="inlineStr">
        <is>
          <t>Poland</t>
        </is>
      </c>
      <c r="B251" s="25" t="n">
        <v>250</v>
      </c>
      <c r="C251" s="17" t="n">
        <v>4</v>
      </c>
      <c r="D251" s="18" t="inlineStr">
        <is>
          <t>Pet Supplies</t>
        </is>
      </c>
      <c r="E251" s="26" t="inlineStr">
        <is>
          <t>EMPETS Group</t>
        </is>
      </c>
      <c r="F251" s="19" t="inlineStr">
        <is>
          <t>https://www.empets.pl</t>
        </is>
      </c>
      <c r="G251" s="18" t="inlineStr">
        <is>
          <t>Częstochowa</t>
        </is>
      </c>
      <c r="H251" s="18" t="inlineStr"/>
      <c r="I251" s="18" t="inlineStr">
        <is>
          <t>EU / Europe</t>
        </is>
      </c>
      <c r="J251" s="18" t="inlineStr">
        <is>
          <t>Low-cost</t>
        </is>
      </c>
      <c r="K251" s="18" t="inlineStr">
        <is>
          <t>ul. Ogrodowa 29a, 42-200 Częstochowa (or Meliorantów 67c)</t>
        </is>
      </c>
      <c r="L251" s="18" t="inlineStr">
        <is>
          <t>+48 882 668 215</t>
        </is>
      </c>
      <c r="M251" s="18" t="inlineStr">
        <is>
          <t>biuro@empetsgroup.com</t>
        </is>
      </c>
      <c r="N251" s="18" t="inlineStr">
        <is>
          <t>Manufacturer</t>
        </is>
      </c>
      <c r="O251" s="18" t="inlineStr">
        <is>
          <t>Empets pet beds, Hoppa modular cat trees</t>
        </is>
      </c>
      <c r="P251" s="18" t="inlineStr">
        <is>
          <t>Pet beds &amp; cat furniture</t>
        </is>
      </c>
      <c r="Q251" s="18" t="inlineStr">
        <is>
          <t>On request</t>
        </is>
      </c>
      <c r="R251" s="18" t="inlineStr">
        <is>
          <t>Customers in 29 countries</t>
        </is>
      </c>
      <c r="S251" s="18" t="inlineStr">
        <is>
          <t>Ask</t>
        </is>
      </c>
      <c r="T251" s="18" t="inlineStr">
        <is>
          <t>Unknown</t>
        </is>
      </c>
      <c r="U251" s="18" t="inlineStr">
        <is>
          <t>Unknown</t>
        </is>
      </c>
      <c r="V251" s="18" t="inlineStr"/>
      <c r="W251" s="18" t="inlineStr">
        <is>
          <t>Interzoo &amp; Zoomark 2025 exhibitor; trade.gov.pl profile; 18 years making beds</t>
        </is>
      </c>
      <c r="X251" s="18" t="inlineStr">
        <is>
          <t>Cat trees &amp; beds - strong Amazon demand</t>
        </is>
      </c>
      <c r="Y251" s="18" t="inlineStr">
        <is>
          <t>Two addresses listed - confirm</t>
        </is>
      </c>
      <c r="Z251" s="18" t="inlineStr">
        <is>
          <t>Trade fairs + government export portal</t>
        </is>
      </c>
      <c r="AA251" s="19" t="inlineStr">
        <is>
          <t>Source link</t>
        </is>
      </c>
      <c r="AB251" s="19" t="inlineStr">
        <is>
          <t>Search LinkedIn</t>
        </is>
      </c>
      <c r="AC251" s="18" t="inlineStr">
        <is>
          <t>Round 5</t>
        </is>
      </c>
      <c r="AD251" s="20" t="inlineStr">
        <is>
          <t>Not contacted</t>
        </is>
      </c>
      <c r="AE251" s="21" t="n"/>
      <c r="AF251" s="20" t="n"/>
      <c r="AG251" s="20" t="n"/>
      <c r="AH251" s="20" t="n"/>
      <c r="AI251" s="21">
        <f>IF(AE251="","",WORKDAY(AE251,5))</f>
        <v/>
      </c>
      <c r="AJ251" s="20" t="n"/>
      <c r="AK251" s="20" t="n"/>
    </row>
    <row r="252">
      <c r="A252" s="24" t="inlineStr">
        <is>
          <t>Poland</t>
        </is>
      </c>
      <c r="B252" s="25" t="n">
        <v>251</v>
      </c>
      <c r="C252" s="17" t="n">
        <v>4</v>
      </c>
      <c r="D252" s="18" t="inlineStr">
        <is>
          <t>Pet Supplies</t>
        </is>
      </c>
      <c r="E252" s="26" t="inlineStr">
        <is>
          <t>Laboratorium DermaPharm Sp. z o.o.</t>
        </is>
      </c>
      <c r="F252" s="19" t="inlineStr">
        <is>
          <t>https://dermapharm.com.pl/en/</t>
        </is>
      </c>
      <c r="G252" s="18" t="inlineStr">
        <is>
          <t>Warsaw</t>
        </is>
      </c>
      <c r="H252" s="18" t="inlineStr"/>
      <c r="I252" s="18" t="inlineStr">
        <is>
          <t>EU / Europe</t>
        </is>
      </c>
      <c r="J252" s="18" t="inlineStr">
        <is>
          <t>Low-cost</t>
        </is>
      </c>
      <c r="K252" s="18" t="inlineStr">
        <is>
          <t>ul. Człuchowska 12A, 01-100 Warszawa</t>
        </is>
      </c>
      <c r="L252" s="18" t="inlineStr">
        <is>
          <t>+48 604 555 652</t>
        </is>
      </c>
      <c r="M252" s="18" t="inlineStr">
        <is>
          <t>a.gorzkowska@dermapharm.com.pl</t>
        </is>
      </c>
      <c r="N252" s="18" t="inlineStr">
        <is>
          <t>Brand owner / manufacturer</t>
        </is>
      </c>
      <c r="O252" s="18" t="inlineStr">
        <is>
          <t>Dr Seidel, Mr. Smell, Sabunol pet care</t>
        </is>
      </c>
      <c r="P252" s="18" t="inlineStr">
        <is>
          <t>Pet grooming, hygiene &amp; health</t>
        </is>
      </c>
      <c r="Q252" s="18" t="inlineStr">
        <is>
          <t>On request</t>
        </is>
      </c>
      <c r="R252" s="18" t="inlineStr">
        <is>
          <t>Distributors</t>
        </is>
      </c>
      <c r="S252" s="18" t="inlineStr">
        <is>
          <t>Ask</t>
        </is>
      </c>
      <c r="T252" s="18" t="inlineStr">
        <is>
          <t>Unknown</t>
        </is>
      </c>
      <c r="U252" s="18" t="inlineStr">
        <is>
          <t>Unknown</t>
        </is>
      </c>
      <c r="V252" s="18" t="inlineStr"/>
      <c r="W252" s="18" t="inlineStr">
        <is>
          <t>Interzoo &amp; Zoomark exhibitor; trade.gov.pl profile; since 1993</t>
        </is>
      </c>
      <c r="X252" s="18" t="inlineStr">
        <is>
          <t>Pet shampoos, odour removers &amp; flea products - steady Amazon demand</t>
        </is>
      </c>
      <c r="Y252" s="18" t="inlineStr">
        <is>
          <t>Flea/tick products may need biocide registration in UK</t>
        </is>
      </c>
      <c r="Z252" s="18" t="inlineStr">
        <is>
          <t>Trade fairs + government export portal</t>
        </is>
      </c>
      <c r="AA252" s="19" t="inlineStr">
        <is>
          <t>Source link</t>
        </is>
      </c>
      <c r="AB252" s="19" t="inlineStr">
        <is>
          <t>Search LinkedIn</t>
        </is>
      </c>
      <c r="AC252" s="18" t="inlineStr">
        <is>
          <t>Round 5</t>
        </is>
      </c>
      <c r="AD252" s="20" t="inlineStr">
        <is>
          <t>Not contacted</t>
        </is>
      </c>
      <c r="AE252" s="21" t="n"/>
      <c r="AF252" s="20" t="n"/>
      <c r="AG252" s="20" t="n"/>
      <c r="AH252" s="20" t="n"/>
      <c r="AI252" s="21">
        <f>IF(AE252="","",WORKDAY(AE252,5))</f>
        <v/>
      </c>
      <c r="AJ252" s="20" t="n"/>
      <c r="AK252" s="20" t="n"/>
    </row>
    <row r="253">
      <c r="A253" s="24" t="inlineStr">
        <is>
          <t>Poland</t>
        </is>
      </c>
      <c r="B253" s="25" t="n">
        <v>252</v>
      </c>
      <c r="C253" s="17" t="n">
        <v>4</v>
      </c>
      <c r="D253" s="18" t="inlineStr">
        <is>
          <t>Pet Supplies</t>
        </is>
      </c>
      <c r="E253" s="26" t="inlineStr">
        <is>
          <t>Vet Planet Sp. z o.o. (Vet Expert)</t>
        </is>
      </c>
      <c r="F253" s="19" t="inlineStr">
        <is>
          <t>https://vetexpert.eu</t>
        </is>
      </c>
      <c r="G253" s="18" t="inlineStr">
        <is>
          <t>Łomianki (Warsaw)</t>
        </is>
      </c>
      <c r="H253" s="18" t="inlineStr"/>
      <c r="I253" s="18" t="inlineStr">
        <is>
          <t>EU / Europe</t>
        </is>
      </c>
      <c r="J253" s="18" t="inlineStr">
        <is>
          <t>Low-cost</t>
        </is>
      </c>
      <c r="K253" s="18" t="inlineStr">
        <is>
          <t>Łomianki, Poland</t>
        </is>
      </c>
      <c r="L253" s="18" t="inlineStr"/>
      <c r="M253" s="18" t="inlineStr"/>
      <c r="N253" s="18" t="inlineStr">
        <is>
          <t>Manufacturer / brand owner</t>
        </is>
      </c>
      <c r="O253" s="18" t="inlineStr">
        <is>
          <t>Vet Expert pet supplements, dental care, shampoos</t>
        </is>
      </c>
      <c r="P253" s="18" t="inlineStr">
        <is>
          <t>Pet health &amp; supplements</t>
        </is>
      </c>
      <c r="Q253" s="18" t="inlineStr">
        <is>
          <t>On request</t>
        </is>
      </c>
      <c r="R253" s="18" t="inlineStr">
        <is>
          <t>Distributors in 40+ countries; ~50% of sales exported</t>
        </is>
      </c>
      <c r="S253" s="18" t="inlineStr">
        <is>
          <t>Ask</t>
        </is>
      </c>
      <c r="T253" s="18" t="inlineStr">
        <is>
          <t>Unknown</t>
        </is>
      </c>
      <c r="U253" s="18" t="inlineStr">
        <is>
          <t>Unknown</t>
        </is>
      </c>
      <c r="V253" s="18" t="inlineStr"/>
      <c r="W253" s="18" t="inlineStr">
        <is>
          <t>Interzoo exhibitor catalogue; covered by Petfood Industry trade press</t>
        </is>
      </c>
      <c r="X253" s="18" t="inlineStr">
        <is>
          <t>Joint &amp; coat supplements for dogs sell well; light parcels</t>
        </is>
      </c>
      <c r="Y253" s="18" t="inlineStr"/>
      <c r="Z253" s="18" t="inlineStr">
        <is>
          <t>Trade fair catalogue + trade press</t>
        </is>
      </c>
      <c r="AA253" s="19" t="inlineStr">
        <is>
          <t>Source link</t>
        </is>
      </c>
      <c r="AB253" s="19" t="inlineStr">
        <is>
          <t>Search LinkedIn</t>
        </is>
      </c>
      <c r="AC253" s="18" t="inlineStr">
        <is>
          <t>Round 5</t>
        </is>
      </c>
      <c r="AD253" s="20" t="inlineStr">
        <is>
          <t>Not contacted</t>
        </is>
      </c>
      <c r="AE253" s="21" t="n"/>
      <c r="AF253" s="20" t="n"/>
      <c r="AG253" s="20" t="n"/>
      <c r="AH253" s="20" t="n"/>
      <c r="AI253" s="21">
        <f>IF(AE253="","",WORKDAY(AE253,5))</f>
        <v/>
      </c>
      <c r="AJ253" s="20" t="n"/>
      <c r="AK253" s="20" t="n"/>
    </row>
    <row r="254">
      <c r="A254" s="24" t="inlineStr">
        <is>
          <t>Poland</t>
        </is>
      </c>
      <c r="B254" s="25" t="n">
        <v>253</v>
      </c>
      <c r="C254" s="17" t="n">
        <v>3</v>
      </c>
      <c r="D254" s="18" t="inlineStr">
        <is>
          <t>Pet Supplies</t>
        </is>
      </c>
      <c r="E254" s="18" t="inlineStr">
        <is>
          <t>Dingo Sp. z o.o.</t>
        </is>
      </c>
      <c r="F254" s="19" t="inlineStr">
        <is>
          <t>https://www.interzoo.com/en/exhibitors/dingo-sp-z-oo-2498563</t>
        </is>
      </c>
      <c r="G254" s="18" t="inlineStr">
        <is>
          <t>Poland</t>
        </is>
      </c>
      <c r="H254" s="18" t="inlineStr"/>
      <c r="I254" s="18" t="inlineStr">
        <is>
          <t>EU / Europe</t>
        </is>
      </c>
      <c r="J254" s="18" t="inlineStr">
        <is>
          <t>Low-cost</t>
        </is>
      </c>
      <c r="K254" s="18" t="inlineStr"/>
      <c r="L254" s="18" t="inlineStr"/>
      <c r="M254" s="18" t="inlineStr"/>
      <c r="N254" s="18" t="inlineStr">
        <is>
          <t>Manufacturer (incl. private label)</t>
        </is>
      </c>
      <c r="O254" s="18" t="inlineStr">
        <is>
          <t>Dingo collars, harnesses, leashes, training gear; private-label option</t>
        </is>
      </c>
      <c r="P254" s="18" t="inlineStr">
        <is>
          <t>Pet accessories</t>
        </is>
      </c>
      <c r="Q254" s="18" t="inlineStr">
        <is>
          <t>On request</t>
        </is>
      </c>
      <c r="R254" s="18" t="inlineStr">
        <is>
          <t>Retailers &amp; distributors</t>
        </is>
      </c>
      <c r="S254" s="18" t="inlineStr">
        <is>
          <t>Ask</t>
        </is>
      </c>
      <c r="T254" s="18" t="inlineStr">
        <is>
          <t>Unknown</t>
        </is>
      </c>
      <c r="U254" s="18" t="inlineStr">
        <is>
          <t>Unknown</t>
        </is>
      </c>
      <c r="V254" s="18" t="inlineStr"/>
      <c r="W254" s="18" t="inlineStr">
        <is>
          <t>In the pet industry since 1977; Interzoo exhibitor</t>
        </is>
      </c>
      <c r="X254" s="18" t="inlineStr">
        <is>
          <t>Private-label option could support your own Amazon brand later</t>
        </is>
      </c>
      <c r="Y254" s="18" t="inlineStr"/>
      <c r="Z254" s="18" t="inlineStr">
        <is>
          <t>Trade fair listing</t>
        </is>
      </c>
      <c r="AA254" s="19" t="inlineStr">
        <is>
          <t>Source link</t>
        </is>
      </c>
      <c r="AB254" s="19" t="inlineStr">
        <is>
          <t>Search LinkedIn</t>
        </is>
      </c>
      <c r="AC254" s="18" t="inlineStr">
        <is>
          <t>Round 4</t>
        </is>
      </c>
      <c r="AD254" s="20" t="inlineStr">
        <is>
          <t>Not contacted</t>
        </is>
      </c>
      <c r="AE254" s="21" t="n"/>
      <c r="AF254" s="20" t="n"/>
      <c r="AG254" s="20" t="n"/>
      <c r="AH254" s="20" t="n"/>
      <c r="AI254" s="21">
        <f>IF(AE254="","",WORKDAY(AE254,5))</f>
        <v/>
      </c>
      <c r="AJ254" s="20" t="n"/>
      <c r="AK254" s="20" t="n"/>
    </row>
    <row r="255">
      <c r="A255" s="24" t="inlineStr">
        <is>
          <t>Poland</t>
        </is>
      </c>
      <c r="B255" s="25" t="n">
        <v>254</v>
      </c>
      <c r="C255" s="17" t="n">
        <v>3</v>
      </c>
      <c r="D255" s="18" t="inlineStr">
        <is>
          <t>Pet Supplies</t>
        </is>
      </c>
      <c r="E255" s="26" t="inlineStr">
        <is>
          <t>MPPK Group Sp. z o.o.</t>
        </is>
      </c>
      <c r="F255" s="18" t="inlineStr">
        <is>
          <t>Not confirmed - search company name</t>
        </is>
      </c>
      <c r="G255" s="18" t="inlineStr">
        <is>
          <t>Szymanów (Wrocław area)</t>
        </is>
      </c>
      <c r="H255" s="18" t="inlineStr"/>
      <c r="I255" s="18" t="inlineStr">
        <is>
          <t>EU / Europe</t>
        </is>
      </c>
      <c r="J255" s="18" t="inlineStr">
        <is>
          <t>Low-cost</t>
        </is>
      </c>
      <c r="K255" s="18" t="inlineStr">
        <is>
          <t>ul. Północna 1, Szymanów</t>
        </is>
      </c>
      <c r="L255" s="18" t="inlineStr"/>
      <c r="M255" s="18" t="inlineStr"/>
      <c r="N255" s="18" t="inlineStr">
        <is>
          <t>Manufacturer / brand owner</t>
        </is>
      </c>
      <c r="O255" s="18" t="inlineStr">
        <is>
          <t>Country of Animals, Mr Meaty, Wiejska Zagroda, Pan Mięsko</t>
        </is>
      </c>
      <c r="P255" s="18" t="inlineStr">
        <is>
          <t>Pet food &amp; treats</t>
        </is>
      </c>
      <c r="Q255" s="18" t="inlineStr">
        <is>
          <t>On request</t>
        </is>
      </c>
      <c r="R255" s="18" t="inlineStr">
        <is>
          <t>Actively seeking new distributors</t>
        </is>
      </c>
      <c r="S255" s="18" t="inlineStr">
        <is>
          <t>Ask</t>
        </is>
      </c>
      <c r="T255" s="18" t="inlineStr">
        <is>
          <t>Unknown</t>
        </is>
      </c>
      <c r="U255" s="18" t="inlineStr">
        <is>
          <t>Unknown</t>
        </is>
      </c>
      <c r="V255" s="18" t="inlineStr"/>
      <c r="W255" s="18" t="inlineStr">
        <is>
          <t>trade.gov.pl profile; exclusive distributor of Alpha Spirit in PL</t>
        </is>
      </c>
      <c r="X255" s="18" t="inlineStr">
        <is>
          <t>Natural treats are lighter than food - better for FBA</t>
        </is>
      </c>
      <c r="Y255" s="18" t="inlineStr">
        <is>
          <t>Pet food imports to UK need an export health certificate</t>
        </is>
      </c>
      <c r="Z255" s="18" t="inlineStr">
        <is>
          <t>Government export portal</t>
        </is>
      </c>
      <c r="AA255" s="19" t="inlineStr">
        <is>
          <t>Source link</t>
        </is>
      </c>
      <c r="AB255" s="19" t="inlineStr">
        <is>
          <t>Search LinkedIn</t>
        </is>
      </c>
      <c r="AC255" s="18" t="inlineStr">
        <is>
          <t>Round 5</t>
        </is>
      </c>
      <c r="AD255" s="20" t="inlineStr">
        <is>
          <t>Not contacted</t>
        </is>
      </c>
      <c r="AE255" s="21" t="n"/>
      <c r="AF255" s="20" t="n"/>
      <c r="AG255" s="20" t="n"/>
      <c r="AH255" s="20" t="n"/>
      <c r="AI255" s="21">
        <f>IF(AE255="","",WORKDAY(AE255,5))</f>
        <v/>
      </c>
      <c r="AJ255" s="20" t="n"/>
      <c r="AK255" s="20" t="n"/>
    </row>
    <row r="256">
      <c r="A256" s="24" t="inlineStr">
        <is>
          <t>Poland</t>
        </is>
      </c>
      <c r="B256" s="25" t="n">
        <v>255</v>
      </c>
      <c r="C256" s="17" t="n">
        <v>3</v>
      </c>
      <c r="D256" s="18" t="inlineStr">
        <is>
          <t>Pet Supplies</t>
        </is>
      </c>
      <c r="E256" s="18" t="inlineStr">
        <is>
          <t>P.W. Hobby (Vitapol)</t>
        </is>
      </c>
      <c r="F256" s="19" t="inlineStr">
        <is>
          <t>https://hobby.bydgoszcz.pl/en/about-us/</t>
        </is>
      </c>
      <c r="G256" s="18" t="inlineStr">
        <is>
          <t>Brzoza (near Bydgoszcz)</t>
        </is>
      </c>
      <c r="H256" s="18" t="inlineStr"/>
      <c r="I256" s="18" t="inlineStr">
        <is>
          <t>EU / Europe</t>
        </is>
      </c>
      <c r="J256" s="18" t="inlineStr">
        <is>
          <t>Low-cost</t>
        </is>
      </c>
      <c r="K256" s="18" t="inlineStr">
        <is>
          <t>Kobylarnia 20A, 86-061 Brzoza</t>
        </is>
      </c>
      <c r="L256" s="18" t="inlineStr"/>
      <c r="M256" s="18" t="inlineStr"/>
      <c r="N256" s="18" t="inlineStr">
        <is>
          <t>Manufacturer</t>
        </is>
      </c>
      <c r="O256" s="18" t="inlineStr">
        <is>
          <t>Vitapol food &amp; treats for small mammals, rodents, birds, dogs</t>
        </is>
      </c>
      <c r="P256" s="18" t="inlineStr">
        <is>
          <t>Small-animal &amp; bird food</t>
        </is>
      </c>
      <c r="Q256" s="18" t="inlineStr">
        <is>
          <t>On request</t>
        </is>
      </c>
      <c r="R256" s="18" t="inlineStr">
        <is>
          <t>Distributors &amp; retailers</t>
        </is>
      </c>
      <c r="S256" s="18" t="inlineStr">
        <is>
          <t>Ask</t>
        </is>
      </c>
      <c r="T256" s="18" t="inlineStr">
        <is>
          <t>Unknown</t>
        </is>
      </c>
      <c r="U256" s="18" t="inlineStr">
        <is>
          <t>Unknown</t>
        </is>
      </c>
      <c r="V256" s="18" t="inlineStr"/>
      <c r="W256" s="18" t="inlineStr">
        <is>
          <t>Producing Vitapol since 1992; on Polish vet authority export-approved list</t>
        </is>
      </c>
      <c r="X256" s="18" t="inlineStr">
        <is>
          <t>Food items: check expiry rules for FBA</t>
        </is>
      </c>
      <c r="Y256" s="18" t="inlineStr"/>
      <c r="Z256" s="18" t="inlineStr">
        <is>
          <t>Company site + government approved-plant list</t>
        </is>
      </c>
      <c r="AA256" s="19" t="inlineStr">
        <is>
          <t>Source link</t>
        </is>
      </c>
      <c r="AB256" s="19" t="inlineStr">
        <is>
          <t>Search LinkedIn</t>
        </is>
      </c>
      <c r="AC256" s="18" t="inlineStr">
        <is>
          <t>Round 4</t>
        </is>
      </c>
      <c r="AD256" s="20" t="inlineStr">
        <is>
          <t>Not contacted</t>
        </is>
      </c>
      <c r="AE256" s="21" t="n"/>
      <c r="AF256" s="20" t="n"/>
      <c r="AG256" s="20" t="n"/>
      <c r="AH256" s="20" t="n"/>
      <c r="AI256" s="21">
        <f>IF(AE256="","",WORKDAY(AE256,5))</f>
        <v/>
      </c>
      <c r="AJ256" s="20" t="n"/>
      <c r="AK256" s="20" t="n"/>
    </row>
    <row r="257">
      <c r="A257" s="24" t="inlineStr">
        <is>
          <t>Poland</t>
        </is>
      </c>
      <c r="B257" s="25" t="n">
        <v>256</v>
      </c>
      <c r="C257" s="17" t="n">
        <v>2</v>
      </c>
      <c r="D257" s="18" t="inlineStr">
        <is>
          <t>Pet Supplies</t>
        </is>
      </c>
      <c r="E257" s="18" t="inlineStr">
        <is>
          <t>Hurtowniakarm.pl</t>
        </is>
      </c>
      <c r="F257" s="19" t="inlineStr">
        <is>
          <t>https://hurtowniakarm.pl</t>
        </is>
      </c>
      <c r="G257" s="18" t="inlineStr">
        <is>
          <t>Dankowice</t>
        </is>
      </c>
      <c r="H257" s="18" t="inlineStr"/>
      <c r="I257" s="18" t="inlineStr">
        <is>
          <t>EU / Europe</t>
        </is>
      </c>
      <c r="J257" s="18" t="inlineStr">
        <is>
          <t>Low-cost</t>
        </is>
      </c>
      <c r="K257" s="18" t="inlineStr">
        <is>
          <t>Dankowice</t>
        </is>
      </c>
      <c r="L257" s="18" t="inlineStr"/>
      <c r="M257" s="18" t="inlineStr"/>
      <c r="N257" s="18" t="inlineStr">
        <is>
          <t>Pet food wholesaler</t>
        </is>
      </c>
      <c r="O257" s="18" t="inlineStr">
        <is>
          <t>Pet food brands</t>
        </is>
      </c>
      <c r="P257" s="18" t="inlineStr">
        <is>
          <t>Pet food</t>
        </is>
      </c>
      <c r="Q257" s="18" t="inlineStr">
        <is>
          <t>On request</t>
        </is>
      </c>
      <c r="R257" s="18" t="inlineStr">
        <is>
          <t>Shops, breeders, dropship</t>
        </is>
      </c>
      <c r="S257" s="18" t="inlineStr">
        <is>
          <t>Ask</t>
        </is>
      </c>
      <c r="T257" s="18" t="inlineStr">
        <is>
          <t>Unknown</t>
        </is>
      </c>
      <c r="U257" s="18" t="inlineStr">
        <is>
          <t>Yes</t>
        </is>
      </c>
      <c r="V257" s="18" t="inlineStr"/>
      <c r="W257" s="18" t="inlineStr">
        <is>
          <t>4.9/5 from 126 Google reviews</t>
        </is>
      </c>
      <c r="X257" s="18" t="inlineStr"/>
      <c r="Y257" s="18" t="inlineStr"/>
      <c r="Z257" s="18" t="inlineStr">
        <is>
          <t>Google Business profile</t>
        </is>
      </c>
      <c r="AA257" s="19" t="inlineStr">
        <is>
          <t>Source link</t>
        </is>
      </c>
      <c r="AB257" s="19" t="inlineStr">
        <is>
          <t>Search LinkedIn</t>
        </is>
      </c>
      <c r="AC257" s="18" t="inlineStr">
        <is>
          <t>Round 2</t>
        </is>
      </c>
      <c r="AD257" s="20" t="inlineStr">
        <is>
          <t>Not contacted</t>
        </is>
      </c>
      <c r="AE257" s="21" t="n"/>
      <c r="AF257" s="20" t="n"/>
      <c r="AG257" s="20" t="n"/>
      <c r="AH257" s="20" t="n"/>
      <c r="AI257" s="21">
        <f>IF(AE257="","",WORKDAY(AE257,5))</f>
        <v/>
      </c>
      <c r="AJ257" s="20" t="n"/>
      <c r="AK257" s="20" t="n"/>
    </row>
    <row r="258">
      <c r="A258" s="24" t="inlineStr">
        <is>
          <t>Poland</t>
        </is>
      </c>
      <c r="B258" s="25" t="n">
        <v>257</v>
      </c>
      <c r="C258" s="17" t="n">
        <v>3</v>
      </c>
      <c r="D258" s="18" t="inlineStr">
        <is>
          <t>Sports &amp; Outdoors</t>
        </is>
      </c>
      <c r="E258" s="18" t="inlineStr">
        <is>
          <t>Bacha Sport Sp. z o.o.</t>
        </is>
      </c>
      <c r="F258" s="19" t="inlineStr">
        <is>
          <t>https://www.decathlon.pl/mp/seller/bacha-sport/4aef1923-5ee8-4c39-8d70-d4fa38144749</t>
        </is>
      </c>
      <c r="G258" s="18" t="inlineStr">
        <is>
          <t>Gliwice</t>
        </is>
      </c>
      <c r="H258" s="18" t="inlineStr"/>
      <c r="I258" s="18" t="inlineStr">
        <is>
          <t>EU / Europe</t>
        </is>
      </c>
      <c r="J258" s="18" t="inlineStr">
        <is>
          <t>Low-cost</t>
        </is>
      </c>
      <c r="K258" s="18" t="inlineStr">
        <is>
          <t>ul. Kozielska 439, 44-164 Gliwice</t>
        </is>
      </c>
      <c r="L258" s="18" t="inlineStr"/>
      <c r="M258" s="18" t="inlineStr"/>
      <c r="N258" s="18" t="inlineStr">
        <is>
          <t>Authorised importer / distributor</t>
        </is>
      </c>
      <c r="O258" s="18" t="inlineStr">
        <is>
          <t>adidas Training Hardware, Reebok Fitness, LifeTime, NordicTrack</t>
        </is>
      </c>
      <c r="P258" s="18" t="inlineStr">
        <is>
          <t>Fitness equipment</t>
        </is>
      </c>
      <c r="Q258" s="18" t="inlineStr">
        <is>
          <t>On request</t>
        </is>
      </c>
      <c r="R258" s="18" t="inlineStr">
        <is>
          <t>Trade</t>
        </is>
      </c>
      <c r="S258" s="18" t="inlineStr">
        <is>
          <t>Ask</t>
        </is>
      </c>
      <c r="T258" s="18" t="inlineStr">
        <is>
          <t>Unknown</t>
        </is>
      </c>
      <c r="U258" s="18" t="inlineStr">
        <is>
          <t>Unknown</t>
        </is>
      </c>
      <c r="V258" s="18" t="inlineStr"/>
      <c r="W258" s="18" t="inlineStr">
        <is>
          <t>Trading in Poland since 1991; Decathlon marketplace seller</t>
        </is>
      </c>
      <c r="X258" s="18" t="inlineStr">
        <is>
          <t>adidas/Reebok fitness accessories sell well on Amazon</t>
        </is>
      </c>
      <c r="Y258" s="18" t="inlineStr"/>
      <c r="Z258" s="18" t="inlineStr">
        <is>
          <t>Marketplace + job portal</t>
        </is>
      </c>
      <c r="AA258" s="19" t="inlineStr">
        <is>
          <t>Source link</t>
        </is>
      </c>
      <c r="AB258" s="19" t="inlineStr">
        <is>
          <t>Search LinkedIn</t>
        </is>
      </c>
      <c r="AC258" s="18" t="inlineStr">
        <is>
          <t>Round 2</t>
        </is>
      </c>
      <c r="AD258" s="20" t="inlineStr">
        <is>
          <t>Not contacted</t>
        </is>
      </c>
      <c r="AE258" s="21" t="n"/>
      <c r="AF258" s="20" t="n"/>
      <c r="AG258" s="20" t="n"/>
      <c r="AH258" s="20" t="n"/>
      <c r="AI258" s="21">
        <f>IF(AE258="","",WORKDAY(AE258,5))</f>
        <v/>
      </c>
      <c r="AJ258" s="20" t="n"/>
      <c r="AK258" s="20" t="n"/>
    </row>
    <row r="259">
      <c r="A259" s="24" t="inlineStr">
        <is>
          <t>Poland</t>
        </is>
      </c>
      <c r="B259" s="25" t="n">
        <v>258</v>
      </c>
      <c r="C259" s="17" t="n">
        <v>3</v>
      </c>
      <c r="D259" s="18" t="inlineStr">
        <is>
          <t>Sports &amp; Outdoors</t>
        </is>
      </c>
      <c r="E259" s="18" t="inlineStr">
        <is>
          <t>Meteor (Polish sports brand)</t>
        </is>
      </c>
      <c r="F259" s="19" t="inlineStr">
        <is>
          <t>https://www.meteor.pl</t>
        </is>
      </c>
      <c r="G259" s="18" t="inlineStr">
        <is>
          <t>Lublin</t>
        </is>
      </c>
      <c r="H259" s="18" t="inlineStr"/>
      <c r="I259" s="18" t="inlineStr">
        <is>
          <t>EU / Europe</t>
        </is>
      </c>
      <c r="J259" s="18" t="inlineStr">
        <is>
          <t>Low-cost</t>
        </is>
      </c>
      <c r="K259" s="18" t="inlineStr">
        <is>
          <t>Zadębie 44, 20-231 Lublin</t>
        </is>
      </c>
      <c r="L259" s="18" t="inlineStr"/>
      <c r="M259" s="18" t="inlineStr">
        <is>
          <t>kontakt@meteor.pl</t>
        </is>
      </c>
      <c r="N259" s="18" t="inlineStr">
        <is>
          <t>Brand owner</t>
        </is>
      </c>
      <c r="O259" s="18" t="inlineStr">
        <is>
          <t>Meteor balls, fitness accessories, camping &amp; tourist gear</t>
        </is>
      </c>
      <c r="P259" s="18" t="inlineStr">
        <is>
          <t>Sports &amp; fitness accessories</t>
        </is>
      </c>
      <c r="Q259" s="18" t="inlineStr">
        <is>
          <t>On request</t>
        </is>
      </c>
      <c r="R259" s="18" t="inlineStr">
        <is>
          <t>Retailers &amp; distributors</t>
        </is>
      </c>
      <c r="S259" s="18" t="inlineStr">
        <is>
          <t>Ask</t>
        </is>
      </c>
      <c r="T259" s="18" t="inlineStr">
        <is>
          <t>Unknown</t>
        </is>
      </c>
      <c r="U259" s="18" t="inlineStr">
        <is>
          <t>Unknown</t>
        </is>
      </c>
      <c r="V259" s="18" t="inlineStr"/>
      <c r="W259" s="18" t="inlineStr">
        <is>
          <t>Brand since 1992; sold via Decathlon PL/BE &amp; Kaufland</t>
        </is>
      </c>
      <c r="X259" s="18" t="inlineStr">
        <is>
          <t>Budget fitness accessories = good FBA fit</t>
        </is>
      </c>
      <c r="Y259" s="18" t="inlineStr"/>
      <c r="Z259" s="18" t="inlineStr">
        <is>
          <t>Marketplace listing (EU info)</t>
        </is>
      </c>
      <c r="AA259" s="19" t="inlineStr">
        <is>
          <t>Source link</t>
        </is>
      </c>
      <c r="AB259" s="19" t="inlineStr">
        <is>
          <t>Search LinkedIn</t>
        </is>
      </c>
      <c r="AC259" s="18" t="inlineStr">
        <is>
          <t>Round 4</t>
        </is>
      </c>
      <c r="AD259" s="20" t="inlineStr">
        <is>
          <t>Not contacted</t>
        </is>
      </c>
      <c r="AE259" s="21" t="n"/>
      <c r="AF259" s="20" t="n"/>
      <c r="AG259" s="20" t="n"/>
      <c r="AH259" s="20" t="n"/>
      <c r="AI259" s="21">
        <f>IF(AE259="","",WORKDAY(AE259,5))</f>
        <v/>
      </c>
      <c r="AJ259" s="20" t="n"/>
      <c r="AK259" s="20" t="n"/>
    </row>
    <row r="260">
      <c r="A260" s="24" t="inlineStr">
        <is>
          <t>Poland</t>
        </is>
      </c>
      <c r="B260" s="25" t="n">
        <v>259</v>
      </c>
      <c r="C260" s="17" t="n">
        <v>3</v>
      </c>
      <c r="D260" s="18" t="inlineStr">
        <is>
          <t>Sports &amp; Outdoors</t>
        </is>
      </c>
      <c r="E260" s="18" t="inlineStr">
        <is>
          <t>Spokey Sp. z o.o.</t>
        </is>
      </c>
      <c r="F260" s="19" t="inlineStr">
        <is>
          <t>https://www.spokey.pl</t>
        </is>
      </c>
      <c r="G260" s="18" t="inlineStr">
        <is>
          <t>Katowice</t>
        </is>
      </c>
      <c r="H260" s="18" t="inlineStr"/>
      <c r="I260" s="18" t="inlineStr">
        <is>
          <t>EU / Europe</t>
        </is>
      </c>
      <c r="J260" s="18" t="inlineStr">
        <is>
          <t>Low-cost</t>
        </is>
      </c>
      <c r="K260" s="18" t="inlineStr">
        <is>
          <t>Al. Walentego Roździeńskiego 188C, 40-203 Katowice</t>
        </is>
      </c>
      <c r="L260" s="18" t="inlineStr"/>
      <c r="M260" s="18" t="inlineStr"/>
      <c r="N260" s="18" t="inlineStr">
        <is>
          <t>Brand owner</t>
        </is>
      </c>
      <c r="O260" s="18" t="inlineStr">
        <is>
          <t>Spokey fitness, camping, cycling, water sports accessories</t>
        </is>
      </c>
      <c r="P260" s="18" t="inlineStr">
        <is>
          <t>Fitness &amp; outdoor accessories</t>
        </is>
      </c>
      <c r="Q260" s="18" t="inlineStr">
        <is>
          <t>On request</t>
        </is>
      </c>
      <c r="R260" s="18" t="inlineStr">
        <is>
          <t>Retailers &amp; distributors</t>
        </is>
      </c>
      <c r="S260" s="18" t="inlineStr">
        <is>
          <t>Sells to 25 European countries - ask</t>
        </is>
      </c>
      <c r="T260" s="18" t="inlineStr">
        <is>
          <t>Unknown</t>
        </is>
      </c>
      <c r="U260" s="18" t="inlineStr">
        <is>
          <t>Unknown</t>
        </is>
      </c>
      <c r="V260" s="18" t="inlineStr"/>
      <c r="W260" s="18" t="inlineStr">
        <is>
          <t>Decathlon marketplace seller; stocked by Empik, Digitec</t>
        </is>
      </c>
      <c r="X260" s="18" t="inlineStr">
        <is>
          <t>Small fitness accessories = good FBA fit</t>
        </is>
      </c>
      <c r="Y260" s="18" t="inlineStr"/>
      <c r="Z260" s="18" t="inlineStr">
        <is>
          <t>Business database + retailer pages</t>
        </is>
      </c>
      <c r="AA260" s="19" t="inlineStr">
        <is>
          <t>Source link</t>
        </is>
      </c>
      <c r="AB260" s="19" t="inlineStr">
        <is>
          <t>Search LinkedIn</t>
        </is>
      </c>
      <c r="AC260" s="18" t="inlineStr">
        <is>
          <t>Round 3</t>
        </is>
      </c>
      <c r="AD260" s="20" t="inlineStr">
        <is>
          <t>Not contacted</t>
        </is>
      </c>
      <c r="AE260" s="21" t="n"/>
      <c r="AF260" s="20" t="n"/>
      <c r="AG260" s="20" t="n"/>
      <c r="AH260" s="20" t="n"/>
      <c r="AI260" s="21">
        <f>IF(AE260="","",WORKDAY(AE260,5))</f>
        <v/>
      </c>
      <c r="AJ260" s="20" t="n"/>
      <c r="AK260" s="20" t="n"/>
    </row>
    <row r="261">
      <c r="A261" s="24" t="inlineStr">
        <is>
          <t>Poland</t>
        </is>
      </c>
      <c r="B261" s="25" t="n">
        <v>260</v>
      </c>
      <c r="C261" s="17" t="n">
        <v>2</v>
      </c>
      <c r="D261" s="18" t="inlineStr">
        <is>
          <t>Sports &amp; Outdoors</t>
        </is>
      </c>
      <c r="E261" s="18" t="inlineStr">
        <is>
          <t>Marba-Sport (e-hurtowniasportowa.pl)</t>
        </is>
      </c>
      <c r="F261" s="19" t="inlineStr">
        <is>
          <t>https://e-hurtowniasportowa.pl</t>
        </is>
      </c>
      <c r="G261" s="18" t="inlineStr">
        <is>
          <t>Miszewko (Gdańsk area)</t>
        </is>
      </c>
      <c r="H261" s="18" t="inlineStr"/>
      <c r="I261" s="18" t="inlineStr">
        <is>
          <t>EU / Europe</t>
        </is>
      </c>
      <c r="J261" s="18" t="inlineStr">
        <is>
          <t>Low-cost</t>
        </is>
      </c>
      <c r="K261" s="18" t="inlineStr">
        <is>
          <t>Gdyńska 69a, Miszewko</t>
        </is>
      </c>
      <c r="L261" s="18" t="inlineStr"/>
      <c r="M261" s="18" t="inlineStr"/>
      <c r="N261" s="18" t="inlineStr">
        <is>
          <t>Sports wholesaler &amp; manufacturer</t>
        </is>
      </c>
      <c r="O261" s="18" t="inlineStr">
        <is>
          <t>Sports &amp; tourism equipment</t>
        </is>
      </c>
      <c r="P261" s="18" t="inlineStr">
        <is>
          <t>Team sports &amp; outdoor</t>
        </is>
      </c>
      <c r="Q261" s="18" t="inlineStr">
        <is>
          <t>On request</t>
        </is>
      </c>
      <c r="R261" s="18" t="inlineStr">
        <is>
          <t>B2B, clubs, schools</t>
        </is>
      </c>
      <c r="S261" s="18" t="inlineStr">
        <is>
          <t>Ask</t>
        </is>
      </c>
      <c r="T261" s="18" t="inlineStr">
        <is>
          <t>Unknown</t>
        </is>
      </c>
      <c r="U261" s="18" t="inlineStr">
        <is>
          <t>Unknown</t>
        </is>
      </c>
      <c r="V261" s="18" t="inlineStr"/>
      <c r="W261" s="18" t="inlineStr">
        <is>
          <t>Runs B2B wholesale shop + retail sites</t>
        </is>
      </c>
      <c r="X261" s="18" t="inlineStr"/>
      <c r="Y261" s="18" t="inlineStr"/>
      <c r="Z261" s="18" t="inlineStr">
        <is>
          <t>Job listing</t>
        </is>
      </c>
      <c r="AA261" s="19" t="inlineStr">
        <is>
          <t>Source link</t>
        </is>
      </c>
      <c r="AB261" s="19" t="inlineStr">
        <is>
          <t>Search LinkedIn</t>
        </is>
      </c>
      <c r="AC261" s="18" t="inlineStr">
        <is>
          <t>Round 2</t>
        </is>
      </c>
      <c r="AD261" s="20" t="inlineStr">
        <is>
          <t>Not contacted</t>
        </is>
      </c>
      <c r="AE261" s="21" t="n"/>
      <c r="AF261" s="20" t="n"/>
      <c r="AG261" s="20" t="n"/>
      <c r="AH261" s="20" t="n"/>
      <c r="AI261" s="21">
        <f>IF(AE261="","",WORKDAY(AE261,5))</f>
        <v/>
      </c>
      <c r="AJ261" s="20" t="n"/>
      <c r="AK261" s="20" t="n"/>
    </row>
    <row r="262">
      <c r="A262" s="24" t="inlineStr">
        <is>
          <t>Poland</t>
        </is>
      </c>
      <c r="B262" s="25" t="n">
        <v>261</v>
      </c>
      <c r="C262" s="17" t="n">
        <v>4</v>
      </c>
      <c r="D262" s="18" t="inlineStr">
        <is>
          <t>Stationery &amp; Office</t>
        </is>
      </c>
      <c r="E262" s="26" t="inlineStr">
        <is>
          <t>Euro-Trade Sp. z o.o. Sp.K. (Starpak)</t>
        </is>
      </c>
      <c r="F262" s="18" t="inlineStr">
        <is>
          <t>Not confirmed - search company name</t>
        </is>
      </c>
      <c r="G262" s="18" t="inlineStr">
        <is>
          <t>Kraków</t>
        </is>
      </c>
      <c r="H262" s="18" t="inlineStr"/>
      <c r="I262" s="18" t="inlineStr">
        <is>
          <t>EU / Europe</t>
        </is>
      </c>
      <c r="J262" s="18" t="inlineStr">
        <is>
          <t>Low-cost</t>
        </is>
      </c>
      <c r="K262" s="18" t="inlineStr">
        <is>
          <t>ul. Łokietka 155, 31-263 Kraków</t>
        </is>
      </c>
      <c r="L262" s="18" t="inlineStr">
        <is>
          <t>+48 12 614 42 00</t>
        </is>
      </c>
      <c r="M262" s="18" t="inlineStr">
        <is>
          <t>biuro@euro-trade.pl</t>
        </is>
      </c>
      <c r="N262" s="18" t="inlineStr">
        <is>
          <t>Brand owner / importer-distributor</t>
        </is>
      </c>
      <c r="O262" s="18" t="inlineStr">
        <is>
          <t>Starpak school &amp; office supplies, art &amp; craft, gifts; toys (8 own brands)</t>
        </is>
      </c>
      <c r="P262" s="18" t="inlineStr">
        <is>
          <t>School, office &amp; craft supplies</t>
        </is>
      </c>
      <c r="Q262" s="18" t="inlineStr">
        <is>
          <t>On request</t>
        </is>
      </c>
      <c r="R262" s="18" t="inlineStr">
        <is>
          <t>Wholesale accounts</t>
        </is>
      </c>
      <c r="S262" s="18" t="inlineStr">
        <is>
          <t>Ask</t>
        </is>
      </c>
      <c r="T262" s="18" t="inlineStr">
        <is>
          <t>Unknown</t>
        </is>
      </c>
      <c r="U262" s="18" t="inlineStr">
        <is>
          <t>Unknown</t>
        </is>
      </c>
      <c r="V262" s="18" t="inlineStr"/>
      <c r="W262" s="18" t="inlineStr">
        <is>
          <t>Ambiente (Messe Frankfurt) exhibitor; trading since 1991</t>
        </is>
      </c>
      <c r="X262" s="18" t="inlineStr">
        <is>
          <t>Cheap school &amp; craft sets; good for multipack listings</t>
        </is>
      </c>
      <c r="Y262" s="18" t="inlineStr"/>
      <c r="Z262" s="18" t="inlineStr">
        <is>
          <t>Trade fair listing + retailer GPSR data</t>
        </is>
      </c>
      <c r="AA262" s="19" t="inlineStr">
        <is>
          <t>Source link</t>
        </is>
      </c>
      <c r="AB262" s="19" t="inlineStr">
        <is>
          <t>Search LinkedIn</t>
        </is>
      </c>
      <c r="AC262" s="18" t="inlineStr">
        <is>
          <t>Round 5</t>
        </is>
      </c>
      <c r="AD262" s="20" t="inlineStr">
        <is>
          <t>Not contacted</t>
        </is>
      </c>
      <c r="AE262" s="21" t="n"/>
      <c r="AF262" s="20" t="n"/>
      <c r="AG262" s="20" t="n"/>
      <c r="AH262" s="20" t="n"/>
      <c r="AI262" s="21">
        <f>IF(AE262="","",WORKDAY(AE262,5))</f>
        <v/>
      </c>
      <c r="AJ262" s="20" t="n"/>
      <c r="AK262" s="20" t="n"/>
    </row>
    <row r="263">
      <c r="A263" s="24" t="inlineStr">
        <is>
          <t>Poland</t>
        </is>
      </c>
      <c r="B263" s="25" t="n">
        <v>262</v>
      </c>
      <c r="C263" s="17" t="n">
        <v>3</v>
      </c>
      <c r="D263" s="18" t="inlineStr">
        <is>
          <t>Stationery &amp; Office</t>
        </is>
      </c>
      <c r="E263" s="18" t="inlineStr">
        <is>
          <t>Interdruk S.A.</t>
        </is>
      </c>
      <c r="F263" s="19" t="inlineStr">
        <is>
          <t>http://www.interdruk.com.pl</t>
        </is>
      </c>
      <c r="G263" s="18" t="inlineStr">
        <is>
          <t>Warsaw</t>
        </is>
      </c>
      <c r="H263" s="18" t="inlineStr"/>
      <c r="I263" s="18" t="inlineStr">
        <is>
          <t>EU / Europe</t>
        </is>
      </c>
      <c r="J263" s="18" t="inlineStr">
        <is>
          <t>Low-cost</t>
        </is>
      </c>
      <c r="K263" s="18" t="inlineStr">
        <is>
          <t>Łucka 15/3002, 00-842 Warszawa</t>
        </is>
      </c>
      <c r="L263" s="18" t="inlineStr">
        <is>
          <t>+48 22 486 60 00</t>
        </is>
      </c>
      <c r="M263" s="18" t="inlineStr">
        <is>
          <t>info@interdruk.com.pl</t>
        </is>
      </c>
      <c r="N263" s="18" t="inlineStr">
        <is>
          <t>Stationery manufacturer</t>
        </is>
      </c>
      <c r="O263" s="18" t="inlineStr">
        <is>
          <t>Interdruk notebooks, school &amp; office supplies, art materials</t>
        </is>
      </c>
      <c r="P263" s="18" t="inlineStr">
        <is>
          <t>School &amp; office supplies</t>
        </is>
      </c>
      <c r="Q263" s="18" t="inlineStr">
        <is>
          <t>On request</t>
        </is>
      </c>
      <c r="R263" s="18" t="inlineStr">
        <is>
          <t>Retailers &amp; distributors</t>
        </is>
      </c>
      <c r="S263" s="18" t="inlineStr">
        <is>
          <t>Ask</t>
        </is>
      </c>
      <c r="T263" s="18" t="inlineStr">
        <is>
          <t>Unknown</t>
        </is>
      </c>
      <c r="U263" s="18" t="inlineStr">
        <is>
          <t>Unknown</t>
        </is>
      </c>
      <c r="V263" s="18" t="inlineStr"/>
      <c r="W263" s="18" t="inlineStr">
        <is>
          <t>Major Polish stationery maker (KRS registered)</t>
        </is>
      </c>
      <c r="X263" s="18" t="inlineStr">
        <is>
          <t>Own brand = direct invoices</t>
        </is>
      </c>
      <c r="Y263" s="18" t="inlineStr"/>
      <c r="Z263" s="18" t="inlineStr">
        <is>
          <t>Business database + retail product labels</t>
        </is>
      </c>
      <c r="AA263" s="19" t="inlineStr">
        <is>
          <t>Source link</t>
        </is>
      </c>
      <c r="AB263" s="19" t="inlineStr">
        <is>
          <t>Search LinkedIn</t>
        </is>
      </c>
      <c r="AC263" s="18" t="inlineStr">
        <is>
          <t>Round 3</t>
        </is>
      </c>
      <c r="AD263" s="20" t="inlineStr">
        <is>
          <t>Not contacted</t>
        </is>
      </c>
      <c r="AE263" s="21" t="n"/>
      <c r="AF263" s="20" t="n"/>
      <c r="AG263" s="20" t="n"/>
      <c r="AH263" s="20" t="n"/>
      <c r="AI263" s="21">
        <f>IF(AE263="","",WORKDAY(AE263,5))</f>
        <v/>
      </c>
      <c r="AJ263" s="20" t="n"/>
      <c r="AK263" s="20" t="n"/>
    </row>
    <row r="264">
      <c r="A264" s="24" t="inlineStr">
        <is>
          <t>Poland</t>
        </is>
      </c>
      <c r="B264" s="25" t="n">
        <v>263</v>
      </c>
      <c r="C264" s="17" t="n">
        <v>2</v>
      </c>
      <c r="D264" s="18" t="inlineStr">
        <is>
          <t>Stationery &amp; Office</t>
        </is>
      </c>
      <c r="E264" s="18" t="inlineStr">
        <is>
          <t>Extrabiuro.pl</t>
        </is>
      </c>
      <c r="F264" s="19" t="inlineStr">
        <is>
          <t>https://extrabiuro.pl</t>
        </is>
      </c>
      <c r="G264" s="18" t="inlineStr">
        <is>
          <t>Łódź</t>
        </is>
      </c>
      <c r="H264" s="18" t="inlineStr"/>
      <c r="I264" s="18" t="inlineStr">
        <is>
          <t>EU / Europe</t>
        </is>
      </c>
      <c r="J264" s="18" t="inlineStr">
        <is>
          <t>Low-cost</t>
        </is>
      </c>
      <c r="K264" s="18" t="inlineStr">
        <is>
          <t>Henryka Sienkiewicza 85/87, 90-057 Łódź</t>
        </is>
      </c>
      <c r="L264" s="18" t="inlineStr">
        <is>
          <t>+48 792 667 667</t>
        </is>
      </c>
      <c r="M264" s="18" t="inlineStr"/>
      <c r="N264" s="18" t="inlineStr">
        <is>
          <t>Online stationery wholesaler</t>
        </is>
      </c>
      <c r="O264" s="18" t="inlineStr">
        <is>
          <t>Office, school &amp; writing supplies</t>
        </is>
      </c>
      <c r="P264" s="18" t="inlineStr">
        <is>
          <t>Office &amp; school supplies</t>
        </is>
      </c>
      <c r="Q264" s="18" t="inlineStr">
        <is>
          <t>On request</t>
        </is>
      </c>
      <c r="R264" s="18" t="inlineStr">
        <is>
          <t>B2B</t>
        </is>
      </c>
      <c r="S264" s="18" t="inlineStr">
        <is>
          <t>Ask</t>
        </is>
      </c>
      <c r="T264" s="18" t="inlineStr">
        <is>
          <t>Unknown</t>
        </is>
      </c>
      <c r="U264" s="18" t="inlineStr">
        <is>
          <t>Unknown</t>
        </is>
      </c>
      <c r="V264" s="18" t="inlineStr"/>
      <c r="W264" s="18" t="inlineStr">
        <is>
          <t>30+ years trading; listed on Polish trade portal</t>
        </is>
      </c>
      <c r="X264" s="18" t="inlineStr"/>
      <c r="Y264" s="18" t="inlineStr"/>
      <c r="Z264" s="18" t="inlineStr">
        <is>
          <t>Directory + trade.gov.pl</t>
        </is>
      </c>
      <c r="AA264" s="19" t="inlineStr">
        <is>
          <t>Source link</t>
        </is>
      </c>
      <c r="AB264" s="19" t="inlineStr">
        <is>
          <t>Search LinkedIn</t>
        </is>
      </c>
      <c r="AC264" s="18" t="inlineStr">
        <is>
          <t>Round 2</t>
        </is>
      </c>
      <c r="AD264" s="20" t="inlineStr">
        <is>
          <t>Not contacted</t>
        </is>
      </c>
      <c r="AE264" s="21" t="n"/>
      <c r="AF264" s="20" t="n"/>
      <c r="AG264" s="20" t="n"/>
      <c r="AH264" s="20" t="n"/>
      <c r="AI264" s="21">
        <f>IF(AE264="","",WORKDAY(AE264,5))</f>
        <v/>
      </c>
      <c r="AJ264" s="20" t="n"/>
      <c r="AK264" s="20" t="n"/>
    </row>
    <row r="265">
      <c r="A265" s="24" t="inlineStr">
        <is>
          <t>Poland</t>
        </is>
      </c>
      <c r="B265" s="25" t="n">
        <v>264</v>
      </c>
      <c r="C265" s="17" t="n">
        <v>5</v>
      </c>
      <c r="D265" s="18" t="inlineStr">
        <is>
          <t>Toys &amp; Games</t>
        </is>
      </c>
      <c r="E265" s="18" t="inlineStr">
        <is>
          <t>COBI S.A.</t>
        </is>
      </c>
      <c r="F265" s="19" t="inlineStr">
        <is>
          <t>https://www.cobi.pl</t>
        </is>
      </c>
      <c r="G265" s="18" t="inlineStr">
        <is>
          <t>Warsaw (HQ); factory Mielec</t>
        </is>
      </c>
      <c r="H265" s="18" t="inlineStr"/>
      <c r="I265" s="18" t="inlineStr">
        <is>
          <t>EU / Europe</t>
        </is>
      </c>
      <c r="J265" s="18" t="inlineStr">
        <is>
          <t>Low-cost</t>
        </is>
      </c>
      <c r="K265" s="18" t="inlineStr">
        <is>
          <t>Jaskrów 11, 04-709 Warszawa (KRS 0000025310)</t>
        </is>
      </c>
      <c r="L265" s="18" t="inlineStr"/>
      <c r="M265" s="18" t="inlineStr"/>
      <c r="N265" s="18" t="inlineStr">
        <is>
          <t>Brand owner / manufacturer</t>
        </is>
      </c>
      <c r="O265" s="18" t="inlineStr">
        <is>
          <t>COBI construction blocks (military, vehicles, licensed sets)</t>
        </is>
      </c>
      <c r="P265" s="18" t="inlineStr">
        <is>
          <t>Building blocks</t>
        </is>
      </c>
      <c r="Q265" s="18" t="inlineStr">
        <is>
          <t>On request</t>
        </is>
      </c>
      <c r="R265" s="18" t="inlineStr">
        <is>
          <t>Retailers &amp; distributors</t>
        </is>
      </c>
      <c r="S265" s="18" t="inlineStr">
        <is>
          <t>Has a GB sales office</t>
        </is>
      </c>
      <c r="T265" s="18" t="inlineStr">
        <is>
          <t>Unknown</t>
        </is>
      </c>
      <c r="U265" s="18" t="inlineStr">
        <is>
          <t>Unknown</t>
        </is>
      </c>
      <c r="V265" s="18" t="inlineStr">
        <is>
          <t>KRS 0000025310</t>
        </is>
      </c>
      <c r="W265" s="18" t="inlineStr">
        <is>
          <t>Own factory in Mielec SEZ; sold in ~50 countries; Spielwarenmesse exhibitor</t>
        </is>
      </c>
      <c r="X265" s="18" t="inlineStr">
        <is>
          <t>Strong Amazon seller (LEGO alternative, not LEGO-gated)</t>
        </is>
      </c>
      <c r="Y265" s="18" t="inlineStr"/>
      <c r="Z265" s="18" t="inlineStr">
        <is>
          <t>Company site + registry</t>
        </is>
      </c>
      <c r="AA265" s="19" t="inlineStr">
        <is>
          <t>Source link</t>
        </is>
      </c>
      <c r="AB265" s="19" t="inlineStr">
        <is>
          <t>Search LinkedIn</t>
        </is>
      </c>
      <c r="AC265" s="18" t="inlineStr">
        <is>
          <t>Round 4</t>
        </is>
      </c>
      <c r="AD265" s="20" t="inlineStr">
        <is>
          <t>Not contacted</t>
        </is>
      </c>
      <c r="AE265" s="21" t="n"/>
      <c r="AF265" s="20" t="n"/>
      <c r="AG265" s="20" t="n"/>
      <c r="AH265" s="20" t="n"/>
      <c r="AI265" s="21">
        <f>IF(AE265="","",WORKDAY(AE265,5))</f>
        <v/>
      </c>
      <c r="AJ265" s="20" t="n"/>
      <c r="AK265" s="20" t="n"/>
    </row>
    <row r="266">
      <c r="A266" s="24" t="inlineStr">
        <is>
          <t>Poland</t>
        </is>
      </c>
      <c r="B266" s="25" t="n">
        <v>265</v>
      </c>
      <c r="C266" s="17" t="n">
        <v>4</v>
      </c>
      <c r="D266" s="18" t="inlineStr">
        <is>
          <t>Toys &amp; Games</t>
        </is>
      </c>
      <c r="E266" s="26" t="inlineStr">
        <is>
          <t>ANEK Sp. z o.o. (Smily Play)</t>
        </is>
      </c>
      <c r="F266" s="19" t="inlineStr">
        <is>
          <t>https://anek.com.pl</t>
        </is>
      </c>
      <c r="G266" s="18" t="inlineStr">
        <is>
          <t>Ożarów Mazowiecki (Warsaw)</t>
        </is>
      </c>
      <c r="H266" s="18" t="inlineStr"/>
      <c r="I266" s="18" t="inlineStr">
        <is>
          <t>EU / Europe</t>
        </is>
      </c>
      <c r="J266" s="18" t="inlineStr">
        <is>
          <t>Low-cost</t>
        </is>
      </c>
      <c r="K266" s="18" t="inlineStr">
        <is>
          <t>ul. Poznańska 320, 05-850 Ożarów Mazowiecki</t>
        </is>
      </c>
      <c r="L266" s="18" t="inlineStr">
        <is>
          <t>+48 22 123 08 14</t>
        </is>
      </c>
      <c r="M266" s="18" t="inlineStr">
        <is>
          <t>zabawki@anek.com.pl</t>
        </is>
      </c>
      <c r="N266" s="18" t="inlineStr">
        <is>
          <t>Manufacturer / brand owner / distributor</t>
        </is>
      </c>
      <c r="O266" s="18" t="inlineStr">
        <is>
          <t>Smily Play baby &amp; toddler toys; also distributes Mattel &amp; Hasbro</t>
        </is>
      </c>
      <c r="P266" s="18" t="inlineStr">
        <is>
          <t>Baby &amp; toddler toys + branded toys</t>
        </is>
      </c>
      <c r="Q266" s="18" t="inlineStr">
        <is>
          <t>On request</t>
        </is>
      </c>
      <c r="R266" s="18" t="inlineStr">
        <is>
          <t>Specialist retailers; some exports</t>
        </is>
      </c>
      <c r="S266" s="18" t="inlineStr">
        <is>
          <t>Ask</t>
        </is>
      </c>
      <c r="T266" s="18" t="inlineStr">
        <is>
          <t>Unknown</t>
        </is>
      </c>
      <c r="U266" s="18" t="inlineStr">
        <is>
          <t>Unknown</t>
        </is>
      </c>
      <c r="V266" s="18" t="inlineStr"/>
      <c r="W266" s="18" t="inlineStr">
        <is>
          <t>Kids' Time 2024 exhibitor (Targi Kielce); family firm 30+ years</t>
        </is>
      </c>
      <c r="X266" s="18" t="inlineStr">
        <is>
          <t>Distributor of Mattel/Hasbro in PL - ask about export of branded lines</t>
        </is>
      </c>
      <c r="Y266" s="18" t="inlineStr">
        <is>
          <t>Branded Mattel/Hasbro may be territory-restricted</t>
        </is>
      </c>
      <c r="Z266" s="18" t="inlineStr">
        <is>
          <t>Trade fair exhibitor + retailer data + trade press</t>
        </is>
      </c>
      <c r="AA266" s="19" t="inlineStr">
        <is>
          <t>Source link</t>
        </is>
      </c>
      <c r="AB266" s="19" t="inlineStr">
        <is>
          <t>Search LinkedIn</t>
        </is>
      </c>
      <c r="AC266" s="18" t="inlineStr">
        <is>
          <t>Round 5</t>
        </is>
      </c>
      <c r="AD266" s="20" t="inlineStr">
        <is>
          <t>Not contacted</t>
        </is>
      </c>
      <c r="AE266" s="21" t="n"/>
      <c r="AF266" s="20" t="n"/>
      <c r="AG266" s="20" t="n"/>
      <c r="AH266" s="20" t="n"/>
      <c r="AI266" s="21">
        <f>IF(AE266="","",WORKDAY(AE266,5))</f>
        <v/>
      </c>
      <c r="AJ266" s="20" t="n"/>
      <c r="AK266" s="20" t="n"/>
    </row>
    <row r="267">
      <c r="A267" s="24" t="inlineStr">
        <is>
          <t>Poland</t>
        </is>
      </c>
      <c r="B267" s="25" t="n">
        <v>266</v>
      </c>
      <c r="C267" s="17" t="n">
        <v>4</v>
      </c>
      <c r="D267" s="18" t="inlineStr">
        <is>
          <t>Toys &amp; Games</t>
        </is>
      </c>
      <c r="E267" s="26" t="inlineStr">
        <is>
          <t>Granna Sp. z o.o.</t>
        </is>
      </c>
      <c r="F267" s="19" t="inlineStr">
        <is>
          <t>https://www.granna.pl</t>
        </is>
      </c>
      <c r="G267" s="18" t="inlineStr">
        <is>
          <t>Warsaw</t>
        </is>
      </c>
      <c r="H267" s="18" t="inlineStr"/>
      <c r="I267" s="18" t="inlineStr">
        <is>
          <t>EU / Europe</t>
        </is>
      </c>
      <c r="J267" s="18" t="inlineStr">
        <is>
          <t>Low-cost</t>
        </is>
      </c>
      <c r="K267" s="18" t="inlineStr">
        <is>
          <t>ul. Edwarda Jelinka 48, 01-646 Warszawa</t>
        </is>
      </c>
      <c r="L267" s="18" t="inlineStr"/>
      <c r="M267" s="18" t="inlineStr">
        <is>
          <t>handel@granna.pl</t>
        </is>
      </c>
      <c r="N267" s="18" t="inlineStr">
        <is>
          <t>Publisher / manufacturer</t>
        </is>
      </c>
      <c r="O267" s="18" t="inlineStr">
        <is>
          <t>Granna board games (Superfarmer, Potwory do szafy)</t>
        </is>
      </c>
      <c r="P267" s="18" t="inlineStr">
        <is>
          <t>Family &amp; kids board games</t>
        </is>
      </c>
      <c r="Q267" s="18" t="inlineStr">
        <is>
          <t>On request</t>
        </is>
      </c>
      <c r="R267" s="18" t="inlineStr">
        <is>
          <t>Distributors (28+ countries)</t>
        </is>
      </c>
      <c r="S267" s="18" t="inlineStr">
        <is>
          <t>Ask</t>
        </is>
      </c>
      <c r="T267" s="18" t="inlineStr">
        <is>
          <t>Unknown</t>
        </is>
      </c>
      <c r="U267" s="18" t="inlineStr">
        <is>
          <t>Unknown</t>
        </is>
      </c>
      <c r="V267" s="18" t="inlineStr"/>
      <c r="W267" s="18" t="inlineStr">
        <is>
          <t>Kids' Time 2025 (Targi Kielce) exhibitor; partner of Passport Game Studios (Canada)</t>
        </is>
      </c>
      <c r="X267" s="18" t="inlineStr">
        <is>
          <t>Kids board games sell year-round, peak in Q4</t>
        </is>
      </c>
      <c r="Y267" s="18" t="inlineStr"/>
      <c r="Z267" s="18" t="inlineStr">
        <is>
          <t>Trade fair exhibitor + retailer GPSR data</t>
        </is>
      </c>
      <c r="AA267" s="19" t="inlineStr">
        <is>
          <t>Source link</t>
        </is>
      </c>
      <c r="AB267" s="19" t="inlineStr">
        <is>
          <t>Search LinkedIn</t>
        </is>
      </c>
      <c r="AC267" s="18" t="inlineStr">
        <is>
          <t>Round 5</t>
        </is>
      </c>
      <c r="AD267" s="20" t="inlineStr">
        <is>
          <t>Not contacted</t>
        </is>
      </c>
      <c r="AE267" s="21" t="n"/>
      <c r="AF267" s="20" t="n"/>
      <c r="AG267" s="20" t="n"/>
      <c r="AH267" s="20" t="n"/>
      <c r="AI267" s="21">
        <f>IF(AE267="","",WORKDAY(AE267,5))</f>
        <v/>
      </c>
      <c r="AJ267" s="20" t="n"/>
      <c r="AK267" s="20" t="n"/>
    </row>
    <row r="268">
      <c r="A268" s="24" t="inlineStr">
        <is>
          <t>Poland</t>
        </is>
      </c>
      <c r="B268" s="25" t="n">
        <v>267</v>
      </c>
      <c r="C268" s="17" t="n">
        <v>4</v>
      </c>
      <c r="D268" s="18" t="inlineStr">
        <is>
          <t>Toys &amp; Games</t>
        </is>
      </c>
      <c r="E268" s="18" t="inlineStr">
        <is>
          <t>Trefl S.A.</t>
        </is>
      </c>
      <c r="F268" s="19" t="inlineStr">
        <is>
          <t>https://www.trefl.com/en/</t>
        </is>
      </c>
      <c r="G268" s="18" t="inlineStr">
        <is>
          <t>Gdynia</t>
        </is>
      </c>
      <c r="H268" s="18" t="inlineStr"/>
      <c r="I268" s="18" t="inlineStr">
        <is>
          <t>EU / Europe</t>
        </is>
      </c>
      <c r="J268" s="18" t="inlineStr">
        <is>
          <t>Low-cost</t>
        </is>
      </c>
      <c r="K268" s="18" t="inlineStr">
        <is>
          <t>Kontenerowa 25, 81-155 Gdynia (KRS 0000036560)</t>
        </is>
      </c>
      <c r="L268" s="18" t="inlineStr"/>
      <c r="M268" s="18" t="inlineStr">
        <is>
          <t>trefl@trefl.com</t>
        </is>
      </c>
      <c r="N268" s="18" t="inlineStr">
        <is>
          <t>Brand owner / manufacturer</t>
        </is>
      </c>
      <c r="O268" s="18" t="inlineStr">
        <is>
          <t>Trefl puzzles, board &amp; card games, licensed games</t>
        </is>
      </c>
      <c r="P268" s="18" t="inlineStr">
        <is>
          <t>Puzzles &amp; games</t>
        </is>
      </c>
      <c r="Q268" s="18" t="inlineStr">
        <is>
          <t>On request</t>
        </is>
      </c>
      <c r="R268" s="18" t="inlineStr">
        <is>
          <t>Retailers &amp; distributors</t>
        </is>
      </c>
      <c r="S268" s="18" t="inlineStr">
        <is>
          <t>Exports to 80 countries - ask</t>
        </is>
      </c>
      <c r="T268" s="18" t="inlineStr">
        <is>
          <t>Unknown</t>
        </is>
      </c>
      <c r="U268" s="18" t="inlineStr">
        <is>
          <t>Unknown</t>
        </is>
      </c>
      <c r="V268" s="18" t="inlineStr">
        <is>
          <t>KRS 0000036560</t>
        </is>
      </c>
      <c r="W268" s="18" t="inlineStr">
        <is>
          <t>40+ years; Spielwarenmesse exhibitor; HKTDC-listed exporter</t>
        </is>
      </c>
      <c r="X268" s="18" t="inlineStr">
        <is>
          <t>Brand-direct invoices; puzzles sell year-round</t>
        </is>
      </c>
      <c r="Y268" s="18" t="inlineStr"/>
      <c r="Z268" s="18" t="inlineStr">
        <is>
          <t>Trade fair magazine + registry</t>
        </is>
      </c>
      <c r="AA268" s="19" t="inlineStr">
        <is>
          <t>Source link</t>
        </is>
      </c>
      <c r="AB268" s="19" t="inlineStr">
        <is>
          <t>Search LinkedIn</t>
        </is>
      </c>
      <c r="AC268" s="18" t="inlineStr">
        <is>
          <t>Round 4</t>
        </is>
      </c>
      <c r="AD268" s="20" t="inlineStr">
        <is>
          <t>Not contacted</t>
        </is>
      </c>
      <c r="AE268" s="21" t="n"/>
      <c r="AF268" s="20" t="n"/>
      <c r="AG268" s="20" t="n"/>
      <c r="AH268" s="20" t="n"/>
      <c r="AI268" s="21">
        <f>IF(AE268="","",WORKDAY(AE268,5))</f>
        <v/>
      </c>
      <c r="AJ268" s="20" t="n"/>
      <c r="AK268" s="20" t="n"/>
    </row>
    <row r="269">
      <c r="A269" s="24" t="inlineStr">
        <is>
          <t>Poland</t>
        </is>
      </c>
      <c r="B269" s="25" t="n">
        <v>268</v>
      </c>
      <c r="C269" s="17" t="n">
        <v>4</v>
      </c>
      <c r="D269" s="18" t="inlineStr">
        <is>
          <t>Toys &amp; Games</t>
        </is>
      </c>
      <c r="E269" s="18" t="inlineStr">
        <is>
          <t>Wader-Woźniak Sp. z o.o.</t>
        </is>
      </c>
      <c r="F269" s="19" t="inlineStr">
        <is>
          <t>https://www.wader.toys</t>
        </is>
      </c>
      <c r="G269" s="18" t="inlineStr">
        <is>
          <t>Dąbrowa Górnicza</t>
        </is>
      </c>
      <c r="H269" s="18" t="inlineStr"/>
      <c r="I269" s="18" t="inlineStr">
        <is>
          <t>EU / Europe</t>
        </is>
      </c>
      <c r="J269" s="18" t="inlineStr">
        <is>
          <t>Low-cost</t>
        </is>
      </c>
      <c r="K269" s="18" t="inlineStr">
        <is>
          <t>Rudna 30, 42-530 Dąbrowa Górnicza (KRS 0000119923)</t>
        </is>
      </c>
      <c r="L269" s="18" t="inlineStr">
        <is>
          <t>+48 32 264 60 40</t>
        </is>
      </c>
      <c r="M269" s="18" t="inlineStr">
        <is>
          <t>mail@wader.toys.pl</t>
        </is>
      </c>
      <c r="N269" s="18" t="inlineStr">
        <is>
          <t>Brand owner / manufacturer</t>
        </is>
      </c>
      <c r="O269" s="18" t="inlineStr">
        <is>
          <t>Wader plastic toys, vehicles, sand &amp; garden toys</t>
        </is>
      </c>
      <c r="P269" s="18" t="inlineStr">
        <is>
          <t>Plastic toys</t>
        </is>
      </c>
      <c r="Q269" s="18" t="inlineStr">
        <is>
          <t>On request</t>
        </is>
      </c>
      <c r="R269" s="18" t="inlineStr">
        <is>
          <t>Retailers &amp; distributors</t>
        </is>
      </c>
      <c r="S269" s="18" t="inlineStr">
        <is>
          <t>Ask</t>
        </is>
      </c>
      <c r="T269" s="18" t="inlineStr">
        <is>
          <t>Unknown</t>
        </is>
      </c>
      <c r="U269" s="18" t="inlineStr">
        <is>
          <t>Unknown</t>
        </is>
      </c>
      <c r="V269" s="18" t="inlineStr">
        <is>
          <t>KRS 0000119923</t>
        </is>
      </c>
      <c r="W269" s="18" t="inlineStr">
        <is>
          <t>Founded 1990; Kids' Time exhibitor; LEI registered</t>
        </is>
      </c>
      <c r="X269" s="18" t="inlineStr"/>
      <c r="Y269" s="18" t="inlineStr"/>
      <c r="Z269" s="18" t="inlineStr">
        <is>
          <t>Trade fair listing + registry</t>
        </is>
      </c>
      <c r="AA269" s="19" t="inlineStr">
        <is>
          <t>Source link</t>
        </is>
      </c>
      <c r="AB269" s="19" t="inlineStr">
        <is>
          <t>Search LinkedIn</t>
        </is>
      </c>
      <c r="AC269" s="18" t="inlineStr">
        <is>
          <t>Round 4</t>
        </is>
      </c>
      <c r="AD269" s="20" t="inlineStr">
        <is>
          <t>Not contacted</t>
        </is>
      </c>
      <c r="AE269" s="21" t="n"/>
      <c r="AF269" s="20" t="n"/>
      <c r="AG269" s="20" t="n"/>
      <c r="AH269" s="20" t="n"/>
      <c r="AI269" s="21">
        <f>IF(AE269="","",WORKDAY(AE269,5))</f>
        <v/>
      </c>
      <c r="AJ269" s="20" t="n"/>
      <c r="AK269" s="20" t="n"/>
    </row>
    <row r="270">
      <c r="A270" s="24" t="inlineStr">
        <is>
          <t>Poland</t>
        </is>
      </c>
      <c r="B270" s="25" t="n">
        <v>269</v>
      </c>
      <c r="C270" s="17" t="n">
        <v>3</v>
      </c>
      <c r="D270" s="18" t="inlineStr">
        <is>
          <t>Toys &amp; Games</t>
        </is>
      </c>
      <c r="E270" s="18" t="inlineStr">
        <is>
          <t>TM Toys Sp. z o.o.</t>
        </is>
      </c>
      <c r="F270" s="19" t="inlineStr">
        <is>
          <t>https://tmtoys.pl</t>
        </is>
      </c>
      <c r="G270" s="18" t="inlineStr">
        <is>
          <t>Szczecin</t>
        </is>
      </c>
      <c r="H270" s="18" t="inlineStr"/>
      <c r="I270" s="18" t="inlineStr">
        <is>
          <t>EU / Europe</t>
        </is>
      </c>
      <c r="J270" s="18" t="inlineStr">
        <is>
          <t>Low-cost</t>
        </is>
      </c>
      <c r="K270" s="18" t="inlineStr">
        <is>
          <t>Zbożowa 4, 70-653 Szczecin (KRS 0000035010)</t>
        </is>
      </c>
      <c r="L270" s="18" t="inlineStr"/>
      <c r="M270" s="18" t="inlineStr"/>
      <c r="N270" s="18" t="inlineStr">
        <is>
          <t>Distributor &amp; manufacturer</t>
        </is>
      </c>
      <c r="O270" s="18" t="inlineStr">
        <is>
          <t>Branded &amp; licensed character toys</t>
        </is>
      </c>
      <c r="P270" s="18" t="inlineStr">
        <is>
          <t>Branded toys</t>
        </is>
      </c>
      <c r="Q270" s="18" t="inlineStr">
        <is>
          <t>On request</t>
        </is>
      </c>
      <c r="R270" s="18" t="inlineStr">
        <is>
          <t>Retailers &amp; distributors</t>
        </is>
      </c>
      <c r="S270" s="18" t="inlineStr">
        <is>
          <t>Has 'distributor markets' team - ask</t>
        </is>
      </c>
      <c r="T270" s="18" t="inlineStr">
        <is>
          <t>Unknown</t>
        </is>
      </c>
      <c r="U270" s="18" t="inlineStr">
        <is>
          <t>Unknown</t>
        </is>
      </c>
      <c r="V270" s="18" t="inlineStr">
        <is>
          <t>KRS 0000035010</t>
        </is>
      </c>
      <c r="W270" s="18" t="inlineStr">
        <is>
          <t>Since 1997; Commercial Director CEE &amp; Distributor Markets: Kamila Kwaśniewska</t>
        </is>
      </c>
      <c r="X270" s="18" t="inlineStr"/>
      <c r="Y270" s="18" t="inlineStr"/>
      <c r="Z270" s="18" t="inlineStr">
        <is>
          <t>KRS registry + org profile</t>
        </is>
      </c>
      <c r="AA270" s="19" t="inlineStr">
        <is>
          <t>Source link</t>
        </is>
      </c>
      <c r="AB270" s="19" t="inlineStr">
        <is>
          <t>Search LinkedIn</t>
        </is>
      </c>
      <c r="AC270" s="18" t="inlineStr">
        <is>
          <t>Round 2</t>
        </is>
      </c>
      <c r="AD270" s="20" t="inlineStr">
        <is>
          <t>Not contacted</t>
        </is>
      </c>
      <c r="AE270" s="21" t="n"/>
      <c r="AF270" s="20" t="n"/>
      <c r="AG270" s="20" t="n"/>
      <c r="AH270" s="20" t="n"/>
      <c r="AI270" s="21">
        <f>IF(AE270="","",WORKDAY(AE270,5))</f>
        <v/>
      </c>
      <c r="AJ270" s="20" t="n"/>
      <c r="AK270" s="20" t="n"/>
    </row>
    <row r="271">
      <c r="A271" s="24" t="inlineStr">
        <is>
          <t>Poland</t>
        </is>
      </c>
      <c r="B271" s="25" t="n">
        <v>270</v>
      </c>
      <c r="C271" s="17" t="n">
        <v>3</v>
      </c>
      <c r="D271" s="18" t="inlineStr">
        <is>
          <t>Toys &amp; Games</t>
        </is>
      </c>
      <c r="E271" s="18" t="inlineStr">
        <is>
          <t>YAMANN Sp. z o.o.</t>
        </is>
      </c>
      <c r="F271" s="18" t="inlineStr">
        <is>
          <t>Not confirmed - search company name</t>
        </is>
      </c>
      <c r="G271" s="18" t="inlineStr">
        <is>
          <t>Bielany Wrocławskie (Wrocław)</t>
        </is>
      </c>
      <c r="H271" s="18" t="inlineStr"/>
      <c r="I271" s="18" t="inlineStr">
        <is>
          <t>EU / Europe</t>
        </is>
      </c>
      <c r="J271" s="18" t="inlineStr">
        <is>
          <t>Low-cost</t>
        </is>
      </c>
      <c r="K271" s="18" t="inlineStr">
        <is>
          <t>Bielany Wrocławskie</t>
        </is>
      </c>
      <c r="L271" s="18" t="inlineStr"/>
      <c r="M271" s="18" t="inlineStr"/>
      <c r="N271" s="18" t="inlineStr">
        <is>
          <t>LEGO-branded goods distributor</t>
        </is>
      </c>
      <c r="O271" s="18" t="inlineStr">
        <is>
          <t>LEGO-licensed stationery, storage, keyrings, puzzles, plush</t>
        </is>
      </c>
      <c r="P271" s="18" t="inlineStr">
        <is>
          <t>LEGO licensed products</t>
        </is>
      </c>
      <c r="Q271" s="18" t="inlineStr">
        <is>
          <t>On request</t>
        </is>
      </c>
      <c r="R271" s="18" t="inlineStr">
        <is>
          <t>Chains, toy shops, e-commerce</t>
        </is>
      </c>
      <c r="S271" s="18" t="inlineStr">
        <is>
          <t>Ask</t>
        </is>
      </c>
      <c r="T271" s="18" t="inlineStr">
        <is>
          <t>Yes (e-commerce)</t>
        </is>
      </c>
      <c r="U271" s="18" t="inlineStr">
        <is>
          <t>Unknown</t>
        </is>
      </c>
      <c r="V271" s="18" t="inlineStr"/>
      <c r="W271" s="18" t="inlineStr">
        <is>
          <t>Small firm; 30-year family wholesale background</t>
        </is>
      </c>
      <c r="X271" s="18" t="inlineStr">
        <is>
          <t>Serves e-commerce channels</t>
        </is>
      </c>
      <c r="Y271" s="18" t="inlineStr">
        <is>
          <t>Confirm LEGO licence status.</t>
        </is>
      </c>
      <c r="Z271" s="18" t="inlineStr">
        <is>
          <t>Job portal + business database</t>
        </is>
      </c>
      <c r="AA271" s="19" t="inlineStr">
        <is>
          <t>Source link</t>
        </is>
      </c>
      <c r="AB271" s="19" t="inlineStr">
        <is>
          <t>Search LinkedIn</t>
        </is>
      </c>
      <c r="AC271" s="18" t="inlineStr">
        <is>
          <t>Round 2</t>
        </is>
      </c>
      <c r="AD271" s="20" t="inlineStr">
        <is>
          <t>Not contacted</t>
        </is>
      </c>
      <c r="AE271" s="21" t="n"/>
      <c r="AF271" s="20" t="n"/>
      <c r="AG271" s="20" t="n"/>
      <c r="AH271" s="20" t="n"/>
      <c r="AI271" s="21">
        <f>IF(AE271="","",WORKDAY(AE271,5))</f>
        <v/>
      </c>
      <c r="AJ271" s="20" t="n"/>
      <c r="AK271" s="20" t="n"/>
    </row>
    <row r="272">
      <c r="A272" s="24" t="inlineStr">
        <is>
          <t>Poland</t>
        </is>
      </c>
      <c r="B272" s="25" t="n">
        <v>271</v>
      </c>
      <c r="C272" s="17" t="n">
        <v>3</v>
      </c>
      <c r="D272" s="18" t="inlineStr">
        <is>
          <t>Toys &amp; Games</t>
        </is>
      </c>
      <c r="E272" s="26" t="inlineStr">
        <is>
          <t>Zabawkarstwo Wiesław Suchanek</t>
        </is>
      </c>
      <c r="F272" s="19" t="inlineStr">
        <is>
          <t>https://suchanek-zabawki.pl</t>
        </is>
      </c>
      <c r="G272" s="18" t="inlineStr">
        <is>
          <t>Częstochowa</t>
        </is>
      </c>
      <c r="H272" s="18" t="inlineStr"/>
      <c r="I272" s="18" t="inlineStr">
        <is>
          <t>EU / Europe</t>
        </is>
      </c>
      <c r="J272" s="18" t="inlineStr">
        <is>
          <t>Low-cost</t>
        </is>
      </c>
      <c r="K272" s="18" t="inlineStr">
        <is>
          <t>ul. św. Anny 2/4, 42-226 Częstochowa</t>
        </is>
      </c>
      <c r="L272" s="18" t="inlineStr">
        <is>
          <t>+48 601 063 256</t>
        </is>
      </c>
      <c r="M272" s="18" t="inlineStr">
        <is>
          <t>firma@suchanek-zabawki.pl</t>
        </is>
      </c>
      <c r="N272" s="18" t="inlineStr">
        <is>
          <t>Manufacturer</t>
        </is>
      </c>
      <c r="O272" s="18" t="inlineStr">
        <is>
          <t>Plastic push/pull toys, trucks, educational toys</t>
        </is>
      </c>
      <c r="P272" s="18" t="inlineStr">
        <is>
          <t>Toddler plastic toys</t>
        </is>
      </c>
      <c r="Q272" s="18" t="inlineStr">
        <is>
          <t>On request</t>
        </is>
      </c>
      <c r="R272" s="18" t="inlineStr">
        <is>
          <t>Export buyers (EU, Nordics, Middle East)</t>
        </is>
      </c>
      <c r="S272" s="18" t="inlineStr">
        <is>
          <t>Ask</t>
        </is>
      </c>
      <c r="T272" s="18" t="inlineStr">
        <is>
          <t>Unknown</t>
        </is>
      </c>
      <c r="U272" s="18" t="inlineStr">
        <is>
          <t>Unknown</t>
        </is>
      </c>
      <c r="V272" s="18" t="inlineStr"/>
      <c r="W272" s="18" t="inlineStr">
        <is>
          <t>Polish government export portal profile; family toy maker since 1981</t>
        </is>
      </c>
      <c r="X272" s="18" t="inlineStr">
        <is>
          <t>Cheap, made-in-EU toddler toys; check UKCA/CE and toy safety documents</t>
        </is>
      </c>
      <c r="Y272" s="18" t="inlineStr">
        <is>
          <t>Small family firm - ask for EN71 test reports</t>
        </is>
      </c>
      <c r="Z272" s="18" t="inlineStr">
        <is>
          <t>Government export portal</t>
        </is>
      </c>
      <c r="AA272" s="19" t="inlineStr">
        <is>
          <t>Source link</t>
        </is>
      </c>
      <c r="AB272" s="19" t="inlineStr">
        <is>
          <t>Search LinkedIn</t>
        </is>
      </c>
      <c r="AC272" s="18" t="inlineStr">
        <is>
          <t>Round 5</t>
        </is>
      </c>
      <c r="AD272" s="20" t="inlineStr">
        <is>
          <t>Not contacted</t>
        </is>
      </c>
      <c r="AE272" s="21" t="n"/>
      <c r="AF272" s="20" t="n"/>
      <c r="AG272" s="20" t="n"/>
      <c r="AH272" s="20" t="n"/>
      <c r="AI272" s="21">
        <f>IF(AE272="","",WORKDAY(AE272,5))</f>
        <v/>
      </c>
      <c r="AJ272" s="20" t="n"/>
      <c r="AK272" s="20" t="n"/>
    </row>
    <row r="273">
      <c r="A273" s="24" t="inlineStr">
        <is>
          <t>Poland</t>
        </is>
      </c>
      <c r="B273" s="25" t="n">
        <v>272</v>
      </c>
      <c r="C273" s="17" t="n">
        <v>2</v>
      </c>
      <c r="D273" s="18" t="inlineStr">
        <is>
          <t>Toys &amp; Games</t>
        </is>
      </c>
      <c r="E273" s="18" t="inlineStr">
        <is>
          <t>Hurtownia Ikonka</t>
        </is>
      </c>
      <c r="F273" s="19" t="inlineStr">
        <is>
          <t>https://ikonka.pl</t>
        </is>
      </c>
      <c r="G273" s="18" t="inlineStr">
        <is>
          <t>Białystok</t>
        </is>
      </c>
      <c r="H273" s="18" t="inlineStr"/>
      <c r="I273" s="18" t="inlineStr">
        <is>
          <t>EU / Europe</t>
        </is>
      </c>
      <c r="J273" s="18" t="inlineStr">
        <is>
          <t>Low-cost</t>
        </is>
      </c>
      <c r="K273" s="18" t="inlineStr">
        <is>
          <t>Białystok</t>
        </is>
      </c>
      <c r="L273" s="18" t="inlineStr"/>
      <c r="M273" s="18" t="inlineStr"/>
      <c r="N273" s="18" t="inlineStr">
        <is>
          <t>Wholesaler + dropshipping</t>
        </is>
      </c>
      <c r="O273" s="18" t="inlineStr">
        <is>
          <t>Toys, electronics, kids' goods, home (mostly imported unbranded)</t>
        </is>
      </c>
      <c r="P273" s="18" t="inlineStr">
        <is>
          <t>General merchandise</t>
        </is>
      </c>
      <c r="Q273" s="18" t="inlineStr">
        <is>
          <t>Low / dropship</t>
        </is>
      </c>
      <c r="R273" s="18" t="inlineStr">
        <is>
          <t>Sellers across the EU</t>
        </is>
      </c>
      <c r="S273" s="18" t="inlineStr">
        <is>
          <t>Ask</t>
        </is>
      </c>
      <c r="T273" s="18" t="inlineStr">
        <is>
          <t>Yes</t>
        </is>
      </c>
      <c r="U273" s="18" t="inlineStr">
        <is>
          <t>Yes</t>
        </is>
      </c>
      <c r="V273" s="18" t="inlineStr"/>
      <c r="W273" s="18" t="inlineStr">
        <is>
          <t>Since 1997; DC ships up to 7,000 parcels/day</t>
        </is>
      </c>
      <c r="X273" s="18" t="inlineStr">
        <is>
          <t>Mostly generic goods - check for brand registry / listing ownership issues</t>
        </is>
      </c>
      <c r="Y273" s="18" t="inlineStr"/>
      <c r="Z273" s="18" t="inlineStr">
        <is>
          <t>Job portal profiles</t>
        </is>
      </c>
      <c r="AA273" s="19" t="inlineStr">
        <is>
          <t>Source link</t>
        </is>
      </c>
      <c r="AB273" s="19" t="inlineStr">
        <is>
          <t>Search LinkedIn</t>
        </is>
      </c>
      <c r="AC273" s="18" t="inlineStr">
        <is>
          <t>Round 2</t>
        </is>
      </c>
      <c r="AD273" s="20" t="inlineStr">
        <is>
          <t>Not contacted</t>
        </is>
      </c>
      <c r="AE273" s="21" t="n"/>
      <c r="AF273" s="20" t="n"/>
      <c r="AG273" s="20" t="n"/>
      <c r="AH273" s="20" t="n"/>
      <c r="AI273" s="21">
        <f>IF(AE273="","",WORKDAY(AE273,5))</f>
        <v/>
      </c>
      <c r="AJ273" s="20" t="n"/>
      <c r="AK273" s="20" t="n"/>
    </row>
    <row r="274">
      <c r="A274" s="24" t="inlineStr">
        <is>
          <t>Poland</t>
        </is>
      </c>
      <c r="B274" s="25" t="n">
        <v>273</v>
      </c>
      <c r="C274" s="17" t="n">
        <v>1</v>
      </c>
      <c r="D274" s="18" t="inlineStr">
        <is>
          <t>Toys &amp; Games</t>
        </is>
      </c>
      <c r="E274" s="18" t="inlineStr">
        <is>
          <t>Filip i S-ka Dromader Sp. j.</t>
        </is>
      </c>
      <c r="F274" s="19" t="inlineStr">
        <is>
          <t>http://www.dromader.com.pl</t>
        </is>
      </c>
      <c r="G274" s="18" t="inlineStr">
        <is>
          <t>Łódź</t>
        </is>
      </c>
      <c r="H274" s="18" t="inlineStr"/>
      <c r="I274" s="18" t="inlineStr">
        <is>
          <t>EU / Europe</t>
        </is>
      </c>
      <c r="J274" s="18" t="inlineStr">
        <is>
          <t>Low-cost</t>
        </is>
      </c>
      <c r="K274" s="18" t="inlineStr">
        <is>
          <t>ul. Pojezierska 90, 91-341 Łódź</t>
        </is>
      </c>
      <c r="L274" s="18" t="inlineStr"/>
      <c r="M274" s="18" t="inlineStr">
        <is>
          <t>dromader@dromader.com.pl</t>
        </is>
      </c>
      <c r="N274" s="18" t="inlineStr">
        <is>
          <t>Toy importer / wholesaler</t>
        </is>
      </c>
      <c r="O274" s="18" t="inlineStr">
        <is>
          <t>Imported toys (vehicles, tech toys)</t>
        </is>
      </c>
      <c r="P274" s="18" t="inlineStr">
        <is>
          <t>Toys</t>
        </is>
      </c>
      <c r="Q274" s="18" t="inlineStr">
        <is>
          <t>On request</t>
        </is>
      </c>
      <c r="R274" s="18" t="inlineStr">
        <is>
          <t>Trade</t>
        </is>
      </c>
      <c r="S274" s="18" t="inlineStr">
        <is>
          <t>Ask</t>
        </is>
      </c>
      <c r="T274" s="18" t="inlineStr">
        <is>
          <t>Unknown</t>
        </is>
      </c>
      <c r="U274" s="18" t="inlineStr">
        <is>
          <t>Unknown</t>
        </is>
      </c>
      <c r="V274" s="18" t="inlineStr"/>
      <c r="W274" s="18" t="inlineStr">
        <is>
          <t>Polish competition authority (UOKiK) records</t>
        </is>
      </c>
      <c r="X274" s="18" t="inlineStr"/>
      <c r="Y274" s="18" t="inlineStr">
        <is>
          <t>RED FLAG: UOKiK has sanctioned the company for non-compliant toys (incl. a 2022 fine). Verify EN71/CE docs carefully.</t>
        </is>
      </c>
      <c r="Z274" s="18" t="inlineStr">
        <is>
          <t>Government decisions</t>
        </is>
      </c>
      <c r="AA274" s="19" t="inlineStr">
        <is>
          <t>Source link</t>
        </is>
      </c>
      <c r="AB274" s="19" t="inlineStr">
        <is>
          <t>Search LinkedIn</t>
        </is>
      </c>
      <c r="AC274" s="18" t="inlineStr">
        <is>
          <t>Round 3</t>
        </is>
      </c>
      <c r="AD274" s="20" t="inlineStr">
        <is>
          <t>Not contacted</t>
        </is>
      </c>
      <c r="AE274" s="21" t="n"/>
      <c r="AF274" s="20" t="n"/>
      <c r="AG274" s="20" t="n"/>
      <c r="AH274" s="20" t="n"/>
      <c r="AI274" s="21">
        <f>IF(AE274="","",WORKDAY(AE274,5))</f>
        <v/>
      </c>
      <c r="AJ274" s="20" t="n"/>
      <c r="AK274" s="20" t="n"/>
    </row>
    <row r="275">
      <c r="A275" s="8" t="inlineStr">
        <is>
          <t>Portugal</t>
        </is>
      </c>
      <c r="B275" s="9" t="n">
        <v>274</v>
      </c>
      <c r="C275" s="10" t="n">
        <v>4</v>
      </c>
      <c r="D275" s="11" t="inlineStr">
        <is>
          <t>Beauty</t>
        </is>
      </c>
      <c r="E275" s="27" t="inlineStr">
        <is>
          <t>Ach. Brito &amp; C.ª, S.A.</t>
        </is>
      </c>
      <c r="F275" s="12" t="inlineStr">
        <is>
          <t>https://achbrito.com</t>
        </is>
      </c>
      <c r="G275" s="11" t="inlineStr">
        <is>
          <t>Vila do Conde (Fajozes)</t>
        </is>
      </c>
      <c r="H275" s="11" t="inlineStr"/>
      <c r="I275" s="11" t="inlineStr">
        <is>
          <t>EU / Europe</t>
        </is>
      </c>
      <c r="J275" s="11" t="inlineStr">
        <is>
          <t>Low-cost</t>
        </is>
      </c>
      <c r="K275" s="11" t="inlineStr">
        <is>
          <t>Rua Castelões Sul 346, 4485-103 Fajozes</t>
        </is>
      </c>
      <c r="L275" s="11" t="inlineStr"/>
      <c r="M275" s="11" t="inlineStr"/>
      <c r="N275" s="11" t="inlineStr">
        <is>
          <t>Manufacturer / brand owner</t>
        </is>
      </c>
      <c r="O275" s="11" t="inlineStr">
        <is>
          <t>Ach. Brito, Confiança, Claus Porto soaps &amp; fragrance</t>
        </is>
      </c>
      <c r="P275" s="11" t="inlineStr">
        <is>
          <t>Luxury &amp; heritage soaps</t>
        </is>
      </c>
      <c r="Q275" s="11" t="inlineStr">
        <is>
          <t>Account based</t>
        </is>
      </c>
      <c r="R275" s="11" t="inlineStr">
        <is>
          <t>Exports to 50+ countries; US subsidiary</t>
        </is>
      </c>
      <c r="S275" s="11" t="inlineStr">
        <is>
          <t>Yes - sold in Harrods</t>
        </is>
      </c>
      <c r="T275" s="11" t="inlineStr">
        <is>
          <t>Unknown</t>
        </is>
      </c>
      <c r="U275" s="11" t="inlineStr">
        <is>
          <t>Unknown</t>
        </is>
      </c>
      <c r="V275" s="11" t="inlineStr"/>
      <c r="W275" s="11" t="inlineStr">
        <is>
          <t>Portuguese registry (S.A., share capital EUR 1.04m); founded 1887; stocked by Harrods &amp; Bergdorf Goodman</t>
        </is>
      </c>
      <c r="X275" s="11" t="inlineStr">
        <is>
          <t>Gift soaps sell well in Q4; Claus Porto is premium</t>
        </is>
      </c>
      <c r="Y275" s="11" t="inlineStr"/>
      <c r="Z275" s="11" t="inlineStr">
        <is>
          <t>Business registry + company press release</t>
        </is>
      </c>
      <c r="AA275" s="12" t="inlineStr">
        <is>
          <t>Source link</t>
        </is>
      </c>
      <c r="AB275" s="12" t="inlineStr">
        <is>
          <t>Search LinkedIn</t>
        </is>
      </c>
      <c r="AC275" s="11" t="inlineStr">
        <is>
          <t>Round 5</t>
        </is>
      </c>
      <c r="AD275" s="13" t="inlineStr">
        <is>
          <t>Not contacted</t>
        </is>
      </c>
      <c r="AE275" s="14" t="n"/>
      <c r="AF275" s="13" t="n"/>
      <c r="AG275" s="13" t="n"/>
      <c r="AH275" s="13" t="n"/>
      <c r="AI275" s="14">
        <f>IF(AE275="","",WORKDAY(AE275,5))</f>
        <v/>
      </c>
      <c r="AJ275" s="13" t="n"/>
      <c r="AK275" s="13" t="n"/>
    </row>
    <row r="276">
      <c r="A276" s="15" t="inlineStr">
        <is>
          <t>Portugal</t>
        </is>
      </c>
      <c r="B276" s="16" t="n">
        <v>275</v>
      </c>
      <c r="C276" s="17" t="n">
        <v>3</v>
      </c>
      <c r="D276" s="18" t="inlineStr">
        <is>
          <t>Home &amp; Kitchen</t>
        </is>
      </c>
      <c r="E276" s="18" t="inlineStr">
        <is>
          <t>Silampos S.A.</t>
        </is>
      </c>
      <c r="F276" s="19" t="inlineStr">
        <is>
          <t>https://silampos.pt</t>
        </is>
      </c>
      <c r="G276" s="18" t="inlineStr">
        <is>
          <t>Cesar (Oliveira de Azeméis)</t>
        </is>
      </c>
      <c r="H276" s="18" t="inlineStr"/>
      <c r="I276" s="18" t="inlineStr">
        <is>
          <t>EU / Europe</t>
        </is>
      </c>
      <c r="J276" s="18" t="inlineStr">
        <is>
          <t>Low-cost</t>
        </is>
      </c>
      <c r="K276" s="18" t="inlineStr">
        <is>
          <t>Rua das Cortinhas 301, 3701-906 Cesar (verify)</t>
        </is>
      </c>
      <c r="L276" s="18" t="inlineStr"/>
      <c r="M276" s="18" t="inlineStr"/>
      <c r="N276" s="18" t="inlineStr">
        <is>
          <t>Manufacturer</t>
        </is>
      </c>
      <c r="O276" s="18" t="inlineStr">
        <is>
          <t>Silampos stainless steel cookware</t>
        </is>
      </c>
      <c r="P276" s="18" t="inlineStr">
        <is>
          <t>Cookware</t>
        </is>
      </c>
      <c r="Q276" s="18" t="inlineStr">
        <is>
          <t>On request</t>
        </is>
      </c>
      <c r="R276" s="18" t="inlineStr">
        <is>
          <t>Export distributors &amp; retailers (50+ countries)</t>
        </is>
      </c>
      <c r="S276" s="18" t="inlineStr">
        <is>
          <t>Ask</t>
        </is>
      </c>
      <c r="T276" s="18" t="inlineStr">
        <is>
          <t>Unknown</t>
        </is>
      </c>
      <c r="U276" s="18" t="inlineStr">
        <is>
          <t>Unknown</t>
        </is>
      </c>
      <c r="V276" s="18" t="inlineStr"/>
      <c r="W276" s="18" t="inlineStr">
        <is>
          <t>Manufacturing since 1951</t>
        </is>
      </c>
      <c r="X276" s="18" t="inlineStr">
        <is>
          <t>Stainless pans &amp; pots - a competitive but steady category</t>
        </is>
      </c>
      <c r="Y276" s="18" t="inlineStr"/>
      <c r="Z276" s="18" t="inlineStr">
        <is>
          <t>Company history page + business data</t>
        </is>
      </c>
      <c r="AA276" s="19" t="inlineStr">
        <is>
          <t>Source link</t>
        </is>
      </c>
      <c r="AB276" s="19" t="inlineStr">
        <is>
          <t>Search LinkedIn</t>
        </is>
      </c>
      <c r="AC276" s="18" t="inlineStr">
        <is>
          <t>Round 4</t>
        </is>
      </c>
      <c r="AD276" s="20" t="inlineStr">
        <is>
          <t>Not contacted</t>
        </is>
      </c>
      <c r="AE276" s="21" t="n"/>
      <c r="AF276" s="20" t="n"/>
      <c r="AG276" s="20" t="n"/>
      <c r="AH276" s="20" t="n"/>
      <c r="AI276" s="21">
        <f>IF(AE276="","",WORKDAY(AE276,5))</f>
        <v/>
      </c>
      <c r="AJ276" s="20" t="n"/>
      <c r="AK276" s="20" t="n"/>
    </row>
    <row r="277">
      <c r="A277" s="15" t="inlineStr">
        <is>
          <t>Portugal</t>
        </is>
      </c>
      <c r="B277" s="16" t="n">
        <v>276</v>
      </c>
      <c r="C277" s="17" t="n">
        <v>4</v>
      </c>
      <c r="D277" s="18" t="inlineStr">
        <is>
          <t>Stationery &amp; Office</t>
        </is>
      </c>
      <c r="E277" s="26" t="inlineStr">
        <is>
          <t>Ambar - Passion S.A.</t>
        </is>
      </c>
      <c r="F277" s="18" t="inlineStr">
        <is>
          <t>Not confirmed - search company name</t>
        </is>
      </c>
      <c r="G277" s="18" t="inlineStr">
        <is>
          <t>Porto</t>
        </is>
      </c>
      <c r="H277" s="18" t="inlineStr"/>
      <c r="I277" s="18" t="inlineStr">
        <is>
          <t>EU / Europe</t>
        </is>
      </c>
      <c r="J277" s="18" t="inlineStr">
        <is>
          <t>Low-cost</t>
        </is>
      </c>
      <c r="K277" s="18" t="inlineStr">
        <is>
          <t>Rua Manuel Pinto de Azevedo 363, Porto</t>
        </is>
      </c>
      <c r="L277" s="18" t="inlineStr">
        <is>
          <t>+351 22 615 1400</t>
        </is>
      </c>
      <c r="M277" s="18" t="inlineStr"/>
      <c r="N277" s="18" t="inlineStr">
        <is>
          <t>Manufacturer / brand owner</t>
        </is>
      </c>
      <c r="O277" s="18" t="inlineStr">
        <is>
          <t>Ambar notebooks, school &amp; office paper products</t>
        </is>
      </c>
      <c r="P277" s="18" t="inlineStr">
        <is>
          <t>Notebooks &amp; paper stationery</t>
        </is>
      </c>
      <c r="Q277" s="18" t="inlineStr">
        <is>
          <t>On request</t>
        </is>
      </c>
      <c r="R277" s="18" t="inlineStr">
        <is>
          <t>Professional customer area; exports to 23-30 countries; Spanish subsidiary</t>
        </is>
      </c>
      <c r="S277" s="18" t="inlineStr">
        <is>
          <t>Ask</t>
        </is>
      </c>
      <c r="T277" s="18" t="inlineStr">
        <is>
          <t>Unknown</t>
        </is>
      </c>
      <c r="U277" s="18" t="inlineStr">
        <is>
          <t>Unknown</t>
        </is>
      </c>
      <c r="V277" s="18" t="inlineStr"/>
      <c r="W277" s="18" t="inlineStr">
        <is>
          <t>Ambiente &amp; Paperworld Middle East exhibitor; 80+ years trading</t>
        </is>
      </c>
      <c r="X277" s="18" t="inlineStr">
        <is>
          <t>Notebooks/back-to-school - cheap Portuguese paper products</t>
        </is>
      </c>
      <c r="Y277" s="18" t="inlineStr"/>
      <c r="Z277" s="18" t="inlineStr">
        <is>
          <t>Trade fair exhibitor listings</t>
        </is>
      </c>
      <c r="AA277" s="19" t="inlineStr">
        <is>
          <t>Source link</t>
        </is>
      </c>
      <c r="AB277" s="19" t="inlineStr">
        <is>
          <t>Search LinkedIn</t>
        </is>
      </c>
      <c r="AC277" s="18" t="inlineStr">
        <is>
          <t>Round 5</t>
        </is>
      </c>
      <c r="AD277" s="20" t="inlineStr">
        <is>
          <t>Not contacted</t>
        </is>
      </c>
      <c r="AE277" s="21" t="n"/>
      <c r="AF277" s="20" t="n"/>
      <c r="AG277" s="20" t="n"/>
      <c r="AH277" s="20" t="n"/>
      <c r="AI277" s="21">
        <f>IF(AE277="","",WORKDAY(AE277,5))</f>
        <v/>
      </c>
      <c r="AJ277" s="20" t="n"/>
      <c r="AK277" s="20" t="n"/>
    </row>
    <row r="278">
      <c r="A278" s="15" t="inlineStr">
        <is>
          <t>Portugal</t>
        </is>
      </c>
      <c r="B278" s="16" t="n">
        <v>277</v>
      </c>
      <c r="C278" s="17" t="n">
        <v>4</v>
      </c>
      <c r="D278" s="18" t="inlineStr">
        <is>
          <t>Stationery &amp; Office</t>
        </is>
      </c>
      <c r="E278" s="18" t="inlineStr">
        <is>
          <t>Bi-silque - Produtos de Comunicação Visual, S.A.</t>
        </is>
      </c>
      <c r="F278" s="18" t="inlineStr">
        <is>
          <t>Not confirmed - search company name</t>
        </is>
      </c>
      <c r="G278" s="18" t="inlineStr">
        <is>
          <t>Esmoriz (Ovar)</t>
        </is>
      </c>
      <c r="H278" s="18" t="inlineStr"/>
      <c r="I278" s="18" t="inlineStr">
        <is>
          <t>EU / Europe</t>
        </is>
      </c>
      <c r="J278" s="18" t="inlineStr">
        <is>
          <t>Low-cost</t>
        </is>
      </c>
      <c r="K278" s="18" t="inlineStr">
        <is>
          <t>Rua Cais da Estação 340, 3885-528 Esmoriz</t>
        </is>
      </c>
      <c r="L278" s="18" t="inlineStr">
        <is>
          <t>+351 256 750 120</t>
        </is>
      </c>
      <c r="M278" s="18" t="inlineStr"/>
      <c r="N278" s="18" t="inlineStr">
        <is>
          <t>Manufacturer / brand owner</t>
        </is>
      </c>
      <c r="O278" s="18" t="inlineStr">
        <is>
          <t>Bi-Office whiteboards, noticeboards, flipcharts</t>
        </is>
      </c>
      <c r="P278" s="18" t="inlineStr">
        <is>
          <t>Visual communication / office</t>
        </is>
      </c>
      <c r="Q278" s="18" t="inlineStr">
        <is>
          <t>On request</t>
        </is>
      </c>
      <c r="R278" s="18" t="inlineStr">
        <is>
          <t>Office dealers &amp; distributors (80+ countries)</t>
        </is>
      </c>
      <c r="S278" s="18" t="inlineStr">
        <is>
          <t>Yes - Bi-Office is sold in UK</t>
        </is>
      </c>
      <c r="T278" s="18" t="inlineStr">
        <is>
          <t>Unknown</t>
        </is>
      </c>
      <c r="U278" s="18" t="inlineStr">
        <is>
          <t>Unknown</t>
        </is>
      </c>
      <c r="V278" s="18" t="inlineStr">
        <is>
          <t>NIF 500924902</t>
        </is>
      </c>
      <c r="W278" s="18" t="inlineStr">
        <is>
          <t>Portuguese registry (NIF 500924902); Paperworld Middle East exhibitor</t>
        </is>
      </c>
      <c r="X278" s="18" t="inlineStr">
        <is>
          <t>Whiteboards &amp; cork boards sell well; large boards are oversize</t>
        </is>
      </c>
      <c r="Y278" s="18" t="inlineStr"/>
      <c r="Z278" s="18" t="inlineStr">
        <is>
          <t>Company registry (eInforma) + trade fair</t>
        </is>
      </c>
      <c r="AA278" s="19" t="inlineStr">
        <is>
          <t>Source link</t>
        </is>
      </c>
      <c r="AB278" s="19" t="inlineStr">
        <is>
          <t>Search LinkedIn</t>
        </is>
      </c>
      <c r="AC278" s="18" t="inlineStr">
        <is>
          <t>Round 4</t>
        </is>
      </c>
      <c r="AD278" s="20" t="inlineStr">
        <is>
          <t>Not contacted</t>
        </is>
      </c>
      <c r="AE278" s="21" t="n"/>
      <c r="AF278" s="20" t="n"/>
      <c r="AG278" s="20" t="n"/>
      <c r="AH278" s="20" t="n"/>
      <c r="AI278" s="21">
        <f>IF(AE278="","",WORKDAY(AE278,5))</f>
        <v/>
      </c>
      <c r="AJ278" s="20" t="n"/>
      <c r="AK278" s="20" t="n"/>
    </row>
    <row r="279">
      <c r="A279" s="15" t="inlineStr">
        <is>
          <t>Portugal</t>
        </is>
      </c>
      <c r="B279" s="16" t="n">
        <v>278</v>
      </c>
      <c r="C279" s="17" t="n">
        <v>3</v>
      </c>
      <c r="D279" s="18" t="inlineStr">
        <is>
          <t>Toys &amp; Games</t>
        </is>
      </c>
      <c r="E279" s="18" t="inlineStr">
        <is>
          <t>Science4you S.A.</t>
        </is>
      </c>
      <c r="F279" s="18" t="inlineStr">
        <is>
          <t>Not confirmed - search company name</t>
        </is>
      </c>
      <c r="G279" s="18" t="inlineStr">
        <is>
          <t>Lisbon</t>
        </is>
      </c>
      <c r="H279" s="18" t="inlineStr"/>
      <c r="I279" s="18" t="inlineStr">
        <is>
          <t>EU / Europe</t>
        </is>
      </c>
      <c r="J279" s="18" t="inlineStr">
        <is>
          <t>Low-cost</t>
        </is>
      </c>
      <c r="K279" s="18" t="inlineStr">
        <is>
          <t>Lisbon (offices also in Porto)</t>
        </is>
      </c>
      <c r="L279" s="18" t="inlineStr"/>
      <c r="M279" s="18" t="inlineStr"/>
      <c r="N279" s="18" t="inlineStr">
        <is>
          <t>Brand owner / manufacturer</t>
        </is>
      </c>
      <c r="O279" s="18" t="inlineStr">
        <is>
          <t>Science4you science &amp; educational kits</t>
        </is>
      </c>
      <c r="P279" s="18" t="inlineStr">
        <is>
          <t>STEM / educational toys</t>
        </is>
      </c>
      <c r="Q279" s="18" t="inlineStr">
        <is>
          <t>On request</t>
        </is>
      </c>
      <c r="R279" s="18" t="inlineStr">
        <is>
          <t>Distributors in countries without a subsidiary (60+ countries)</t>
        </is>
      </c>
      <c r="S279" s="18" t="inlineStr">
        <is>
          <t>Yes - has London subsidiary</t>
        </is>
      </c>
      <c r="T279" s="18" t="inlineStr">
        <is>
          <t>Unknown</t>
        </is>
      </c>
      <c r="U279" s="18" t="inlineStr">
        <is>
          <t>Unknown</t>
        </is>
      </c>
      <c r="V279" s="18" t="inlineStr"/>
      <c r="W279" s="18" t="inlineStr">
        <is>
          <t>Portugal Ventures portfolio company; leading Portuguese educational toy maker</t>
        </is>
      </c>
      <c r="X279" s="18" t="inlineStr">
        <is>
          <t>Science kits sell well, peak at Christmas</t>
        </is>
      </c>
      <c r="Y279" s="18" t="inlineStr"/>
      <c r="Z279" s="18" t="inlineStr">
        <is>
          <t>Investor portfolio + business press</t>
        </is>
      </c>
      <c r="AA279" s="19" t="inlineStr">
        <is>
          <t>Source link</t>
        </is>
      </c>
      <c r="AB279" s="19" t="inlineStr">
        <is>
          <t>Search LinkedIn</t>
        </is>
      </c>
      <c r="AC279" s="18" t="inlineStr">
        <is>
          <t>Round 4</t>
        </is>
      </c>
      <c r="AD279" s="20" t="inlineStr">
        <is>
          <t>Not contacted</t>
        </is>
      </c>
      <c r="AE279" s="21" t="n"/>
      <c r="AF279" s="20" t="n"/>
      <c r="AG279" s="20" t="n"/>
      <c r="AH279" s="20" t="n"/>
      <c r="AI279" s="21">
        <f>IF(AE279="","",WORKDAY(AE279,5))</f>
        <v/>
      </c>
      <c r="AJ279" s="20" t="n"/>
      <c r="AK279" s="20" t="n"/>
    </row>
    <row r="280">
      <c r="A280" s="22" t="inlineStr">
        <is>
          <t>Romania</t>
        </is>
      </c>
      <c r="B280" s="23" t="n">
        <v>279</v>
      </c>
      <c r="C280" s="10" t="n">
        <v>4</v>
      </c>
      <c r="D280" s="11" t="inlineStr">
        <is>
          <t>Beauty</t>
        </is>
      </c>
      <c r="E280" s="11" t="inlineStr">
        <is>
          <t>QudoBeauty</t>
        </is>
      </c>
      <c r="F280" s="12" t="inlineStr">
        <is>
          <t>https://qudobeauty.com</t>
        </is>
      </c>
      <c r="G280" s="11" t="inlineStr">
        <is>
          <t>Săvinești / Piatra Neamț</t>
        </is>
      </c>
      <c r="H280" s="11" t="inlineStr"/>
      <c r="I280" s="11" t="inlineStr">
        <is>
          <t>EU / Europe</t>
        </is>
      </c>
      <c r="J280" s="11" t="inlineStr">
        <is>
          <t>Low-cost</t>
        </is>
      </c>
      <c r="K280" s="11" t="inlineStr">
        <is>
          <t>Chimiei 67A, Săvinești 617410, Piatra Neamț</t>
        </is>
      </c>
      <c r="L280" s="11" t="inlineStr">
        <is>
          <t>+40 742 372 490</t>
        </is>
      </c>
      <c r="M280" s="11" t="inlineStr">
        <is>
          <t>emy@qudobeauty.com</t>
        </is>
      </c>
      <c r="N280" s="11" t="inlineStr">
        <is>
          <t>K-beauty B2B wholesaler</t>
        </is>
      </c>
      <c r="O280" s="11" t="inlineStr">
        <is>
          <t>COSRX, Beauty of Joseon + other Korean skincare (CPNP-registered)</t>
        </is>
      </c>
      <c r="P280" s="11" t="inlineStr">
        <is>
          <t>K-beauty skincare</t>
        </is>
      </c>
      <c r="Q280" s="11" t="inlineStr">
        <is>
          <t>Min. order value €500, no per-item minimum</t>
        </is>
      </c>
      <c r="R280" s="11" t="inlineStr">
        <is>
          <t>B2B (shops, salons, online retailers)</t>
        </is>
      </c>
      <c r="S280" s="11" t="inlineStr">
        <is>
          <t>Check post-Brexit shipping</t>
        </is>
      </c>
      <c r="T280" s="11" t="inlineStr">
        <is>
          <t>Unknown</t>
        </is>
      </c>
      <c r="U280" s="11" t="inlineStr">
        <is>
          <t>Unknown</t>
        </is>
      </c>
      <c r="V280" s="11" t="inlineStr"/>
      <c r="W280" s="11" t="inlineStr">
        <is>
          <t>Launched 2025; mostly positive Trustpilot reviews; ships from EU stock</t>
        </is>
      </c>
      <c r="X280" s="11" t="inlineStr">
        <is>
          <t>K-beauty (COSRX, Beauty of Joseon) is a top Amazon UK beauty seller - check brand gating</t>
        </is>
      </c>
      <c r="Y280" s="11" t="inlineStr"/>
      <c r="Z280" s="11" t="inlineStr">
        <is>
          <t>Trustpilot company profile + press release</t>
        </is>
      </c>
      <c r="AA280" s="12" t="inlineStr">
        <is>
          <t>Source link</t>
        </is>
      </c>
      <c r="AB280" s="12" t="inlineStr">
        <is>
          <t>Search LinkedIn</t>
        </is>
      </c>
      <c r="AC280" s="11" t="inlineStr">
        <is>
          <t>Round 2</t>
        </is>
      </c>
      <c r="AD280" s="13" t="inlineStr">
        <is>
          <t>Not contacted</t>
        </is>
      </c>
      <c r="AE280" s="14" t="n"/>
      <c r="AF280" s="13" t="n"/>
      <c r="AG280" s="13" t="n"/>
      <c r="AH280" s="13" t="n"/>
      <c r="AI280" s="14">
        <f>IF(AE280="","",WORKDAY(AE280,5))</f>
        <v/>
      </c>
      <c r="AJ280" s="13" t="n"/>
      <c r="AK280" s="13" t="n"/>
    </row>
    <row r="281">
      <c r="A281" s="24" t="inlineStr">
        <is>
          <t>Romania</t>
        </is>
      </c>
      <c r="B281" s="25" t="n">
        <v>280</v>
      </c>
      <c r="C281" s="17" t="n">
        <v>3</v>
      </c>
      <c r="D281" s="18" t="inlineStr">
        <is>
          <t>Beauty</t>
        </is>
      </c>
      <c r="E281" s="18" t="inlineStr">
        <is>
          <t>FARMEC S.A. (Gerovital)</t>
        </is>
      </c>
      <c r="F281" s="19" t="inlineStr">
        <is>
          <t>https://www.farmec.ro</t>
        </is>
      </c>
      <c r="G281" s="18" t="inlineStr">
        <is>
          <t>Cluj-Napoca</t>
        </is>
      </c>
      <c r="H281" s="18" t="inlineStr"/>
      <c r="I281" s="18" t="inlineStr">
        <is>
          <t>EU / Europe</t>
        </is>
      </c>
      <c r="J281" s="18" t="inlineStr">
        <is>
          <t>Low-cost</t>
        </is>
      </c>
      <c r="K281" s="18" t="inlineStr">
        <is>
          <t>Str. Henri Barbusse 16, Cluj-Napoca</t>
        </is>
      </c>
      <c r="L281" s="18" t="inlineStr">
        <is>
          <t>+40 264 432 172 (verify)</t>
        </is>
      </c>
      <c r="M281" s="18" t="inlineStr">
        <is>
          <t>export@farmec.ro</t>
        </is>
      </c>
      <c r="N281" s="18" t="inlineStr">
        <is>
          <t>Brand owner / manufacturer</t>
        </is>
      </c>
      <c r="O281" s="18" t="inlineStr">
        <is>
          <t>Gerovital H3, Gerovital Plant, Farmec</t>
        </is>
      </c>
      <c r="P281" s="18" t="inlineStr">
        <is>
          <t>Skincare &amp; anti-ageing</t>
        </is>
      </c>
      <c r="Q281" s="18" t="inlineStr">
        <is>
          <t>On request</t>
        </is>
      </c>
      <c r="R281" s="18" t="inlineStr">
        <is>
          <t>Export distributors (30+ countries)</t>
        </is>
      </c>
      <c r="S281" s="18" t="inlineStr">
        <is>
          <t>Ask</t>
        </is>
      </c>
      <c r="T281" s="18" t="inlineStr">
        <is>
          <t>Unknown</t>
        </is>
      </c>
      <c r="U281" s="18" t="inlineStr">
        <is>
          <t>Unknown</t>
        </is>
      </c>
      <c r="V281" s="18" t="inlineStr">
        <is>
          <t>CUI 199150</t>
        </is>
      </c>
      <c r="W281" s="18" t="inlineStr">
        <is>
          <t>Romanian joint-stock company; Beautyworld Middle East exhibitor</t>
        </is>
      </c>
      <c r="X281" s="18" t="inlineStr">
        <is>
          <t>Gerovital H3 anti-ageing creams have niche demand</t>
        </is>
      </c>
      <c r="Y281" s="18" t="inlineStr">
        <is>
          <t>Contact name in older docs may be outdated</t>
        </is>
      </c>
      <c r="Z281" s="18" t="inlineStr">
        <is>
          <t>Chamber business offer + registry (termene.ro) + trade fair</t>
        </is>
      </c>
      <c r="AA281" s="19" t="inlineStr">
        <is>
          <t>Source link</t>
        </is>
      </c>
      <c r="AB281" s="19" t="inlineStr">
        <is>
          <t>Search LinkedIn</t>
        </is>
      </c>
      <c r="AC281" s="18" t="inlineStr">
        <is>
          <t>Round 4</t>
        </is>
      </c>
      <c r="AD281" s="20" t="inlineStr">
        <is>
          <t>Not contacted</t>
        </is>
      </c>
      <c r="AE281" s="21" t="n"/>
      <c r="AF281" s="20" t="n"/>
      <c r="AG281" s="20" t="n"/>
      <c r="AH281" s="20" t="n"/>
      <c r="AI281" s="21">
        <f>IF(AE281="","",WORKDAY(AE281,5))</f>
        <v/>
      </c>
      <c r="AJ281" s="20" t="n"/>
      <c r="AK281" s="20" t="n"/>
    </row>
    <row r="282">
      <c r="A282" s="24" t="inlineStr">
        <is>
          <t>Romania</t>
        </is>
      </c>
      <c r="B282" s="25" t="n">
        <v>281</v>
      </c>
      <c r="C282" s="17" t="n">
        <v>3</v>
      </c>
      <c r="D282" s="18" t="inlineStr">
        <is>
          <t>Health &amp; Personal Care</t>
        </is>
      </c>
      <c r="E282" s="26" t="inlineStr">
        <is>
          <t>Hofigal Export Import S.A.</t>
        </is>
      </c>
      <c r="F282" s="19" t="inlineStr">
        <is>
          <t>https://www.hofigal.eu</t>
        </is>
      </c>
      <c r="G282" s="18" t="inlineStr">
        <is>
          <t>Bucharest</t>
        </is>
      </c>
      <c r="H282" s="18" t="inlineStr"/>
      <c r="I282" s="18" t="inlineStr">
        <is>
          <t>EU / Europe</t>
        </is>
      </c>
      <c r="J282" s="18" t="inlineStr">
        <is>
          <t>Low-cost</t>
        </is>
      </c>
      <c r="K282" s="18" t="inlineStr">
        <is>
          <t>Intrarea Serelor nr. 2, Sector 4, Bucharest</t>
        </is>
      </c>
      <c r="L282" s="18" t="inlineStr"/>
      <c r="M282" s="18" t="inlineStr"/>
      <c r="N282" s="18" t="inlineStr">
        <is>
          <t>Manufacturer</t>
        </is>
      </c>
      <c r="O282" s="18" t="inlineStr">
        <is>
          <t>Hofigal food supplements, herbal cosmetics</t>
        </is>
      </c>
      <c r="P282" s="18" t="inlineStr">
        <is>
          <t>Natural supplements</t>
        </is>
      </c>
      <c r="Q282" s="18" t="inlineStr">
        <is>
          <t>On request</t>
        </is>
      </c>
      <c r="R282" s="18" t="inlineStr">
        <is>
          <t>Export department (EU, Australia, NZ)</t>
        </is>
      </c>
      <c r="S282" s="18" t="inlineStr">
        <is>
          <t>Ask</t>
        </is>
      </c>
      <c r="T282" s="18" t="inlineStr">
        <is>
          <t>Unknown</t>
        </is>
      </c>
      <c r="U282" s="18" t="inlineStr">
        <is>
          <t>Unknown</t>
        </is>
      </c>
      <c r="V282" s="18" t="inlineStr">
        <is>
          <t>CUI 384530</t>
        </is>
      </c>
      <c r="W282" s="18" t="inlineStr">
        <is>
          <t>Romanian registry CUI 384530; founded 1991</t>
        </is>
      </c>
      <c r="X282" s="18" t="inlineStr">
        <is>
          <t>Supplements need Amazon approval &amp; UK-compliant labels</t>
        </is>
      </c>
      <c r="Y282" s="18" t="inlineStr"/>
      <c r="Z282" s="18" t="inlineStr">
        <is>
          <t>Business registry (termene.ro) + business press</t>
        </is>
      </c>
      <c r="AA282" s="19" t="inlineStr">
        <is>
          <t>Source link</t>
        </is>
      </c>
      <c r="AB282" s="19" t="inlineStr">
        <is>
          <t>Search LinkedIn</t>
        </is>
      </c>
      <c r="AC282" s="18" t="inlineStr">
        <is>
          <t>Round 5</t>
        </is>
      </c>
      <c r="AD282" s="20" t="inlineStr">
        <is>
          <t>Not contacted</t>
        </is>
      </c>
      <c r="AE282" s="21" t="n"/>
      <c r="AF282" s="20" t="n"/>
      <c r="AG282" s="20" t="n"/>
      <c r="AH282" s="20" t="n"/>
      <c r="AI282" s="21">
        <f>IF(AE282="","",WORKDAY(AE282,5))</f>
        <v/>
      </c>
      <c r="AJ282" s="20" t="n"/>
      <c r="AK282" s="20" t="n"/>
    </row>
    <row r="283">
      <c r="A283" s="8" t="inlineStr">
        <is>
          <t>Slovenia</t>
        </is>
      </c>
      <c r="B283" s="9" t="n">
        <v>282</v>
      </c>
      <c r="C283" s="10" t="n">
        <v>4</v>
      </c>
      <c r="D283" s="11" t="inlineStr">
        <is>
          <t>Health &amp; Personal Care</t>
        </is>
      </c>
      <c r="E283" s="27" t="inlineStr">
        <is>
          <t>TOSAMA d.o.o.</t>
        </is>
      </c>
      <c r="F283" s="12" t="inlineStr">
        <is>
          <t>https://www.tosama.si</t>
        </is>
      </c>
      <c r="G283" s="11" t="inlineStr">
        <is>
          <t>Domžale</t>
        </is>
      </c>
      <c r="H283" s="11" t="inlineStr"/>
      <c r="I283" s="11" t="inlineStr">
        <is>
          <t>EU / Europe</t>
        </is>
      </c>
      <c r="J283" s="11" t="inlineStr">
        <is>
          <t>Low-cost</t>
        </is>
      </c>
      <c r="K283" s="11" t="inlineStr">
        <is>
          <t>Šaranovičeva cesta 35, 1230 Domžale</t>
        </is>
      </c>
      <c r="L283" s="11" t="inlineStr"/>
      <c r="M283" s="11" t="inlineStr"/>
      <c r="N283" s="11" t="inlineStr">
        <is>
          <t>Manufacturer</t>
        </is>
      </c>
      <c r="O283" s="11" t="inlineStr">
        <is>
          <t>Tosama cotton wool, cotton pads &amp; buds, organic pads, tampons; private label</t>
        </is>
      </c>
      <c r="P283" s="11" t="inlineStr">
        <is>
          <t>Cotton &amp; feminine hygiene</t>
        </is>
      </c>
      <c r="Q283" s="11" t="inlineStr">
        <is>
          <t>On request</t>
        </is>
      </c>
      <c r="R283" s="11" t="inlineStr">
        <is>
          <t>Export &amp; private label</t>
        </is>
      </c>
      <c r="S283" s="11" t="inlineStr">
        <is>
          <t>Ask</t>
        </is>
      </c>
      <c r="T283" s="11" t="inlineStr">
        <is>
          <t>Unknown</t>
        </is>
      </c>
      <c r="U283" s="11" t="inlineStr">
        <is>
          <t>Unknown</t>
        </is>
      </c>
      <c r="V283" s="11" t="inlineStr"/>
      <c r="W283" s="11" t="inlineStr">
        <is>
          <t>ICEA organic-cotton certificate valid to Jan 2027; long-running US export shipments</t>
        </is>
      </c>
      <c r="X283" s="11" t="inlineStr">
        <is>
          <t>Organic cotton pads/buds - repeat purchase, light to ship</t>
        </is>
      </c>
      <c r="Y283" s="11" t="inlineStr"/>
      <c r="Z283" s="11" t="inlineStr">
        <is>
          <t>Company website + certification body</t>
        </is>
      </c>
      <c r="AA283" s="12" t="inlineStr">
        <is>
          <t>Source link</t>
        </is>
      </c>
      <c r="AB283" s="12" t="inlineStr">
        <is>
          <t>Search LinkedIn</t>
        </is>
      </c>
      <c r="AC283" s="11" t="inlineStr">
        <is>
          <t>Round 5</t>
        </is>
      </c>
      <c r="AD283" s="13" t="inlineStr">
        <is>
          <t>Not contacted</t>
        </is>
      </c>
      <c r="AE283" s="14" t="n"/>
      <c r="AF283" s="13" t="n"/>
      <c r="AG283" s="13" t="n"/>
      <c r="AH283" s="13" t="n"/>
      <c r="AI283" s="14">
        <f>IF(AE283="","",WORKDAY(AE283,5))</f>
        <v/>
      </c>
      <c r="AJ283" s="13" t="n"/>
      <c r="AK283" s="13" t="n"/>
    </row>
    <row r="284">
      <c r="A284" s="22" t="inlineStr">
        <is>
          <t>Spain</t>
        </is>
      </c>
      <c r="B284" s="23" t="n">
        <v>283</v>
      </c>
      <c r="C284" s="10" t="n">
        <v>3</v>
      </c>
      <c r="D284" s="11" t="inlineStr">
        <is>
          <t>B2B Marketplace</t>
        </is>
      </c>
      <c r="E284" s="11" t="inlineStr">
        <is>
          <t>BigBuy</t>
        </is>
      </c>
      <c r="F284" s="12" t="inlineStr">
        <is>
          <t>https://www.bigbuy.eu</t>
        </is>
      </c>
      <c r="G284" s="11" t="inlineStr">
        <is>
          <t>Valencia</t>
        </is>
      </c>
      <c r="H284" s="11" t="inlineStr"/>
      <c r="I284" s="11" t="inlineStr">
        <is>
          <t>EU / Europe</t>
        </is>
      </c>
      <c r="J284" s="11" t="inlineStr">
        <is>
          <t>Mid</t>
        </is>
      </c>
      <c r="K284" s="11" t="inlineStr"/>
      <c r="L284" s="11" t="inlineStr"/>
      <c r="M284" s="11" t="inlineStr"/>
      <c r="N284" s="11" t="inlineStr">
        <is>
          <t>B2B wholesale / dropship platform</t>
        </is>
      </c>
      <c r="O284" s="11" t="inlineStr">
        <is>
          <t>~5,000 brands, 200k+ products</t>
        </is>
      </c>
      <c r="P284" s="11" t="inlineStr">
        <is>
          <t>General merchandise / beauty / toys</t>
        </is>
      </c>
      <c r="Q284" s="11" t="inlineStr">
        <is>
          <t>Very low (€0.01 on B2B packs) - subscription packs apply</t>
        </is>
      </c>
      <c r="R284" s="11" t="inlineStr">
        <is>
          <t>Business account + pack</t>
        </is>
      </c>
      <c r="S284" s="11" t="inlineStr">
        <is>
          <t>Check post-Brexit shipping</t>
        </is>
      </c>
      <c r="T284" s="11" t="inlineStr">
        <is>
          <t>Unknown</t>
        </is>
      </c>
      <c r="U284" s="11" t="inlineStr">
        <is>
          <t>Unknown</t>
        </is>
      </c>
      <c r="V284" s="11" t="inlineStr"/>
      <c r="W284" s="11" t="inlineStr">
        <is>
          <t>Established 2010-2012; marketplace integrations incl. Amazon</t>
        </is>
      </c>
      <c r="X284" s="11" t="inlineStr">
        <is>
          <t>Has a marketplace pack with Amazon integration</t>
        </is>
      </c>
      <c r="Y284" s="11" t="inlineStr">
        <is>
          <t>Check brand restrictions per item.</t>
        </is>
      </c>
      <c r="Z284" s="11" t="inlineStr">
        <is>
          <t>Company website + reviews</t>
        </is>
      </c>
      <c r="AA284" s="12" t="inlineStr">
        <is>
          <t>Source link</t>
        </is>
      </c>
      <c r="AB284" s="12" t="inlineStr">
        <is>
          <t>Search LinkedIn</t>
        </is>
      </c>
      <c r="AC284" s="11" t="inlineStr">
        <is>
          <t>Round 1</t>
        </is>
      </c>
      <c r="AD284" s="13" t="inlineStr">
        <is>
          <t>Not contacted</t>
        </is>
      </c>
      <c r="AE284" s="14" t="n"/>
      <c r="AF284" s="13" t="n"/>
      <c r="AG284" s="13" t="n"/>
      <c r="AH284" s="13" t="n"/>
      <c r="AI284" s="14">
        <f>IF(AE284="","",WORKDAY(AE284,5))</f>
        <v/>
      </c>
      <c r="AJ284" s="13" t="n"/>
      <c r="AK284" s="13" t="n"/>
    </row>
    <row r="285">
      <c r="A285" s="24" t="inlineStr">
        <is>
          <t>Spain</t>
        </is>
      </c>
      <c r="B285" s="25" t="n">
        <v>284</v>
      </c>
      <c r="C285" s="17" t="n">
        <v>3</v>
      </c>
      <c r="D285" s="18" t="inlineStr">
        <is>
          <t>Baby Products</t>
        </is>
      </c>
      <c r="E285" s="26" t="inlineStr">
        <is>
          <t>AC Marca Personal Care S.L. (Denenes)</t>
        </is>
      </c>
      <c r="F285" s="18" t="inlineStr">
        <is>
          <t>Not confirmed - search company name</t>
        </is>
      </c>
      <c r="G285" s="18" t="inlineStr">
        <is>
          <t>L'Hospitalet de Llobregat (Barcelona)</t>
        </is>
      </c>
      <c r="H285" s="18" t="inlineStr"/>
      <c r="I285" s="18" t="inlineStr">
        <is>
          <t>EU / Europe</t>
        </is>
      </c>
      <c r="J285" s="18" t="inlineStr">
        <is>
          <t>Mid</t>
        </is>
      </c>
      <c r="K285" s="18" t="inlineStr">
        <is>
          <t>L'Hospitalet de Llobregat, Barcelona</t>
        </is>
      </c>
      <c r="L285" s="18" t="inlineStr"/>
      <c r="M285" s="18" t="inlineStr">
        <is>
          <t>contacto@acmarca.com</t>
        </is>
      </c>
      <c r="N285" s="18" t="inlineStr">
        <is>
          <t>Brand owner / manufacturer</t>
        </is>
      </c>
      <c r="O285" s="18" t="inlineStr">
        <is>
          <t>Denenes baby colognes, shampoos, nappy cream</t>
        </is>
      </c>
      <c r="P285" s="18" t="inlineStr">
        <is>
          <t>Baby toiletries</t>
        </is>
      </c>
      <c r="Q285" s="18" t="inlineStr">
        <is>
          <t>On request</t>
        </is>
      </c>
      <c r="R285" s="18" t="inlineStr">
        <is>
          <t>Distributors</t>
        </is>
      </c>
      <c r="S285" s="18" t="inlineStr">
        <is>
          <t>Ask</t>
        </is>
      </c>
      <c r="T285" s="18" t="inlineStr">
        <is>
          <t>Unknown</t>
        </is>
      </c>
      <c r="U285" s="18" t="inlineStr">
        <is>
          <t>Unknown</t>
        </is>
      </c>
      <c r="V285" s="18" t="inlineStr"/>
      <c r="W285" s="18" t="inlineStr">
        <is>
          <t>Named manufacturer on EU retailer GPSR listings (Druni); brand since 1962</t>
        </is>
      </c>
      <c r="X285" s="18" t="inlineStr">
        <is>
          <t>Spanish baby cologne niche - low competition in UK</t>
        </is>
      </c>
      <c r="Y285" s="18" t="inlineStr">
        <is>
          <t>Confirm brand ownership &amp; get full address</t>
        </is>
      </c>
      <c r="Z285" s="18" t="inlineStr">
        <is>
          <t>Retailer GPSR data</t>
        </is>
      </c>
      <c r="AA285" s="19" t="inlineStr">
        <is>
          <t>Source link</t>
        </is>
      </c>
      <c r="AB285" s="19" t="inlineStr">
        <is>
          <t>Search LinkedIn</t>
        </is>
      </c>
      <c r="AC285" s="18" t="inlineStr">
        <is>
          <t>Round 5</t>
        </is>
      </c>
      <c r="AD285" s="20" t="inlineStr">
        <is>
          <t>Not contacted</t>
        </is>
      </c>
      <c r="AE285" s="21" t="n"/>
      <c r="AF285" s="20" t="n"/>
      <c r="AG285" s="20" t="n"/>
      <c r="AH285" s="20" t="n"/>
      <c r="AI285" s="21">
        <f>IF(AE285="","",WORKDAY(AE285,5))</f>
        <v/>
      </c>
      <c r="AJ285" s="20" t="n"/>
      <c r="AK285" s="20" t="n"/>
    </row>
    <row r="286">
      <c r="A286" s="24" t="inlineStr">
        <is>
          <t>Spain</t>
        </is>
      </c>
      <c r="B286" s="25" t="n">
        <v>285</v>
      </c>
      <c r="C286" s="17" t="n">
        <v>3</v>
      </c>
      <c r="D286" s="18" t="inlineStr">
        <is>
          <t>Baby Products</t>
        </is>
      </c>
      <c r="E286" s="18" t="inlineStr">
        <is>
          <t>Jané Group (Jané, Concord, Be Cool)</t>
        </is>
      </c>
      <c r="F286" s="19" t="inlineStr">
        <is>
          <t>https://www.jane.es</t>
        </is>
      </c>
      <c r="G286" s="18" t="inlineStr">
        <is>
          <t>Barcelona</t>
        </is>
      </c>
      <c r="H286" s="18" t="inlineStr"/>
      <c r="I286" s="18" t="inlineStr">
        <is>
          <t>EU / Europe</t>
        </is>
      </c>
      <c r="J286" s="18" t="inlineStr">
        <is>
          <t>Mid</t>
        </is>
      </c>
      <c r="K286" s="18" t="inlineStr">
        <is>
          <t>Mercaders 34, Barcelona (verify)</t>
        </is>
      </c>
      <c r="L286" s="18" t="inlineStr">
        <is>
          <t>+34 937 031 800 (verify)</t>
        </is>
      </c>
      <c r="M286" s="18" t="inlineStr"/>
      <c r="N286" s="18" t="inlineStr">
        <is>
          <t>Brand owner / manufacturer</t>
        </is>
      </c>
      <c r="O286" s="18" t="inlineStr">
        <is>
          <t>Jané, Concord, Be Cool pushchairs, car seats, nursery</t>
        </is>
      </c>
      <c r="P286" s="18" t="inlineStr">
        <is>
          <t>Nursery &amp; travel</t>
        </is>
      </c>
      <c r="Q286" s="18" t="inlineStr">
        <is>
          <t>Account based</t>
        </is>
      </c>
      <c r="R286" s="18" t="inlineStr">
        <is>
          <t>Distributors (international sales director)</t>
        </is>
      </c>
      <c r="S286" s="18" t="inlineStr">
        <is>
          <t>Distributes worldwide - ask</t>
        </is>
      </c>
      <c r="T286" s="18" t="inlineStr">
        <is>
          <t>Unknown</t>
        </is>
      </c>
      <c r="U286" s="18" t="inlineStr">
        <is>
          <t>Unknown</t>
        </is>
      </c>
      <c r="V286" s="18" t="inlineStr"/>
      <c r="W286" s="18" t="inlineStr">
        <is>
          <t>Founded 1932; Spain's largest pushchair maker; ~€37m turnover</t>
        </is>
      </c>
      <c r="X286" s="18" t="inlineStr"/>
      <c r="Y286" s="18" t="inlineStr"/>
      <c r="Z286" s="18" t="inlineStr">
        <is>
          <t>Trade press + company directories</t>
        </is>
      </c>
      <c r="AA286" s="19" t="inlineStr">
        <is>
          <t>Source link</t>
        </is>
      </c>
      <c r="AB286" s="19" t="inlineStr">
        <is>
          <t>Search LinkedIn</t>
        </is>
      </c>
      <c r="AC286" s="18" t="inlineStr">
        <is>
          <t>Round 4</t>
        </is>
      </c>
      <c r="AD286" s="20" t="inlineStr">
        <is>
          <t>Not contacted</t>
        </is>
      </c>
      <c r="AE286" s="21" t="n"/>
      <c r="AF286" s="20" t="n"/>
      <c r="AG286" s="20" t="n"/>
      <c r="AH286" s="20" t="n"/>
      <c r="AI286" s="21">
        <f>IF(AE286="","",WORKDAY(AE286,5))</f>
        <v/>
      </c>
      <c r="AJ286" s="20" t="n"/>
      <c r="AK286" s="20" t="n"/>
    </row>
    <row r="287">
      <c r="A287" s="24" t="inlineStr">
        <is>
          <t>Spain</t>
        </is>
      </c>
      <c r="B287" s="25" t="n">
        <v>286</v>
      </c>
      <c r="C287" s="17" t="n">
        <v>3</v>
      </c>
      <c r="D287" s="18" t="inlineStr">
        <is>
          <t>Baby Products</t>
        </is>
      </c>
      <c r="E287" s="18" t="inlineStr">
        <is>
          <t>Suavinex (Laboratorios Suavinex S.L.)</t>
        </is>
      </c>
      <c r="F287" s="19" t="inlineStr">
        <is>
          <t>https://www.suavinex.com/en/about-us</t>
        </is>
      </c>
      <c r="G287" s="18" t="inlineStr">
        <is>
          <t>Alicante</t>
        </is>
      </c>
      <c r="H287" s="18" t="inlineStr"/>
      <c r="I287" s="18" t="inlineStr">
        <is>
          <t>EU / Europe</t>
        </is>
      </c>
      <c r="J287" s="18" t="inlineStr">
        <is>
          <t>Mid</t>
        </is>
      </c>
      <c r="K287" s="18" t="inlineStr">
        <is>
          <t>Alicante</t>
        </is>
      </c>
      <c r="L287" s="18" t="inlineStr"/>
      <c r="M287" s="18" t="inlineStr"/>
      <c r="N287" s="18" t="inlineStr">
        <is>
          <t>Brand owner</t>
        </is>
      </c>
      <c r="O287" s="18" t="inlineStr">
        <is>
          <t>Suavinex dummies, bottles, teethers, baby cosmetics</t>
        </is>
      </c>
      <c r="P287" s="18" t="inlineStr">
        <is>
          <t>Baby feeding &amp; care</t>
        </is>
      </c>
      <c r="Q287" s="18" t="inlineStr">
        <is>
          <t>On request</t>
        </is>
      </c>
      <c r="R287" s="18" t="inlineStr">
        <is>
          <t>Pharmacies, baby specialists, distributors</t>
        </is>
      </c>
      <c r="S287" s="18" t="inlineStr">
        <is>
          <t>Sold in 20+ markets - ask</t>
        </is>
      </c>
      <c r="T287" s="18" t="inlineStr">
        <is>
          <t>Unknown</t>
        </is>
      </c>
      <c r="U287" s="18" t="inlineStr">
        <is>
          <t>Unknown</t>
        </is>
      </c>
      <c r="V287" s="18" t="inlineStr"/>
      <c r="W287" s="18" t="inlineStr">
        <is>
          <t>Exporting since 1992; logistics subsidiary in Slovakia; country distributors appointed</t>
        </is>
      </c>
      <c r="X287" s="18" t="inlineStr">
        <is>
          <t>Also on Qogita</t>
        </is>
      </c>
      <c r="Y287" s="18" t="inlineStr"/>
      <c r="Z287" s="18" t="inlineStr">
        <is>
          <t>Company site + trade press</t>
        </is>
      </c>
      <c r="AA287" s="19" t="inlineStr">
        <is>
          <t>Source link</t>
        </is>
      </c>
      <c r="AB287" s="19" t="inlineStr">
        <is>
          <t>Search LinkedIn</t>
        </is>
      </c>
      <c r="AC287" s="18" t="inlineStr">
        <is>
          <t>Round 4</t>
        </is>
      </c>
      <c r="AD287" s="20" t="inlineStr">
        <is>
          <t>Not contacted</t>
        </is>
      </c>
      <c r="AE287" s="21" t="n"/>
      <c r="AF287" s="20" t="n"/>
      <c r="AG287" s="20" t="n"/>
      <c r="AH287" s="20" t="n"/>
      <c r="AI287" s="21">
        <f>IF(AE287="","",WORKDAY(AE287,5))</f>
        <v/>
      </c>
      <c r="AJ287" s="20" t="n"/>
      <c r="AK287" s="20" t="n"/>
    </row>
    <row r="288">
      <c r="A288" s="24" t="inlineStr">
        <is>
          <t>Spain</t>
        </is>
      </c>
      <c r="B288" s="25" t="n">
        <v>287</v>
      </c>
      <c r="C288" s="17" t="n">
        <v>2</v>
      </c>
      <c r="D288" s="18" t="inlineStr">
        <is>
          <t>Baby Products</t>
        </is>
      </c>
      <c r="E288" s="18" t="inlineStr">
        <is>
          <t>Smart Baby Brands</t>
        </is>
      </c>
      <c r="F288" s="18" t="inlineStr">
        <is>
          <t>Not confirmed - search company name</t>
        </is>
      </c>
      <c r="G288" s="18" t="inlineStr">
        <is>
          <t>Gavà (Barcelona)</t>
        </is>
      </c>
      <c r="H288" s="18" t="inlineStr"/>
      <c r="I288" s="18" t="inlineStr">
        <is>
          <t>EU / Europe</t>
        </is>
      </c>
      <c r="J288" s="18" t="inlineStr">
        <is>
          <t>Mid</t>
        </is>
      </c>
      <c r="K288" s="18" t="inlineStr">
        <is>
          <t>Gavà, Barcelona</t>
        </is>
      </c>
      <c r="L288" s="18" t="inlineStr"/>
      <c r="M288" s="18" t="inlineStr"/>
      <c r="N288" s="18" t="inlineStr">
        <is>
          <t>Official distributor</t>
        </is>
      </c>
      <c r="O288" s="18" t="inlineStr">
        <is>
          <t>Joie, Joie Signature, Nuna, Tavo</t>
        </is>
      </c>
      <c r="P288" s="18" t="inlineStr">
        <is>
          <t>Car seats, pushchairs, nursery</t>
        </is>
      </c>
      <c r="Q288" s="18" t="inlineStr">
        <is>
          <t>On request</t>
        </is>
      </c>
      <c r="R288" s="18" t="inlineStr">
        <is>
          <t>Retailers</t>
        </is>
      </c>
      <c r="S288" s="18" t="inlineStr">
        <is>
          <t>Spain/Portugal territory</t>
        </is>
      </c>
      <c r="T288" s="18" t="inlineStr">
        <is>
          <t>Unknown</t>
        </is>
      </c>
      <c r="U288" s="18" t="inlineStr">
        <is>
          <t>Unknown</t>
        </is>
      </c>
      <c r="V288" s="18" t="inlineStr"/>
      <c r="W288" s="18" t="inlineStr">
        <is>
          <t>Official distributor for ES/PT; 2,000+ pallets stock (trade press)</t>
        </is>
      </c>
      <c r="X288" s="18" t="inlineStr">
        <is>
          <t>Territorial distributor - UK rights belong to Joie UK</t>
        </is>
      </c>
      <c r="Y288" s="18" t="inlineStr">
        <is>
          <t>Useful for Amazon.es; not for UK.</t>
        </is>
      </c>
      <c r="Z288" s="18" t="inlineStr">
        <is>
          <t>Trade press</t>
        </is>
      </c>
      <c r="AA288" s="19" t="inlineStr">
        <is>
          <t>Source link</t>
        </is>
      </c>
      <c r="AB288" s="19" t="inlineStr">
        <is>
          <t>Search LinkedIn</t>
        </is>
      </c>
      <c r="AC288" s="18" t="inlineStr">
        <is>
          <t>Round 2</t>
        </is>
      </c>
      <c r="AD288" s="20" t="inlineStr">
        <is>
          <t>Not contacted</t>
        </is>
      </c>
      <c r="AE288" s="21" t="n"/>
      <c r="AF288" s="20" t="n"/>
      <c r="AG288" s="20" t="n"/>
      <c r="AH288" s="20" t="n"/>
      <c r="AI288" s="21">
        <f>IF(AE288="","",WORKDAY(AE288,5))</f>
        <v/>
      </c>
      <c r="AJ288" s="20" t="n"/>
      <c r="AK288" s="20" t="n"/>
    </row>
    <row r="289">
      <c r="A289" s="24" t="inlineStr">
        <is>
          <t>Spain</t>
        </is>
      </c>
      <c r="B289" s="25" t="n">
        <v>288</v>
      </c>
      <c r="C289" s="17" t="n">
        <v>2</v>
      </c>
      <c r="D289" s="18" t="inlineStr">
        <is>
          <t>Baby Products</t>
        </is>
      </c>
      <c r="E289" s="18" t="inlineStr">
        <is>
          <t>Tata Batata</t>
        </is>
      </c>
      <c r="F289" s="18" t="inlineStr">
        <is>
          <t>Not confirmed - search company name</t>
        </is>
      </c>
      <c r="G289" s="18" t="inlineStr">
        <is>
          <t>Navarra</t>
        </is>
      </c>
      <c r="H289" s="18" t="inlineStr"/>
      <c r="I289" s="18" t="inlineStr">
        <is>
          <t>EU / Europe</t>
        </is>
      </c>
      <c r="J289" s="18" t="inlineStr">
        <is>
          <t>Mid</t>
        </is>
      </c>
      <c r="K289" s="18" t="inlineStr"/>
      <c r="L289" s="18" t="inlineStr"/>
      <c r="M289" s="18" t="inlineStr"/>
      <c r="N289" s="18" t="inlineStr">
        <is>
          <t>Distributor</t>
        </is>
      </c>
      <c r="O289" s="18" t="inlineStr">
        <is>
          <t>Mid-high end nursery &amp; baby furniture brands</t>
        </is>
      </c>
      <c r="P289" s="18" t="inlineStr">
        <is>
          <t>Nursery</t>
        </is>
      </c>
      <c r="Q289" s="18" t="inlineStr">
        <is>
          <t>On request</t>
        </is>
      </c>
      <c r="R289" s="18" t="inlineStr">
        <is>
          <t>Retailers</t>
        </is>
      </c>
      <c r="S289" s="18" t="inlineStr">
        <is>
          <t>ES/PT focus</t>
        </is>
      </c>
      <c r="T289" s="18" t="inlineStr">
        <is>
          <t>Unknown</t>
        </is>
      </c>
      <c r="U289" s="18" t="inlineStr">
        <is>
          <t>Unknown</t>
        </is>
      </c>
      <c r="V289" s="18" t="inlineStr"/>
      <c r="W289" s="18" t="inlineStr">
        <is>
          <t>Directory listing</t>
        </is>
      </c>
      <c r="X289" s="18" t="inlineStr"/>
      <c r="Y289" s="18" t="inlineStr"/>
      <c r="Z289" s="18" t="inlineStr">
        <is>
          <t>Directory only</t>
        </is>
      </c>
      <c r="AA289" s="19" t="inlineStr">
        <is>
          <t>Source link</t>
        </is>
      </c>
      <c r="AB289" s="19" t="inlineStr">
        <is>
          <t>Search LinkedIn</t>
        </is>
      </c>
      <c r="AC289" s="18" t="inlineStr">
        <is>
          <t>Round 2</t>
        </is>
      </c>
      <c r="AD289" s="20" t="inlineStr">
        <is>
          <t>Not contacted</t>
        </is>
      </c>
      <c r="AE289" s="21" t="n"/>
      <c r="AF289" s="20" t="n"/>
      <c r="AG289" s="20" t="n"/>
      <c r="AH289" s="20" t="n"/>
      <c r="AI289" s="21">
        <f>IF(AE289="","",WORKDAY(AE289,5))</f>
        <v/>
      </c>
      <c r="AJ289" s="20" t="n"/>
      <c r="AK289" s="20" t="n"/>
    </row>
    <row r="290">
      <c r="A290" s="24" t="inlineStr">
        <is>
          <t>Spain</t>
        </is>
      </c>
      <c r="B290" s="25" t="n">
        <v>289</v>
      </c>
      <c r="C290" s="17" t="n">
        <v>4</v>
      </c>
      <c r="D290" s="18" t="inlineStr">
        <is>
          <t>Beauty</t>
        </is>
      </c>
      <c r="E290" s="18" t="inlineStr">
        <is>
          <t>ISDIN S.A.</t>
        </is>
      </c>
      <c r="F290" s="19" t="inlineStr">
        <is>
          <t>https://www.isdin.com</t>
        </is>
      </c>
      <c r="G290" s="18" t="inlineStr">
        <is>
          <t>Barcelona</t>
        </is>
      </c>
      <c r="H290" s="18" t="inlineStr"/>
      <c r="I290" s="18" t="inlineStr">
        <is>
          <t>EU / Europe</t>
        </is>
      </c>
      <c r="J290" s="18" t="inlineStr">
        <is>
          <t>Mid</t>
        </is>
      </c>
      <c r="K290" s="18" t="inlineStr">
        <is>
          <t>C/ Provençals 33, 08019 Barcelona</t>
        </is>
      </c>
      <c r="L290" s="18" t="inlineStr">
        <is>
          <t>+34 93 519 11 00</t>
        </is>
      </c>
      <c r="M290" s="18" t="inlineStr">
        <is>
          <t>customer.es@isdin.com</t>
        </is>
      </c>
      <c r="N290" s="18" t="inlineStr">
        <is>
          <t>Brand owner / manufacturer</t>
        </is>
      </c>
      <c r="O290" s="18" t="inlineStr">
        <is>
          <t>ISDIN sun care (Fotoprotector), Ureadin, Lambdapil</t>
        </is>
      </c>
      <c r="P290" s="18" t="inlineStr">
        <is>
          <t>Dermocosmetics / pharmacy skincare</t>
        </is>
      </c>
      <c r="Q290" s="18" t="inlineStr">
        <is>
          <t>Account based</t>
        </is>
      </c>
      <c r="R290" s="18" t="inlineStr">
        <is>
          <t>Pharmacy &amp; distributor accounts; country offices</t>
        </is>
      </c>
      <c r="S290" s="18" t="inlineStr">
        <is>
          <t>Ask</t>
        </is>
      </c>
      <c r="T290" s="18" t="inlineStr">
        <is>
          <t>Unknown</t>
        </is>
      </c>
      <c r="U290" s="18" t="inlineStr">
        <is>
          <t>Unknown</t>
        </is>
      </c>
      <c r="V290" s="18" t="inlineStr"/>
      <c r="W290" s="18" t="inlineStr">
        <is>
          <t>Major Spanish dermocosmetics lab; Catalonia exporter directory</t>
        </is>
      </c>
      <c r="X290" s="18" t="inlineStr">
        <is>
          <t>ISDIN sun care sells strongly in summer</t>
        </is>
      </c>
      <c r="Y290" s="18" t="inlineStr"/>
      <c r="Z290" s="18" t="inlineStr">
        <is>
          <t>Official contact page + Catalonia supplier directory</t>
        </is>
      </c>
      <c r="AA290" s="19" t="inlineStr">
        <is>
          <t>Source link</t>
        </is>
      </c>
      <c r="AB290" s="19" t="inlineStr">
        <is>
          <t>Search LinkedIn</t>
        </is>
      </c>
      <c r="AC290" s="18" t="inlineStr">
        <is>
          <t>Round 4</t>
        </is>
      </c>
      <c r="AD290" s="20" t="inlineStr">
        <is>
          <t>Not contacted</t>
        </is>
      </c>
      <c r="AE290" s="21" t="n"/>
      <c r="AF290" s="20" t="n"/>
      <c r="AG290" s="20" t="n"/>
      <c r="AH290" s="20" t="n"/>
      <c r="AI290" s="21">
        <f>IF(AE290="","",WORKDAY(AE290,5))</f>
        <v/>
      </c>
      <c r="AJ290" s="20" t="n"/>
      <c r="AK290" s="20" t="n"/>
    </row>
    <row r="291">
      <c r="A291" s="24" t="inlineStr">
        <is>
          <t>Spain</t>
        </is>
      </c>
      <c r="B291" s="25" t="n">
        <v>290</v>
      </c>
      <c r="C291" s="17" t="n">
        <v>3</v>
      </c>
      <c r="D291" s="18" t="inlineStr">
        <is>
          <t>Beauty</t>
        </is>
      </c>
      <c r="E291" s="26" t="inlineStr">
        <is>
          <t>Bella Aurora Labs S.A.</t>
        </is>
      </c>
      <c r="F291" s="18" t="inlineStr">
        <is>
          <t>Not confirmed - search company name</t>
        </is>
      </c>
      <c r="G291" s="18" t="inlineStr">
        <is>
          <t>Santa Coloma de Cervelló (Barcelona)</t>
        </is>
      </c>
      <c r="H291" s="18" t="inlineStr"/>
      <c r="I291" s="18" t="inlineStr">
        <is>
          <t>EU / Europe</t>
        </is>
      </c>
      <c r="J291" s="18" t="inlineStr">
        <is>
          <t>Mid</t>
        </is>
      </c>
      <c r="K291" s="18" t="inlineStr">
        <is>
          <t>Colonia Güell - Filatures, 08690 Santa Coloma de Cervelló</t>
        </is>
      </c>
      <c r="L291" s="18" t="inlineStr">
        <is>
          <t>+34 934 781 112 (verify)</t>
        </is>
      </c>
      <c r="M291" s="18" t="inlineStr"/>
      <c r="N291" s="18" t="inlineStr">
        <is>
          <t>Brand owner / manufacturer</t>
        </is>
      </c>
      <c r="O291" s="18" t="inlineStr">
        <is>
          <t>Bella Aurora anti-dark-spot creams, sun care</t>
        </is>
      </c>
      <c r="P291" s="18" t="inlineStr">
        <is>
          <t>Pharmacy skincare</t>
        </is>
      </c>
      <c r="Q291" s="18" t="inlineStr">
        <is>
          <t>Account based</t>
        </is>
      </c>
      <c r="R291" s="18" t="inlineStr">
        <is>
          <t>Exclusive distributors per market (EU &amp; Americas)</t>
        </is>
      </c>
      <c r="S291" s="18" t="inlineStr">
        <is>
          <t>Ask - may have an exclusive UK partner</t>
        </is>
      </c>
      <c r="T291" s="18" t="inlineStr">
        <is>
          <t>Unknown</t>
        </is>
      </c>
      <c r="U291" s="18" t="inlineStr">
        <is>
          <t>Unknown</t>
        </is>
      </c>
      <c r="V291" s="18" t="inlineStr"/>
      <c r="W291" s="18" t="inlineStr">
        <is>
          <t>Long-running export records to US &amp; Colombia; heritage Spanish brand</t>
        </is>
      </c>
      <c r="X291" s="18" t="inlineStr">
        <is>
          <t>Dark-spot creams are a strong Amazon niche</t>
        </is>
      </c>
      <c r="Y291" s="18" t="inlineStr">
        <is>
          <t>Exclusive distribution model</t>
        </is>
      </c>
      <c r="Z291" s="18" t="inlineStr">
        <is>
          <t>Trade data + business directories</t>
        </is>
      </c>
      <c r="AA291" s="19" t="inlineStr">
        <is>
          <t>Source link</t>
        </is>
      </c>
      <c r="AB291" s="19" t="inlineStr">
        <is>
          <t>Search LinkedIn</t>
        </is>
      </c>
      <c r="AC291" s="18" t="inlineStr">
        <is>
          <t>Round 5</t>
        </is>
      </c>
      <c r="AD291" s="20" t="inlineStr">
        <is>
          <t>Not contacted</t>
        </is>
      </c>
      <c r="AE291" s="21" t="n"/>
      <c r="AF291" s="20" t="n"/>
      <c r="AG291" s="20" t="n"/>
      <c r="AH291" s="20" t="n"/>
      <c r="AI291" s="21">
        <f>IF(AE291="","",WORKDAY(AE291,5))</f>
        <v/>
      </c>
      <c r="AJ291" s="20" t="n"/>
      <c r="AK291" s="20" t="n"/>
    </row>
    <row r="292">
      <c r="A292" s="24" t="inlineStr">
        <is>
          <t>Spain</t>
        </is>
      </c>
      <c r="B292" s="25" t="n">
        <v>291</v>
      </c>
      <c r="C292" s="17" t="n">
        <v>3</v>
      </c>
      <c r="D292" s="18" t="inlineStr">
        <is>
          <t>Beauty</t>
        </is>
      </c>
      <c r="E292" s="18" t="inlineStr">
        <is>
          <t>Berioska S.L. (Babaria)</t>
        </is>
      </c>
      <c r="F292" s="19" t="inlineStr">
        <is>
          <t>https://www.babaria.es</t>
        </is>
      </c>
      <c r="G292" s="18" t="inlineStr">
        <is>
          <t>Cheste (Valencia)</t>
        </is>
      </c>
      <c r="H292" s="18" t="inlineStr"/>
      <c r="I292" s="18" t="inlineStr">
        <is>
          <t>EU / Europe</t>
        </is>
      </c>
      <c r="J292" s="18" t="inlineStr">
        <is>
          <t>Mid</t>
        </is>
      </c>
      <c r="K292" s="18" t="inlineStr">
        <is>
          <t>Cheste, Valencia</t>
        </is>
      </c>
      <c r="L292" s="18" t="inlineStr">
        <is>
          <t>+34 962 51 26 00 (verify)</t>
        </is>
      </c>
      <c r="M292" s="18" t="inlineStr"/>
      <c r="N292" s="18" t="inlineStr">
        <is>
          <t>Brand owner / manufacturer</t>
        </is>
      </c>
      <c r="O292" s="18" t="inlineStr">
        <is>
          <t>Babaria natural-origin skincare, body &amp; sun care</t>
        </is>
      </c>
      <c r="P292" s="18" t="inlineStr">
        <is>
          <t>Skincare &amp; sun care</t>
        </is>
      </c>
      <c r="Q292" s="18" t="inlineStr">
        <is>
          <t>On request</t>
        </is>
      </c>
      <c r="R292" s="18" t="inlineStr">
        <is>
          <t>Distributors &amp; retailers</t>
        </is>
      </c>
      <c r="S292" s="18" t="inlineStr">
        <is>
          <t>Exports to Europe, Americas, Africa - ask</t>
        </is>
      </c>
      <c r="T292" s="18" t="inlineStr">
        <is>
          <t>Unknown</t>
        </is>
      </c>
      <c r="U292" s="18" t="inlineStr">
        <is>
          <t>Unknown</t>
        </is>
      </c>
      <c r="V292" s="18" t="inlineStr"/>
      <c r="W292" s="18" t="inlineStr">
        <is>
          <t>Backed by Corpfin Capital to expand abroad; subsidiaries in PE, MX, CO, MA</t>
        </is>
      </c>
      <c r="X292" s="18" t="inlineStr">
        <is>
          <t>Also on Qogita</t>
        </is>
      </c>
      <c r="Y292" s="18" t="inlineStr"/>
      <c r="Z292" s="18" t="inlineStr">
        <is>
          <t>Trade press + company profile</t>
        </is>
      </c>
      <c r="AA292" s="19" t="inlineStr">
        <is>
          <t>Source link</t>
        </is>
      </c>
      <c r="AB292" s="19" t="inlineStr">
        <is>
          <t>Search LinkedIn</t>
        </is>
      </c>
      <c r="AC292" s="18" t="inlineStr">
        <is>
          <t>Round 4</t>
        </is>
      </c>
      <c r="AD292" s="20" t="inlineStr">
        <is>
          <t>Not contacted</t>
        </is>
      </c>
      <c r="AE292" s="21" t="n"/>
      <c r="AF292" s="20" t="n"/>
      <c r="AG292" s="20" t="n"/>
      <c r="AH292" s="20" t="n"/>
      <c r="AI292" s="21">
        <f>IF(AE292="","",WORKDAY(AE292,5))</f>
        <v/>
      </c>
      <c r="AJ292" s="20" t="n"/>
      <c r="AK292" s="20" t="n"/>
    </row>
    <row r="293">
      <c r="A293" s="24" t="inlineStr">
        <is>
          <t>Spain</t>
        </is>
      </c>
      <c r="B293" s="25" t="n">
        <v>292</v>
      </c>
      <c r="C293" s="17" t="n">
        <v>3</v>
      </c>
      <c r="D293" s="18" t="inlineStr">
        <is>
          <t>Beauty</t>
        </is>
      </c>
      <c r="E293" s="18" t="inlineStr">
        <is>
          <t>Instituto Español S.A.</t>
        </is>
      </c>
      <c r="F293" s="19" t="inlineStr">
        <is>
          <t>https://www.institutoespanol.com</t>
        </is>
      </c>
      <c r="G293" s="18" t="inlineStr">
        <is>
          <t>Hinojos (Huelva)</t>
        </is>
      </c>
      <c r="H293" s="18" t="inlineStr"/>
      <c r="I293" s="18" t="inlineStr">
        <is>
          <t>EU / Europe</t>
        </is>
      </c>
      <c r="J293" s="18" t="inlineStr">
        <is>
          <t>Mid</t>
        </is>
      </c>
      <c r="K293" s="18" t="inlineStr">
        <is>
          <t>Polígono Industrial Las Dueñas, Nave 1, 21740 Hinojos</t>
        </is>
      </c>
      <c r="L293" s="18" t="inlineStr"/>
      <c r="M293" s="18" t="inlineStr"/>
      <c r="N293" s="18" t="inlineStr">
        <is>
          <t>Brand owner / manufacturer</t>
        </is>
      </c>
      <c r="O293" s="18" t="inlineStr">
        <is>
          <t>Instituto Español body care, urea creams, gels, deodorants</t>
        </is>
      </c>
      <c r="P293" s="18" t="inlineStr">
        <is>
          <t>Body care &amp; hygiene</t>
        </is>
      </c>
      <c r="Q293" s="18" t="inlineStr">
        <is>
          <t>On request</t>
        </is>
      </c>
      <c r="R293" s="18" t="inlineStr">
        <is>
          <t>Distributors &amp; retailers</t>
        </is>
      </c>
      <c r="S293" s="18" t="inlineStr">
        <is>
          <t>Exports to 55 countries - ask</t>
        </is>
      </c>
      <c r="T293" s="18" t="inlineStr">
        <is>
          <t>Unknown</t>
        </is>
      </c>
      <c r="U293" s="18" t="inlineStr">
        <is>
          <t>Unknown</t>
        </is>
      </c>
      <c r="V293" s="18" t="inlineStr"/>
      <c r="W293" s="18" t="inlineStr">
        <is>
          <t>Exporting since ~1985; own manufacturing</t>
        </is>
      </c>
      <c r="X293" s="18" t="inlineStr">
        <is>
          <t>Good-value body care - brand-direct invoices</t>
        </is>
      </c>
      <c r="Y293" s="18" t="inlineStr"/>
      <c r="Z293" s="18" t="inlineStr">
        <is>
          <t>Trade data + encyclopedia entry</t>
        </is>
      </c>
      <c r="AA293" s="19" t="inlineStr">
        <is>
          <t>Source link</t>
        </is>
      </c>
      <c r="AB293" s="19" t="inlineStr">
        <is>
          <t>Search LinkedIn</t>
        </is>
      </c>
      <c r="AC293" s="18" t="inlineStr">
        <is>
          <t>Round 4</t>
        </is>
      </c>
      <c r="AD293" s="20" t="inlineStr">
        <is>
          <t>Not contacted</t>
        </is>
      </c>
      <c r="AE293" s="21" t="n"/>
      <c r="AF293" s="20" t="n"/>
      <c r="AG293" s="20" t="n"/>
      <c r="AH293" s="20" t="n"/>
      <c r="AI293" s="21">
        <f>IF(AE293="","",WORKDAY(AE293,5))</f>
        <v/>
      </c>
      <c r="AJ293" s="20" t="n"/>
      <c r="AK293" s="20" t="n"/>
    </row>
    <row r="294">
      <c r="A294" s="24" t="inlineStr">
        <is>
          <t>Spain</t>
        </is>
      </c>
      <c r="B294" s="25" t="n">
        <v>293</v>
      </c>
      <c r="C294" s="17" t="n">
        <v>4</v>
      </c>
      <c r="D294" s="18" t="inlineStr">
        <is>
          <t>DIY &amp; Tools</t>
        </is>
      </c>
      <c r="E294" s="18" t="inlineStr">
        <is>
          <t>Bellota Herramientas S.L.U.</t>
        </is>
      </c>
      <c r="F294" s="19" t="inlineStr">
        <is>
          <t>https://www.bellota.com</t>
        </is>
      </c>
      <c r="G294" s="18" t="inlineStr">
        <is>
          <t>Legazpi (Gipuzkoa)</t>
        </is>
      </c>
      <c r="H294" s="18" t="inlineStr"/>
      <c r="I294" s="18" t="inlineStr">
        <is>
          <t>EU / Europe</t>
        </is>
      </c>
      <c r="J294" s="18" t="inlineStr">
        <is>
          <t>Mid</t>
        </is>
      </c>
      <c r="K294" s="18" t="inlineStr">
        <is>
          <t>Urola 10, 20230 Legazpi</t>
        </is>
      </c>
      <c r="L294" s="18" t="inlineStr">
        <is>
          <t>+34 943 739 000</t>
        </is>
      </c>
      <c r="M294" s="18" t="inlineStr"/>
      <c r="N294" s="18" t="inlineStr">
        <is>
          <t>Brand owner / manufacturer</t>
        </is>
      </c>
      <c r="O294" s="18" t="inlineStr">
        <is>
          <t>Bellota hand tools, garden &amp; agricultural tools, construction tools</t>
        </is>
      </c>
      <c r="P294" s="18" t="inlineStr">
        <is>
          <t>Hand &amp; garden tools</t>
        </is>
      </c>
      <c r="Q294" s="18" t="inlineStr">
        <is>
          <t>On request</t>
        </is>
      </c>
      <c r="R294" s="18" t="inlineStr">
        <is>
          <t>Distributors &amp; retailers</t>
        </is>
      </c>
      <c r="S294" s="18" t="inlineStr">
        <is>
          <t>Sells in 120+ countries - ask</t>
        </is>
      </c>
      <c r="T294" s="18" t="inlineStr">
        <is>
          <t>Unknown</t>
        </is>
      </c>
      <c r="U294" s="18" t="inlineStr">
        <is>
          <t>Unknown</t>
        </is>
      </c>
      <c r="V294" s="18" t="inlineStr"/>
      <c r="W294" s="18" t="inlineStr">
        <is>
          <t>Founded 1908; major Spanish tool maker</t>
        </is>
      </c>
      <c r="X294" s="18" t="inlineStr"/>
      <c r="Y294" s="18" t="inlineStr"/>
      <c r="Z294" s="18" t="inlineStr">
        <is>
          <t>Trade directory + trade data</t>
        </is>
      </c>
      <c r="AA294" s="19" t="inlineStr">
        <is>
          <t>Source link</t>
        </is>
      </c>
      <c r="AB294" s="19" t="inlineStr">
        <is>
          <t>Search LinkedIn</t>
        </is>
      </c>
      <c r="AC294" s="18" t="inlineStr">
        <is>
          <t>Round 4</t>
        </is>
      </c>
      <c r="AD294" s="20" t="inlineStr">
        <is>
          <t>Not contacted</t>
        </is>
      </c>
      <c r="AE294" s="21" t="n"/>
      <c r="AF294" s="20" t="n"/>
      <c r="AG294" s="20" t="n"/>
      <c r="AH294" s="20" t="n"/>
      <c r="AI294" s="21">
        <f>IF(AE294="","",WORKDAY(AE294,5))</f>
        <v/>
      </c>
      <c r="AJ294" s="20" t="n"/>
      <c r="AK294" s="20" t="n"/>
    </row>
    <row r="295">
      <c r="A295" s="24" t="inlineStr">
        <is>
          <t>Spain</t>
        </is>
      </c>
      <c r="B295" s="25" t="n">
        <v>294</v>
      </c>
      <c r="C295" s="17" t="n">
        <v>3</v>
      </c>
      <c r="D295" s="18" t="inlineStr">
        <is>
          <t>DIY &amp; Tools</t>
        </is>
      </c>
      <c r="E295" s="18" t="inlineStr">
        <is>
          <t>EGA Master S.L.</t>
        </is>
      </c>
      <c r="F295" s="19" t="inlineStr">
        <is>
          <t>https://www.egamaster.com</t>
        </is>
      </c>
      <c r="G295" s="18" t="inlineStr">
        <is>
          <t>Vitoria-Gasteiz</t>
        </is>
      </c>
      <c r="H295" s="18" t="inlineStr"/>
      <c r="I295" s="18" t="inlineStr">
        <is>
          <t>EU / Europe</t>
        </is>
      </c>
      <c r="J295" s="18" t="inlineStr">
        <is>
          <t>Mid</t>
        </is>
      </c>
      <c r="K295" s="18" t="inlineStr">
        <is>
          <t>C/ Zorrolleta 11-12, Pol. Ind. Júndiz, 01015 Vitoria</t>
        </is>
      </c>
      <c r="L295" s="18" t="inlineStr"/>
      <c r="M295" s="18" t="inlineStr">
        <is>
          <t>master@egamaster.com</t>
        </is>
      </c>
      <c r="N295" s="18" t="inlineStr">
        <is>
          <t>Brand owner / manufacturer</t>
        </is>
      </c>
      <c r="O295" s="18" t="inlineStr">
        <is>
          <t>EGA Master hand tools, non-sparking &amp; insulated tools</t>
        </is>
      </c>
      <c r="P295" s="18" t="inlineStr">
        <is>
          <t>Industrial hand tools</t>
        </is>
      </c>
      <c r="Q295" s="18" t="inlineStr">
        <is>
          <t>On request</t>
        </is>
      </c>
      <c r="R295" s="18" t="inlineStr">
        <is>
          <t>Distributors (150 countries)</t>
        </is>
      </c>
      <c r="S295" s="18" t="inlineStr">
        <is>
          <t>Ask</t>
        </is>
      </c>
      <c r="T295" s="18" t="inlineStr">
        <is>
          <t>Unknown</t>
        </is>
      </c>
      <c r="U295" s="18" t="inlineStr">
        <is>
          <t>Unknown</t>
        </is>
      </c>
      <c r="V295" s="18" t="inlineStr"/>
      <c r="W295" s="18" t="inlineStr">
        <is>
          <t>SAHA Expo 2026 exhibitor; offshore industry supplier listing</t>
        </is>
      </c>
      <c r="X295" s="18" t="inlineStr">
        <is>
          <t>Industrial focus; pipe wrenches &amp; specialist tools fit niche listings</t>
        </is>
      </c>
      <c r="Y295" s="18" t="inlineStr"/>
      <c r="Z295" s="18" t="inlineStr">
        <is>
          <t>Trade fair listing + industry directory</t>
        </is>
      </c>
      <c r="AA295" s="19" t="inlineStr">
        <is>
          <t>Source link</t>
        </is>
      </c>
      <c r="AB295" s="19" t="inlineStr">
        <is>
          <t>Search LinkedIn</t>
        </is>
      </c>
      <c r="AC295" s="18" t="inlineStr">
        <is>
          <t>Round 4</t>
        </is>
      </c>
      <c r="AD295" s="20" t="inlineStr">
        <is>
          <t>Not contacted</t>
        </is>
      </c>
      <c r="AE295" s="21" t="n"/>
      <c r="AF295" s="20" t="n"/>
      <c r="AG295" s="20" t="n"/>
      <c r="AH295" s="20" t="n"/>
      <c r="AI295" s="21">
        <f>IF(AE295="","",WORKDAY(AE295,5))</f>
        <v/>
      </c>
      <c r="AJ295" s="20" t="n"/>
      <c r="AK295" s="20" t="n"/>
    </row>
    <row r="296">
      <c r="A296" s="24" t="inlineStr">
        <is>
          <t>Spain</t>
        </is>
      </c>
      <c r="B296" s="25" t="n">
        <v>295</v>
      </c>
      <c r="C296" s="17" t="n">
        <v>3</v>
      </c>
      <c r="D296" s="18" t="inlineStr">
        <is>
          <t>DIY &amp; Tools</t>
        </is>
      </c>
      <c r="E296" s="18" t="inlineStr">
        <is>
          <t>Patner Iberia SL (European Tools)</t>
        </is>
      </c>
      <c r="F296" s="19" t="inlineStr">
        <is>
          <t>https://www.manomano.es/vendedor-2206963</t>
        </is>
      </c>
      <c r="G296" s="18" t="inlineStr">
        <is>
          <t>Zaragoza</t>
        </is>
      </c>
      <c r="H296" s="18" t="inlineStr"/>
      <c r="I296" s="18" t="inlineStr">
        <is>
          <t>EU / Europe</t>
        </is>
      </c>
      <c r="J296" s="18" t="inlineStr">
        <is>
          <t>Mid</t>
        </is>
      </c>
      <c r="K296" s="18" t="inlineStr">
        <is>
          <t>Centro Empresarial Miralbueno, Av. Manuel Rodríguez Ayuso 114, 50012 Zaragoza</t>
        </is>
      </c>
      <c r="L296" s="18" t="inlineStr">
        <is>
          <t>+34 976 33 65 04</t>
        </is>
      </c>
      <c r="M296" s="18" t="inlineStr"/>
      <c r="N296" s="18" t="inlineStr">
        <is>
          <t>Industrial supplier / Bosch Premium Partner</t>
        </is>
      </c>
      <c r="O296" s="18" t="inlineStr">
        <is>
          <t>Bosch, Dremel (official), plus Makita, Stanley, DeWalt, Black+Decker, Einhell</t>
        </is>
      </c>
      <c r="P296" s="18" t="inlineStr">
        <is>
          <t>Power tools &amp; spares</t>
        </is>
      </c>
      <c r="Q296" s="18" t="inlineStr">
        <is>
          <t>On request</t>
        </is>
      </c>
      <c r="R296" s="18" t="inlineStr">
        <is>
          <t>Trade</t>
        </is>
      </c>
      <c r="S296" s="18" t="inlineStr">
        <is>
          <t>Ask</t>
        </is>
      </c>
      <c r="T296" s="18" t="inlineStr">
        <is>
          <t>Yes (sells on marketplaces)</t>
        </is>
      </c>
      <c r="U296" s="18" t="inlineStr">
        <is>
          <t>Unknown</t>
        </is>
      </c>
      <c r="V296" s="18" t="inlineStr"/>
      <c r="W296" s="18" t="inlineStr">
        <is>
          <t>Self-declared Bosch Premium Partner with official service; EU responsible person on Leroy Merlin/Conrad listings</t>
        </is>
      </c>
      <c r="X296" s="18" t="inlineStr">
        <is>
          <t>Already sells on marketplaces (ManoMano)</t>
        </is>
      </c>
      <c r="Y296" s="18" t="inlineStr"/>
      <c r="Z296" s="18" t="inlineStr">
        <is>
          <t>Marketplace seller profile</t>
        </is>
      </c>
      <c r="AA296" s="19" t="inlineStr">
        <is>
          <t>Source link</t>
        </is>
      </c>
      <c r="AB296" s="19" t="inlineStr">
        <is>
          <t>Search LinkedIn</t>
        </is>
      </c>
      <c r="AC296" s="18" t="inlineStr">
        <is>
          <t>Round 2</t>
        </is>
      </c>
      <c r="AD296" s="20" t="inlineStr">
        <is>
          <t>Not contacted</t>
        </is>
      </c>
      <c r="AE296" s="21" t="n"/>
      <c r="AF296" s="20" t="n"/>
      <c r="AG296" s="20" t="n"/>
      <c r="AH296" s="20" t="n"/>
      <c r="AI296" s="21">
        <f>IF(AE296="","",WORKDAY(AE296,5))</f>
        <v/>
      </c>
      <c r="AJ296" s="20" t="n"/>
      <c r="AK296" s="20" t="n"/>
    </row>
    <row r="297">
      <c r="A297" s="24" t="inlineStr">
        <is>
          <t>Spain</t>
        </is>
      </c>
      <c r="B297" s="25" t="n">
        <v>296</v>
      </c>
      <c r="C297" s="17" t="n">
        <v>3</v>
      </c>
      <c r="D297" s="18" t="inlineStr">
        <is>
          <t>DIY &amp; Tools</t>
        </is>
      </c>
      <c r="E297" s="18" t="inlineStr">
        <is>
          <t>RUBI Tools Group S.A.</t>
        </is>
      </c>
      <c r="F297" s="19" t="inlineStr">
        <is>
          <t>https://www.rubi.com/en/group</t>
        </is>
      </c>
      <c r="G297" s="18" t="inlineStr">
        <is>
          <t>Rubí (Barcelona)</t>
        </is>
      </c>
      <c r="H297" s="18" t="inlineStr"/>
      <c r="I297" s="18" t="inlineStr">
        <is>
          <t>EU / Europe</t>
        </is>
      </c>
      <c r="J297" s="18" t="inlineStr">
        <is>
          <t>Mid</t>
        </is>
      </c>
      <c r="K297" s="18" t="inlineStr">
        <is>
          <t>Avinguda Olimpíades 89-91, 08191 Rubí</t>
        </is>
      </c>
      <c r="L297" s="18" t="inlineStr">
        <is>
          <t>+34 936 806 500</t>
        </is>
      </c>
      <c r="M297" s="18" t="inlineStr"/>
      <c r="N297" s="18" t="inlineStr">
        <is>
          <t>Brand owner / manufacturer</t>
        </is>
      </c>
      <c r="O297" s="18" t="inlineStr">
        <is>
          <t>RUBI tile cutters, tiling tools &amp; machines</t>
        </is>
      </c>
      <c r="P297" s="18" t="inlineStr">
        <is>
          <t>Tiling tools</t>
        </is>
      </c>
      <c r="Q297" s="18" t="inlineStr">
        <is>
          <t>Account based</t>
        </is>
      </c>
      <c r="R297" s="18" t="inlineStr">
        <is>
          <t>Distributors (11 subsidiaries)</t>
        </is>
      </c>
      <c r="S297" s="18" t="inlineStr">
        <is>
          <t>Sales in 120+ countries - ask (has UK subsidiary)</t>
        </is>
      </c>
      <c r="T297" s="18" t="inlineStr">
        <is>
          <t>Unknown</t>
        </is>
      </c>
      <c r="U297" s="18" t="inlineStr">
        <is>
          <t>Unknown</t>
        </is>
      </c>
      <c r="V297" s="18" t="inlineStr"/>
      <c r="W297" s="18" t="inlineStr">
        <is>
          <t>CERSAIE exhibitor; production in Spain &amp; China</t>
        </is>
      </c>
      <c r="X297" s="18" t="inlineStr"/>
      <c r="Y297" s="18" t="inlineStr"/>
      <c r="Z297" s="18" t="inlineStr">
        <is>
          <t>Trade fair listing + company site</t>
        </is>
      </c>
      <c r="AA297" s="19" t="inlineStr">
        <is>
          <t>Source link</t>
        </is>
      </c>
      <c r="AB297" s="19" t="inlineStr">
        <is>
          <t>Search LinkedIn</t>
        </is>
      </c>
      <c r="AC297" s="18" t="inlineStr">
        <is>
          <t>Round 4</t>
        </is>
      </c>
      <c r="AD297" s="20" t="inlineStr">
        <is>
          <t>Not contacted</t>
        </is>
      </c>
      <c r="AE297" s="21" t="n"/>
      <c r="AF297" s="20" t="n"/>
      <c r="AG297" s="20" t="n"/>
      <c r="AH297" s="20" t="n"/>
      <c r="AI297" s="21">
        <f>IF(AE297="","",WORKDAY(AE297,5))</f>
        <v/>
      </c>
      <c r="AJ297" s="20" t="n"/>
      <c r="AK297" s="20" t="n"/>
    </row>
    <row r="298">
      <c r="A298" s="24" t="inlineStr">
        <is>
          <t>Spain</t>
        </is>
      </c>
      <c r="B298" s="25" t="n">
        <v>297</v>
      </c>
      <c r="C298" s="17" t="n">
        <v>3</v>
      </c>
      <c r="D298" s="18" t="inlineStr">
        <is>
          <t>Fragrance</t>
        </is>
      </c>
      <c r="E298" s="18" t="inlineStr">
        <is>
          <t>OrientFragance</t>
        </is>
      </c>
      <c r="F298" s="19" t="inlineStr">
        <is>
          <t>https://www.orientfragance.com</t>
        </is>
      </c>
      <c r="G298" s="18" t="inlineStr">
        <is>
          <t>Santa Perpètua de la Mogoda, Barcelona</t>
        </is>
      </c>
      <c r="H298" s="18" t="inlineStr"/>
      <c r="I298" s="18" t="inlineStr">
        <is>
          <t>EU / Europe</t>
        </is>
      </c>
      <c r="J298" s="18" t="inlineStr">
        <is>
          <t>Mid</t>
        </is>
      </c>
      <c r="K298" s="18" t="inlineStr">
        <is>
          <t>C/ Berguedà 15, Nave 17, Bloc A, 08130 Santa Perpètua de la Mogoda (visits by appointment)</t>
        </is>
      </c>
      <c r="L298" s="18" t="inlineStr">
        <is>
          <t>+34 623 109 380 (also WhatsApp)</t>
        </is>
      </c>
      <c r="M298" s="18" t="inlineStr">
        <is>
          <t>Orientfragance@gmail.com</t>
        </is>
      </c>
      <c r="N298" s="18" t="inlineStr">
        <is>
          <t>Distributor (Arabian perfumes)</t>
        </is>
      </c>
      <c r="O298" s="18" t="inlineStr">
        <is>
          <t>Lattafa, Armaf, Afnan, Rasasi, Al Haramain, Ajmal, Swiss Arabian, French Avenue + K-beauty</t>
        </is>
      </c>
      <c r="P298" s="18" t="inlineStr">
        <is>
          <t>Arabian fragrance / K-beauty</t>
        </is>
      </c>
      <c r="Q298" s="18" t="inlineStr">
        <is>
          <t>On request (wholesale portal)</t>
        </is>
      </c>
      <c r="R298" s="18" t="inlineStr">
        <is>
          <t>Register via wholesale form - reply &lt; 24 working hrs</t>
        </is>
      </c>
      <c r="S298" s="18" t="inlineStr">
        <is>
          <t>Check - EU based</t>
        </is>
      </c>
      <c r="T298" s="18" t="inlineStr">
        <is>
          <t>Unknown</t>
        </is>
      </c>
      <c r="U298" s="18" t="inlineStr">
        <is>
          <t>Unknown</t>
        </is>
      </c>
      <c r="V298" s="18" t="inlineStr"/>
      <c r="W298" s="18" t="inlineStr">
        <is>
          <t>Claims official distributor status in Spain/Portugal - unverified</t>
        </is>
      </c>
      <c r="X298" s="18" t="inlineStr">
        <is>
          <t>Ask for brand authorisation letters</t>
        </is>
      </c>
      <c r="Y298" s="18" t="inlineStr">
        <is>
          <t>Uses a Gmail address - verify company registration (CIF) before paying.</t>
        </is>
      </c>
      <c r="Z298" s="18" t="inlineStr">
        <is>
          <t>Company website (via search)</t>
        </is>
      </c>
      <c r="AA298" s="19" t="inlineStr">
        <is>
          <t>Source link</t>
        </is>
      </c>
      <c r="AB298" s="19" t="inlineStr">
        <is>
          <t>Search LinkedIn</t>
        </is>
      </c>
      <c r="AC298" s="18" t="inlineStr">
        <is>
          <t>Round 1</t>
        </is>
      </c>
      <c r="AD298" s="20" t="inlineStr">
        <is>
          <t>Not contacted</t>
        </is>
      </c>
      <c r="AE298" s="21" t="n"/>
      <c r="AF298" s="20" t="n"/>
      <c r="AG298" s="20" t="n"/>
      <c r="AH298" s="20" t="n"/>
      <c r="AI298" s="21">
        <f>IF(AE298="","",WORKDAY(AE298,5))</f>
        <v/>
      </c>
      <c r="AJ298" s="20" t="n"/>
      <c r="AK298" s="20" t="n"/>
    </row>
    <row r="299">
      <c r="A299" s="24" t="inlineStr">
        <is>
          <t>Spain</t>
        </is>
      </c>
      <c r="B299" s="25" t="n">
        <v>298</v>
      </c>
      <c r="C299" s="17" t="n">
        <v>3</v>
      </c>
      <c r="D299" s="18" t="inlineStr">
        <is>
          <t>Health &amp; Personal Care</t>
        </is>
      </c>
      <c r="E299" s="26" t="inlineStr">
        <is>
          <t>Laboratorios Byly S.A.</t>
        </is>
      </c>
      <c r="F299" s="18" t="inlineStr">
        <is>
          <t>Not confirmed - search company name</t>
        </is>
      </c>
      <c r="G299" s="18" t="inlineStr">
        <is>
          <t>Barberà del Vallès (Barcelona)</t>
        </is>
      </c>
      <c r="H299" s="18" t="inlineStr"/>
      <c r="I299" s="18" t="inlineStr">
        <is>
          <t>EU / Europe</t>
        </is>
      </c>
      <c r="J299" s="18" t="inlineStr">
        <is>
          <t>Mid</t>
        </is>
      </c>
      <c r="K299" s="18" t="inlineStr">
        <is>
          <t>Ronda de Santa María 200, 08210 Barberà del Vallès</t>
        </is>
      </c>
      <c r="L299" s="18" t="inlineStr"/>
      <c r="M299" s="18" t="inlineStr">
        <is>
          <t>info@byly.com</t>
        </is>
      </c>
      <c r="N299" s="18" t="inlineStr">
        <is>
          <t>Manufacturer / brand owner</t>
        </is>
      </c>
      <c r="O299" s="18" t="inlineStr">
        <is>
          <t>Byly deodorants, depilatory creams</t>
        </is>
      </c>
      <c r="P299" s="18" t="inlineStr">
        <is>
          <t>Deodorants &amp; hair removal</t>
        </is>
      </c>
      <c r="Q299" s="18" t="inlineStr">
        <is>
          <t>On request</t>
        </is>
      </c>
      <c r="R299" s="18" t="inlineStr">
        <is>
          <t>Distributors (owns Difusión Idesa)</t>
        </is>
      </c>
      <c r="S299" s="18" t="inlineStr">
        <is>
          <t>Ask</t>
        </is>
      </c>
      <c r="T299" s="18" t="inlineStr">
        <is>
          <t>Unknown</t>
        </is>
      </c>
      <c r="U299" s="18" t="inlineStr">
        <is>
          <t>Unknown</t>
        </is>
      </c>
      <c r="V299" s="18" t="inlineStr"/>
      <c r="W299" s="18" t="inlineStr">
        <is>
          <t>Trading since 1942; BYLY trademark registered 1970; export records</t>
        </is>
      </c>
      <c r="X299" s="18" t="inlineStr">
        <is>
          <t>Cheap deodorant creams/roll-ons; sprays are hazmat</t>
        </is>
      </c>
      <c r="Y299" s="18" t="inlineStr">
        <is>
          <t>Aerosols = dangerous goods on Amazon</t>
        </is>
      </c>
      <c r="Z299" s="18" t="inlineStr">
        <is>
          <t>Trademark record + trade data</t>
        </is>
      </c>
      <c r="AA299" s="19" t="inlineStr">
        <is>
          <t>Source link</t>
        </is>
      </c>
      <c r="AB299" s="19" t="inlineStr">
        <is>
          <t>Search LinkedIn</t>
        </is>
      </c>
      <c r="AC299" s="18" t="inlineStr">
        <is>
          <t>Round 5</t>
        </is>
      </c>
      <c r="AD299" s="20" t="inlineStr">
        <is>
          <t>Not contacted</t>
        </is>
      </c>
      <c r="AE299" s="21" t="n"/>
      <c r="AF299" s="20" t="n"/>
      <c r="AG299" s="20" t="n"/>
      <c r="AH299" s="20" t="n"/>
      <c r="AI299" s="21">
        <f>IF(AE299="","",WORKDAY(AE299,5))</f>
        <v/>
      </c>
      <c r="AJ299" s="20" t="n"/>
      <c r="AK299" s="20" t="n"/>
    </row>
    <row r="300">
      <c r="A300" s="24" t="inlineStr">
        <is>
          <t>Spain</t>
        </is>
      </c>
      <c r="B300" s="25" t="n">
        <v>299</v>
      </c>
      <c r="C300" s="17" t="n">
        <v>4</v>
      </c>
      <c r="D300" s="18" t="inlineStr">
        <is>
          <t>Home &amp; Kitchen</t>
        </is>
      </c>
      <c r="E300" s="26" t="inlineStr">
        <is>
          <t>IBILI Menaje S.A.</t>
        </is>
      </c>
      <c r="F300" s="19" t="inlineStr">
        <is>
          <t>https://ibilimenaje.com/es</t>
        </is>
      </c>
      <c r="G300" s="18" t="inlineStr">
        <is>
          <t>Bergara (Gipuzkoa)</t>
        </is>
      </c>
      <c r="H300" s="18" t="inlineStr"/>
      <c r="I300" s="18" t="inlineStr">
        <is>
          <t>EU / Europe</t>
        </is>
      </c>
      <c r="J300" s="18" t="inlineStr">
        <is>
          <t>Mid</t>
        </is>
      </c>
      <c r="K300" s="18" t="inlineStr">
        <is>
          <t>Bº San Juan s/n, 20570 Bergara</t>
        </is>
      </c>
      <c r="L300" s="18" t="inlineStr">
        <is>
          <t>+34 943 763 544</t>
        </is>
      </c>
      <c r="M300" s="18" t="inlineStr"/>
      <c r="N300" s="18" t="inlineStr">
        <is>
          <t>Manufacturer / brand owner</t>
        </is>
      </c>
      <c r="O300" s="18" t="inlineStr">
        <is>
          <t>Ibili kitchen gadgets, bakeware, paella pans, cookware</t>
        </is>
      </c>
      <c r="P300" s="18" t="inlineStr">
        <is>
          <t>Kitchen utensils &amp; bakeware</t>
        </is>
      </c>
      <c r="Q300" s="18" t="inlineStr">
        <is>
          <t>On request</t>
        </is>
      </c>
      <c r="R300" s="18" t="inlineStr">
        <is>
          <t>Distributors in 60-75 countries</t>
        </is>
      </c>
      <c r="S300" s="18" t="inlineStr">
        <is>
          <t>Ask</t>
        </is>
      </c>
      <c r="T300" s="18" t="inlineStr">
        <is>
          <t>Unknown</t>
        </is>
      </c>
      <c r="U300" s="18" t="inlineStr">
        <is>
          <t>Unknown</t>
        </is>
      </c>
      <c r="V300" s="18" t="inlineStr"/>
      <c r="W300" s="18" t="inlineStr">
        <is>
          <t>Ambiente exhibitor; Marcos Larrañaga industrial group; 16,000 m² distribution centre</t>
        </is>
      </c>
      <c r="X300" s="18" t="inlineStr">
        <is>
          <t>Wide gadget range at Spanish prices - good for bundles</t>
        </is>
      </c>
      <c r="Y300" s="18" t="inlineStr"/>
      <c r="Z300" s="18" t="inlineStr">
        <is>
          <t>Trade fair listing + supplier directory</t>
        </is>
      </c>
      <c r="AA300" s="19" t="inlineStr">
        <is>
          <t>Source link</t>
        </is>
      </c>
      <c r="AB300" s="19" t="inlineStr">
        <is>
          <t>Search LinkedIn</t>
        </is>
      </c>
      <c r="AC300" s="18" t="inlineStr">
        <is>
          <t>Round 5</t>
        </is>
      </c>
      <c r="AD300" s="20" t="inlineStr">
        <is>
          <t>Not contacted</t>
        </is>
      </c>
      <c r="AE300" s="21" t="n"/>
      <c r="AF300" s="20" t="n"/>
      <c r="AG300" s="20" t="n"/>
      <c r="AH300" s="20" t="n"/>
      <c r="AI300" s="21">
        <f>IF(AE300="","",WORKDAY(AE300,5))</f>
        <v/>
      </c>
      <c r="AJ300" s="20" t="n"/>
      <c r="AK300" s="20" t="n"/>
    </row>
    <row r="301">
      <c r="A301" s="24" t="inlineStr">
        <is>
          <t>Spain</t>
        </is>
      </c>
      <c r="B301" s="25" t="n">
        <v>300</v>
      </c>
      <c r="C301" s="17" t="n">
        <v>4</v>
      </c>
      <c r="D301" s="18" t="inlineStr">
        <is>
          <t>Home &amp; Kitchen</t>
        </is>
      </c>
      <c r="E301" s="18" t="inlineStr">
        <is>
          <t>Lékué S.L.</t>
        </is>
      </c>
      <c r="F301" s="19" t="inlineStr">
        <is>
          <t>https://www.lekue.com</t>
        </is>
      </c>
      <c r="G301" s="18" t="inlineStr">
        <is>
          <t>La Llagosta / Barcelona</t>
        </is>
      </c>
      <c r="H301" s="18" t="inlineStr"/>
      <c r="I301" s="18" t="inlineStr">
        <is>
          <t>EU / Europe</t>
        </is>
      </c>
      <c r="J301" s="18" t="inlineStr">
        <is>
          <t>Mid</t>
        </is>
      </c>
      <c r="K301" s="18" t="inlineStr">
        <is>
          <t>C/ Barcelona 16, 08120 La Llagosta (Barcelona)</t>
        </is>
      </c>
      <c r="L301" s="18" t="inlineStr"/>
      <c r="M301" s="18" t="inlineStr">
        <is>
          <t>info@lekue.com</t>
        </is>
      </c>
      <c r="N301" s="18" t="inlineStr">
        <is>
          <t>Brand owner</t>
        </is>
      </c>
      <c r="O301" s="18" t="inlineStr">
        <is>
          <t>Lékué silicone cookware, steam cases, lunch boxes, baking</t>
        </is>
      </c>
      <c r="P301" s="18" t="inlineStr">
        <is>
          <t>Kitchenware</t>
        </is>
      </c>
      <c r="Q301" s="18" t="inlineStr">
        <is>
          <t>On request</t>
        </is>
      </c>
      <c r="R301" s="18" t="inlineStr">
        <is>
          <t>Retailers &amp; distributors</t>
        </is>
      </c>
      <c r="S301" s="18" t="inlineStr">
        <is>
          <t>Has own UK &amp; Ireland subsidiary</t>
        </is>
      </c>
      <c r="T301" s="18" t="inlineStr">
        <is>
          <t>Unknown</t>
        </is>
      </c>
      <c r="U301" s="18" t="inlineStr">
        <is>
          <t>Unknown</t>
        </is>
      </c>
      <c r="V301" s="18" t="inlineStr"/>
      <c r="W301" s="18" t="inlineStr">
        <is>
          <t>Spanish Patent Office case study; own UK subsidiary</t>
        </is>
      </c>
      <c r="X301" s="18" t="inlineStr">
        <is>
          <t>Strong Amazon kitchen brand</t>
        </is>
      </c>
      <c r="Y301" s="18" t="inlineStr"/>
      <c r="Z301" s="18" t="inlineStr">
        <is>
          <t>Government publication + trade press</t>
        </is>
      </c>
      <c r="AA301" s="19" t="inlineStr">
        <is>
          <t>Source link</t>
        </is>
      </c>
      <c r="AB301" s="19" t="inlineStr">
        <is>
          <t>Search LinkedIn</t>
        </is>
      </c>
      <c r="AC301" s="18" t="inlineStr">
        <is>
          <t>Round 4</t>
        </is>
      </c>
      <c r="AD301" s="20" t="inlineStr">
        <is>
          <t>Not contacted</t>
        </is>
      </c>
      <c r="AE301" s="21" t="n"/>
      <c r="AF301" s="20" t="n"/>
      <c r="AG301" s="20" t="n"/>
      <c r="AH301" s="20" t="n"/>
      <c r="AI301" s="21">
        <f>IF(AE301="","",WORKDAY(AE301,5))</f>
        <v/>
      </c>
      <c r="AJ301" s="20" t="n"/>
      <c r="AK301" s="20" t="n"/>
    </row>
    <row r="302">
      <c r="A302" s="24" t="inlineStr">
        <is>
          <t>Spain</t>
        </is>
      </c>
      <c r="B302" s="25" t="n">
        <v>301</v>
      </c>
      <c r="C302" s="17" t="n">
        <v>3</v>
      </c>
      <c r="D302" s="18" t="inlineStr">
        <is>
          <t>Home &amp; Kitchen</t>
        </is>
      </c>
      <c r="E302" s="18" t="inlineStr">
        <is>
          <t>Cecotec Innovaciones S.L.</t>
        </is>
      </c>
      <c r="F302" s="19" t="inlineStr">
        <is>
          <t>https://www.cecotec.es</t>
        </is>
      </c>
      <c r="G302" s="18" t="inlineStr">
        <is>
          <t>Alfafar (Valencia)</t>
        </is>
      </c>
      <c r="H302" s="18" t="inlineStr"/>
      <c r="I302" s="18" t="inlineStr">
        <is>
          <t>EU / Europe</t>
        </is>
      </c>
      <c r="J302" s="18" t="inlineStr">
        <is>
          <t>Mid</t>
        </is>
      </c>
      <c r="K302" s="18" t="inlineStr">
        <is>
          <t>Alfafar, Valencia (see cecotec.es)</t>
        </is>
      </c>
      <c r="L302" s="18" t="inlineStr"/>
      <c r="M302" s="18" t="inlineStr"/>
      <c r="N302" s="18" t="inlineStr">
        <is>
          <t>Brand owner</t>
        </is>
      </c>
      <c r="O302" s="18" t="inlineStr">
        <is>
          <t>Cecotec Conga robot vacuums, Mambo kitchen robots, air fryers</t>
        </is>
      </c>
      <c r="P302" s="18" t="inlineStr">
        <is>
          <t>Small domestic appliances</t>
        </is>
      </c>
      <c r="Q302" s="18" t="inlineStr">
        <is>
          <t>Account based</t>
        </is>
      </c>
      <c r="R302" s="18" t="inlineStr">
        <is>
          <t>Retailers &amp; official country distributors (50 countries)</t>
        </is>
      </c>
      <c r="S302" s="18" t="inlineStr">
        <is>
          <t>Ask</t>
        </is>
      </c>
      <c r="T302" s="18" t="inlineStr">
        <is>
          <t>Unknown</t>
        </is>
      </c>
      <c r="U302" s="18" t="inlineStr">
        <is>
          <t>Unknown</t>
        </is>
      </c>
      <c r="V302" s="18" t="inlineStr"/>
      <c r="W302" s="18" t="inlineStr">
        <is>
          <t>Registered SL (Iberinform); sold via El Corte Inglés; subsidiaries in 6 countries</t>
        </is>
      </c>
      <c r="X302" s="18" t="inlineStr">
        <is>
          <t>Air fryers &amp; robot vacuums are Amazon top sellers; Cecotec sells direct on Amazon</t>
        </is>
      </c>
      <c r="Y302" s="18" t="inlineStr">
        <is>
          <t>Brand sells direct on Amazon - check whether 3P resale is allowed</t>
        </is>
      </c>
      <c r="Z302" s="18" t="inlineStr">
        <is>
          <t>Registry (Iberinform) + trade press (Alimarket)</t>
        </is>
      </c>
      <c r="AA302" s="19" t="inlineStr">
        <is>
          <t>Source link</t>
        </is>
      </c>
      <c r="AB302" s="19" t="inlineStr">
        <is>
          <t>Search LinkedIn</t>
        </is>
      </c>
      <c r="AC302" s="18" t="inlineStr">
        <is>
          <t>Round 4</t>
        </is>
      </c>
      <c r="AD302" s="20" t="inlineStr">
        <is>
          <t>Not contacted</t>
        </is>
      </c>
      <c r="AE302" s="21" t="n"/>
      <c r="AF302" s="20" t="n"/>
      <c r="AG302" s="20" t="n"/>
      <c r="AH302" s="20" t="n"/>
      <c r="AI302" s="21">
        <f>IF(AE302="","",WORKDAY(AE302,5))</f>
        <v/>
      </c>
      <c r="AJ302" s="20" t="n"/>
      <c r="AK302" s="20" t="n"/>
    </row>
    <row r="303">
      <c r="A303" s="24" t="inlineStr">
        <is>
          <t>Spain</t>
        </is>
      </c>
      <c r="B303" s="25" t="n">
        <v>302</v>
      </c>
      <c r="C303" s="17" t="n">
        <v>3</v>
      </c>
      <c r="D303" s="18" t="inlineStr">
        <is>
          <t>Pet Supplies</t>
        </is>
      </c>
      <c r="E303" s="18" t="inlineStr">
        <is>
          <t>Arquivet SLU</t>
        </is>
      </c>
      <c r="F303" s="19" t="inlineStr">
        <is>
          <t>https://www.arquivet.com</t>
        </is>
      </c>
      <c r="G303" s="18" t="inlineStr">
        <is>
          <t>Les Franqueses del Vallès (Barcelona)</t>
        </is>
      </c>
      <c r="H303" s="18" t="inlineStr"/>
      <c r="I303" s="18" t="inlineStr">
        <is>
          <t>EU / Europe</t>
        </is>
      </c>
      <c r="J303" s="18" t="inlineStr">
        <is>
          <t>Mid</t>
        </is>
      </c>
      <c r="K303" s="18" t="inlineStr">
        <is>
          <t>Carrer de França 13, 08520 Les Franqueses del Vallès</t>
        </is>
      </c>
      <c r="L303" s="18" t="inlineStr">
        <is>
          <t>+34 938 40 20 66</t>
        </is>
      </c>
      <c r="M303" s="18" t="inlineStr"/>
      <c r="N303" s="18" t="inlineStr">
        <is>
          <t>Producer &amp; distributor</t>
        </is>
      </c>
      <c r="O303" s="18" t="inlineStr">
        <is>
          <t>Arquivet natural pet food, Arquizoo, Wind + accessories</t>
        </is>
      </c>
      <c r="P303" s="18" t="inlineStr">
        <is>
          <t>Pet food &amp; accessories</t>
        </is>
      </c>
      <c r="Q303" s="18" t="inlineStr">
        <is>
          <t>On request</t>
        </is>
      </c>
      <c r="R303" s="18" t="inlineStr">
        <is>
          <t>Retailers, vets, wholesalers</t>
        </is>
      </c>
      <c r="S303" s="18" t="inlineStr">
        <is>
          <t>Has export manager (Nicolas Weber)</t>
        </is>
      </c>
      <c r="T303" s="18" t="inlineStr">
        <is>
          <t>Unknown</t>
        </is>
      </c>
      <c r="U303" s="18" t="inlineStr">
        <is>
          <t>Unknown</t>
        </is>
      </c>
      <c r="V303" s="18" t="inlineStr"/>
      <c r="W303" s="18" t="inlineStr">
        <is>
          <t>Interzoo &amp; Zoomark exhibitor</t>
        </is>
      </c>
      <c r="X303" s="18" t="inlineStr"/>
      <c r="Y303" s="18" t="inlineStr"/>
      <c r="Z303" s="18" t="inlineStr">
        <is>
          <t>Trade show listings</t>
        </is>
      </c>
      <c r="AA303" s="19" t="inlineStr">
        <is>
          <t>Source link</t>
        </is>
      </c>
      <c r="AB303" s="19" t="inlineStr">
        <is>
          <t>Search LinkedIn</t>
        </is>
      </c>
      <c r="AC303" s="18" t="inlineStr">
        <is>
          <t>Round 3</t>
        </is>
      </c>
      <c r="AD303" s="20" t="inlineStr">
        <is>
          <t>Not contacted</t>
        </is>
      </c>
      <c r="AE303" s="21" t="n"/>
      <c r="AF303" s="20" t="n"/>
      <c r="AG303" s="20" t="n"/>
      <c r="AH303" s="20" t="n"/>
      <c r="AI303" s="21">
        <f>IF(AE303="","",WORKDAY(AE303,5))</f>
        <v/>
      </c>
      <c r="AJ303" s="20" t="n"/>
      <c r="AK303" s="20" t="n"/>
    </row>
    <row r="304">
      <c r="A304" s="24" t="inlineStr">
        <is>
          <t>Spain</t>
        </is>
      </c>
      <c r="B304" s="25" t="n">
        <v>303</v>
      </c>
      <c r="C304" s="17" t="n">
        <v>3</v>
      </c>
      <c r="D304" s="18" t="inlineStr">
        <is>
          <t>Pet Supplies</t>
        </is>
      </c>
      <c r="E304" s="18" t="inlineStr">
        <is>
          <t>Gaun S.A.</t>
        </is>
      </c>
      <c r="F304" s="19" t="inlineStr">
        <is>
          <t>https://www.gaunsa.com</t>
        </is>
      </c>
      <c r="G304" s="18" t="inlineStr">
        <is>
          <t>Librilla (Murcia)</t>
        </is>
      </c>
      <c r="H304" s="18" t="inlineStr"/>
      <c r="I304" s="18" t="inlineStr">
        <is>
          <t>EU / Europe</t>
        </is>
      </c>
      <c r="J304" s="18" t="inlineStr">
        <is>
          <t>Mid</t>
        </is>
      </c>
      <c r="K304" s="18" t="inlineStr">
        <is>
          <t>Librilla, Murcia</t>
        </is>
      </c>
      <c r="L304" s="18" t="inlineStr">
        <is>
          <t>+34 968 65 81 36</t>
        </is>
      </c>
      <c r="M304" s="18" t="inlineStr">
        <is>
          <t>info@gaunsa.com</t>
        </is>
      </c>
      <c r="N304" s="18" t="inlineStr">
        <is>
          <t>Manufacturer</t>
        </is>
      </c>
      <c r="O304" s="18" t="inlineStr">
        <is>
          <t>Gaun pet accessories &amp; small-breeder products</t>
        </is>
      </c>
      <c r="P304" s="18" t="inlineStr">
        <is>
          <t>Pet &amp; aviary accessories</t>
        </is>
      </c>
      <c r="Q304" s="18" t="inlineStr">
        <is>
          <t>On request</t>
        </is>
      </c>
      <c r="R304" s="18" t="inlineStr">
        <is>
          <t>Distributors (60+ countries)</t>
        </is>
      </c>
      <c r="S304" s="18" t="inlineStr">
        <is>
          <t>Ask</t>
        </is>
      </c>
      <c r="T304" s="18" t="inlineStr">
        <is>
          <t>Unknown</t>
        </is>
      </c>
      <c r="U304" s="18" t="inlineStr">
        <is>
          <t>Unknown</t>
        </is>
      </c>
      <c r="V304" s="18" t="inlineStr"/>
      <c r="W304" s="18" t="inlineStr">
        <is>
          <t>Zoomark exhibitor</t>
        </is>
      </c>
      <c r="X304" s="18" t="inlineStr">
        <is>
          <t>Bird &amp; small-animal accessories - a less crowded niche</t>
        </is>
      </c>
      <c r="Y304" s="18" t="inlineStr"/>
      <c r="Z304" s="18" t="inlineStr">
        <is>
          <t>Trade fair directory</t>
        </is>
      </c>
      <c r="AA304" s="19" t="inlineStr">
        <is>
          <t>Source link</t>
        </is>
      </c>
      <c r="AB304" s="19" t="inlineStr">
        <is>
          <t>Search LinkedIn</t>
        </is>
      </c>
      <c r="AC304" s="18" t="inlineStr">
        <is>
          <t>Round 4</t>
        </is>
      </c>
      <c r="AD304" s="20" t="inlineStr">
        <is>
          <t>Not contacted</t>
        </is>
      </c>
      <c r="AE304" s="21" t="n"/>
      <c r="AF304" s="20" t="n"/>
      <c r="AG304" s="20" t="n"/>
      <c r="AH304" s="20" t="n"/>
      <c r="AI304" s="21">
        <f>IF(AE304="","",WORKDAY(AE304,5))</f>
        <v/>
      </c>
      <c r="AJ304" s="20" t="n"/>
      <c r="AK304" s="20" t="n"/>
    </row>
    <row r="305">
      <c r="A305" s="24" t="inlineStr">
        <is>
          <t>Spain</t>
        </is>
      </c>
      <c r="B305" s="25" t="n">
        <v>304</v>
      </c>
      <c r="C305" s="17" t="n">
        <v>3</v>
      </c>
      <c r="D305" s="18" t="inlineStr">
        <is>
          <t>Pet Supplies</t>
        </is>
      </c>
      <c r="E305" s="18" t="inlineStr">
        <is>
          <t>GOSBI PET FOOD S.A.</t>
        </is>
      </c>
      <c r="F305" s="18" t="inlineStr">
        <is>
          <t>Not confirmed - search company name</t>
        </is>
      </c>
      <c r="G305" s="18" t="inlineStr">
        <is>
          <t>Girona</t>
        </is>
      </c>
      <c r="H305" s="18" t="inlineStr"/>
      <c r="I305" s="18" t="inlineStr">
        <is>
          <t>EU / Europe</t>
        </is>
      </c>
      <c r="J305" s="18" t="inlineStr">
        <is>
          <t>Mid</t>
        </is>
      </c>
      <c r="K305" s="18" t="inlineStr">
        <is>
          <t>Girona, Catalonia</t>
        </is>
      </c>
      <c r="L305" s="18" t="inlineStr"/>
      <c r="M305" s="18" t="inlineStr"/>
      <c r="N305" s="18" t="inlineStr">
        <is>
          <t>Manufacturer</t>
        </is>
      </c>
      <c r="O305" s="18" t="inlineStr">
        <is>
          <t>Gosbi dog &amp; cat food</t>
        </is>
      </c>
      <c r="P305" s="18" t="inlineStr">
        <is>
          <t>Premium pet food</t>
        </is>
      </c>
      <c r="Q305" s="18" t="inlineStr">
        <is>
          <t>On request</t>
        </is>
      </c>
      <c r="R305" s="18" t="inlineStr">
        <is>
          <t>Distributors (has export manager)</t>
        </is>
      </c>
      <c r="S305" s="18" t="inlineStr">
        <is>
          <t>Ask</t>
        </is>
      </c>
      <c r="T305" s="18" t="inlineStr">
        <is>
          <t>Unknown</t>
        </is>
      </c>
      <c r="U305" s="18" t="inlineStr">
        <is>
          <t>Unknown</t>
        </is>
      </c>
      <c r="V305" s="18" t="inlineStr"/>
      <c r="W305" s="18" t="inlineStr">
        <is>
          <t>Interzoo exhibitor; producing since 2003</t>
        </is>
      </c>
      <c r="X305" s="18" t="inlineStr">
        <is>
          <t>Pet food is heavy and competitive; treats/small bags work better</t>
        </is>
      </c>
      <c r="Y305" s="18" t="inlineStr"/>
      <c r="Z305" s="18" t="inlineStr">
        <is>
          <t>Trade fair listing</t>
        </is>
      </c>
      <c r="AA305" s="19" t="inlineStr">
        <is>
          <t>Source link</t>
        </is>
      </c>
      <c r="AB305" s="19" t="inlineStr">
        <is>
          <t>Search LinkedIn</t>
        </is>
      </c>
      <c r="AC305" s="18" t="inlineStr">
        <is>
          <t>Round 4</t>
        </is>
      </c>
      <c r="AD305" s="20" t="inlineStr">
        <is>
          <t>Not contacted</t>
        </is>
      </c>
      <c r="AE305" s="21" t="n"/>
      <c r="AF305" s="20" t="n"/>
      <c r="AG305" s="20" t="n"/>
      <c r="AH305" s="20" t="n"/>
      <c r="AI305" s="21">
        <f>IF(AE305="","",WORKDAY(AE305,5))</f>
        <v/>
      </c>
      <c r="AJ305" s="20" t="n"/>
      <c r="AK305" s="20" t="n"/>
    </row>
    <row r="306">
      <c r="A306" s="24" t="inlineStr">
        <is>
          <t>Spain</t>
        </is>
      </c>
      <c r="B306" s="25" t="n">
        <v>305</v>
      </c>
      <c r="C306" s="17" t="n">
        <v>3</v>
      </c>
      <c r="D306" s="18" t="inlineStr">
        <is>
          <t>Pet Supplies</t>
        </is>
      </c>
      <c r="E306" s="18" t="inlineStr">
        <is>
          <t>Nayeco S.L. (NUZOA group)</t>
        </is>
      </c>
      <c r="F306" s="19" t="inlineStr">
        <is>
          <t>https://www.nayeco.com/es</t>
        </is>
      </c>
      <c r="G306" s="18" t="inlineStr">
        <is>
          <t>Collbató (Barcelona)</t>
        </is>
      </c>
      <c r="H306" s="18" t="inlineStr"/>
      <c r="I306" s="18" t="inlineStr">
        <is>
          <t>EU / Europe</t>
        </is>
      </c>
      <c r="J306" s="18" t="inlineStr">
        <is>
          <t>Mid</t>
        </is>
      </c>
      <c r="K306" s="18" t="inlineStr">
        <is>
          <t>C/ Esparreguera 7-9, 08293 Collbató</t>
        </is>
      </c>
      <c r="L306" s="18" t="inlineStr">
        <is>
          <t>+34 937 779 750</t>
        </is>
      </c>
      <c r="M306" s="18" t="inlineStr"/>
      <c r="N306" s="18" t="inlineStr">
        <is>
          <t>Manufacturer / importer / distributor</t>
        </is>
      </c>
      <c r="O306" s="18" t="inlineStr">
        <is>
          <t>Nayeco dog chews, cat accessories, aquarium &amp; reptile supplies</t>
        </is>
      </c>
      <c r="P306" s="18" t="inlineStr">
        <is>
          <t>Pet accessories</t>
        </is>
      </c>
      <c r="Q306" s="18" t="inlineStr">
        <is>
          <t>On request</t>
        </is>
      </c>
      <c r="R306" s="18" t="inlineStr">
        <is>
          <t>Retailers (10 agents in ES/PT); export specialist Anna Vilar</t>
        </is>
      </c>
      <c r="S306" s="18" t="inlineStr">
        <is>
          <t>Has export team - ask</t>
        </is>
      </c>
      <c r="T306" s="18" t="inlineStr">
        <is>
          <t>Unknown</t>
        </is>
      </c>
      <c r="U306" s="18" t="inlineStr">
        <is>
          <t>Unknown</t>
        </is>
      </c>
      <c r="V306" s="18" t="inlineStr"/>
      <c r="W306" s="18" t="inlineStr">
        <is>
          <t>Trading since 1983/1993; Interzoo exhibitor</t>
        </is>
      </c>
      <c r="X306" s="18" t="inlineStr">
        <is>
          <t>Contact direct - not via Faire (Faire bans Amazon sellers)</t>
        </is>
      </c>
      <c r="Y306" s="18" t="inlineStr"/>
      <c r="Z306" s="18" t="inlineStr">
        <is>
          <t>Trade fair listing + directory</t>
        </is>
      </c>
      <c r="AA306" s="19" t="inlineStr">
        <is>
          <t>Source link</t>
        </is>
      </c>
      <c r="AB306" s="19" t="inlineStr">
        <is>
          <t>Search LinkedIn</t>
        </is>
      </c>
      <c r="AC306" s="18" t="inlineStr">
        <is>
          <t>Round 4</t>
        </is>
      </c>
      <c r="AD306" s="20" t="inlineStr">
        <is>
          <t>Not contacted</t>
        </is>
      </c>
      <c r="AE306" s="21" t="n"/>
      <c r="AF306" s="20" t="n"/>
      <c r="AG306" s="20" t="n"/>
      <c r="AH306" s="20" t="n"/>
      <c r="AI306" s="21">
        <f>IF(AE306="","",WORKDAY(AE306,5))</f>
        <v/>
      </c>
      <c r="AJ306" s="20" t="n"/>
      <c r="AK306" s="20" t="n"/>
    </row>
    <row r="307">
      <c r="A307" s="24" t="inlineStr">
        <is>
          <t>Spain</t>
        </is>
      </c>
      <c r="B307" s="25" t="n">
        <v>306</v>
      </c>
      <c r="C307" s="17" t="n">
        <v>3</v>
      </c>
      <c r="D307" s="18" t="inlineStr">
        <is>
          <t>Sports &amp; Outdoors</t>
        </is>
      </c>
      <c r="E307" s="18" t="inlineStr">
        <is>
          <t>Jim Sports Group (Softee)</t>
        </is>
      </c>
      <c r="F307" s="19" t="inlineStr">
        <is>
          <t>https://www.jimsports.com</t>
        </is>
      </c>
      <c r="G307" s="18" t="inlineStr">
        <is>
          <t>Spain (see website)</t>
        </is>
      </c>
      <c r="H307" s="18" t="inlineStr"/>
      <c r="I307" s="18" t="inlineStr">
        <is>
          <t>EU / Europe</t>
        </is>
      </c>
      <c r="J307" s="18" t="inlineStr">
        <is>
          <t>Mid</t>
        </is>
      </c>
      <c r="K307" s="18" t="inlineStr"/>
      <c r="L307" s="18" t="inlineStr"/>
      <c r="M307" s="18" t="inlineStr">
        <is>
          <t>comunicacion@jimsports.com</t>
        </is>
      </c>
      <c r="N307" s="18" t="inlineStr">
        <is>
          <t>Brand owner / manufacturer / distributor</t>
        </is>
      </c>
      <c r="O307" s="18" t="inlineStr">
        <is>
          <t>Softee, Vibor-A, Enebe, Black Crown padel</t>
        </is>
      </c>
      <c r="P307" s="18" t="inlineStr">
        <is>
          <t>Padel, fitness &amp; team-sport equipment</t>
        </is>
      </c>
      <c r="Q307" s="18" t="inlineStr">
        <is>
          <t>On request</t>
        </is>
      </c>
      <c r="R307" s="18" t="inlineStr">
        <is>
          <t>Retailers &amp; distributors</t>
        </is>
      </c>
      <c r="S307" s="18" t="inlineStr">
        <is>
          <t>Ask</t>
        </is>
      </c>
      <c r="T307" s="18" t="inlineStr">
        <is>
          <t>Unknown</t>
        </is>
      </c>
      <c r="U307" s="18" t="inlineStr">
        <is>
          <t>Unknown</t>
        </is>
      </c>
      <c r="V307" s="18" t="inlineStr"/>
      <c r="W307" s="18" t="inlineStr">
        <is>
          <t>ISPO Munich 2025 exhibitor (Spanish pavilion, AFYDAD); sells on Decathlon marketplace</t>
        </is>
      </c>
      <c r="X307" s="18" t="inlineStr">
        <is>
          <t>Padel is fast-growing in UK; Softee fitness accessories</t>
        </is>
      </c>
      <c r="Y307" s="18" t="inlineStr">
        <is>
          <t>Get registered address before ordering</t>
        </is>
      </c>
      <c r="Z307" s="18" t="inlineStr">
        <is>
          <t>Trade fair exhibitor list</t>
        </is>
      </c>
      <c r="AA307" s="19" t="inlineStr">
        <is>
          <t>Source link</t>
        </is>
      </c>
      <c r="AB307" s="19" t="inlineStr">
        <is>
          <t>Search LinkedIn</t>
        </is>
      </c>
      <c r="AC307" s="18" t="inlineStr">
        <is>
          <t>Round 4</t>
        </is>
      </c>
      <c r="AD307" s="20" t="inlineStr">
        <is>
          <t>Not contacted</t>
        </is>
      </c>
      <c r="AE307" s="21" t="n"/>
      <c r="AF307" s="20" t="n"/>
      <c r="AG307" s="20" t="n"/>
      <c r="AH307" s="20" t="n"/>
      <c r="AI307" s="21">
        <f>IF(AE307="","",WORKDAY(AE307,5))</f>
        <v/>
      </c>
      <c r="AJ307" s="20" t="n"/>
      <c r="AK307" s="20" t="n"/>
    </row>
    <row r="308">
      <c r="A308" s="24" t="inlineStr">
        <is>
          <t>Spain</t>
        </is>
      </c>
      <c r="B308" s="25" t="n">
        <v>307</v>
      </c>
      <c r="C308" s="17" t="n">
        <v>5</v>
      </c>
      <c r="D308" s="18" t="inlineStr">
        <is>
          <t>Stationery &amp; Office</t>
        </is>
      </c>
      <c r="E308" s="18" t="inlineStr">
        <is>
          <t>APLI Paper S.A.U.</t>
        </is>
      </c>
      <c r="F308" s="19" t="inlineStr">
        <is>
          <t>https://www.apli.com</t>
        </is>
      </c>
      <c r="G308" s="18" t="inlineStr">
        <is>
          <t>Barberà del Vallès (Barcelona)</t>
        </is>
      </c>
      <c r="H308" s="18" t="inlineStr"/>
      <c r="I308" s="18" t="inlineStr">
        <is>
          <t>EU / Europe</t>
        </is>
      </c>
      <c r="J308" s="18" t="inlineStr">
        <is>
          <t>Mid</t>
        </is>
      </c>
      <c r="K308" s="18" t="inlineStr">
        <is>
          <t>Avda. Arraona 120-124, Centro Industrial Santiga, 08210 Barberà del Vallès</t>
        </is>
      </c>
      <c r="L308" s="18" t="inlineStr">
        <is>
          <t>+34 937 479 100</t>
        </is>
      </c>
      <c r="M308" s="18" t="inlineStr">
        <is>
          <t>apli@apli.com</t>
        </is>
      </c>
      <c r="N308" s="18" t="inlineStr">
        <is>
          <t>Brand owner / manufacturer</t>
        </is>
      </c>
      <c r="O308" s="18" t="inlineStr">
        <is>
          <t>APLI labels, Miquelrius notebooks, Agipa, Decadry, Back2Fun</t>
        </is>
      </c>
      <c r="P308" s="18" t="inlineStr">
        <is>
          <t>Labels &amp; stationery</t>
        </is>
      </c>
      <c r="Q308" s="18" t="inlineStr">
        <is>
          <t>On request</t>
        </is>
      </c>
      <c r="R308" s="18" t="inlineStr">
        <is>
          <t>Distributors &amp; office dealers (80-85+ countries)</t>
        </is>
      </c>
      <c r="S308" s="18" t="inlineStr">
        <is>
          <t>Ask - Agipa/Decadry well known in UK</t>
        </is>
      </c>
      <c r="T308" s="18" t="inlineStr">
        <is>
          <t>Unknown</t>
        </is>
      </c>
      <c r="U308" s="18" t="inlineStr">
        <is>
          <t>Unknown</t>
        </is>
      </c>
      <c r="V308" s="18" t="inlineStr"/>
      <c r="W308" s="18" t="inlineStr">
        <is>
          <t>Spain's leading label maker; Ambiente exhibitor; Catalonia exporter directory</t>
        </is>
      </c>
      <c r="X308" s="18" t="inlineStr">
        <is>
          <t>Printer labels sell steadily - strong repeat purchases</t>
        </is>
      </c>
      <c r="Y308" s="18" t="inlineStr"/>
      <c r="Z308" s="18" t="inlineStr">
        <is>
          <t>Trade fair listing + regional exporter directory</t>
        </is>
      </c>
      <c r="AA308" s="19" t="inlineStr">
        <is>
          <t>Source link</t>
        </is>
      </c>
      <c r="AB308" s="19" t="inlineStr">
        <is>
          <t>Search LinkedIn</t>
        </is>
      </c>
      <c r="AC308" s="18" t="inlineStr">
        <is>
          <t>Round 4</t>
        </is>
      </c>
      <c r="AD308" s="20" t="inlineStr">
        <is>
          <t>Not contacted</t>
        </is>
      </c>
      <c r="AE308" s="21" t="n"/>
      <c r="AF308" s="20" t="n"/>
      <c r="AG308" s="20" t="n"/>
      <c r="AH308" s="20" t="n"/>
      <c r="AI308" s="21">
        <f>IF(AE308="","",WORKDAY(AE308,5))</f>
        <v/>
      </c>
      <c r="AJ308" s="20" t="n"/>
      <c r="AK308" s="20" t="n"/>
    </row>
    <row r="309">
      <c r="A309" s="24" t="inlineStr">
        <is>
          <t>Spain</t>
        </is>
      </c>
      <c r="B309" s="25" t="n">
        <v>308</v>
      </c>
      <c r="C309" s="17" t="n">
        <v>4</v>
      </c>
      <c r="D309" s="18" t="inlineStr">
        <is>
          <t>Stationery &amp; Office</t>
        </is>
      </c>
      <c r="E309" s="18" t="inlineStr">
        <is>
          <t>Factis S.A. (MILAN)</t>
        </is>
      </c>
      <c r="F309" s="19" t="inlineStr">
        <is>
          <t>https://www.milan.es</t>
        </is>
      </c>
      <c r="G309" s="18" t="inlineStr">
        <is>
          <t>Mont-ras (Girona)</t>
        </is>
      </c>
      <c r="H309" s="18" t="inlineStr"/>
      <c r="I309" s="18" t="inlineStr">
        <is>
          <t>EU / Europe</t>
        </is>
      </c>
      <c r="J309" s="18" t="inlineStr">
        <is>
          <t>Mid</t>
        </is>
      </c>
      <c r="K309" s="18" t="inlineStr">
        <is>
          <t>Barri de Morena 4, 17253 Mont-ras</t>
        </is>
      </c>
      <c r="L309" s="18" t="inlineStr">
        <is>
          <t>+34 972 30 32 00</t>
        </is>
      </c>
      <c r="M309" s="18" t="inlineStr"/>
      <c r="N309" s="18" t="inlineStr">
        <is>
          <t>Brand owner / manufacturer</t>
        </is>
      </c>
      <c r="O309" s="18" t="inlineStr">
        <is>
          <t>MILAN erasers, pencils, school &amp; office supplies</t>
        </is>
      </c>
      <c r="P309" s="18" t="inlineStr">
        <is>
          <t>School supplies</t>
        </is>
      </c>
      <c r="Q309" s="18" t="inlineStr">
        <is>
          <t>On request</t>
        </is>
      </c>
      <c r="R309" s="18" t="inlineStr">
        <is>
          <t>Distributors &amp; retailers</t>
        </is>
      </c>
      <c r="S309" s="18" t="inlineStr">
        <is>
          <t>Exports to 120+ countries - ask</t>
        </is>
      </c>
      <c r="T309" s="18" t="inlineStr">
        <is>
          <t>Unknown</t>
        </is>
      </c>
      <c r="U309" s="18" t="inlineStr">
        <is>
          <t>Unknown</t>
        </is>
      </c>
      <c r="V309" s="18" t="inlineStr"/>
      <c r="W309" s="18" t="inlineStr">
        <is>
          <t>WIPO case study; Ambiente exhibitor; Polish branch MILAN Polska</t>
        </is>
      </c>
      <c r="X309" s="18" t="inlineStr"/>
      <c r="Y309" s="18" t="inlineStr"/>
      <c r="Z309" s="18" t="inlineStr">
        <is>
          <t>WIPO + trade fair listing</t>
        </is>
      </c>
      <c r="AA309" s="19" t="inlineStr">
        <is>
          <t>Source link</t>
        </is>
      </c>
      <c r="AB309" s="19" t="inlineStr">
        <is>
          <t>Search LinkedIn</t>
        </is>
      </c>
      <c r="AC309" s="18" t="inlineStr">
        <is>
          <t>Round 4</t>
        </is>
      </c>
      <c r="AD309" s="20" t="inlineStr">
        <is>
          <t>Not contacted</t>
        </is>
      </c>
      <c r="AE309" s="21" t="n"/>
      <c r="AF309" s="20" t="n"/>
      <c r="AG309" s="20" t="n"/>
      <c r="AH309" s="20" t="n"/>
      <c r="AI309" s="21">
        <f>IF(AE309="","",WORKDAY(AE309,5))</f>
        <v/>
      </c>
      <c r="AJ309" s="20" t="n"/>
      <c r="AK309" s="20" t="n"/>
    </row>
    <row r="310">
      <c r="A310" s="24" t="inlineStr">
        <is>
          <t>Spain</t>
        </is>
      </c>
      <c r="B310" s="25" t="n">
        <v>309</v>
      </c>
      <c r="C310" s="17" t="n">
        <v>4</v>
      </c>
      <c r="D310" s="18" t="inlineStr">
        <is>
          <t>Stationery &amp; Office</t>
        </is>
      </c>
      <c r="E310" s="26" t="inlineStr">
        <is>
          <t>JOVI S.A.</t>
        </is>
      </c>
      <c r="F310" s="19" t="inlineStr">
        <is>
          <t>https://www.jovi.es</t>
        </is>
      </c>
      <c r="G310" s="18" t="inlineStr">
        <is>
          <t>Rubí (Barcelona)</t>
        </is>
      </c>
      <c r="H310" s="18" t="inlineStr"/>
      <c r="I310" s="18" t="inlineStr">
        <is>
          <t>EU / Europe</t>
        </is>
      </c>
      <c r="J310" s="18" t="inlineStr">
        <is>
          <t>Mid</t>
        </is>
      </c>
      <c r="K310" s="18" t="inlineStr">
        <is>
          <t>Avda. Bizet, Pol. Ind. Can Jardí, 08191 Rubí</t>
        </is>
      </c>
      <c r="L310" s="18" t="inlineStr"/>
      <c r="M310" s="18" t="inlineStr"/>
      <c r="N310" s="18" t="inlineStr">
        <is>
          <t>Manufacturer / brand owner</t>
        </is>
      </c>
      <c r="O310" s="18" t="inlineStr">
        <is>
          <t>Jovi Plastilina modelling clay, air-dry clay, crayons, tempera, face paint</t>
        </is>
      </c>
      <c r="P310" s="18" t="inlineStr">
        <is>
          <t>Kids art &amp; craft</t>
        </is>
      </c>
      <c r="Q310" s="18" t="inlineStr">
        <is>
          <t>On request</t>
        </is>
      </c>
      <c r="R310" s="18" t="inlineStr">
        <is>
          <t>Distributors in 80+ countries; US subsidiary (Jovi Color Inc.)</t>
        </is>
      </c>
      <c r="S310" s="18" t="inlineStr">
        <is>
          <t>Ask</t>
        </is>
      </c>
      <c r="T310" s="18" t="inlineStr">
        <is>
          <t>Unknown</t>
        </is>
      </c>
      <c r="U310" s="18" t="inlineStr">
        <is>
          <t>Unknown</t>
        </is>
      </c>
      <c r="V310" s="18" t="inlineStr"/>
      <c r="W310" s="18" t="inlineStr">
        <is>
          <t>Spanish registry (Iberinform); made in Barcelona; long-running US export records</t>
        </is>
      </c>
      <c r="X310" s="18" t="inlineStr">
        <is>
          <t>Modelling clay &amp; craft sets - cheap, light, strong Q4 &amp; back-to-school</t>
        </is>
      </c>
      <c r="Y310" s="18" t="inlineStr"/>
      <c r="Z310" s="18" t="inlineStr">
        <is>
          <t>Business registry + trade data</t>
        </is>
      </c>
      <c r="AA310" s="19" t="inlineStr">
        <is>
          <t>Source link</t>
        </is>
      </c>
      <c r="AB310" s="19" t="inlineStr">
        <is>
          <t>Search LinkedIn</t>
        </is>
      </c>
      <c r="AC310" s="18" t="inlineStr">
        <is>
          <t>Round 5</t>
        </is>
      </c>
      <c r="AD310" s="20" t="inlineStr">
        <is>
          <t>Not contacted</t>
        </is>
      </c>
      <c r="AE310" s="21" t="n"/>
      <c r="AF310" s="20" t="n"/>
      <c r="AG310" s="20" t="n"/>
      <c r="AH310" s="20" t="n"/>
      <c r="AI310" s="21">
        <f>IF(AE310="","",WORKDAY(AE310,5))</f>
        <v/>
      </c>
      <c r="AJ310" s="20" t="n"/>
      <c r="AK310" s="20" t="n"/>
    </row>
    <row r="311">
      <c r="A311" s="24" t="inlineStr">
        <is>
          <t>Spain</t>
        </is>
      </c>
      <c r="B311" s="25" t="n">
        <v>310</v>
      </c>
      <c r="C311" s="17" t="n">
        <v>3</v>
      </c>
      <c r="D311" s="18" t="inlineStr">
        <is>
          <t>Stationery &amp; Office</t>
        </is>
      </c>
      <c r="E311" s="18" t="inlineStr">
        <is>
          <t>CSP - Comercial del Sur de Papelería (Liderpapel)</t>
        </is>
      </c>
      <c r="F311" s="19" t="inlineStr">
        <is>
          <t>https://www.cspapeleria.com</t>
        </is>
      </c>
      <c r="G311" s="18" t="inlineStr">
        <is>
          <t>Málaga (HQ); DCs Guadalajara, Caudebec, Lyon</t>
        </is>
      </c>
      <c r="H311" s="18" t="inlineStr">
        <is>
          <t>France, Portugal</t>
        </is>
      </c>
      <c r="I311" s="18" t="inlineStr">
        <is>
          <t>EU / Europe</t>
        </is>
      </c>
      <c r="J311" s="18" t="inlineStr">
        <is>
          <t>Mid</t>
        </is>
      </c>
      <c r="K311" s="18" t="inlineStr">
        <is>
          <t>Málaga, Spain</t>
        </is>
      </c>
      <c r="L311" s="18" t="inlineStr"/>
      <c r="M311" s="18" t="inlineStr"/>
      <c r="N311" s="18" t="inlineStr">
        <is>
          <t>Manufacturer &amp; wholesale distributor</t>
        </is>
      </c>
      <c r="O311" s="18" t="inlineStr">
        <is>
          <t>Liderpapel (own, 1,500+ products), Q-Connect (exclusive) + exclusive rights to international stationery brands</t>
        </is>
      </c>
      <c r="P311" s="18" t="inlineStr">
        <is>
          <t>Office &amp; school supplies</t>
        </is>
      </c>
      <c r="Q311" s="18" t="inlineStr">
        <is>
          <t>On request</t>
        </is>
      </c>
      <c r="R311" s="18" t="inlineStr">
        <is>
          <t>Stationery resellers (dealer network)</t>
        </is>
      </c>
      <c r="S311" s="18" t="inlineStr">
        <is>
          <t>Iberia &amp; France focus - ask</t>
        </is>
      </c>
      <c r="T311" s="18" t="inlineStr">
        <is>
          <t>Unknown</t>
        </is>
      </c>
      <c r="U311" s="18" t="inlineStr">
        <is>
          <t>Unknown</t>
        </is>
      </c>
      <c r="V311" s="18" t="inlineStr"/>
      <c r="W311" s="18" t="inlineStr">
        <is>
          <t>Founded 1958; 325-425 staff; acquired ADVEO France assets Dec 2025</t>
        </is>
      </c>
      <c r="X311" s="18" t="inlineStr">
        <is>
          <t>Own brand Liderpapel = direct invoices</t>
        </is>
      </c>
      <c r="Y311" s="18" t="inlineStr"/>
      <c r="Z311" s="18" t="inlineStr">
        <is>
          <t>Company website (via search)</t>
        </is>
      </c>
      <c r="AA311" s="19" t="inlineStr">
        <is>
          <t>Source link</t>
        </is>
      </c>
      <c r="AB311" s="19" t="inlineStr">
        <is>
          <t>Search LinkedIn</t>
        </is>
      </c>
      <c r="AC311" s="18" t="inlineStr">
        <is>
          <t>Round 2</t>
        </is>
      </c>
      <c r="AD311" s="20" t="inlineStr">
        <is>
          <t>Not contacted</t>
        </is>
      </c>
      <c r="AE311" s="21" t="n"/>
      <c r="AF311" s="20" t="n"/>
      <c r="AG311" s="20" t="n"/>
      <c r="AH311" s="20" t="n"/>
      <c r="AI311" s="21">
        <f>IF(AE311="","",WORKDAY(AE311,5))</f>
        <v/>
      </c>
      <c r="AJ311" s="20" t="n"/>
      <c r="AK311" s="20" t="n"/>
    </row>
    <row r="312">
      <c r="A312" s="24" t="inlineStr">
        <is>
          <t>Spain</t>
        </is>
      </c>
      <c r="B312" s="25" t="n">
        <v>311</v>
      </c>
      <c r="C312" s="17" t="n">
        <v>3</v>
      </c>
      <c r="D312" s="18" t="inlineStr">
        <is>
          <t>Stationery &amp; Office</t>
        </is>
      </c>
      <c r="E312" s="18" t="inlineStr">
        <is>
          <t>Distribuidora Universal S.L. (DUNSA Group)</t>
        </is>
      </c>
      <c r="F312" s="18" t="inlineStr">
        <is>
          <t>Not confirmed - search company name</t>
        </is>
      </c>
      <c r="G312" s="18" t="inlineStr">
        <is>
          <t>La Garriga (Barcelona)</t>
        </is>
      </c>
      <c r="H312" s="18" t="inlineStr"/>
      <c r="I312" s="18" t="inlineStr">
        <is>
          <t>EU / Europe</t>
        </is>
      </c>
      <c r="J312" s="18" t="inlineStr">
        <is>
          <t>Mid</t>
        </is>
      </c>
      <c r="K312" s="18" t="inlineStr">
        <is>
          <t>C/ Josep Maria Sert 17-3, 08530 La Garriga</t>
        </is>
      </c>
      <c r="L312" s="18" t="inlineStr">
        <is>
          <t>+34 938 71 80 64</t>
        </is>
      </c>
      <c r="M312" s="18" t="inlineStr"/>
      <c r="N312" s="18" t="inlineStr">
        <is>
          <t>Manufacturer / brand owner</t>
        </is>
      </c>
      <c r="O312" s="18" t="inlineStr">
        <is>
          <t>INSTANT, PLAYCOLOR</t>
        </is>
      </c>
      <c r="P312" s="18" t="inlineStr">
        <is>
          <t>School &amp; office supplies</t>
        </is>
      </c>
      <c r="Q312" s="18" t="inlineStr">
        <is>
          <t>On request</t>
        </is>
      </c>
      <c r="R312" s="18" t="inlineStr">
        <is>
          <t>Distributors &amp; direct customers (40+ countries)</t>
        </is>
      </c>
      <c r="S312" s="18" t="inlineStr">
        <is>
          <t>Ask</t>
        </is>
      </c>
      <c r="T312" s="18" t="inlineStr">
        <is>
          <t>Unknown</t>
        </is>
      </c>
      <c r="U312" s="18" t="inlineStr">
        <is>
          <t>Unknown</t>
        </is>
      </c>
      <c r="V312" s="18" t="inlineStr"/>
      <c r="W312" s="18" t="inlineStr">
        <is>
          <t>Creativeworld 2025 (Messe Frankfurt) exhibitor; family-run manufacturer</t>
        </is>
      </c>
      <c r="X312" s="18" t="inlineStr">
        <is>
          <t>Playcolor solid paint sticks suit the kids crafts category</t>
        </is>
      </c>
      <c r="Y312" s="18" t="inlineStr"/>
      <c r="Z312" s="18" t="inlineStr">
        <is>
          <t>Trade fair exhibitor listing</t>
        </is>
      </c>
      <c r="AA312" s="19" t="inlineStr">
        <is>
          <t>Source link</t>
        </is>
      </c>
      <c r="AB312" s="19" t="inlineStr">
        <is>
          <t>Search LinkedIn</t>
        </is>
      </c>
      <c r="AC312" s="18" t="inlineStr">
        <is>
          <t>Round 4</t>
        </is>
      </c>
      <c r="AD312" s="20" t="inlineStr">
        <is>
          <t>Not contacted</t>
        </is>
      </c>
      <c r="AE312" s="21" t="n"/>
      <c r="AF312" s="20" t="n"/>
      <c r="AG312" s="20" t="n"/>
      <c r="AH312" s="20" t="n"/>
      <c r="AI312" s="21">
        <f>IF(AE312="","",WORKDAY(AE312,5))</f>
        <v/>
      </c>
      <c r="AJ312" s="20" t="n"/>
      <c r="AK312" s="20" t="n"/>
    </row>
    <row r="313">
      <c r="A313" s="24" t="inlineStr">
        <is>
          <t>Spain</t>
        </is>
      </c>
      <c r="B313" s="25" t="n">
        <v>312</v>
      </c>
      <c r="C313" s="17" t="n">
        <v>4</v>
      </c>
      <c r="D313" s="18" t="inlineStr">
        <is>
          <t>Toys &amp; Games</t>
        </is>
      </c>
      <c r="E313" s="18" t="inlineStr">
        <is>
          <t>Colorbaby S.L.</t>
        </is>
      </c>
      <c r="F313" s="18" t="inlineStr">
        <is>
          <t>Not confirmed - search company name</t>
        </is>
      </c>
      <c r="G313" s="18" t="inlineStr">
        <is>
          <t>Ibi (Alicante)</t>
        </is>
      </c>
      <c r="H313" s="18" t="inlineStr"/>
      <c r="I313" s="18" t="inlineStr">
        <is>
          <t>EU / Europe</t>
        </is>
      </c>
      <c r="J313" s="18" t="inlineStr">
        <is>
          <t>Mid</t>
        </is>
      </c>
      <c r="K313" s="18" t="inlineStr">
        <is>
          <t>Calle Córdoba 15, 03440 Ibi</t>
        </is>
      </c>
      <c r="L313" s="18" t="inlineStr"/>
      <c r="M313" s="18" t="inlineStr"/>
      <c r="N313" s="18" t="inlineStr">
        <is>
          <t>Brand owner / distributor</t>
        </is>
      </c>
      <c r="O313" s="18" t="inlineStr">
        <is>
          <t>Colorbaby dolls, outdoor toys, licensed toys &amp; leisure</t>
        </is>
      </c>
      <c r="P313" s="18" t="inlineStr">
        <is>
          <t>Toys &amp; leisure (mass market)</t>
        </is>
      </c>
      <c r="Q313" s="18" t="inlineStr">
        <is>
          <t>Pallet / account based</t>
        </is>
      </c>
      <c r="R313" s="18" t="inlineStr">
        <is>
          <t>Retail &amp; wholesale accounts</t>
        </is>
      </c>
      <c r="S313" s="18" t="inlineStr">
        <is>
          <t>Ask</t>
        </is>
      </c>
      <c r="T313" s="18" t="inlineStr">
        <is>
          <t>Unknown</t>
        </is>
      </c>
      <c r="U313" s="18" t="inlineStr">
        <is>
          <t>Unknown</t>
        </is>
      </c>
      <c r="V313" s="18" t="inlineStr">
        <is>
          <t>LEI 95980020140005590772</t>
        </is>
      </c>
      <c r="W313" s="18" t="inlineStr">
        <is>
          <t>Active LEI record; AEO-certified; 7 logistics centres (80,000+ pallets); Spielwarenmesse exhibitor</t>
        </is>
      </c>
      <c r="X313" s="18" t="inlineStr">
        <is>
          <t>Large licensed range - check brand/IP gating</t>
        </is>
      </c>
      <c r="Y313" s="18" t="inlineStr"/>
      <c r="Z313" s="18" t="inlineStr">
        <is>
          <t>LEI registry + trade press</t>
        </is>
      </c>
      <c r="AA313" s="19" t="inlineStr">
        <is>
          <t>Source link</t>
        </is>
      </c>
      <c r="AB313" s="19" t="inlineStr">
        <is>
          <t>Search LinkedIn</t>
        </is>
      </c>
      <c r="AC313" s="18" t="inlineStr">
        <is>
          <t>Round 4</t>
        </is>
      </c>
      <c r="AD313" s="20" t="inlineStr">
        <is>
          <t>Not contacted</t>
        </is>
      </c>
      <c r="AE313" s="21" t="n"/>
      <c r="AF313" s="20" t="n"/>
      <c r="AG313" s="20" t="n"/>
      <c r="AH313" s="20" t="n"/>
      <c r="AI313" s="21">
        <f>IF(AE313="","",WORKDAY(AE313,5))</f>
        <v/>
      </c>
      <c r="AJ313" s="20" t="n"/>
      <c r="AK313" s="20" t="n"/>
    </row>
    <row r="314">
      <c r="A314" s="24" t="inlineStr">
        <is>
          <t>Spain</t>
        </is>
      </c>
      <c r="B314" s="25" t="n">
        <v>313</v>
      </c>
      <c r="C314" s="17" t="n">
        <v>4</v>
      </c>
      <c r="D314" s="18" t="inlineStr">
        <is>
          <t>Toys &amp; Games</t>
        </is>
      </c>
      <c r="E314" s="18" t="inlineStr">
        <is>
          <t>Educa Borrás S.A.U.</t>
        </is>
      </c>
      <c r="F314" s="19" t="inlineStr">
        <is>
          <t>https://www.educaborras.com</t>
        </is>
      </c>
      <c r="G314" s="18" t="inlineStr">
        <is>
          <t>Sant Quirze del Vallès (Barcelona)</t>
        </is>
      </c>
      <c r="H314" s="18" t="inlineStr"/>
      <c r="I314" s="18" t="inlineStr">
        <is>
          <t>EU / Europe</t>
        </is>
      </c>
      <c r="J314" s="18" t="inlineStr">
        <is>
          <t>Mid</t>
        </is>
      </c>
      <c r="K314" s="18" t="inlineStr">
        <is>
          <t>C/ Osana 1, 08192 Sant Quirze del Vallès</t>
        </is>
      </c>
      <c r="L314" s="18" t="inlineStr"/>
      <c r="M314" s="18" t="inlineStr"/>
      <c r="N314" s="18" t="inlineStr">
        <is>
          <t>Brand owner / manufacturer</t>
        </is>
      </c>
      <c r="O314" s="18" t="inlineStr">
        <is>
          <t>Educa puzzles, Chicos toys, board games</t>
        </is>
      </c>
      <c r="P314" s="18" t="inlineStr">
        <is>
          <t>Puzzles &amp; games</t>
        </is>
      </c>
      <c r="Q314" s="18" t="inlineStr">
        <is>
          <t>On request</t>
        </is>
      </c>
      <c r="R314" s="18" t="inlineStr">
        <is>
          <t>Retailers &amp; distributors</t>
        </is>
      </c>
      <c r="S314" s="18" t="inlineStr">
        <is>
          <t>Exports widely - ask</t>
        </is>
      </c>
      <c r="T314" s="18" t="inlineStr">
        <is>
          <t>Unknown</t>
        </is>
      </c>
      <c r="U314" s="18" t="inlineStr">
        <is>
          <t>Unknown</t>
        </is>
      </c>
      <c r="V314" s="18" t="inlineStr"/>
      <c r="W314" s="18" t="inlineStr">
        <is>
          <t>Listed in Catalonia supplier directory; long-running exporter (US, MX, DE, FR, IT)</t>
        </is>
      </c>
      <c r="X314" s="18" t="inlineStr"/>
      <c r="Y314" s="18" t="inlineStr">
        <is>
          <t>CEO: Susana Dabán.</t>
        </is>
      </c>
      <c r="Z314" s="18" t="inlineStr">
        <is>
          <t>Regional supplier directory + trade data</t>
        </is>
      </c>
      <c r="AA314" s="19" t="inlineStr">
        <is>
          <t>Source link</t>
        </is>
      </c>
      <c r="AB314" s="19" t="inlineStr">
        <is>
          <t>Search LinkedIn</t>
        </is>
      </c>
      <c r="AC314" s="18" t="inlineStr">
        <is>
          <t>Round 4</t>
        </is>
      </c>
      <c r="AD314" s="20" t="inlineStr">
        <is>
          <t>Not contacted</t>
        </is>
      </c>
      <c r="AE314" s="21" t="n"/>
      <c r="AF314" s="20" t="n"/>
      <c r="AG314" s="20" t="n"/>
      <c r="AH314" s="20" t="n"/>
      <c r="AI314" s="21">
        <f>IF(AE314="","",WORKDAY(AE314,5))</f>
        <v/>
      </c>
      <c r="AJ314" s="20" t="n"/>
      <c r="AK314" s="20" t="n"/>
    </row>
    <row r="315">
      <c r="A315" s="24" t="inlineStr">
        <is>
          <t>Spain</t>
        </is>
      </c>
      <c r="B315" s="25" t="n">
        <v>314</v>
      </c>
      <c r="C315" s="17" t="n">
        <v>4</v>
      </c>
      <c r="D315" s="18" t="inlineStr">
        <is>
          <t>Toys &amp; Games</t>
        </is>
      </c>
      <c r="E315" s="18" t="inlineStr">
        <is>
          <t>Miniland S.A.</t>
        </is>
      </c>
      <c r="F315" s="19" t="inlineStr">
        <is>
          <t>https://www.minilandgroup.com</t>
        </is>
      </c>
      <c r="G315" s="18" t="inlineStr">
        <is>
          <t>Onil (Alicante)</t>
        </is>
      </c>
      <c r="H315" s="18" t="inlineStr"/>
      <c r="I315" s="18" t="inlineStr">
        <is>
          <t>EU / Europe</t>
        </is>
      </c>
      <c r="J315" s="18" t="inlineStr">
        <is>
          <t>Mid</t>
        </is>
      </c>
      <c r="K315" s="18" t="inlineStr">
        <is>
          <t>C/ La Patronal 8-10, P.I. La Marjal I, 03430 Onil</t>
        </is>
      </c>
      <c r="L315" s="18" t="inlineStr">
        <is>
          <t>+34 965 564 950</t>
        </is>
      </c>
      <c r="M315" s="18" t="inlineStr"/>
      <c r="N315" s="18" t="inlineStr">
        <is>
          <t>Brand owner / manufacturer</t>
        </is>
      </c>
      <c r="O315" s="18" t="inlineStr">
        <is>
          <t>Miniland Educational dolls &amp; STEM, Miniland Baby (thermometers, monitors)</t>
        </is>
      </c>
      <c r="P315" s="18" t="inlineStr">
        <is>
          <t>Educational toys &amp; baby care</t>
        </is>
      </c>
      <c r="Q315" s="18" t="inlineStr">
        <is>
          <t>On request</t>
        </is>
      </c>
      <c r="R315" s="18" t="inlineStr">
        <is>
          <t>Distributors &amp; retailers; US subsidiary (Miami)</t>
        </is>
      </c>
      <c r="S315" s="18" t="inlineStr">
        <is>
          <t>Ask</t>
        </is>
      </c>
      <c r="T315" s="18" t="inlineStr">
        <is>
          <t>Unknown</t>
        </is>
      </c>
      <c r="U315" s="18" t="inlineStr">
        <is>
          <t>Unknown</t>
        </is>
      </c>
      <c r="V315" s="18" t="inlineStr">
        <is>
          <t>CIF A03197308</t>
        </is>
      </c>
      <c r="W315" s="18" t="inlineStr">
        <is>
          <t>CIF A03197308; Spielwarenmesse exhibitor via IBIAE; Spanish government case study</t>
        </is>
      </c>
      <c r="X315" s="18" t="inlineStr">
        <is>
          <t>Educational dolls &amp; baby thermometers sell well</t>
        </is>
      </c>
      <c r="Y315" s="18" t="inlineStr"/>
      <c r="Z315" s="18" t="inlineStr">
        <is>
          <t>Business registry (Iberinform) + supplier directory + trade fair</t>
        </is>
      </c>
      <c r="AA315" s="19" t="inlineStr">
        <is>
          <t>Source link</t>
        </is>
      </c>
      <c r="AB315" s="19" t="inlineStr">
        <is>
          <t>Search LinkedIn</t>
        </is>
      </c>
      <c r="AC315" s="18" t="inlineStr">
        <is>
          <t>Round 4</t>
        </is>
      </c>
      <c r="AD315" s="20" t="inlineStr">
        <is>
          <t>Not contacted</t>
        </is>
      </c>
      <c r="AE315" s="21" t="n"/>
      <c r="AF315" s="20" t="n"/>
      <c r="AG315" s="20" t="n"/>
      <c r="AH315" s="20" t="n"/>
      <c r="AI315" s="21">
        <f>IF(AE315="","",WORKDAY(AE315,5))</f>
        <v/>
      </c>
      <c r="AJ315" s="20" t="n"/>
      <c r="AK315" s="20" t="n"/>
    </row>
    <row r="316">
      <c r="A316" s="24" t="inlineStr">
        <is>
          <t>Spain</t>
        </is>
      </c>
      <c r="B316" s="25" t="n">
        <v>315</v>
      </c>
      <c r="C316" s="17" t="n">
        <v>3</v>
      </c>
      <c r="D316" s="18" t="inlineStr">
        <is>
          <t>Toys &amp; Games</t>
        </is>
      </c>
      <c r="E316" s="26" t="inlineStr">
        <is>
          <t>Cefa Toys S.A.</t>
        </is>
      </c>
      <c r="F316" s="19" t="inlineStr">
        <is>
          <t>https://cefatoys.com</t>
        </is>
      </c>
      <c r="G316" s="18" t="inlineStr">
        <is>
          <t>La Muela (Zaragoza)</t>
        </is>
      </c>
      <c r="H316" s="18" t="inlineStr"/>
      <c r="I316" s="18" t="inlineStr">
        <is>
          <t>EU / Europe</t>
        </is>
      </c>
      <c r="J316" s="18" t="inlineStr">
        <is>
          <t>Mid</t>
        </is>
      </c>
      <c r="K316" s="18" t="inlineStr">
        <is>
          <t>C/ Santo Domingo 10, P.I. Centro Vía, 50196 La Muela</t>
        </is>
      </c>
      <c r="L316" s="18" t="inlineStr">
        <is>
          <t>+34 976 144 659</t>
        </is>
      </c>
      <c r="M316" s="18" t="inlineStr"/>
      <c r="N316" s="18" t="inlineStr">
        <is>
          <t>Manufacturer / brand owner</t>
        </is>
      </c>
      <c r="O316" s="18" t="inlineStr">
        <is>
          <t>Cefa Toys craft kits, kids appliances, licensed toys (Disney, Ben 10)</t>
        </is>
      </c>
      <c r="P316" s="18" t="inlineStr">
        <is>
          <t>Role-play &amp; craft toys</t>
        </is>
      </c>
      <c r="Q316" s="18" t="inlineStr">
        <is>
          <t>On request</t>
        </is>
      </c>
      <c r="R316" s="18" t="inlineStr">
        <is>
          <t>Retail &amp; distributors</t>
        </is>
      </c>
      <c r="S316" s="18" t="inlineStr">
        <is>
          <t>Ask</t>
        </is>
      </c>
      <c r="T316" s="18" t="inlineStr">
        <is>
          <t>Unknown</t>
        </is>
      </c>
      <c r="U316" s="18" t="inlineStr">
        <is>
          <t>Unknown</t>
        </is>
      </c>
      <c r="V316" s="18" t="inlineStr"/>
      <c r="W316" s="18" t="inlineStr">
        <is>
          <t>Active LEI; stocked by El Corte Inglés; spun off from CEFA group (1946)</t>
        </is>
      </c>
      <c r="X316" s="18" t="inlineStr">
        <is>
          <t>Licensed lines may be territory-restricted</t>
        </is>
      </c>
      <c r="Y316" s="18" t="inlineStr"/>
      <c r="Z316" s="18" t="inlineStr">
        <is>
          <t>LEI registry + supplier directory + retailer</t>
        </is>
      </c>
      <c r="AA316" s="19" t="inlineStr">
        <is>
          <t>Source link</t>
        </is>
      </c>
      <c r="AB316" s="19" t="inlineStr">
        <is>
          <t>Search LinkedIn</t>
        </is>
      </c>
      <c r="AC316" s="18" t="inlineStr">
        <is>
          <t>Round 5</t>
        </is>
      </c>
      <c r="AD316" s="20" t="inlineStr">
        <is>
          <t>Not contacted</t>
        </is>
      </c>
      <c r="AE316" s="21" t="n"/>
      <c r="AF316" s="20" t="n"/>
      <c r="AG316" s="20" t="n"/>
      <c r="AH316" s="20" t="n"/>
      <c r="AI316" s="21">
        <f>IF(AE316="","",WORKDAY(AE316,5))</f>
        <v/>
      </c>
      <c r="AJ316" s="20" t="n"/>
      <c r="AK316" s="20" t="n"/>
    </row>
    <row r="317">
      <c r="A317" s="24" t="inlineStr">
        <is>
          <t>Spain</t>
        </is>
      </c>
      <c r="B317" s="25" t="n">
        <v>316</v>
      </c>
      <c r="C317" s="17" t="n">
        <v>3</v>
      </c>
      <c r="D317" s="18" t="inlineStr">
        <is>
          <t>Toys &amp; Games</t>
        </is>
      </c>
      <c r="E317" s="26" t="inlineStr">
        <is>
          <t>DISET S.A. (Jumbo Group)</t>
        </is>
      </c>
      <c r="F317" s="19" t="inlineStr">
        <is>
          <t>https://www.diset.com</t>
        </is>
      </c>
      <c r="G317" s="18" t="inlineStr">
        <is>
          <t>Barcelona (Zona Franca)</t>
        </is>
      </c>
      <c r="H317" s="18" t="inlineStr"/>
      <c r="I317" s="18" t="inlineStr">
        <is>
          <t>EU / Europe</t>
        </is>
      </c>
      <c r="J317" s="18" t="inlineStr">
        <is>
          <t>Mid</t>
        </is>
      </c>
      <c r="K317" s="18" t="inlineStr">
        <is>
          <t>Calle C 3, Sector B, Zona Franca, 08040 Barcelona</t>
        </is>
      </c>
      <c r="L317" s="18" t="inlineStr">
        <is>
          <t>+34 933 367 462</t>
        </is>
      </c>
      <c r="M317" s="18" t="inlineStr"/>
      <c r="N317" s="18" t="inlineStr">
        <is>
          <t>Publisher / manufacturer</t>
        </is>
      </c>
      <c r="O317" s="18" t="inlineStr">
        <is>
          <t>Diset educational games, puzzles, board games</t>
        </is>
      </c>
      <c r="P317" s="18" t="inlineStr">
        <is>
          <t>Educational &amp; board games</t>
        </is>
      </c>
      <c r="Q317" s="18" t="inlineStr">
        <is>
          <t>On request</t>
        </is>
      </c>
      <c r="R317" s="18" t="inlineStr">
        <is>
          <t>Southern Europe focus; Jumbo export dept for other markets</t>
        </is>
      </c>
      <c r="S317" s="18" t="inlineStr">
        <is>
          <t>Ask - or via Jumbo</t>
        </is>
      </c>
      <c r="T317" s="18" t="inlineStr">
        <is>
          <t>Unknown</t>
        </is>
      </c>
      <c r="U317" s="18" t="inlineStr">
        <is>
          <t>Unknown</t>
        </is>
      </c>
      <c r="V317" s="18" t="inlineStr">
        <is>
          <t>CIF A08261588</t>
        </is>
      </c>
      <c r="W317" s="18" t="inlineStr">
        <is>
          <t>CIF A08261588; part of Koninklijke Jumbo group</t>
        </is>
      </c>
      <c r="X317" s="18" t="inlineStr">
        <is>
          <t>Educational games for 3-8 yrs; cheap vs UK brands</t>
        </is>
      </c>
      <c r="Y317" s="18" t="inlineStr">
        <is>
          <t>Sister company of Jumbo (NL), already on list</t>
        </is>
      </c>
      <c r="Z317" s="18" t="inlineStr">
        <is>
          <t>Business registry + group website</t>
        </is>
      </c>
      <c r="AA317" s="19" t="inlineStr">
        <is>
          <t>Source link</t>
        </is>
      </c>
      <c r="AB317" s="19" t="inlineStr">
        <is>
          <t>Search LinkedIn</t>
        </is>
      </c>
      <c r="AC317" s="18" t="inlineStr">
        <is>
          <t>Round 5</t>
        </is>
      </c>
      <c r="AD317" s="20" t="inlineStr">
        <is>
          <t>Not contacted</t>
        </is>
      </c>
      <c r="AE317" s="21" t="n"/>
      <c r="AF317" s="20" t="n"/>
      <c r="AG317" s="20" t="n"/>
      <c r="AH317" s="20" t="n"/>
      <c r="AI317" s="21">
        <f>IF(AE317="","",WORKDAY(AE317,5))</f>
        <v/>
      </c>
      <c r="AJ317" s="20" t="n"/>
      <c r="AK317" s="20" t="n"/>
    </row>
    <row r="318">
      <c r="A318" s="24" t="inlineStr">
        <is>
          <t>Spain</t>
        </is>
      </c>
      <c r="B318" s="25" t="n">
        <v>317</v>
      </c>
      <c r="C318" s="17" t="n">
        <v>3</v>
      </c>
      <c r="D318" s="18" t="inlineStr">
        <is>
          <t>Toys &amp; Games</t>
        </is>
      </c>
      <c r="E318" s="18" t="inlineStr">
        <is>
          <t>Famosa (Fábricas Agrupadas de Muñecas de Onil S.A.)</t>
        </is>
      </c>
      <c r="F318" s="19" t="inlineStr">
        <is>
          <t>https://www.famosa.es</t>
        </is>
      </c>
      <c r="G318" s="18" t="inlineStr">
        <is>
          <t>Alicante / Ibi</t>
        </is>
      </c>
      <c r="H318" s="18" t="inlineStr"/>
      <c r="I318" s="18" t="inlineStr">
        <is>
          <t>EU / Europe</t>
        </is>
      </c>
      <c r="J318" s="18" t="inlineStr">
        <is>
          <t>Mid</t>
        </is>
      </c>
      <c r="K318" s="18" t="inlineStr">
        <is>
          <t>P.I. Derramador, C/ Albacete s/n, Ibi (Alicante)</t>
        </is>
      </c>
      <c r="L318" s="18" t="inlineStr"/>
      <c r="M318" s="18" t="inlineStr"/>
      <c r="N318" s="18" t="inlineStr">
        <is>
          <t>Brand owner / manufacturer</t>
        </is>
      </c>
      <c r="O318" s="18" t="inlineStr">
        <is>
          <t>Famosa dolls (Nenuco, Nancy), Pinypon, licensed toys</t>
        </is>
      </c>
      <c r="P318" s="18" t="inlineStr">
        <is>
          <t>Dolls &amp; toys</t>
        </is>
      </c>
      <c r="Q318" s="18" t="inlineStr">
        <is>
          <t>Account based</t>
        </is>
      </c>
      <c r="R318" s="18" t="inlineStr">
        <is>
          <t>Distributors &amp; retailers (export dept.)</t>
        </is>
      </c>
      <c r="S318" s="18" t="inlineStr">
        <is>
          <t>Subsidiaries in MX &amp; US - ask about UK</t>
        </is>
      </c>
      <c r="T318" s="18" t="inlineStr">
        <is>
          <t>Unknown</t>
        </is>
      </c>
      <c r="U318" s="18" t="inlineStr">
        <is>
          <t>Unknown</t>
        </is>
      </c>
      <c r="V318" s="18" t="inlineStr"/>
      <c r="W318" s="18" t="inlineStr">
        <is>
          <t>Spain's best-known toy maker; export department &amp; overseas subsidiaries</t>
        </is>
      </c>
      <c r="X318" s="18" t="inlineStr"/>
      <c r="Y318" s="18" t="inlineStr"/>
      <c r="Z318" s="18" t="inlineStr">
        <is>
          <t>Customs trade data</t>
        </is>
      </c>
      <c r="AA318" s="19" t="inlineStr">
        <is>
          <t>Source link</t>
        </is>
      </c>
      <c r="AB318" s="19" t="inlineStr">
        <is>
          <t>Search LinkedIn</t>
        </is>
      </c>
      <c r="AC318" s="18" t="inlineStr">
        <is>
          <t>Round 4</t>
        </is>
      </c>
      <c r="AD318" s="20" t="inlineStr">
        <is>
          <t>Not contacted</t>
        </is>
      </c>
      <c r="AE318" s="21" t="n"/>
      <c r="AF318" s="20" t="n"/>
      <c r="AG318" s="20" t="n"/>
      <c r="AH318" s="20" t="n"/>
      <c r="AI318" s="21">
        <f>IF(AE318="","",WORKDAY(AE318,5))</f>
        <v/>
      </c>
      <c r="AJ318" s="20" t="n"/>
      <c r="AK318" s="20" t="n"/>
    </row>
    <row r="319">
      <c r="A319" s="24" t="inlineStr">
        <is>
          <t>Spain</t>
        </is>
      </c>
      <c r="B319" s="25" t="n">
        <v>318</v>
      </c>
      <c r="C319" s="17" t="n">
        <v>3</v>
      </c>
      <c r="D319" s="18" t="inlineStr">
        <is>
          <t>Toys &amp; Games</t>
        </is>
      </c>
      <c r="E319" s="18" t="inlineStr">
        <is>
          <t>Industrial Juguetera S.A. (Injusa)</t>
        </is>
      </c>
      <c r="F319" s="18" t="inlineStr">
        <is>
          <t>Not confirmed - search company name</t>
        </is>
      </c>
      <c r="G319" s="18" t="inlineStr">
        <is>
          <t>Ibi (Alicante)</t>
        </is>
      </c>
      <c r="H319" s="18" t="inlineStr"/>
      <c r="I319" s="18" t="inlineStr">
        <is>
          <t>EU / Europe</t>
        </is>
      </c>
      <c r="J319" s="18" t="inlineStr">
        <is>
          <t>Mid</t>
        </is>
      </c>
      <c r="K319" s="18" t="inlineStr">
        <is>
          <t>Av. Azorín 20, 03440 Ibi</t>
        </is>
      </c>
      <c r="L319" s="18" t="inlineStr">
        <is>
          <t>+34 965 550 862</t>
        </is>
      </c>
      <c r="M319" s="18" t="inlineStr"/>
      <c r="N319" s="18" t="inlineStr">
        <is>
          <t>Manufacturer</t>
        </is>
      </c>
      <c r="O319" s="18" t="inlineStr">
        <is>
          <t>Injusa ride-ons, battery cars, push cars</t>
        </is>
      </c>
      <c r="P319" s="18" t="inlineStr">
        <is>
          <t>Ride-on toys</t>
        </is>
      </c>
      <c r="Q319" s="18" t="inlineStr">
        <is>
          <t>On request</t>
        </is>
      </c>
      <c r="R319" s="18" t="inlineStr">
        <is>
          <t>National &amp; international distribution</t>
        </is>
      </c>
      <c r="S319" s="18" t="inlineStr">
        <is>
          <t>Ask</t>
        </is>
      </c>
      <c r="T319" s="18" t="inlineStr">
        <is>
          <t>Unknown</t>
        </is>
      </c>
      <c r="U319" s="18" t="inlineStr">
        <is>
          <t>Unknown</t>
        </is>
      </c>
      <c r="V319" s="18" t="inlineStr"/>
      <c r="W319" s="18" t="inlineStr">
        <is>
          <t>Spielwarenmesse exhibitor via IBIAE; covered by regional business press</t>
        </is>
      </c>
      <c r="X319" s="18" t="inlineStr">
        <is>
          <t>Ride-ons sell well at Christmas but are bulky - oversize FBA fees</t>
        </is>
      </c>
      <c r="Y319" s="18" t="inlineStr"/>
      <c r="Z319" s="18" t="inlineStr">
        <is>
          <t>Supplier directory + business press</t>
        </is>
      </c>
      <c r="AA319" s="19" t="inlineStr">
        <is>
          <t>Source link</t>
        </is>
      </c>
      <c r="AB319" s="19" t="inlineStr">
        <is>
          <t>Search LinkedIn</t>
        </is>
      </c>
      <c r="AC319" s="18" t="inlineStr">
        <is>
          <t>Round 4</t>
        </is>
      </c>
      <c r="AD319" s="20" t="inlineStr">
        <is>
          <t>Not contacted</t>
        </is>
      </c>
      <c r="AE319" s="21" t="n"/>
      <c r="AF319" s="20" t="n"/>
      <c r="AG319" s="20" t="n"/>
      <c r="AH319" s="20" t="n"/>
      <c r="AI319" s="21">
        <f>IF(AE319="","",WORKDAY(AE319,5))</f>
        <v/>
      </c>
      <c r="AJ319" s="20" t="n"/>
      <c r="AK319" s="20" t="n"/>
    </row>
    <row r="320">
      <c r="A320" s="24" t="inlineStr">
        <is>
          <t>Spain</t>
        </is>
      </c>
      <c r="B320" s="25" t="n">
        <v>319</v>
      </c>
      <c r="C320" s="17" t="n">
        <v>2</v>
      </c>
      <c r="D320" s="18" t="inlineStr">
        <is>
          <t>Toys &amp; Games</t>
        </is>
      </c>
      <c r="E320" s="18" t="inlineStr">
        <is>
          <t>Bizak S.A.</t>
        </is>
      </c>
      <c r="F320" s="19" t="inlineStr">
        <is>
          <t>https://www.bizak.es</t>
        </is>
      </c>
      <c r="G320" s="18" t="inlineStr">
        <is>
          <t>Bilbao</t>
        </is>
      </c>
      <c r="H320" s="18" t="inlineStr"/>
      <c r="I320" s="18" t="inlineStr">
        <is>
          <t>EU / Europe</t>
        </is>
      </c>
      <c r="J320" s="18" t="inlineStr">
        <is>
          <t>Mid</t>
        </is>
      </c>
      <c r="K320" s="18" t="inlineStr">
        <is>
          <t>Carretera Bilbao-Galdakao 32, 48004 Bilbao</t>
        </is>
      </c>
      <c r="L320" s="18" t="inlineStr">
        <is>
          <t>+34 944 34 190 (verify)</t>
        </is>
      </c>
      <c r="M320" s="18" t="inlineStr"/>
      <c r="N320" s="18" t="inlineStr">
        <is>
          <t>Toy brand &amp; distributor</t>
        </is>
      </c>
      <c r="O320" s="18" t="inlineStr">
        <is>
          <t>Bizak + distributed brands (Salta Pirata etc.)</t>
        </is>
      </c>
      <c r="P320" s="18" t="inlineStr">
        <is>
          <t>Toys</t>
        </is>
      </c>
      <c r="Q320" s="18" t="inlineStr">
        <is>
          <t>On request</t>
        </is>
      </c>
      <c r="R320" s="18" t="inlineStr">
        <is>
          <t>Retailers</t>
        </is>
      </c>
      <c r="S320" s="18" t="inlineStr">
        <is>
          <t>Spain focus - ask</t>
        </is>
      </c>
      <c r="T320" s="18" t="inlineStr">
        <is>
          <t>Unknown</t>
        </is>
      </c>
      <c r="U320" s="18" t="inlineStr">
        <is>
          <t>Unknown</t>
        </is>
      </c>
      <c r="V320" s="18" t="inlineStr"/>
      <c r="W320" s="18" t="inlineStr">
        <is>
          <t>Medium-sized company (26-50 staff); stocked by El Corte Inglés</t>
        </is>
      </c>
      <c r="X320" s="18" t="inlineStr"/>
      <c r="Y320" s="18" t="inlineStr"/>
      <c r="Z320" s="18" t="inlineStr">
        <is>
          <t>Business registry data</t>
        </is>
      </c>
      <c r="AA320" s="19" t="inlineStr">
        <is>
          <t>Source link</t>
        </is>
      </c>
      <c r="AB320" s="19" t="inlineStr">
        <is>
          <t>Search LinkedIn</t>
        </is>
      </c>
      <c r="AC320" s="18" t="inlineStr">
        <is>
          <t>Round 3</t>
        </is>
      </c>
      <c r="AD320" s="20" t="inlineStr">
        <is>
          <t>Not contacted</t>
        </is>
      </c>
      <c r="AE320" s="21" t="n"/>
      <c r="AF320" s="20" t="n"/>
      <c r="AG320" s="20" t="n"/>
      <c r="AH320" s="20" t="n"/>
      <c r="AI320" s="21">
        <f>IF(AE320="","",WORKDAY(AE320,5))</f>
        <v/>
      </c>
      <c r="AJ320" s="20" t="n"/>
      <c r="AK320" s="20" t="n"/>
    </row>
    <row r="321">
      <c r="A321" s="24" t="inlineStr">
        <is>
          <t>Spain</t>
        </is>
      </c>
      <c r="B321" s="25" t="n">
        <v>320</v>
      </c>
      <c r="C321" s="17" t="n">
        <v>2</v>
      </c>
      <c r="D321" s="18" t="inlineStr">
        <is>
          <t>Toys &amp; Games</t>
        </is>
      </c>
      <c r="E321" s="18" t="inlineStr">
        <is>
          <t>Nomaco Spain</t>
        </is>
      </c>
      <c r="F321" s="18" t="inlineStr">
        <is>
          <t>Not confirmed - search company name</t>
        </is>
      </c>
      <c r="G321" s="18" t="inlineStr">
        <is>
          <t>Coslada (Madrid)</t>
        </is>
      </c>
      <c r="H321" s="18" t="inlineStr"/>
      <c r="I321" s="18" t="inlineStr">
        <is>
          <t>EU / Europe</t>
        </is>
      </c>
      <c r="J321" s="18" t="inlineStr">
        <is>
          <t>Mid</t>
        </is>
      </c>
      <c r="K321" s="18" t="inlineStr">
        <is>
          <t>Avenida de las Américas 6, 28823 Coslada, Madrid</t>
        </is>
      </c>
      <c r="L321" s="18" t="inlineStr">
        <is>
          <t>+34 917 462 601</t>
        </is>
      </c>
      <c r="M321" s="18" t="inlineStr"/>
      <c r="N321" s="18" t="inlineStr">
        <is>
          <t>Wholesale distributor</t>
        </is>
      </c>
      <c r="O321" s="18" t="inlineStr">
        <is>
          <t>Meccano, Crayola, Nikko, Bontempi, Welly, K's Kids</t>
        </is>
      </c>
      <c r="P321" s="18" t="inlineStr">
        <is>
          <t>Branded toys</t>
        </is>
      </c>
      <c r="Q321" s="18" t="inlineStr">
        <is>
          <t>On request</t>
        </is>
      </c>
      <c r="R321" s="18" t="inlineStr">
        <is>
          <t>Retailers</t>
        </is>
      </c>
      <c r="S321" s="18" t="inlineStr">
        <is>
          <t>Check</t>
        </is>
      </c>
      <c r="T321" s="18" t="inlineStr">
        <is>
          <t>Unknown</t>
        </is>
      </c>
      <c r="U321" s="18" t="inlineStr">
        <is>
          <t>Unknown</t>
        </is>
      </c>
      <c r="V321" s="18" t="inlineStr"/>
      <c r="W321" s="18" t="inlineStr">
        <is>
          <t>Since 2007; supplies El Corte Inglés, Carrefour</t>
        </is>
      </c>
      <c r="X321" s="18" t="inlineStr"/>
      <c r="Y321" s="18" t="inlineStr"/>
      <c r="Z321" s="18" t="inlineStr">
        <is>
          <t>Directory</t>
        </is>
      </c>
      <c r="AA321" s="19" t="inlineStr">
        <is>
          <t>Source link</t>
        </is>
      </c>
      <c r="AB321" s="19" t="inlineStr">
        <is>
          <t>Search LinkedIn</t>
        </is>
      </c>
      <c r="AC321" s="18" t="inlineStr">
        <is>
          <t>Round 1</t>
        </is>
      </c>
      <c r="AD321" s="20" t="inlineStr">
        <is>
          <t>Not contacted</t>
        </is>
      </c>
      <c r="AE321" s="21" t="n"/>
      <c r="AF321" s="20" t="n"/>
      <c r="AG321" s="20" t="n"/>
      <c r="AH321" s="20" t="n"/>
      <c r="AI321" s="21">
        <f>IF(AE321="","",WORKDAY(AE321,5))</f>
        <v/>
      </c>
      <c r="AJ321" s="20" t="n"/>
      <c r="AK321" s="20" t="n"/>
    </row>
    <row r="322">
      <c r="A322" s="8" t="inlineStr">
        <is>
          <t>Sweden</t>
        </is>
      </c>
      <c r="B322" s="9" t="n">
        <v>321</v>
      </c>
      <c r="C322" s="10" t="n">
        <v>3</v>
      </c>
      <c r="D322" s="11" t="inlineStr">
        <is>
          <t>Beauty</t>
        </is>
      </c>
      <c r="E322" s="11" t="inlineStr">
        <is>
          <t>IsaDora AB</t>
        </is>
      </c>
      <c r="F322" s="12" t="inlineStr">
        <is>
          <t>https://www.isadora.com</t>
        </is>
      </c>
      <c r="G322" s="11" t="inlineStr">
        <is>
          <t>Malmö</t>
        </is>
      </c>
      <c r="H322" s="11" t="inlineStr"/>
      <c r="I322" s="11" t="inlineStr">
        <is>
          <t>EU / Europe</t>
        </is>
      </c>
      <c r="J322" s="11" t="inlineStr">
        <is>
          <t>Higher</t>
        </is>
      </c>
      <c r="K322" s="11" t="inlineStr">
        <is>
          <t>Malmö (HQ)</t>
        </is>
      </c>
      <c r="L322" s="11" t="inlineStr"/>
      <c r="M322" s="11" t="inlineStr"/>
      <c r="N322" s="11" t="inlineStr">
        <is>
          <t>Brand owner / manufacturer</t>
        </is>
      </c>
      <c r="O322" s="11" t="inlineStr">
        <is>
          <t>IsaDora makeup &amp; nail polish</t>
        </is>
      </c>
      <c r="P322" s="11" t="inlineStr">
        <is>
          <t>Cosmetics</t>
        </is>
      </c>
      <c r="Q322" s="11" t="inlineStr">
        <is>
          <t>Account based</t>
        </is>
      </c>
      <c r="R322" s="11" t="inlineStr">
        <is>
          <t>Own distribution in 7 EU countries; external distributors elsewhere</t>
        </is>
      </c>
      <c r="S322" s="11" t="inlineStr">
        <is>
          <t>Present in 40+ markets - ask</t>
        </is>
      </c>
      <c r="T322" s="11" t="inlineStr">
        <is>
          <t>Unknown</t>
        </is>
      </c>
      <c r="U322" s="11" t="inlineStr">
        <is>
          <t>Unknown</t>
        </is>
      </c>
      <c r="V322" s="11" t="inlineStr"/>
      <c r="W322" s="11" t="inlineStr">
        <is>
          <t>~200 staff; Axcel (PE) investment; own production</t>
        </is>
      </c>
      <c r="X322" s="11" t="inlineStr"/>
      <c r="Y322" s="11" t="inlineStr"/>
      <c r="Z322" s="11" t="inlineStr">
        <is>
          <t>Investor announcement</t>
        </is>
      </c>
      <c r="AA322" s="12" t="inlineStr">
        <is>
          <t>Source link</t>
        </is>
      </c>
      <c r="AB322" s="12" t="inlineStr">
        <is>
          <t>Search LinkedIn</t>
        </is>
      </c>
      <c r="AC322" s="11" t="inlineStr">
        <is>
          <t>Round 4</t>
        </is>
      </c>
      <c r="AD322" s="13" t="inlineStr">
        <is>
          <t>Not contacted</t>
        </is>
      </c>
      <c r="AE322" s="14" t="n"/>
      <c r="AF322" s="13" t="n"/>
      <c r="AG322" s="13" t="n"/>
      <c r="AH322" s="13" t="n"/>
      <c r="AI322" s="14">
        <f>IF(AE322="","",WORKDAY(AE322,5))</f>
        <v/>
      </c>
      <c r="AJ322" s="13" t="n"/>
      <c r="AK322" s="13" t="n"/>
    </row>
    <row r="323">
      <c r="A323" s="15" t="inlineStr">
        <is>
          <t>Sweden</t>
        </is>
      </c>
      <c r="B323" s="16" t="n">
        <v>322</v>
      </c>
      <c r="C323" s="17" t="n">
        <v>3</v>
      </c>
      <c r="D323" s="18" t="inlineStr">
        <is>
          <t>Beauty</t>
        </is>
      </c>
      <c r="E323" s="18" t="inlineStr">
        <is>
          <t>Scandinavian Cosmetics AB (Storskogen group)</t>
        </is>
      </c>
      <c r="F323" s="19" t="inlineStr">
        <is>
          <t>https://www.scandinaviancosmetics.se</t>
        </is>
      </c>
      <c r="G323" s="18" t="inlineStr">
        <is>
          <t>Malmö (offices Copenhagen &amp; Oslo)</t>
        </is>
      </c>
      <c r="H323" s="18" t="inlineStr"/>
      <c r="I323" s="18" t="inlineStr">
        <is>
          <t>EU / Europe</t>
        </is>
      </c>
      <c r="J323" s="18" t="inlineStr">
        <is>
          <t>Higher</t>
        </is>
      </c>
      <c r="K323" s="18" t="inlineStr">
        <is>
          <t>Agnesfridsvägen 182, Malmö</t>
        </is>
      </c>
      <c r="L323" s="18" t="inlineStr">
        <is>
          <t>+46 40 31 15 00</t>
        </is>
      </c>
      <c r="M323" s="18" t="inlineStr"/>
      <c r="N323" s="18" t="inlineStr">
        <is>
          <t>Beauty distributor &amp; brand manager</t>
        </is>
      </c>
      <c r="O323" s="18" t="inlineStr">
        <is>
          <t>80+ mass &amp; luxury beauty/fragrance brands across the Nordics</t>
        </is>
      </c>
      <c r="P323" s="18" t="inlineStr">
        <is>
          <t>Beauty &amp; fragrance</t>
        </is>
      </c>
      <c r="Q323" s="18" t="inlineStr">
        <is>
          <t>Account based</t>
        </is>
      </c>
      <c r="R323" s="18" t="inlineStr">
        <is>
          <t>Retailers (Nordic territory)</t>
        </is>
      </c>
      <c r="S323" s="18" t="inlineStr">
        <is>
          <t>Nordic focus - ask about export</t>
        </is>
      </c>
      <c r="T323" s="18" t="inlineStr">
        <is>
          <t>Unknown</t>
        </is>
      </c>
      <c r="U323" s="18" t="inlineStr">
        <is>
          <t>Unknown</t>
        </is>
      </c>
      <c r="V323" s="18" t="inlineStr"/>
      <c r="W323" s="18" t="inlineStr">
        <is>
          <t>~235 staff; acquired by Storskogen (listed) 2022</t>
        </is>
      </c>
      <c r="X323" s="18" t="inlineStr">
        <is>
          <t>Authorised Nordic distributor = strong invoices</t>
        </is>
      </c>
      <c r="Y323" s="18" t="inlineStr"/>
      <c r="Z323" s="18" t="inlineStr">
        <is>
          <t>Press release (Cision) + investor profile</t>
        </is>
      </c>
      <c r="AA323" s="19" t="inlineStr">
        <is>
          <t>Source link</t>
        </is>
      </c>
      <c r="AB323" s="19" t="inlineStr">
        <is>
          <t>Search LinkedIn</t>
        </is>
      </c>
      <c r="AC323" s="18" t="inlineStr">
        <is>
          <t>Round 4</t>
        </is>
      </c>
      <c r="AD323" s="20" t="inlineStr">
        <is>
          <t>Not contacted</t>
        </is>
      </c>
      <c r="AE323" s="21" t="n"/>
      <c r="AF323" s="20" t="n"/>
      <c r="AG323" s="20" t="n"/>
      <c r="AH323" s="20" t="n"/>
      <c r="AI323" s="21">
        <f>IF(AE323="","",WORKDAY(AE323,5))</f>
        <v/>
      </c>
      <c r="AJ323" s="20" t="n"/>
      <c r="AK323" s="20" t="n"/>
    </row>
    <row r="324">
      <c r="A324" s="15" t="inlineStr">
        <is>
          <t>Sweden</t>
        </is>
      </c>
      <c r="B324" s="16" t="n">
        <v>323</v>
      </c>
      <c r="C324" s="17" t="n">
        <v>4</v>
      </c>
      <c r="D324" s="18" t="inlineStr">
        <is>
          <t>Health &amp; Personal Care</t>
        </is>
      </c>
      <c r="E324" s="18" t="inlineStr">
        <is>
          <t>TePe Munhygienprodukter AB</t>
        </is>
      </c>
      <c r="F324" s="19" t="inlineStr">
        <is>
          <t>https://tepe.com/global/contact</t>
        </is>
      </c>
      <c r="G324" s="18" t="inlineStr">
        <is>
          <t>Malmö</t>
        </is>
      </c>
      <c r="H324" s="18" t="inlineStr"/>
      <c r="I324" s="18" t="inlineStr">
        <is>
          <t>EU / Europe</t>
        </is>
      </c>
      <c r="J324" s="18" t="inlineStr">
        <is>
          <t>Higher</t>
        </is>
      </c>
      <c r="K324" s="18" t="inlineStr">
        <is>
          <t>Bronsåldersgatan 5, 213 76 Malmö</t>
        </is>
      </c>
      <c r="L324" s="18" t="inlineStr">
        <is>
          <t>+46 40 670 11 00</t>
        </is>
      </c>
      <c r="M324" s="18" t="inlineStr">
        <is>
          <t>info@tepe.com</t>
        </is>
      </c>
      <c r="N324" s="18" t="inlineStr">
        <is>
          <t>Brand owner / manufacturer</t>
        </is>
      </c>
      <c r="O324" s="18" t="inlineStr">
        <is>
          <t>TePe interdental brushes, toothbrushes, oral care</t>
        </is>
      </c>
      <c r="P324" s="18" t="inlineStr">
        <is>
          <t>Oral care</t>
        </is>
      </c>
      <c r="Q324" s="18" t="inlineStr">
        <is>
          <t>Account based</t>
        </is>
      </c>
      <c r="R324" s="18" t="inlineStr">
        <is>
          <t>Via subsidiaries &amp; country distributors</t>
        </is>
      </c>
      <c r="S324" s="18" t="inlineStr">
        <is>
          <t>Ask which partner/subsidiary covers UK</t>
        </is>
      </c>
      <c r="T324" s="18" t="inlineStr">
        <is>
          <t>Unknown</t>
        </is>
      </c>
      <c r="U324" s="18" t="inlineStr">
        <is>
          <t>Unknown</t>
        </is>
      </c>
      <c r="V324" s="18" t="inlineStr"/>
      <c r="W324" s="18" t="inlineStr">
        <is>
          <t>Major Swedish oral-care manufacturer; global subsidiary network</t>
        </is>
      </c>
      <c r="X324" s="18" t="inlineStr">
        <is>
          <t>Interdental brushes are strong repeat sellers</t>
        </is>
      </c>
      <c r="Y324" s="18" t="inlineStr"/>
      <c r="Z324" s="18" t="inlineStr">
        <is>
          <t>Company website (via search)</t>
        </is>
      </c>
      <c r="AA324" s="19" t="inlineStr">
        <is>
          <t>Source link</t>
        </is>
      </c>
      <c r="AB324" s="19" t="inlineStr">
        <is>
          <t>Search LinkedIn</t>
        </is>
      </c>
      <c r="AC324" s="18" t="inlineStr">
        <is>
          <t>Round 4</t>
        </is>
      </c>
      <c r="AD324" s="20" t="inlineStr">
        <is>
          <t>Not contacted</t>
        </is>
      </c>
      <c r="AE324" s="21" t="n"/>
      <c r="AF324" s="20" t="n"/>
      <c r="AG324" s="20" t="n"/>
      <c r="AH324" s="20" t="n"/>
      <c r="AI324" s="21">
        <f>IF(AE324="","",WORKDAY(AE324,5))</f>
        <v/>
      </c>
      <c r="AJ324" s="20" t="n"/>
      <c r="AK324" s="20" t="n"/>
    </row>
    <row r="325">
      <c r="A325" s="15" t="inlineStr">
        <is>
          <t>Sweden</t>
        </is>
      </c>
      <c r="B325" s="16" t="n">
        <v>324</v>
      </c>
      <c r="C325" s="17" t="n">
        <v>3</v>
      </c>
      <c r="D325" s="18" t="inlineStr">
        <is>
          <t>Health &amp; Personal Care</t>
        </is>
      </c>
      <c r="E325" s="18" t="inlineStr">
        <is>
          <t>Cederroth AB (Orkla Home &amp; Personal Care)</t>
        </is>
      </c>
      <c r="F325" s="19" t="inlineStr">
        <is>
          <t>https://www.cederroth.com</t>
        </is>
      </c>
      <c r="G325" s="18" t="inlineStr">
        <is>
          <t>Upplands Väsby (Stockholm)</t>
        </is>
      </c>
      <c r="H325" s="18" t="inlineStr"/>
      <c r="I325" s="18" t="inlineStr">
        <is>
          <t>EU / Europe</t>
        </is>
      </c>
      <c r="J325" s="18" t="inlineStr">
        <is>
          <t>Higher</t>
        </is>
      </c>
      <c r="K325" s="18" t="inlineStr">
        <is>
          <t>Sweden</t>
        </is>
      </c>
      <c r="L325" s="18" t="inlineStr"/>
      <c r="M325" s="18" t="inlineStr"/>
      <c r="N325" s="18" t="inlineStr">
        <is>
          <t>Brand owner / manufacturer</t>
        </is>
      </c>
      <c r="O325" s="18" t="inlineStr">
        <is>
          <t>Salvequick plasters, LdB, Bliw, Samarin, Grumme, Multiplex, LongoVital, Allévo</t>
        </is>
      </c>
      <c r="P325" s="18" t="inlineStr">
        <is>
          <t>Personal care &amp; first aid</t>
        </is>
      </c>
      <c r="Q325" s="18" t="inlineStr">
        <is>
          <t>Account based</t>
        </is>
      </c>
      <c r="R325" s="18" t="inlineStr">
        <is>
          <t>Grocery, pharmacy &amp; distributors in other countries</t>
        </is>
      </c>
      <c r="S325" s="18" t="inlineStr">
        <is>
          <t>Represented via distributors - ask</t>
        </is>
      </c>
      <c r="T325" s="18" t="inlineStr">
        <is>
          <t>Unknown</t>
        </is>
      </c>
      <c r="U325" s="18" t="inlineStr">
        <is>
          <t>Unknown</t>
        </is>
      </c>
      <c r="V325" s="18" t="inlineStr"/>
      <c r="W325" s="18" t="inlineStr">
        <is>
          <t>Part of Orkla (Oslo-listed) since 2015</t>
        </is>
      </c>
      <c r="X325" s="18" t="inlineStr">
        <is>
          <t>Salvequick first aid sells well</t>
        </is>
      </c>
      <c r="Y325" s="18" t="inlineStr"/>
      <c r="Z325" s="18" t="inlineStr">
        <is>
          <t>Orkla press releases</t>
        </is>
      </c>
      <c r="AA325" s="19" t="inlineStr">
        <is>
          <t>Source link</t>
        </is>
      </c>
      <c r="AB325" s="19" t="inlineStr">
        <is>
          <t>Search LinkedIn</t>
        </is>
      </c>
      <c r="AC325" s="18" t="inlineStr">
        <is>
          <t>Round 4</t>
        </is>
      </c>
      <c r="AD325" s="20" t="inlineStr">
        <is>
          <t>Not contacted</t>
        </is>
      </c>
      <c r="AE325" s="21" t="n"/>
      <c r="AF325" s="20" t="n"/>
      <c r="AG325" s="20" t="n"/>
      <c r="AH325" s="20" t="n"/>
      <c r="AI325" s="21">
        <f>IF(AE325="","",WORKDAY(AE325,5))</f>
        <v/>
      </c>
      <c r="AJ325" s="20" t="n"/>
      <c r="AK325" s="20" t="n"/>
    </row>
    <row r="326">
      <c r="A326" s="15" t="inlineStr">
        <is>
          <t>Sweden</t>
        </is>
      </c>
      <c r="B326" s="16" t="n">
        <v>325</v>
      </c>
      <c r="C326" s="17" t="n">
        <v>4</v>
      </c>
      <c r="D326" s="18" t="inlineStr">
        <is>
          <t>Sports &amp; Outdoors</t>
        </is>
      </c>
      <c r="E326" s="18" t="inlineStr">
        <is>
          <t>STIGA Sports AB</t>
        </is>
      </c>
      <c r="F326" s="19" t="inlineStr">
        <is>
          <t>https://www.stigasports.com</t>
        </is>
      </c>
      <c r="G326" s="18" t="inlineStr">
        <is>
          <t>Eskilstuna</t>
        </is>
      </c>
      <c r="H326" s="18" t="inlineStr"/>
      <c r="I326" s="18" t="inlineStr">
        <is>
          <t>EU / Europe</t>
        </is>
      </c>
      <c r="J326" s="18" t="inlineStr">
        <is>
          <t>Higher</t>
        </is>
      </c>
      <c r="K326" s="18" t="inlineStr">
        <is>
          <t>Tång Lindströms väg 7-9, 633 46 Eskilstuna</t>
        </is>
      </c>
      <c r="L326" s="18" t="inlineStr"/>
      <c r="M326" s="18" t="inlineStr"/>
      <c r="N326" s="18" t="inlineStr">
        <is>
          <t>Brand owner / manufacturer</t>
        </is>
      </c>
      <c r="O326" s="18" t="inlineStr">
        <is>
          <t>STIGA table tennis, sledges, games tables</t>
        </is>
      </c>
      <c r="P326" s="18" t="inlineStr">
        <is>
          <t>Table tennis &amp; winter play</t>
        </is>
      </c>
      <c r="Q326" s="18" t="inlineStr">
        <is>
          <t>Account based</t>
        </is>
      </c>
      <c r="R326" s="18" t="inlineStr">
        <is>
          <t>Partners in 100+ countries</t>
        </is>
      </c>
      <c r="S326" s="18" t="inlineStr">
        <is>
          <t>Ask</t>
        </is>
      </c>
      <c r="T326" s="18" t="inlineStr">
        <is>
          <t>Unknown</t>
        </is>
      </c>
      <c r="U326" s="18" t="inlineStr">
        <is>
          <t>Unknown</t>
        </is>
      </c>
      <c r="V326" s="18" t="inlineStr">
        <is>
          <t>Org.nr 556448-8178</t>
        </is>
      </c>
      <c r="W326" s="18" t="inlineStr">
        <is>
          <t>Org.nr 556448-8178; Swedish royal warrant holder; 75+ years</t>
        </is>
      </c>
      <c r="X326" s="18" t="inlineStr">
        <is>
          <t>Table tennis bats/balls sell year-round; sledges in winter</t>
        </is>
      </c>
      <c r="Y326" s="18" t="inlineStr"/>
      <c r="Z326" s="18" t="inlineStr">
        <is>
          <t>Company site + press releases</t>
        </is>
      </c>
      <c r="AA326" s="19" t="inlineStr">
        <is>
          <t>Source link</t>
        </is>
      </c>
      <c r="AB326" s="19" t="inlineStr">
        <is>
          <t>Search LinkedIn</t>
        </is>
      </c>
      <c r="AC326" s="18" t="inlineStr">
        <is>
          <t>Round 4</t>
        </is>
      </c>
      <c r="AD326" s="20" t="inlineStr">
        <is>
          <t>Not contacted</t>
        </is>
      </c>
      <c r="AE326" s="21" t="n"/>
      <c r="AF326" s="20" t="n"/>
      <c r="AG326" s="20" t="n"/>
      <c r="AH326" s="20" t="n"/>
      <c r="AI326" s="21">
        <f>IF(AE326="","",WORKDAY(AE326,5))</f>
        <v/>
      </c>
      <c r="AJ326" s="20" t="n"/>
      <c r="AK326" s="20" t="n"/>
    </row>
    <row r="327">
      <c r="A327" s="15" t="inlineStr">
        <is>
          <t>Sweden</t>
        </is>
      </c>
      <c r="B327" s="16" t="n">
        <v>326</v>
      </c>
      <c r="C327" s="17" t="n">
        <v>3</v>
      </c>
      <c r="D327" s="18" t="inlineStr">
        <is>
          <t>Toys &amp; Games</t>
        </is>
      </c>
      <c r="E327" s="18" t="inlineStr">
        <is>
          <t>BRIO AB (Ravensburger group)</t>
        </is>
      </c>
      <c r="F327" s="19" t="inlineStr">
        <is>
          <t>https://www.brio.eu</t>
        </is>
      </c>
      <c r="G327" s="18" t="inlineStr">
        <is>
          <t>Malmö</t>
        </is>
      </c>
      <c r="H327" s="18" t="inlineStr"/>
      <c r="I327" s="18" t="inlineStr">
        <is>
          <t>EU / Europe</t>
        </is>
      </c>
      <c r="J327" s="18" t="inlineStr">
        <is>
          <t>Higher</t>
        </is>
      </c>
      <c r="K327" s="18" t="inlineStr">
        <is>
          <t>Malmö (HQ since 2006)</t>
        </is>
      </c>
      <c r="L327" s="18" t="inlineStr"/>
      <c r="M327" s="18" t="inlineStr"/>
      <c r="N327" s="18" t="inlineStr">
        <is>
          <t>Brand owner</t>
        </is>
      </c>
      <c r="O327" s="18" t="inlineStr">
        <is>
          <t>BRIO wooden railway, infant &amp; toddler toys</t>
        </is>
      </c>
      <c r="P327" s="18" t="inlineStr">
        <is>
          <t>Wooden toys</t>
        </is>
      </c>
      <c r="Q327" s="18" t="inlineStr">
        <is>
          <t>Account based</t>
        </is>
      </c>
      <c r="R327" s="18" t="inlineStr">
        <is>
          <t>Retailers (via Ravensburger sales in many markets)</t>
        </is>
      </c>
      <c r="S327" s="18" t="inlineStr">
        <is>
          <t>Ravensburger UK handles UK - ask</t>
        </is>
      </c>
      <c r="T327" s="18" t="inlineStr">
        <is>
          <t>Unknown</t>
        </is>
      </c>
      <c r="U327" s="18" t="inlineStr">
        <is>
          <t>No</t>
        </is>
      </c>
      <c r="V327" s="18" t="inlineStr"/>
      <c r="W327" s="18" t="inlineStr">
        <is>
          <t>Iconic Swedish brand; owned by Ravensburger since 2015</t>
        </is>
      </c>
      <c r="X327" s="18" t="inlineStr">
        <is>
          <t>Brand-direct invoices; may be brand-gated</t>
        </is>
      </c>
      <c r="Y327" s="18" t="inlineStr">
        <is>
          <t>Ask Ravensburger UK for trade account.</t>
        </is>
      </c>
      <c r="Z327" s="18" t="inlineStr">
        <is>
          <t>Wikipedia + trade blog</t>
        </is>
      </c>
      <c r="AA327" s="19" t="inlineStr">
        <is>
          <t>Source link</t>
        </is>
      </c>
      <c r="AB327" s="19" t="inlineStr">
        <is>
          <t>Search LinkedIn</t>
        </is>
      </c>
      <c r="AC327" s="18" t="inlineStr">
        <is>
          <t>Round 4</t>
        </is>
      </c>
      <c r="AD327" s="20" t="inlineStr">
        <is>
          <t>Not contacted</t>
        </is>
      </c>
      <c r="AE327" s="21" t="n"/>
      <c r="AF327" s="20" t="n"/>
      <c r="AG327" s="20" t="n"/>
      <c r="AH327" s="20" t="n"/>
      <c r="AI327" s="21">
        <f>IF(AE327="","",WORKDAY(AE327,5))</f>
        <v/>
      </c>
      <c r="AJ327" s="20" t="n"/>
      <c r="AK327" s="20" t="n"/>
    </row>
    <row r="328">
      <c r="A328" s="15" t="inlineStr">
        <is>
          <t>Sweden</t>
        </is>
      </c>
      <c r="B328" s="16" t="n">
        <v>327</v>
      </c>
      <c r="C328" s="17" t="n">
        <v>3</v>
      </c>
      <c r="D328" s="18" t="inlineStr">
        <is>
          <t>Toys &amp; Games</t>
        </is>
      </c>
      <c r="E328" s="18" t="inlineStr">
        <is>
          <t>Micki Leksaker AB</t>
        </is>
      </c>
      <c r="F328" s="19" t="inlineStr">
        <is>
          <t>https://mickiofsweden.com/en/b2b/</t>
        </is>
      </c>
      <c r="G328" s="18" t="inlineStr">
        <is>
          <t>Gemla</t>
        </is>
      </c>
      <c r="H328" s="18" t="inlineStr"/>
      <c r="I328" s="18" t="inlineStr">
        <is>
          <t>EU / Europe</t>
        </is>
      </c>
      <c r="J328" s="18" t="inlineStr">
        <is>
          <t>Higher</t>
        </is>
      </c>
      <c r="K328" s="18" t="inlineStr">
        <is>
          <t>Industrivägen 7, SE-355 73 Gemla</t>
        </is>
      </c>
      <c r="L328" s="18" t="inlineStr"/>
      <c r="M328" s="18" t="inlineStr"/>
      <c r="N328" s="18" t="inlineStr">
        <is>
          <t>Brand owner / manufacturer</t>
        </is>
      </c>
      <c r="O328" s="18" t="inlineStr">
        <is>
          <t>Micki wooden toys, Pippi Longstocking licensed toys, play kitchens</t>
        </is>
      </c>
      <c r="P328" s="18" t="inlineStr">
        <is>
          <t>Wooden toys</t>
        </is>
      </c>
      <c r="Q328" s="18" t="inlineStr">
        <is>
          <t>On request</t>
        </is>
      </c>
      <c r="R328" s="18" t="inlineStr">
        <is>
          <t>Retailers - B2B login &amp; retailer enquiry on website</t>
        </is>
      </c>
      <c r="S328" s="18" t="inlineStr">
        <is>
          <t>Has UK web shop &amp; sells across Europe - ask</t>
        </is>
      </c>
      <c r="T328" s="18" t="inlineStr">
        <is>
          <t>Unknown</t>
        </is>
      </c>
      <c r="U328" s="18" t="inlineStr">
        <is>
          <t>Unknown</t>
        </is>
      </c>
      <c r="V328" s="18" t="inlineStr"/>
      <c r="W328" s="18" t="inlineStr">
        <is>
          <t>Nordic Swan Ecolabel products; staff in DK, NO, FI, DE</t>
        </is>
      </c>
      <c r="X328" s="18" t="inlineStr"/>
      <c r="Y328" s="18" t="inlineStr"/>
      <c r="Z328" s="18" t="inlineStr">
        <is>
          <t>Business registry + company B2B page</t>
        </is>
      </c>
      <c r="AA328" s="19" t="inlineStr">
        <is>
          <t>Source link</t>
        </is>
      </c>
      <c r="AB328" s="19" t="inlineStr">
        <is>
          <t>Search LinkedIn</t>
        </is>
      </c>
      <c r="AC328" s="18" t="inlineStr">
        <is>
          <t>Round 4</t>
        </is>
      </c>
      <c r="AD328" s="20" t="inlineStr">
        <is>
          <t>Not contacted</t>
        </is>
      </c>
      <c r="AE328" s="21" t="n"/>
      <c r="AF328" s="20" t="n"/>
      <c r="AG328" s="20" t="n"/>
      <c r="AH328" s="20" t="n"/>
      <c r="AI328" s="21">
        <f>IF(AE328="","",WORKDAY(AE328,5))</f>
        <v/>
      </c>
      <c r="AJ328" s="20" t="n"/>
      <c r="AK328" s="20" t="n"/>
    </row>
    <row r="329">
      <c r="A329" s="22" t="inlineStr">
        <is>
          <t>Switzerland</t>
        </is>
      </c>
      <c r="B329" s="23" t="n">
        <v>328</v>
      </c>
      <c r="C329" s="10" t="n">
        <v>3</v>
      </c>
      <c r="D329" s="11" t="inlineStr">
        <is>
          <t>Toys &amp; Games</t>
        </is>
      </c>
      <c r="E329" s="11" t="inlineStr">
        <is>
          <t>Carletto AG (Carletto Deutschland)</t>
        </is>
      </c>
      <c r="F329" s="11" t="inlineStr">
        <is>
          <t>Not confirmed - search company name</t>
        </is>
      </c>
      <c r="G329" s="11" t="inlineStr">
        <is>
          <t>Brunnen (CH); Nuremberg office for Germany</t>
        </is>
      </c>
      <c r="H329" s="11" t="inlineStr"/>
      <c r="I329" s="11" t="inlineStr">
        <is>
          <t>EU / Europe</t>
        </is>
      </c>
      <c r="J329" s="11" t="inlineStr">
        <is>
          <t>Higher (non-EU)</t>
        </is>
      </c>
      <c r="K329" s="11" t="inlineStr">
        <is>
          <t>Brunnen, Switzerland</t>
        </is>
      </c>
      <c r="L329" s="11" t="inlineStr"/>
      <c r="M329" s="11" t="inlineStr"/>
      <c r="N329" s="11" t="inlineStr">
        <is>
          <t>Toy &amp; games distributor</t>
        </is>
      </c>
      <c r="O329" s="11" t="inlineStr">
        <is>
          <t>60+ premium toy &amp; game brands (incl. Ty plush)</t>
        </is>
      </c>
      <c r="P329" s="11" t="inlineStr">
        <is>
          <t>Toys &amp; games</t>
        </is>
      </c>
      <c r="Q329" s="11" t="inlineStr">
        <is>
          <t>On request</t>
        </is>
      </c>
      <c r="R329" s="11" t="inlineStr">
        <is>
          <t>Retailers (~4,500 clients)</t>
        </is>
      </c>
      <c r="S329" s="11" t="inlineStr">
        <is>
          <t>DACH focus - ask</t>
        </is>
      </c>
      <c r="T329" s="11" t="inlineStr">
        <is>
          <t>Unknown</t>
        </is>
      </c>
      <c r="U329" s="11" t="inlineStr">
        <is>
          <t>Unknown</t>
        </is>
      </c>
      <c r="V329" s="11" t="inlineStr"/>
      <c r="W329" s="11" t="inlineStr">
        <is>
          <t>Founded 1986; one of the leading DACH toy distributors</t>
        </is>
      </c>
      <c r="X329" s="11" t="inlineStr"/>
      <c r="Y329" s="11" t="inlineStr">
        <is>
          <t>Non-EU (Swiss) HQ; German ops via Nuremberg.</t>
        </is>
      </c>
      <c r="Z329" s="11" t="inlineStr">
        <is>
          <t>Company profile (jobs.ch)</t>
        </is>
      </c>
      <c r="AA329" s="12" t="inlineStr">
        <is>
          <t>Source link</t>
        </is>
      </c>
      <c r="AB329" s="12" t="inlineStr">
        <is>
          <t>Search LinkedIn</t>
        </is>
      </c>
      <c r="AC329" s="11" t="inlineStr">
        <is>
          <t>Round 3</t>
        </is>
      </c>
      <c r="AD329" s="13" t="inlineStr">
        <is>
          <t>Not contacted</t>
        </is>
      </c>
      <c r="AE329" s="14" t="n"/>
      <c r="AF329" s="13" t="n"/>
      <c r="AG329" s="13" t="n"/>
      <c r="AH329" s="13" t="n"/>
      <c r="AI329" s="14">
        <f>IF(AE329="","",WORKDAY(AE329,5))</f>
        <v/>
      </c>
      <c r="AJ329" s="13" t="n"/>
      <c r="AK329" s="13" t="n"/>
    </row>
    <row r="330">
      <c r="A330" s="8" t="inlineStr">
        <is>
          <t>UK</t>
        </is>
      </c>
      <c r="B330" s="9" t="n">
        <v>329</v>
      </c>
      <c r="C330" s="10" t="n">
        <v>5</v>
      </c>
      <c r="D330" s="11" t="inlineStr">
        <is>
          <t>B2B Marketplace</t>
        </is>
      </c>
      <c r="E330" s="11" t="inlineStr">
        <is>
          <t>Qogita</t>
        </is>
      </c>
      <c r="F330" s="12" t="inlineStr">
        <is>
          <t>https://www.qogita.com</t>
        </is>
      </c>
      <c r="G330" s="11" t="inlineStr">
        <is>
          <t>London (HQ)</t>
        </is>
      </c>
      <c r="H330" s="11" t="inlineStr"/>
      <c r="I330" s="11" t="inlineStr">
        <is>
          <t>UK</t>
        </is>
      </c>
      <c r="J330" s="11" t="inlineStr">
        <is>
          <t>UK (no import)</t>
        </is>
      </c>
      <c r="K330" s="11" t="inlineStr"/>
      <c r="L330" s="11" t="inlineStr"/>
      <c r="M330" s="11" t="inlineStr">
        <is>
          <t>via website</t>
        </is>
      </c>
      <c r="N330" s="11" t="inlineStr">
        <is>
          <t>B2B wholesale marketplace</t>
        </is>
      </c>
      <c r="O330" s="11" t="inlineStr">
        <is>
          <t>10k+ brands, 500k+ products from 500+ vetted suppliers - health, beauty, fragrance, household</t>
        </is>
      </c>
      <c r="P330" s="11" t="inlineStr">
        <is>
          <t>H&amp;B / fragrance / household</t>
        </is>
      </c>
      <c r="Q330" s="11" t="inlineStr">
        <is>
          <t>Low (historically from ~€1k) - check current</t>
        </is>
      </c>
      <c r="R330" s="11" t="inlineStr">
        <is>
          <t>Business registration</t>
        </is>
      </c>
      <c r="S330" s="11" t="inlineStr">
        <is>
          <t>Yes</t>
        </is>
      </c>
      <c r="T330" s="11" t="inlineStr">
        <is>
          <t>Unknown</t>
        </is>
      </c>
      <c r="U330" s="11" t="inlineStr">
        <is>
          <t>Unknown</t>
        </is>
      </c>
      <c r="V330" s="11" t="inlineStr"/>
      <c r="W330" s="11" t="inlineStr">
        <is>
          <t>Raised $86m Series B (Dawn Capital, 2023)</t>
        </is>
      </c>
      <c r="X330" s="11" t="inlineStr">
        <is>
          <t>Provides commercial invoices that can support ungating - built for Amazon sellers</t>
        </is>
      </c>
      <c r="Y330" s="11" t="inlineStr">
        <is>
          <t>Best single starting point for branded fragrance &amp; beauty.</t>
        </is>
      </c>
      <c r="Z330" s="11" t="inlineStr">
        <is>
          <t>Company website + TechCrunch</t>
        </is>
      </c>
      <c r="AA330" s="12" t="inlineStr">
        <is>
          <t>Source link</t>
        </is>
      </c>
      <c r="AB330" s="12" t="inlineStr">
        <is>
          <t>Search LinkedIn</t>
        </is>
      </c>
      <c r="AC330" s="11" t="inlineStr">
        <is>
          <t>Round 1</t>
        </is>
      </c>
      <c r="AD330" s="13" t="inlineStr">
        <is>
          <t>Not contacted</t>
        </is>
      </c>
      <c r="AE330" s="14" t="n"/>
      <c r="AF330" s="13" t="n"/>
      <c r="AG330" s="13" t="n"/>
      <c r="AH330" s="13" t="n"/>
      <c r="AI330" s="14">
        <f>IF(AE330="","",WORKDAY(AE330,5))</f>
        <v/>
      </c>
      <c r="AJ330" s="13" t="n"/>
      <c r="AK330" s="13" t="n"/>
    </row>
    <row r="331">
      <c r="A331" s="15" t="inlineStr">
        <is>
          <t>UK</t>
        </is>
      </c>
      <c r="B331" s="16" t="n">
        <v>330</v>
      </c>
      <c r="C331" s="17" t="n">
        <v>5</v>
      </c>
      <c r="D331" s="18" t="inlineStr">
        <is>
          <t>Baby Products</t>
        </is>
      </c>
      <c r="E331" s="18" t="inlineStr">
        <is>
          <t>Babybase Ltd</t>
        </is>
      </c>
      <c r="F331" s="19" t="inlineStr">
        <is>
          <t>https://www.babybase.co.uk</t>
        </is>
      </c>
      <c r="G331" s="18" t="inlineStr">
        <is>
          <t>Martley, Worcestershire</t>
        </is>
      </c>
      <c r="H331" s="18" t="inlineStr"/>
      <c r="I331" s="18" t="inlineStr">
        <is>
          <t>UK</t>
        </is>
      </c>
      <c r="J331" s="18" t="inlineStr">
        <is>
          <t>UK (no import)</t>
        </is>
      </c>
      <c r="K331" s="18" t="inlineStr">
        <is>
          <t>Martley, Worcs (Companies House reg. office)</t>
        </is>
      </c>
      <c r="L331" s="18" t="inlineStr">
        <is>
          <t>+44 1886 887758</t>
        </is>
      </c>
      <c r="M331" s="18" t="inlineStr">
        <is>
          <t>sales@babybase.co.uk</t>
        </is>
      </c>
      <c r="N331" s="18" t="inlineStr">
        <is>
          <t>Wholesaler / UK distributor</t>
        </is>
      </c>
      <c r="O331" s="18" t="inlineStr">
        <is>
          <t>Tommee Tippee, MAM, Shnuggle, Munchkin, Matchstick Monkey, My Buggy Buddy</t>
        </is>
      </c>
      <c r="P331" s="18" t="inlineStr">
        <is>
          <t>Baby accessories &amp; feeding</t>
        </is>
      </c>
      <c r="Q331" s="18" t="inlineStr">
        <is>
          <t>Low MOQs (self-described)</t>
        </is>
      </c>
      <c r="R331" s="18" t="inlineStr">
        <is>
          <t>Registered trade customers</t>
        </is>
      </c>
      <c r="S331" s="18" t="inlineStr">
        <is>
          <t>Yes</t>
        </is>
      </c>
      <c r="T331" s="18" t="inlineStr">
        <is>
          <t>Unknown</t>
        </is>
      </c>
      <c r="U331" s="18" t="inlineStr">
        <is>
          <t>Unknown</t>
        </is>
      </c>
      <c r="V331" s="18" t="inlineStr">
        <is>
          <t>CH 01475315</t>
        </is>
      </c>
      <c r="W331" s="18" t="inlineStr">
        <is>
          <t>Companies House 01475315; incorporated 1980</t>
        </is>
      </c>
      <c r="X331" s="18" t="inlineStr">
        <is>
          <t>Multi-brand, low MOQ - strong fit; ask about marketplace policy</t>
        </is>
      </c>
      <c r="Y331" s="18" t="inlineStr">
        <is>
          <t>Director: Seb Shrubb.</t>
        </is>
      </c>
      <c r="Z331" s="18" t="inlineStr">
        <is>
          <t>Companies House + trade press</t>
        </is>
      </c>
      <c r="AA331" s="19" t="inlineStr">
        <is>
          <t>Source link</t>
        </is>
      </c>
      <c r="AB331" s="19" t="inlineStr">
        <is>
          <t>Search LinkedIn</t>
        </is>
      </c>
      <c r="AC331" s="18" t="inlineStr">
        <is>
          <t>Round 2</t>
        </is>
      </c>
      <c r="AD331" s="20" t="inlineStr">
        <is>
          <t>Not contacted</t>
        </is>
      </c>
      <c r="AE331" s="21" t="n"/>
      <c r="AF331" s="20" t="n"/>
      <c r="AG331" s="20" t="n"/>
      <c r="AH331" s="20" t="n"/>
      <c r="AI331" s="21">
        <f>IF(AE331="","",WORKDAY(AE331,5))</f>
        <v/>
      </c>
      <c r="AJ331" s="20" t="n"/>
      <c r="AK331" s="20" t="n"/>
    </row>
    <row r="332">
      <c r="A332" s="15" t="inlineStr">
        <is>
          <t>UK</t>
        </is>
      </c>
      <c r="B332" s="16" t="n">
        <v>331</v>
      </c>
      <c r="C332" s="17" t="n">
        <v>3</v>
      </c>
      <c r="D332" s="18" t="inlineStr">
        <is>
          <t>Baby Products</t>
        </is>
      </c>
      <c r="E332" s="18" t="inlineStr">
        <is>
          <t>Baby Brands Direct</t>
        </is>
      </c>
      <c r="F332" s="19" t="inlineStr">
        <is>
          <t>https://www.babybrandsdirect.co.uk</t>
        </is>
      </c>
      <c r="G332" s="18" t="inlineStr">
        <is>
          <t>Greenford, Middlesex</t>
        </is>
      </c>
      <c r="H332" s="18" t="inlineStr"/>
      <c r="I332" s="18" t="inlineStr">
        <is>
          <t>UK</t>
        </is>
      </c>
      <c r="J332" s="18" t="inlineStr">
        <is>
          <t>UK (no import)</t>
        </is>
      </c>
      <c r="K332" s="18" t="inlineStr">
        <is>
          <t>Unit 32, Metropolitan Park, Taunton Road, Greenford UB6 8UQ</t>
        </is>
      </c>
      <c r="L332" s="18" t="inlineStr"/>
      <c r="M332" s="18" t="inlineStr"/>
      <c r="N332" s="18" t="inlineStr">
        <is>
          <t>Distributor (80 brands)</t>
        </is>
      </c>
      <c r="O332" s="18" t="inlineStr">
        <is>
          <t>~2,500 lines from 80+ brands incl. Fisher-Price, Kikka Boo</t>
        </is>
      </c>
      <c r="P332" s="18" t="inlineStr">
        <is>
          <t>Baby &amp; nursery</t>
        </is>
      </c>
      <c r="Q332" s="18" t="inlineStr">
        <is>
          <t>On request</t>
        </is>
      </c>
      <c r="R332" s="18" t="inlineStr">
        <is>
          <t>Independent retailers - registration</t>
        </is>
      </c>
      <c r="S332" s="18" t="inlineStr">
        <is>
          <t>Yes</t>
        </is>
      </c>
      <c r="T332" s="18" t="inlineStr">
        <is>
          <t>Restricts</t>
        </is>
      </c>
      <c r="U332" s="18" t="inlineStr">
        <is>
          <t>Yes (sister site)</t>
        </is>
      </c>
      <c r="V332" s="18" t="inlineStr"/>
      <c r="W332" s="18" t="inlineStr">
        <is>
          <t>Sole UK distributor for Kikka Boo (trade press)</t>
        </is>
      </c>
      <c r="X332" s="18" t="inlineStr">
        <is>
          <t>CAUTION: states auction-site traders not accepted. Sister site 'Baby Products Wholesaler' offers no MOV + dropshipping - ask which accepts online sellers</t>
        </is>
      </c>
      <c r="Y332" s="18" t="inlineStr"/>
      <c r="Z332" s="18" t="inlineStr">
        <is>
          <t>Directory + trade press</t>
        </is>
      </c>
      <c r="AA332" s="19" t="inlineStr">
        <is>
          <t>Source link</t>
        </is>
      </c>
      <c r="AB332" s="19" t="inlineStr">
        <is>
          <t>Search LinkedIn</t>
        </is>
      </c>
      <c r="AC332" s="18" t="inlineStr">
        <is>
          <t>Round 2</t>
        </is>
      </c>
      <c r="AD332" s="20" t="inlineStr">
        <is>
          <t>Not contacted</t>
        </is>
      </c>
      <c r="AE332" s="21" t="n"/>
      <c r="AF332" s="20" t="n"/>
      <c r="AG332" s="20" t="n"/>
      <c r="AH332" s="20" t="n"/>
      <c r="AI332" s="21">
        <f>IF(AE332="","",WORKDAY(AE332,5))</f>
        <v/>
      </c>
      <c r="AJ332" s="20" t="n"/>
      <c r="AK332" s="20" t="n"/>
    </row>
    <row r="333">
      <c r="A333" s="15" t="inlineStr">
        <is>
          <t>UK</t>
        </is>
      </c>
      <c r="B333" s="16" t="n">
        <v>332</v>
      </c>
      <c r="C333" s="17" t="n">
        <v>3</v>
      </c>
      <c r="D333" s="18" t="inlineStr">
        <is>
          <t>Baby Products</t>
        </is>
      </c>
      <c r="E333" s="18" t="inlineStr">
        <is>
          <t>Wholesale Baby Products (W.B.P)</t>
        </is>
      </c>
      <c r="F333" s="19" t="inlineStr">
        <is>
          <t>https://www.wholesalebabyproducts.co.uk</t>
        </is>
      </c>
      <c r="G333" s="18" t="inlineStr">
        <is>
          <t>Oldbury, West Midlands</t>
        </is>
      </c>
      <c r="H333" s="18" t="inlineStr"/>
      <c r="I333" s="18" t="inlineStr">
        <is>
          <t>UK</t>
        </is>
      </c>
      <c r="J333" s="18" t="inlineStr">
        <is>
          <t>UK (no import)</t>
        </is>
      </c>
      <c r="K333" s="18" t="inlineStr">
        <is>
          <t>Unit 21, Fountain Business Park, Fountain Lane, Oldbury B69 3BH</t>
        </is>
      </c>
      <c r="L333" s="18" t="inlineStr"/>
      <c r="M333" s="18" t="inlineStr"/>
      <c r="N333" s="18" t="inlineStr">
        <is>
          <t>Wholesaler / exporter</t>
        </is>
      </c>
      <c r="O333" s="18" t="inlineStr">
        <is>
          <t>Baby products 0-36 months</t>
        </is>
      </c>
      <c r="P333" s="18" t="inlineStr">
        <is>
          <t>Baby</t>
        </is>
      </c>
      <c r="Q333" s="18" t="inlineStr">
        <is>
          <t>On request</t>
        </is>
      </c>
      <c r="R333" s="18" t="inlineStr">
        <is>
          <t>Trade</t>
        </is>
      </c>
      <c r="S333" s="18" t="inlineStr">
        <is>
          <t>Yes</t>
        </is>
      </c>
      <c r="T333" s="18" t="inlineStr">
        <is>
          <t>Unknown</t>
        </is>
      </c>
      <c r="U333" s="18" t="inlineStr">
        <is>
          <t>Unknown</t>
        </is>
      </c>
      <c r="V333" s="18" t="inlineStr"/>
      <c r="W333" s="18" t="inlineStr">
        <is>
          <t>15+ years exporting</t>
        </is>
      </c>
      <c r="X333" s="18" t="inlineStr">
        <is>
          <t>Baby is gated on Amazon - get invoices</t>
        </is>
      </c>
      <c r="Y333" s="18" t="inlineStr"/>
      <c r="Z333" s="18" t="inlineStr">
        <is>
          <t>Directory</t>
        </is>
      </c>
      <c r="AA333" s="19" t="inlineStr">
        <is>
          <t>Source link</t>
        </is>
      </c>
      <c r="AB333" s="19" t="inlineStr">
        <is>
          <t>Search LinkedIn</t>
        </is>
      </c>
      <c r="AC333" s="18" t="inlineStr">
        <is>
          <t>Round 1</t>
        </is>
      </c>
      <c r="AD333" s="20" t="inlineStr">
        <is>
          <t>Not contacted</t>
        </is>
      </c>
      <c r="AE333" s="21" t="n"/>
      <c r="AF333" s="20" t="n"/>
      <c r="AG333" s="20" t="n"/>
      <c r="AH333" s="20" t="n"/>
      <c r="AI333" s="21">
        <f>IF(AE333="","",WORKDAY(AE333,5))</f>
        <v/>
      </c>
      <c r="AJ333" s="20" t="n"/>
      <c r="AK333" s="20" t="n"/>
    </row>
    <row r="334">
      <c r="A334" s="15" t="inlineStr">
        <is>
          <t>UK</t>
        </is>
      </c>
      <c r="B334" s="16" t="n">
        <v>333</v>
      </c>
      <c r="C334" s="17" t="n">
        <v>2</v>
      </c>
      <c r="D334" s="18" t="inlineStr">
        <is>
          <t>Beauty</t>
        </is>
      </c>
      <c r="E334" s="18" t="inlineStr">
        <is>
          <t>Aston &amp; Fincher</t>
        </is>
      </c>
      <c r="F334" s="19" t="inlineStr">
        <is>
          <t>https://www.astonandfincher.co.uk</t>
        </is>
      </c>
      <c r="G334" s="18" t="inlineStr">
        <is>
          <t>Nationwide stores (HQ Sheffield area)</t>
        </is>
      </c>
      <c r="H334" s="18" t="inlineStr"/>
      <c r="I334" s="18" t="inlineStr">
        <is>
          <t>UK</t>
        </is>
      </c>
      <c r="J334" s="18" t="inlineStr">
        <is>
          <t>UK (no import)</t>
        </is>
      </c>
      <c r="K334" s="18" t="inlineStr">
        <is>
          <t>See store locator on website</t>
        </is>
      </c>
      <c r="L334" s="18" t="inlineStr"/>
      <c r="M334" s="18" t="inlineStr"/>
      <c r="N334" s="18" t="inlineStr">
        <is>
          <t>Hair &amp; beauty trade wholesaler</t>
        </is>
      </c>
      <c r="O334" s="18" t="inlineStr">
        <is>
          <t>Professional hair, beauty, barbering &amp; nail brands</t>
        </is>
      </c>
      <c r="P334" s="18" t="inlineStr">
        <is>
          <t>Professional beauty</t>
        </is>
      </c>
      <c r="Q334" s="18" t="inlineStr">
        <is>
          <t>Free delivery over £60</t>
        </is>
      </c>
      <c r="R334" s="18" t="inlineStr">
        <is>
          <t>Proof of professional status (trade body, insurance or qualification)</t>
        </is>
      </c>
      <c r="S334" s="18" t="inlineStr">
        <is>
          <t>Yes</t>
        </is>
      </c>
      <c r="T334" s="18" t="inlineStr">
        <is>
          <t>Unknown</t>
        </is>
      </c>
      <c r="U334" s="18" t="inlineStr">
        <is>
          <t>Unknown</t>
        </is>
      </c>
      <c r="V334" s="18" t="inlineStr"/>
      <c r="W334" s="18" t="inlineStr">
        <is>
          <t>Trading since 1959; NHBF trade member</t>
        </is>
      </c>
      <c r="X334" s="18" t="inlineStr">
        <is>
          <t>CAUTION: many pro brands forbid online/Amazon resale - check per brand</t>
        </is>
      </c>
      <c r="Y334" s="18" t="inlineStr">
        <is>
          <t>Better for beauty consumables than gated pro brands.</t>
        </is>
      </c>
      <c r="Z334" s="18" t="inlineStr">
        <is>
          <t>Company website (via search)</t>
        </is>
      </c>
      <c r="AA334" s="19" t="inlineStr">
        <is>
          <t>Source link</t>
        </is>
      </c>
      <c r="AB334" s="19" t="inlineStr">
        <is>
          <t>Search LinkedIn</t>
        </is>
      </c>
      <c r="AC334" s="18" t="inlineStr">
        <is>
          <t>Round 1</t>
        </is>
      </c>
      <c r="AD334" s="20" t="inlineStr">
        <is>
          <t>Not contacted</t>
        </is>
      </c>
      <c r="AE334" s="21" t="n"/>
      <c r="AF334" s="20" t="n"/>
      <c r="AG334" s="20" t="n"/>
      <c r="AH334" s="20" t="n"/>
      <c r="AI334" s="21">
        <f>IF(AE334="","",WORKDAY(AE334,5))</f>
        <v/>
      </c>
      <c r="AJ334" s="20" t="n"/>
      <c r="AK334" s="20" t="n"/>
    </row>
    <row r="335">
      <c r="A335" s="15" t="inlineStr">
        <is>
          <t>UK</t>
        </is>
      </c>
      <c r="B335" s="16" t="n">
        <v>334</v>
      </c>
      <c r="C335" s="17" t="n">
        <v>2</v>
      </c>
      <c r="D335" s="18" t="inlineStr">
        <is>
          <t>Beauty</t>
        </is>
      </c>
      <c r="E335" s="18" t="inlineStr">
        <is>
          <t>Capital Hair &amp; Beauty</t>
        </is>
      </c>
      <c r="F335" s="19" t="inlineStr">
        <is>
          <t>https://www.capitalhairandbeauty.co.uk</t>
        </is>
      </c>
      <c r="G335" s="18" t="inlineStr">
        <is>
          <t>Brighton (HQ) + stores</t>
        </is>
      </c>
      <c r="H335" s="18" t="inlineStr"/>
      <c r="I335" s="18" t="inlineStr">
        <is>
          <t>UK</t>
        </is>
      </c>
      <c r="J335" s="18" t="inlineStr">
        <is>
          <t>UK (no import)</t>
        </is>
      </c>
      <c r="K335" s="18" t="inlineStr">
        <is>
          <t>Crowhurst Corner, Crowhurst Road, Brighton, BN1 8AP</t>
        </is>
      </c>
      <c r="L335" s="18" t="inlineStr">
        <is>
          <t>+44 330 094 0450 (verify)</t>
        </is>
      </c>
      <c r="M335" s="18" t="inlineStr"/>
      <c r="N335" s="18" t="inlineStr">
        <is>
          <t>Hair &amp; beauty trade wholesaler</t>
        </is>
      </c>
      <c r="O335" s="18" t="inlineStr">
        <is>
          <t>Professional hair &amp; beauty</t>
        </is>
      </c>
      <c r="P335" s="18" t="inlineStr">
        <is>
          <t>Professional beauty</t>
        </is>
      </c>
      <c r="Q335" s="18" t="inlineStr">
        <is>
          <t>On request</t>
        </is>
      </c>
      <c r="R335" s="18" t="inlineStr">
        <is>
          <t>Trade account</t>
        </is>
      </c>
      <c r="S335" s="18" t="inlineStr">
        <is>
          <t>Yes</t>
        </is>
      </c>
      <c r="T335" s="18" t="inlineStr">
        <is>
          <t>Unknown</t>
        </is>
      </c>
      <c r="U335" s="18" t="inlineStr">
        <is>
          <t>Unknown</t>
        </is>
      </c>
      <c r="V335" s="18" t="inlineStr"/>
      <c r="W335" s="18" t="inlineStr">
        <is>
          <t>Companies House 00530201 (SIC 46900)</t>
        </is>
      </c>
      <c r="X335" s="18" t="inlineStr">
        <is>
          <t>Same caution as other pro-beauty suppliers</t>
        </is>
      </c>
      <c r="Y335" s="18" t="inlineStr"/>
      <c r="Z335" s="18" t="inlineStr">
        <is>
          <t>Companies House + data aggregator</t>
        </is>
      </c>
      <c r="AA335" s="19" t="inlineStr">
        <is>
          <t>Source link</t>
        </is>
      </c>
      <c r="AB335" s="19" t="inlineStr">
        <is>
          <t>Search LinkedIn</t>
        </is>
      </c>
      <c r="AC335" s="18" t="inlineStr">
        <is>
          <t>Round 1</t>
        </is>
      </c>
      <c r="AD335" s="20" t="inlineStr">
        <is>
          <t>Not contacted</t>
        </is>
      </c>
      <c r="AE335" s="21" t="n"/>
      <c r="AF335" s="20" t="n"/>
      <c r="AG335" s="20" t="n"/>
      <c r="AH335" s="20" t="n"/>
      <c r="AI335" s="21">
        <f>IF(AE335="","",WORKDAY(AE335,5))</f>
        <v/>
      </c>
      <c r="AJ335" s="20" t="n"/>
      <c r="AK335" s="20" t="n"/>
    </row>
    <row r="336">
      <c r="A336" s="15" t="inlineStr">
        <is>
          <t>UK</t>
        </is>
      </c>
      <c r="B336" s="16" t="n">
        <v>335</v>
      </c>
      <c r="C336" s="17" t="n">
        <v>2</v>
      </c>
      <c r="D336" s="18" t="inlineStr">
        <is>
          <t>Beauty</t>
        </is>
      </c>
      <c r="E336" s="18" t="inlineStr">
        <is>
          <t>Cherry Cosmetics</t>
        </is>
      </c>
      <c r="F336" s="19" t="inlineStr">
        <is>
          <t>https://www.cherrycosmetics.co.uk</t>
        </is>
      </c>
      <c r="G336" s="18" t="inlineStr">
        <is>
          <t>Leicester</t>
        </is>
      </c>
      <c r="H336" s="18" t="inlineStr"/>
      <c r="I336" s="18" t="inlineStr">
        <is>
          <t>UK</t>
        </is>
      </c>
      <c r="J336" s="18" t="inlineStr">
        <is>
          <t>UK (no import)</t>
        </is>
      </c>
      <c r="K336" s="18" t="inlineStr">
        <is>
          <t>Unit B15 Troon Way Business Centre, Leicester</t>
        </is>
      </c>
      <c r="L336" s="18" t="inlineStr"/>
      <c r="M336" s="18" t="inlineStr"/>
      <c r="N336" s="18" t="inlineStr">
        <is>
          <t>Wholesaler</t>
        </is>
      </c>
      <c r="O336" s="18" t="inlineStr">
        <is>
          <t>Makeup and beauty</t>
        </is>
      </c>
      <c r="P336" s="18" t="inlineStr">
        <is>
          <t>Mass cosmetics</t>
        </is>
      </c>
      <c r="Q336" s="18" t="inlineStr">
        <is>
          <t>On request</t>
        </is>
      </c>
      <c r="R336" s="18" t="inlineStr">
        <is>
          <t>Trade</t>
        </is>
      </c>
      <c r="S336" s="18" t="inlineStr">
        <is>
          <t>Yes</t>
        </is>
      </c>
      <c r="T336" s="18" t="inlineStr">
        <is>
          <t>Unknown</t>
        </is>
      </c>
      <c r="U336" s="18" t="inlineStr">
        <is>
          <t>Unknown</t>
        </is>
      </c>
      <c r="V336" s="18" t="inlineStr"/>
      <c r="W336" s="18" t="inlineStr">
        <is>
          <t>Small firm (2-10 staff)</t>
        </is>
      </c>
      <c r="X336" s="18" t="inlineStr"/>
      <c r="Y336" s="18" t="inlineStr"/>
      <c r="Z336" s="18" t="inlineStr">
        <is>
          <t>Directory only</t>
        </is>
      </c>
      <c r="AA336" s="19" t="inlineStr">
        <is>
          <t>Source link</t>
        </is>
      </c>
      <c r="AB336" s="19" t="inlineStr">
        <is>
          <t>Search LinkedIn</t>
        </is>
      </c>
      <c r="AC336" s="18" t="inlineStr">
        <is>
          <t>Round 1</t>
        </is>
      </c>
      <c r="AD336" s="20" t="inlineStr">
        <is>
          <t>Not contacted</t>
        </is>
      </c>
      <c r="AE336" s="21" t="n"/>
      <c r="AF336" s="20" t="n"/>
      <c r="AG336" s="20" t="n"/>
      <c r="AH336" s="20" t="n"/>
      <c r="AI336" s="21">
        <f>IF(AE336="","",WORKDAY(AE336,5))</f>
        <v/>
      </c>
      <c r="AJ336" s="20" t="n"/>
      <c r="AK336" s="20" t="n"/>
    </row>
    <row r="337">
      <c r="A337" s="15" t="inlineStr">
        <is>
          <t>UK</t>
        </is>
      </c>
      <c r="B337" s="16" t="n">
        <v>336</v>
      </c>
      <c r="C337" s="17" t="n">
        <v>2</v>
      </c>
      <c r="D337" s="18" t="inlineStr">
        <is>
          <t>Beauty</t>
        </is>
      </c>
      <c r="E337" s="18" t="inlineStr">
        <is>
          <t>Exquisite Cosmetics Ltd</t>
        </is>
      </c>
      <c r="F337" s="19" t="inlineStr">
        <is>
          <t>https://www.exquisitecosmetics.co.uk</t>
        </is>
      </c>
      <c r="G337" s="18" t="inlineStr">
        <is>
          <t>Leicester</t>
        </is>
      </c>
      <c r="H337" s="18" t="inlineStr"/>
      <c r="I337" s="18" t="inlineStr">
        <is>
          <t>UK</t>
        </is>
      </c>
      <c r="J337" s="18" t="inlineStr">
        <is>
          <t>UK (no import)</t>
        </is>
      </c>
      <c r="K337" s="18" t="inlineStr">
        <is>
          <t>68A Station Road, Leicester</t>
        </is>
      </c>
      <c r="L337" s="18" t="inlineStr"/>
      <c r="M337" s="18" t="inlineStr"/>
      <c r="N337" s="18" t="inlineStr">
        <is>
          <t>Wholesaler</t>
        </is>
      </c>
      <c r="O337" s="18" t="inlineStr">
        <is>
          <t>Makeup and skincare</t>
        </is>
      </c>
      <c r="P337" s="18" t="inlineStr">
        <is>
          <t>Mass cosmetics</t>
        </is>
      </c>
      <c r="Q337" s="18" t="inlineStr">
        <is>
          <t>On request</t>
        </is>
      </c>
      <c r="R337" s="18" t="inlineStr">
        <is>
          <t>Trade</t>
        </is>
      </c>
      <c r="S337" s="18" t="inlineStr">
        <is>
          <t>Yes</t>
        </is>
      </c>
      <c r="T337" s="18" t="inlineStr">
        <is>
          <t>Unknown</t>
        </is>
      </c>
      <c r="U337" s="18" t="inlineStr">
        <is>
          <t>Unknown</t>
        </is>
      </c>
      <c r="V337" s="18" t="inlineStr"/>
      <c r="W337" s="18" t="inlineStr">
        <is>
          <t>Companies House 01315797 (est. 1977)</t>
        </is>
      </c>
      <c r="X337" s="18" t="inlineStr"/>
      <c r="Y337" s="18" t="inlineStr"/>
      <c r="Z337" s="18" t="inlineStr">
        <is>
          <t>Companies House + directory</t>
        </is>
      </c>
      <c r="AA337" s="19" t="inlineStr">
        <is>
          <t>Source link</t>
        </is>
      </c>
      <c r="AB337" s="19" t="inlineStr">
        <is>
          <t>Search LinkedIn</t>
        </is>
      </c>
      <c r="AC337" s="18" t="inlineStr">
        <is>
          <t>Round 1</t>
        </is>
      </c>
      <c r="AD337" s="20" t="inlineStr">
        <is>
          <t>Not contacted</t>
        </is>
      </c>
      <c r="AE337" s="21" t="n"/>
      <c r="AF337" s="20" t="n"/>
      <c r="AG337" s="20" t="n"/>
      <c r="AH337" s="20" t="n"/>
      <c r="AI337" s="21">
        <f>IF(AE337="","",WORKDAY(AE337,5))</f>
        <v/>
      </c>
      <c r="AJ337" s="20" t="n"/>
      <c r="AK337" s="20" t="n"/>
    </row>
    <row r="338">
      <c r="A338" s="15" t="inlineStr">
        <is>
          <t>UK</t>
        </is>
      </c>
      <c r="B338" s="16" t="n">
        <v>337</v>
      </c>
      <c r="C338" s="17" t="n">
        <v>2</v>
      </c>
      <c r="D338" s="18" t="inlineStr">
        <is>
          <t>Beauty</t>
        </is>
      </c>
      <c r="E338" s="18" t="inlineStr">
        <is>
          <t>LookinStyle</t>
        </is>
      </c>
      <c r="F338" s="19" t="inlineStr">
        <is>
          <t>https://www.lookinstyle.co.uk</t>
        </is>
      </c>
      <c r="G338" s="18" t="inlineStr">
        <is>
          <t>Leicester</t>
        </is>
      </c>
      <c r="H338" s="18" t="inlineStr"/>
      <c r="I338" s="18" t="inlineStr">
        <is>
          <t>UK</t>
        </is>
      </c>
      <c r="J338" s="18" t="inlineStr">
        <is>
          <t>UK (no import)</t>
        </is>
      </c>
      <c r="K338" s="18" t="inlineStr">
        <is>
          <t>Troon Way Business Centre, Humberstone Lane, Leicester</t>
        </is>
      </c>
      <c r="L338" s="18" t="inlineStr"/>
      <c r="M338" s="18" t="inlineStr"/>
      <c r="N338" s="18" t="inlineStr">
        <is>
          <t>Trade supplier</t>
        </is>
      </c>
      <c r="O338" s="18" t="inlineStr">
        <is>
          <t>Branded cosmetics, skincare, fragrance, shaving</t>
        </is>
      </c>
      <c r="P338" s="18" t="inlineStr">
        <is>
          <t>Mass beauty / fragrance</t>
        </is>
      </c>
      <c r="Q338" s="18" t="inlineStr">
        <is>
          <t>On request</t>
        </is>
      </c>
      <c r="R338" s="18" t="inlineStr">
        <is>
          <t>Trade customers</t>
        </is>
      </c>
      <c r="S338" s="18" t="inlineStr">
        <is>
          <t>Yes</t>
        </is>
      </c>
      <c r="T338" s="18" t="inlineStr">
        <is>
          <t>Unknown</t>
        </is>
      </c>
      <c r="U338" s="18" t="inlineStr">
        <is>
          <t>Unknown</t>
        </is>
      </c>
      <c r="V338" s="18" t="inlineStr"/>
      <c r="W338" s="18" t="inlineStr">
        <is>
          <t>Directory listing</t>
        </is>
      </c>
      <c r="X338" s="18" t="inlineStr"/>
      <c r="Y338" s="18" t="inlineStr"/>
      <c r="Z338" s="18" t="inlineStr">
        <is>
          <t>Directory only - confirm on website</t>
        </is>
      </c>
      <c r="AA338" s="19" t="inlineStr">
        <is>
          <t>Source link</t>
        </is>
      </c>
      <c r="AB338" s="19" t="inlineStr">
        <is>
          <t>Search LinkedIn</t>
        </is>
      </c>
      <c r="AC338" s="18" t="inlineStr">
        <is>
          <t>Round 1</t>
        </is>
      </c>
      <c r="AD338" s="20" t="inlineStr">
        <is>
          <t>Not contacted</t>
        </is>
      </c>
      <c r="AE338" s="21" t="n"/>
      <c r="AF338" s="20" t="n"/>
      <c r="AG338" s="20" t="n"/>
      <c r="AH338" s="20" t="n"/>
      <c r="AI338" s="21">
        <f>IF(AE338="","",WORKDAY(AE338,5))</f>
        <v/>
      </c>
      <c r="AJ338" s="20" t="n"/>
      <c r="AK338" s="20" t="n"/>
    </row>
    <row r="339">
      <c r="A339" s="15" t="inlineStr">
        <is>
          <t>UK</t>
        </is>
      </c>
      <c r="B339" s="16" t="n">
        <v>338</v>
      </c>
      <c r="C339" s="17" t="n">
        <v>2</v>
      </c>
      <c r="D339" s="18" t="inlineStr">
        <is>
          <t>Beauty</t>
        </is>
      </c>
      <c r="E339" s="18" t="inlineStr">
        <is>
          <t>Ludonex Ltd</t>
        </is>
      </c>
      <c r="F339" s="19" t="inlineStr">
        <is>
          <t>https://www.beautetrade.com/suppliers/ludonex-ltd-108314/</t>
        </is>
      </c>
      <c r="G339" s="18" t="inlineStr">
        <is>
          <t>Leicester</t>
        </is>
      </c>
      <c r="H339" s="18" t="inlineStr"/>
      <c r="I339" s="18" t="inlineStr">
        <is>
          <t>UK</t>
        </is>
      </c>
      <c r="J339" s="18" t="inlineStr">
        <is>
          <t>UK (no import)</t>
        </is>
      </c>
      <c r="K339" s="18" t="inlineStr">
        <is>
          <t>Leicester</t>
        </is>
      </c>
      <c r="L339" s="18" t="inlineStr"/>
      <c r="M339" s="18" t="inlineStr"/>
      <c r="N339" s="18" t="inlineStr">
        <is>
          <t>Supplier / exporter</t>
        </is>
      </c>
      <c r="O339" s="18" t="inlineStr">
        <is>
          <t>Cosmetics, perfumes, skincare, oral care</t>
        </is>
      </c>
      <c r="P339" s="18" t="inlineStr">
        <is>
          <t>Mixed beauty</t>
        </is>
      </c>
      <c r="Q339" s="18" t="inlineStr">
        <is>
          <t>On request</t>
        </is>
      </c>
      <c r="R339" s="18" t="inlineStr"/>
      <c r="S339" s="18" t="inlineStr">
        <is>
          <t>Yes</t>
        </is>
      </c>
      <c r="T339" s="18" t="inlineStr">
        <is>
          <t>Unknown</t>
        </is>
      </c>
      <c r="U339" s="18" t="inlineStr">
        <is>
          <t>Unknown</t>
        </is>
      </c>
      <c r="V339" s="18" t="inlineStr"/>
      <c r="W339" s="18" t="inlineStr">
        <is>
          <t>Self-described: 100+ business customers internationally</t>
        </is>
      </c>
      <c r="X339" s="18" t="inlineStr">
        <is>
          <t>Supplies online retailers</t>
        </is>
      </c>
      <c r="Y339" s="18" t="inlineStr">
        <is>
          <t>Check Companies House.</t>
        </is>
      </c>
      <c r="Z339" s="18" t="inlineStr">
        <is>
          <t>Marketplace profile only</t>
        </is>
      </c>
      <c r="AA339" s="19" t="inlineStr">
        <is>
          <t>Source link</t>
        </is>
      </c>
      <c r="AB339" s="19" t="inlineStr">
        <is>
          <t>Search LinkedIn</t>
        </is>
      </c>
      <c r="AC339" s="18" t="inlineStr">
        <is>
          <t>Round 1</t>
        </is>
      </c>
      <c r="AD339" s="20" t="inlineStr">
        <is>
          <t>Not contacted</t>
        </is>
      </c>
      <c r="AE339" s="21" t="n"/>
      <c r="AF339" s="20" t="n"/>
      <c r="AG339" s="20" t="n"/>
      <c r="AH339" s="20" t="n"/>
      <c r="AI339" s="21">
        <f>IF(AE339="","",WORKDAY(AE339,5))</f>
        <v/>
      </c>
      <c r="AJ339" s="20" t="n"/>
      <c r="AK339" s="20" t="n"/>
    </row>
    <row r="340">
      <c r="A340" s="15" t="inlineStr">
        <is>
          <t>UK</t>
        </is>
      </c>
      <c r="B340" s="16" t="n">
        <v>339</v>
      </c>
      <c r="C340" s="17" t="n">
        <v>1</v>
      </c>
      <c r="D340" s="18" t="inlineStr">
        <is>
          <t>Beauty</t>
        </is>
      </c>
      <c r="E340" s="18" t="inlineStr">
        <is>
          <t>Shure Cosmetics (Shure Enterprises UK Ltd)</t>
        </is>
      </c>
      <c r="F340" s="19" t="inlineStr">
        <is>
          <t>https://www.shure-cosmetics.co.uk</t>
        </is>
      </c>
      <c r="G340" s="18" t="inlineStr">
        <is>
          <t>Woolwich, London</t>
        </is>
      </c>
      <c r="H340" s="18" t="inlineStr"/>
      <c r="I340" s="18" t="inlineStr">
        <is>
          <t>UK</t>
        </is>
      </c>
      <c r="J340" s="18" t="inlineStr">
        <is>
          <t>UK (no import)</t>
        </is>
      </c>
      <c r="K340" s="18" t="inlineStr">
        <is>
          <t>Unit 6, Skeffington Street, Royal Arsenal, Woolwich, London SE18 6SR</t>
        </is>
      </c>
      <c r="L340" s="18" t="inlineStr"/>
      <c r="M340" s="18" t="inlineStr"/>
      <c r="N340" s="18" t="inlineStr">
        <is>
          <t>Wholesaler</t>
        </is>
      </c>
      <c r="O340" s="18" t="inlineStr">
        <is>
          <t>L'Oréal, Max Factor, Rimmel, Bourjois, W7, Technic</t>
        </is>
      </c>
      <c r="P340" s="18" t="inlineStr">
        <is>
          <t>Mass cosmetics</t>
        </is>
      </c>
      <c r="Q340" s="18" t="inlineStr">
        <is>
          <t>On request</t>
        </is>
      </c>
      <c r="R340" s="18" t="inlineStr">
        <is>
          <t>Trade</t>
        </is>
      </c>
      <c r="S340" s="18" t="inlineStr">
        <is>
          <t>Yes - ships UK in 2-3 days</t>
        </is>
      </c>
      <c r="T340" s="18" t="inlineStr">
        <is>
          <t>Unknown</t>
        </is>
      </c>
      <c r="U340" s="18" t="inlineStr">
        <is>
          <t>Unknown</t>
        </is>
      </c>
      <c r="V340" s="18" t="inlineStr"/>
      <c r="W340" s="18" t="inlineStr">
        <is>
          <t>Companies House 05388664 (SIC 46450)</t>
        </is>
      </c>
      <c r="X340" s="18" t="inlineStr"/>
      <c r="Y340" s="18" t="inlineStr">
        <is>
          <t>RED FLAG: Royal Greenwich Council fined Shure Enterprises (UK) Ltd ~£23k in 2025 for selling unapproved perfume. Do extra due diligence.</t>
        </is>
      </c>
      <c r="Z340" s="18" t="inlineStr">
        <is>
          <t>Directory + council press release</t>
        </is>
      </c>
      <c r="AA340" s="19" t="inlineStr">
        <is>
          <t>Source link</t>
        </is>
      </c>
      <c r="AB340" s="19" t="inlineStr">
        <is>
          <t>Search LinkedIn</t>
        </is>
      </c>
      <c r="AC340" s="18" t="inlineStr">
        <is>
          <t>Round 1</t>
        </is>
      </c>
      <c r="AD340" s="20" t="inlineStr">
        <is>
          <t>Not contacted</t>
        </is>
      </c>
      <c r="AE340" s="21" t="n"/>
      <c r="AF340" s="20" t="n"/>
      <c r="AG340" s="20" t="n"/>
      <c r="AH340" s="20" t="n"/>
      <c r="AI340" s="21">
        <f>IF(AE340="","",WORKDAY(AE340,5))</f>
        <v/>
      </c>
      <c r="AJ340" s="20" t="n"/>
      <c r="AK340" s="20" t="n"/>
    </row>
    <row r="341">
      <c r="A341" s="15" t="inlineStr">
        <is>
          <t>UK</t>
        </is>
      </c>
      <c r="B341" s="16" t="n">
        <v>340</v>
      </c>
      <c r="C341" s="17" t="n">
        <v>5</v>
      </c>
      <c r="D341" s="18" t="inlineStr">
        <is>
          <t>DIY &amp; Tools</t>
        </is>
      </c>
      <c r="E341" s="18" t="inlineStr">
        <is>
          <t>Toolbank Ltd</t>
        </is>
      </c>
      <c r="F341" s="19" t="inlineStr">
        <is>
          <t>https://www.toolbank.com</t>
        </is>
      </c>
      <c r="G341" s="18" t="inlineStr">
        <is>
          <t>Dartford, Kent</t>
        </is>
      </c>
      <c r="H341" s="18" t="inlineStr"/>
      <c r="I341" s="18" t="inlineStr">
        <is>
          <t>UK</t>
        </is>
      </c>
      <c r="J341" s="18" t="inlineStr">
        <is>
          <t>UK (no import)</t>
        </is>
      </c>
      <c r="K341" s="18" t="inlineStr">
        <is>
          <t>Long Reach, Galleon Boulevard, Crossways Business Park, Dartford DA2 6QE</t>
        </is>
      </c>
      <c r="L341" s="18" t="inlineStr">
        <is>
          <t>+44 344 463 6001</t>
        </is>
      </c>
      <c r="M341" s="18" t="inlineStr"/>
      <c r="N341" s="18" t="inlineStr">
        <is>
          <t>Trade-only wholesale distributor</t>
        </is>
      </c>
      <c r="O341" s="18" t="inlineStr">
        <is>
          <t>DeWalt, Milwaukee, HiKoki, Metabo, Black+Decker, Olympia + hand tools, fixings, consumables</t>
        </is>
      </c>
      <c r="P341" s="18" t="inlineStr">
        <is>
          <t>Hand &amp; power tools</t>
        </is>
      </c>
      <c r="Q341" s="18" t="inlineStr">
        <is>
          <t>On request (£50 carriage-paid quoted under a member scheme)</t>
        </is>
      </c>
      <c r="R341" s="18" t="inlineStr">
        <is>
          <t>Resellers only - never supplies end users</t>
        </is>
      </c>
      <c r="S341" s="18" t="inlineStr">
        <is>
          <t>Yes (GB &amp; Ireland)</t>
        </is>
      </c>
      <c r="T341" s="18" t="inlineStr">
        <is>
          <t>Unknown</t>
        </is>
      </c>
      <c r="U341" s="18" t="inlineStr">
        <is>
          <t>Unknown</t>
        </is>
      </c>
      <c r="V341" s="18" t="inlineStr">
        <is>
          <t>CH 00529964</t>
        </is>
      </c>
      <c r="W341" s="18" t="inlineStr">
        <is>
          <t>UK's largest hand &amp; power tool distributor; Companies House 00529964; 100+ sales reps; 24h delivery</t>
        </is>
      </c>
      <c r="X341" s="18" t="inlineStr">
        <is>
          <t>Ask about online/marketplace reseller policy - branded power tools need care on price (MAP)</t>
        </is>
      </c>
      <c r="Y341" s="18" t="inlineStr">
        <is>
          <t>Top DIY pick.</t>
        </is>
      </c>
      <c r="Z341" s="18" t="inlineStr">
        <is>
          <t>Companies House + directories</t>
        </is>
      </c>
      <c r="AA341" s="19" t="inlineStr">
        <is>
          <t>Source link</t>
        </is>
      </c>
      <c r="AB341" s="19" t="inlineStr">
        <is>
          <t>Search LinkedIn</t>
        </is>
      </c>
      <c r="AC341" s="18" t="inlineStr">
        <is>
          <t>Round 2</t>
        </is>
      </c>
      <c r="AD341" s="20" t="inlineStr">
        <is>
          <t>Not contacted</t>
        </is>
      </c>
      <c r="AE341" s="21" t="n"/>
      <c r="AF341" s="20" t="n"/>
      <c r="AG341" s="20" t="n"/>
      <c r="AH341" s="20" t="n"/>
      <c r="AI341" s="21">
        <f>IF(AE341="","",WORKDAY(AE341,5))</f>
        <v/>
      </c>
      <c r="AJ341" s="20" t="n"/>
      <c r="AK341" s="20" t="n"/>
    </row>
    <row r="342">
      <c r="A342" s="15" t="inlineStr">
        <is>
          <t>UK</t>
        </is>
      </c>
      <c r="B342" s="16" t="n">
        <v>341</v>
      </c>
      <c r="C342" s="17" t="n">
        <v>4</v>
      </c>
      <c r="D342" s="18" t="inlineStr">
        <is>
          <t>DIY &amp; Tools</t>
        </is>
      </c>
      <c r="E342" s="18" t="inlineStr">
        <is>
          <t>Draper Tools</t>
        </is>
      </c>
      <c r="F342" s="19" t="inlineStr">
        <is>
          <t>https://www.drapertools.com</t>
        </is>
      </c>
      <c r="G342" s="18" t="inlineStr">
        <is>
          <t>Chandler's Ford, Hampshire</t>
        </is>
      </c>
      <c r="H342" s="18" t="inlineStr"/>
      <c r="I342" s="18" t="inlineStr">
        <is>
          <t>UK</t>
        </is>
      </c>
      <c r="J342" s="18" t="inlineStr">
        <is>
          <t>UK (no import)</t>
        </is>
      </c>
      <c r="K342" s="18" t="inlineStr">
        <is>
          <t>Hursley Road, Chandler's Ford SO53 1YF</t>
        </is>
      </c>
      <c r="L342" s="18" t="inlineStr">
        <is>
          <t>+44 23 8049 4333 (orders)</t>
        </is>
      </c>
      <c r="M342" s="18" t="inlineStr">
        <is>
          <t>orders@drapertools.com</t>
        </is>
      </c>
      <c r="N342" s="18" t="inlineStr">
        <is>
          <t>Brand owner / distributor (stockist programme)</t>
        </is>
      </c>
      <c r="O342" s="18" t="inlineStr">
        <is>
          <t>Draper, Draper Expert, Draper Tools + 1000s of tool &amp; garage lines</t>
        </is>
      </c>
      <c r="P342" s="18" t="inlineStr">
        <is>
          <t>Hand &amp; power tools, garage, garden</t>
        </is>
      </c>
      <c r="Q342" s="18" t="inlineStr">
        <is>
          <t>On request</t>
        </is>
      </c>
      <c r="R342" s="18" t="inlineStr">
        <is>
          <t>Stockist application; area sales manager approves</t>
        </is>
      </c>
      <c r="S342" s="18" t="inlineStr">
        <is>
          <t>Yes</t>
        </is>
      </c>
      <c r="T342" s="18" t="inlineStr">
        <is>
          <t>Unknown</t>
        </is>
      </c>
      <c r="U342" s="18" t="inlineStr">
        <is>
          <t>Unknown</t>
        </is>
      </c>
      <c r="V342" s="18" t="inlineStr"/>
      <c r="W342" s="18" t="inlineStr">
        <is>
          <t>Long-established UK tool brand; 1,500+ Trustpilot reviews; B2B stockist hub</t>
        </is>
      </c>
      <c r="X342" s="18" t="inlineStr">
        <is>
          <t>Brand-direct invoices; check stockist terms on online pricing</t>
        </is>
      </c>
      <c r="Y342" s="18" t="inlineStr">
        <is>
          <t>Apply at drapertools.com/register-as-a-stockist.</t>
        </is>
      </c>
      <c r="Z342" s="18" t="inlineStr">
        <is>
          <t>Company website (via search)</t>
        </is>
      </c>
      <c r="AA342" s="19" t="inlineStr">
        <is>
          <t>Source link</t>
        </is>
      </c>
      <c r="AB342" s="19" t="inlineStr">
        <is>
          <t>Search LinkedIn</t>
        </is>
      </c>
      <c r="AC342" s="18" t="inlineStr">
        <is>
          <t>Round 2</t>
        </is>
      </c>
      <c r="AD342" s="20" t="inlineStr">
        <is>
          <t>Not contacted</t>
        </is>
      </c>
      <c r="AE342" s="21" t="n"/>
      <c r="AF342" s="20" t="n"/>
      <c r="AG342" s="20" t="n"/>
      <c r="AH342" s="20" t="n"/>
      <c r="AI342" s="21">
        <f>IF(AE342="","",WORKDAY(AE342,5))</f>
        <v/>
      </c>
      <c r="AJ342" s="20" t="n"/>
      <c r="AK342" s="20" t="n"/>
    </row>
    <row r="343">
      <c r="A343" s="15" t="inlineStr">
        <is>
          <t>UK</t>
        </is>
      </c>
      <c r="B343" s="16" t="n">
        <v>342</v>
      </c>
      <c r="C343" s="17" t="n">
        <v>3</v>
      </c>
      <c r="D343" s="18" t="inlineStr">
        <is>
          <t>DIY &amp; Tools</t>
        </is>
      </c>
      <c r="E343" s="18" t="inlineStr">
        <is>
          <t>Campbell Miller Tools</t>
        </is>
      </c>
      <c r="F343" s="19" t="inlineStr">
        <is>
          <t>https://bosch-pt.com/uk_bssdealer/uk/en/start/bss_acct/dealers_list/campbell_miller.htm</t>
        </is>
      </c>
      <c r="G343" s="18" t="inlineStr">
        <is>
          <t>Glasgow</t>
        </is>
      </c>
      <c r="H343" s="18" t="inlineStr"/>
      <c r="I343" s="18" t="inlineStr">
        <is>
          <t>UK</t>
        </is>
      </c>
      <c r="J343" s="18" t="inlineStr">
        <is>
          <t>UK (no import)</t>
        </is>
      </c>
      <c r="K343" s="18" t="inlineStr">
        <is>
          <t>Glasgow</t>
        </is>
      </c>
      <c r="L343" s="18" t="inlineStr"/>
      <c r="M343" s="18" t="inlineStr"/>
      <c r="N343" s="18" t="inlineStr">
        <is>
          <t>Bosch distributor</t>
        </is>
      </c>
      <c r="O343" s="18" t="inlineStr">
        <is>
          <t>Bosch (UK's largest Bosch distributor) + trade tools</t>
        </is>
      </c>
      <c r="P343" s="18" t="inlineStr">
        <is>
          <t>Power tools</t>
        </is>
      </c>
      <c r="Q343" s="18" t="inlineStr">
        <is>
          <t>On request</t>
        </is>
      </c>
      <c r="R343" s="18" t="inlineStr">
        <is>
          <t>Trade</t>
        </is>
      </c>
      <c r="S343" s="18" t="inlineStr">
        <is>
          <t>Yes</t>
        </is>
      </c>
      <c r="T343" s="18" t="inlineStr">
        <is>
          <t>Unknown</t>
        </is>
      </c>
      <c r="U343" s="18" t="inlineStr">
        <is>
          <t>Unknown</t>
        </is>
      </c>
      <c r="V343" s="18" t="inlineStr"/>
      <c r="W343" s="18" t="inlineStr">
        <is>
          <t>Bosch System Specialist dealer listing; family business</t>
        </is>
      </c>
      <c r="X343" s="18" t="inlineStr"/>
      <c r="Y343" s="18" t="inlineStr"/>
      <c r="Z343" s="18" t="inlineStr">
        <is>
          <t>Bosch dealer list</t>
        </is>
      </c>
      <c r="AA343" s="19" t="inlineStr">
        <is>
          <t>Source link</t>
        </is>
      </c>
      <c r="AB343" s="19" t="inlineStr">
        <is>
          <t>Search LinkedIn</t>
        </is>
      </c>
      <c r="AC343" s="18" t="inlineStr">
        <is>
          <t>Round 2</t>
        </is>
      </c>
      <c r="AD343" s="20" t="inlineStr">
        <is>
          <t>Not contacted</t>
        </is>
      </c>
      <c r="AE343" s="21" t="n"/>
      <c r="AF343" s="20" t="n"/>
      <c r="AG343" s="20" t="n"/>
      <c r="AH343" s="20" t="n"/>
      <c r="AI343" s="21">
        <f>IF(AE343="","",WORKDAY(AE343,5))</f>
        <v/>
      </c>
      <c r="AJ343" s="20" t="n"/>
      <c r="AK343" s="20" t="n"/>
    </row>
    <row r="344">
      <c r="A344" s="15" t="inlineStr">
        <is>
          <t>UK</t>
        </is>
      </c>
      <c r="B344" s="16" t="n">
        <v>343</v>
      </c>
      <c r="C344" s="17" t="n">
        <v>3</v>
      </c>
      <c r="D344" s="18" t="inlineStr">
        <is>
          <t>DIY &amp; Tools</t>
        </is>
      </c>
      <c r="E344" s="18" t="inlineStr">
        <is>
          <t>Toolstek (ETrader Direct Ltd)</t>
        </is>
      </c>
      <c r="F344" s="19" t="inlineStr">
        <is>
          <t>https://www.ebay.com/str/toolstek</t>
        </is>
      </c>
      <c r="G344" s="18" t="inlineStr">
        <is>
          <t>England</t>
        </is>
      </c>
      <c r="H344" s="18" t="inlineStr"/>
      <c r="I344" s="18" t="inlineStr">
        <is>
          <t>UK</t>
        </is>
      </c>
      <c r="J344" s="18" t="inlineStr">
        <is>
          <t>UK (no import)</t>
        </is>
      </c>
      <c r="K344" s="18" t="inlineStr"/>
      <c r="L344" s="18" t="inlineStr"/>
      <c r="M344" s="18" t="inlineStr"/>
      <c r="N344" s="18" t="inlineStr">
        <is>
          <t>Specialist tool distributor</t>
        </is>
      </c>
      <c r="O344" s="18" t="inlineStr">
        <is>
          <t>Hand &amp; power tools; exclusive UK distributor of Wokin</t>
        </is>
      </c>
      <c r="P344" s="18" t="inlineStr">
        <is>
          <t>Hand &amp; power tools</t>
        </is>
      </c>
      <c r="Q344" s="18" t="inlineStr">
        <is>
          <t>On request</t>
        </is>
      </c>
      <c r="R344" s="18" t="inlineStr">
        <is>
          <t>Sub-distributor / retail partner applications</t>
        </is>
      </c>
      <c r="S344" s="18" t="inlineStr">
        <is>
          <t>Yes</t>
        </is>
      </c>
      <c r="T344" s="18" t="inlineStr">
        <is>
          <t>Yes</t>
        </is>
      </c>
      <c r="U344" s="18" t="inlineStr">
        <is>
          <t>Unknown</t>
        </is>
      </c>
      <c r="V344" s="18" t="inlineStr">
        <is>
          <t>CH 08156269</t>
        </is>
      </c>
      <c r="W344" s="18" t="inlineStr">
        <is>
          <t>Companies House 08156269; 129k+ items sold on eBay</t>
        </is>
      </c>
      <c r="X344" s="18" t="inlineStr">
        <is>
          <t>Actively recruits online retail partners</t>
        </is>
      </c>
      <c r="Y344" s="18" t="inlineStr"/>
      <c r="Z344" s="18" t="inlineStr">
        <is>
          <t>eBay store profile + Companies House no.</t>
        </is>
      </c>
      <c r="AA344" s="19" t="inlineStr">
        <is>
          <t>Source link</t>
        </is>
      </c>
      <c r="AB344" s="19" t="inlineStr">
        <is>
          <t>Search LinkedIn</t>
        </is>
      </c>
      <c r="AC344" s="18" t="inlineStr">
        <is>
          <t>Round 2</t>
        </is>
      </c>
      <c r="AD344" s="20" t="inlineStr">
        <is>
          <t>Not contacted</t>
        </is>
      </c>
      <c r="AE344" s="21" t="n"/>
      <c r="AF344" s="20" t="n"/>
      <c r="AG344" s="20" t="n"/>
      <c r="AH344" s="20" t="n"/>
      <c r="AI344" s="21">
        <f>IF(AE344="","",WORKDAY(AE344,5))</f>
        <v/>
      </c>
      <c r="AJ344" s="20" t="n"/>
      <c r="AK344" s="20" t="n"/>
    </row>
    <row r="345">
      <c r="A345" s="15" t="inlineStr">
        <is>
          <t>UK</t>
        </is>
      </c>
      <c r="B345" s="16" t="n">
        <v>344</v>
      </c>
      <c r="C345" s="17" t="n">
        <v>1</v>
      </c>
      <c r="D345" s="18" t="inlineStr">
        <is>
          <t>DIY &amp; Tools</t>
        </is>
      </c>
      <c r="E345" s="18" t="inlineStr">
        <is>
          <t>Toolstream / Silverline Tools</t>
        </is>
      </c>
      <c r="F345" s="18" t="inlineStr">
        <is>
          <t>Not confirmed - search company name</t>
        </is>
      </c>
      <c r="G345" s="18" t="inlineStr">
        <is>
          <t>Yeovil</t>
        </is>
      </c>
      <c r="H345" s="18" t="inlineStr"/>
      <c r="I345" s="18" t="inlineStr">
        <is>
          <t>UK</t>
        </is>
      </c>
      <c r="J345" s="18" t="inlineStr">
        <is>
          <t>UK (no import)</t>
        </is>
      </c>
      <c r="K345" s="18" t="inlineStr">
        <is>
          <t>Boundary Way, Lufton Trading Estate, Yeovil</t>
        </is>
      </c>
      <c r="L345" s="18" t="inlineStr"/>
      <c r="M345" s="18" t="inlineStr"/>
      <c r="N345" s="18" t="inlineStr">
        <is>
          <t>Brand owner / distributor</t>
        </is>
      </c>
      <c r="O345" s="18" t="inlineStr">
        <is>
          <t>Silverline, Triton (Triton sold Dec 2025)</t>
        </is>
      </c>
      <c r="P345" s="18" t="inlineStr">
        <is>
          <t>Budget tools</t>
        </is>
      </c>
      <c r="Q345" s="18" t="inlineStr"/>
      <c r="R345" s="18" t="inlineStr"/>
      <c r="S345" s="18" t="inlineStr">
        <is>
          <t>Yes</t>
        </is>
      </c>
      <c r="T345" s="18" t="inlineStr">
        <is>
          <t>Unknown</t>
        </is>
      </c>
      <c r="U345" s="18" t="inlineStr">
        <is>
          <t>Unknown</t>
        </is>
      </c>
      <c r="V345" s="18" t="inlineStr"/>
      <c r="W345" s="18" t="inlineStr">
        <is>
          <t>Companies House 05315326</t>
        </is>
      </c>
      <c r="X345" s="18" t="inlineStr"/>
      <c r="Y345" s="18" t="inlineStr">
        <is>
          <t>RED FLAG: reported to have entered administration Dec 2025 (ToolGuyd, Apr 2026). Check status before contacting.</t>
        </is>
      </c>
      <c r="Z345" s="18" t="inlineStr">
        <is>
          <t>Trade press</t>
        </is>
      </c>
      <c r="AA345" s="19" t="inlineStr">
        <is>
          <t>Source link</t>
        </is>
      </c>
      <c r="AB345" s="19" t="inlineStr">
        <is>
          <t>Search LinkedIn</t>
        </is>
      </c>
      <c r="AC345" s="18" t="inlineStr">
        <is>
          <t>Round 2</t>
        </is>
      </c>
      <c r="AD345" s="20" t="inlineStr">
        <is>
          <t>Not contacted</t>
        </is>
      </c>
      <c r="AE345" s="21" t="n"/>
      <c r="AF345" s="20" t="n"/>
      <c r="AG345" s="20" t="n"/>
      <c r="AH345" s="20" t="n"/>
      <c r="AI345" s="21">
        <f>IF(AE345="","",WORKDAY(AE345,5))</f>
        <v/>
      </c>
      <c r="AJ345" s="20" t="n"/>
      <c r="AK345" s="20" t="n"/>
    </row>
    <row r="346">
      <c r="A346" s="15" t="inlineStr">
        <is>
          <t>UK</t>
        </is>
      </c>
      <c r="B346" s="16" t="n">
        <v>345</v>
      </c>
      <c r="C346" s="17" t="n">
        <v>5</v>
      </c>
      <c r="D346" s="18" t="inlineStr">
        <is>
          <t>Fragrance</t>
        </is>
      </c>
      <c r="E346" s="18" t="inlineStr">
        <is>
          <t>Knights Fragrances</t>
        </is>
      </c>
      <c r="F346" s="19" t="inlineStr">
        <is>
          <t>https://www.knights-fragrances.co.uk</t>
        </is>
      </c>
      <c r="G346" s="18" t="inlineStr">
        <is>
          <t>Redditch, Worcestershire</t>
        </is>
      </c>
      <c r="H346" s="18" t="inlineStr"/>
      <c r="I346" s="18" t="inlineStr">
        <is>
          <t>UK</t>
        </is>
      </c>
      <c r="J346" s="18" t="inlineStr">
        <is>
          <t>UK (no import)</t>
        </is>
      </c>
      <c r="K346" s="18" t="inlineStr">
        <is>
          <t>18 Oxleasow Road, Redditch, Worcestershire, B98 0RE</t>
        </is>
      </c>
      <c r="L346" s="18" t="inlineStr"/>
      <c r="M346" s="18" t="inlineStr"/>
      <c r="N346" s="18" t="inlineStr">
        <is>
          <t>Wholesaler / Distributor</t>
        </is>
      </c>
      <c r="O346" s="18" t="inlineStr">
        <is>
          <t>Prestige &amp; mass-market branded fragrances</t>
        </is>
      </c>
      <c r="P346" s="18" t="inlineStr">
        <is>
          <t>Designer / mass fragrance</t>
        </is>
      </c>
      <c r="Q346" s="18" t="inlineStr">
        <is>
          <t>On request</t>
        </is>
      </c>
      <c r="R346" s="18" t="inlineStr">
        <is>
          <t>Trade only</t>
        </is>
      </c>
      <c r="S346" s="18" t="inlineStr">
        <is>
          <t>Yes (UK based); also international</t>
        </is>
      </c>
      <c r="T346" s="18" t="inlineStr">
        <is>
          <t>Unknown</t>
        </is>
      </c>
      <c r="U346" s="18" t="inlineStr">
        <is>
          <t>Unknown</t>
        </is>
      </c>
      <c r="V346" s="18" t="inlineStr"/>
      <c r="W346" s="18" t="inlineStr">
        <is>
          <t>Established 1984; supplies pharmacies, department stores &amp; online retailers. Same address as Lexon (UK) Ltd (MHRA-licensed wholesaler)</t>
        </is>
      </c>
      <c r="X346" s="18" t="inlineStr">
        <is>
          <t>Supplies online retailers - good fit</t>
        </is>
      </c>
      <c r="Y346" s="18" t="inlineStr">
        <is>
          <t>Appears to share premises with Lexon UK group.</t>
        </is>
      </c>
      <c r="Z346" s="18" t="inlineStr">
        <is>
          <t>Directory - confirm on website</t>
        </is>
      </c>
      <c r="AA346" s="19" t="inlineStr">
        <is>
          <t>Source link</t>
        </is>
      </c>
      <c r="AB346" s="19" t="inlineStr">
        <is>
          <t>Search LinkedIn</t>
        </is>
      </c>
      <c r="AC346" s="18" t="inlineStr">
        <is>
          <t>Round 1</t>
        </is>
      </c>
      <c r="AD346" s="20" t="inlineStr">
        <is>
          <t>Not contacted</t>
        </is>
      </c>
      <c r="AE346" s="21" t="n"/>
      <c r="AF346" s="20" t="n"/>
      <c r="AG346" s="20" t="n"/>
      <c r="AH346" s="20" t="n"/>
      <c r="AI346" s="21">
        <f>IF(AE346="","",WORKDAY(AE346,5))</f>
        <v/>
      </c>
      <c r="AJ346" s="20" t="n"/>
      <c r="AK346" s="20" t="n"/>
    </row>
    <row r="347">
      <c r="A347" s="15" t="inlineStr">
        <is>
          <t>UK</t>
        </is>
      </c>
      <c r="B347" s="16" t="n">
        <v>346</v>
      </c>
      <c r="C347" s="17" t="n">
        <v>5</v>
      </c>
      <c r="D347" s="18" t="inlineStr">
        <is>
          <t>Fragrance</t>
        </is>
      </c>
      <c r="E347" s="18" t="inlineStr">
        <is>
          <t>Star Perfumes (Star Global Trading Ltd)</t>
        </is>
      </c>
      <c r="F347" s="19" t="inlineStr">
        <is>
          <t>https://www.starperfumes.com</t>
        </is>
      </c>
      <c r="G347" s="18" t="inlineStr">
        <is>
          <t>Salford, Greater Manchester</t>
        </is>
      </c>
      <c r="H347" s="18" t="inlineStr"/>
      <c r="I347" s="18" t="inlineStr">
        <is>
          <t>UK</t>
        </is>
      </c>
      <c r="J347" s="18" t="inlineStr">
        <is>
          <t>UK (no import)</t>
        </is>
      </c>
      <c r="K347" s="18" t="inlineStr">
        <is>
          <t>Unit 6 Dallas Court, Salford, M50 2GF</t>
        </is>
      </c>
      <c r="L347" s="18" t="inlineStr">
        <is>
          <t>+44 161 877 1222</t>
        </is>
      </c>
      <c r="M347" s="18" t="inlineStr">
        <is>
          <t>sales@starperfumes.com</t>
        </is>
      </c>
      <c r="N347" s="18" t="inlineStr">
        <is>
          <t>Wholesaler / Distributor</t>
        </is>
      </c>
      <c r="O347" s="18" t="inlineStr">
        <is>
          <t>700+ fragrance brands, 4,000+ lines: perfumes, aftershaves, gift sets</t>
        </is>
      </c>
      <c r="P347" s="18" t="inlineStr">
        <is>
          <t>Designer / mass fragrance</t>
        </is>
      </c>
      <c r="Q347" s="18" t="inlineStr">
        <is>
          <t>On request</t>
        </is>
      </c>
      <c r="R347" s="18" t="inlineStr">
        <is>
          <t>Trade only - company details required</t>
        </is>
      </c>
      <c r="S347" s="18" t="inlineStr">
        <is>
          <t>Yes (UK based); exports to 50+ countries</t>
        </is>
      </c>
      <c r="T347" s="18" t="inlineStr">
        <is>
          <t>Unknown</t>
        </is>
      </c>
      <c r="U347" s="18" t="inlineStr">
        <is>
          <t>Unknown</t>
        </is>
      </c>
      <c r="V347" s="18" t="inlineStr"/>
      <c r="W347" s="18" t="inlineStr">
        <is>
          <t>Founded 1999 (co-founders Dipak Thakrar &amp; Neil Barron); showroom &amp; DC tours by appointment; press coverage (TheBusinessDesk)</t>
        </is>
      </c>
      <c r="X347" s="18" t="inlineStr">
        <is>
          <t>Ask for UK VAT invoices with full company details for ungating</t>
        </is>
      </c>
      <c r="Y347" s="18" t="inlineStr">
        <is>
          <t>One of the largest UK fragrance wholesalers. Do NOT confuse with Scent Global Ltd (nearby address, entered administration Oct 2023).</t>
        </is>
      </c>
      <c r="Z347" s="18" t="inlineStr">
        <is>
          <t>Directory + press - confirm on website</t>
        </is>
      </c>
      <c r="AA347" s="19" t="inlineStr">
        <is>
          <t>Source link</t>
        </is>
      </c>
      <c r="AB347" s="19" t="inlineStr">
        <is>
          <t>Search LinkedIn</t>
        </is>
      </c>
      <c r="AC347" s="18" t="inlineStr">
        <is>
          <t>Round 1</t>
        </is>
      </c>
      <c r="AD347" s="20" t="inlineStr">
        <is>
          <t>Not contacted</t>
        </is>
      </c>
      <c r="AE347" s="21" t="n"/>
      <c r="AF347" s="20" t="n"/>
      <c r="AG347" s="20" t="n"/>
      <c r="AH347" s="20" t="n"/>
      <c r="AI347" s="21">
        <f>IF(AE347="","",WORKDAY(AE347,5))</f>
        <v/>
      </c>
      <c r="AJ347" s="20" t="n"/>
      <c r="AK347" s="20" t="n"/>
    </row>
    <row r="348">
      <c r="A348" s="15" t="inlineStr">
        <is>
          <t>UK</t>
        </is>
      </c>
      <c r="B348" s="16" t="n">
        <v>347</v>
      </c>
      <c r="C348" s="17" t="n">
        <v>4</v>
      </c>
      <c r="D348" s="18" t="inlineStr">
        <is>
          <t>Fragrance</t>
        </is>
      </c>
      <c r="E348" s="18" t="inlineStr">
        <is>
          <t>Affinity Fragrances</t>
        </is>
      </c>
      <c r="F348" s="19" t="inlineStr">
        <is>
          <t>https://www.affinityfragrances.com</t>
        </is>
      </c>
      <c r="G348" s="18" t="inlineStr">
        <is>
          <t>Iver, Buckinghamshire</t>
        </is>
      </c>
      <c r="H348" s="18" t="inlineStr"/>
      <c r="I348" s="18" t="inlineStr">
        <is>
          <t>UK</t>
        </is>
      </c>
      <c r="J348" s="18" t="inlineStr">
        <is>
          <t>UK (no import)</t>
        </is>
      </c>
      <c r="K348" s="18" t="inlineStr">
        <is>
          <t>Iver, Buckinghamshire (confirm full address)</t>
        </is>
      </c>
      <c r="L348" s="18" t="inlineStr"/>
      <c r="M348" s="18" t="inlineStr"/>
      <c r="N348" s="18" t="inlineStr">
        <is>
          <t>Wholesaler / Distributor</t>
        </is>
      </c>
      <c r="O348" s="18" t="inlineStr">
        <is>
          <t>Branded perfumes &amp; beauty</t>
        </is>
      </c>
      <c r="P348" s="18" t="inlineStr">
        <is>
          <t>Designer fragrance</t>
        </is>
      </c>
      <c r="Q348" s="18" t="inlineStr">
        <is>
          <t>On request</t>
        </is>
      </c>
      <c r="R348" s="18" t="inlineStr">
        <is>
          <t>Trade only</t>
        </is>
      </c>
      <c r="S348" s="18" t="inlineStr">
        <is>
          <t>Yes (UK based); international expansion</t>
        </is>
      </c>
      <c r="T348" s="18" t="inlineStr">
        <is>
          <t>Unknown</t>
        </is>
      </c>
      <c r="U348" s="18" t="inlineStr">
        <is>
          <t>Unknown</t>
        </is>
      </c>
      <c r="V348" s="18" t="inlineStr"/>
      <c r="W348" s="18" t="inlineStr">
        <is>
          <t>Founded 2016; reported revenue £125m+ (Retail Merchandiser feature)</t>
        </is>
      </c>
      <c r="X348" s="18" t="inlineStr">
        <is>
          <t>Large volume player - ask about smaller starter orders</t>
        </is>
      </c>
      <c r="Y348" s="18" t="inlineStr">
        <is>
          <t>Big supplier - MOQs may be high for a new account.</t>
        </is>
      </c>
      <c r="Z348" s="18" t="inlineStr">
        <is>
          <t>Press + directory - confirm contacts on website</t>
        </is>
      </c>
      <c r="AA348" s="19" t="inlineStr">
        <is>
          <t>Source link</t>
        </is>
      </c>
      <c r="AB348" s="19" t="inlineStr">
        <is>
          <t>Search LinkedIn</t>
        </is>
      </c>
      <c r="AC348" s="18" t="inlineStr">
        <is>
          <t>Round 1</t>
        </is>
      </c>
      <c r="AD348" s="20" t="inlineStr">
        <is>
          <t>Not contacted</t>
        </is>
      </c>
      <c r="AE348" s="21" t="n"/>
      <c r="AF348" s="20" t="n"/>
      <c r="AG348" s="20" t="n"/>
      <c r="AH348" s="20" t="n"/>
      <c r="AI348" s="21">
        <f>IF(AE348="","",WORKDAY(AE348,5))</f>
        <v/>
      </c>
      <c r="AJ348" s="20" t="n"/>
      <c r="AK348" s="20" t="n"/>
    </row>
    <row r="349">
      <c r="A349" s="15" t="inlineStr">
        <is>
          <t>UK</t>
        </is>
      </c>
      <c r="B349" s="16" t="n">
        <v>348</v>
      </c>
      <c r="C349" s="17" t="n">
        <v>4</v>
      </c>
      <c r="D349" s="18" t="inlineStr">
        <is>
          <t>Fragrance</t>
        </is>
      </c>
      <c r="E349" s="18" t="inlineStr">
        <is>
          <t>Shaneel Group (Shaneel Enterprises Ltd)</t>
        </is>
      </c>
      <c r="F349" s="19" t="inlineStr">
        <is>
          <t>https://www.shaneel.com/shaneel-enterprises</t>
        </is>
      </c>
      <c r="G349" s="18" t="inlineStr">
        <is>
          <t>Wembley / Watford (outskirts of London)</t>
        </is>
      </c>
      <c r="H349" s="18" t="inlineStr"/>
      <c r="I349" s="18" t="inlineStr">
        <is>
          <t>UK</t>
        </is>
      </c>
      <c r="J349" s="18" t="inlineStr">
        <is>
          <t>UK (no import)</t>
        </is>
      </c>
      <c r="K349" s="18" t="inlineStr">
        <is>
          <t>Reg. office: 78 Wembley Park Drive, Wembley, HA9 8HE (trade site may be Amertrans Park, Bushey Mill Lane, Watford WD24 7JG)</t>
        </is>
      </c>
      <c r="L349" s="18" t="inlineStr"/>
      <c r="M349" s="18" t="inlineStr"/>
      <c r="N349" s="18" t="inlineStr">
        <is>
          <t>Wholesaler / Distributor / Brand owner</t>
        </is>
      </c>
      <c r="O349" s="18" t="inlineStr">
        <is>
          <t>Branded fragrance supply; group incl. Mayfair Perfumes, Designer Parfums, Worth Paris, DDF Skincare</t>
        </is>
      </c>
      <c r="P349" s="18" t="inlineStr">
        <is>
          <t>Designer / mass fragrance</t>
        </is>
      </c>
      <c r="Q349" s="18" t="inlineStr">
        <is>
          <t>On request</t>
        </is>
      </c>
      <c r="R349" s="18" t="inlineStr">
        <is>
          <t>Trade only</t>
        </is>
      </c>
      <c r="S349" s="18" t="inlineStr">
        <is>
          <t>Yes (UK based)</t>
        </is>
      </c>
      <c r="T349" s="18" t="inlineStr">
        <is>
          <t>Unknown</t>
        </is>
      </c>
      <c r="U349" s="18" t="inlineStr">
        <is>
          <t>Unknown</t>
        </is>
      </c>
      <c r="V349" s="18" t="inlineStr"/>
      <c r="W349" s="18" t="inlineStr">
        <is>
          <t>Family business since 1986; Companies House 02171783, SIC 46450 (wholesale of perfume &amp; cosmetics)</t>
        </is>
      </c>
      <c r="X349" s="18" t="inlineStr">
        <is>
          <t>Owns some brands - ask about brand authorisation for those</t>
        </is>
      </c>
      <c r="Y349" s="18" t="inlineStr">
        <is>
          <t>Confirm which address is current before visiting.</t>
        </is>
      </c>
      <c r="Z349" s="18" t="inlineStr">
        <is>
          <t>Companies House + job listing</t>
        </is>
      </c>
      <c r="AA349" s="19" t="inlineStr">
        <is>
          <t>Source link</t>
        </is>
      </c>
      <c r="AB349" s="19" t="inlineStr">
        <is>
          <t>Search LinkedIn</t>
        </is>
      </c>
      <c r="AC349" s="18" t="inlineStr">
        <is>
          <t>Round 1</t>
        </is>
      </c>
      <c r="AD349" s="20" t="inlineStr">
        <is>
          <t>Not contacted</t>
        </is>
      </c>
      <c r="AE349" s="21" t="n"/>
      <c r="AF349" s="20" t="n"/>
      <c r="AG349" s="20" t="n"/>
      <c r="AH349" s="20" t="n"/>
      <c r="AI349" s="21">
        <f>IF(AE349="","",WORKDAY(AE349,5))</f>
        <v/>
      </c>
      <c r="AJ349" s="20" t="n"/>
      <c r="AK349" s="20" t="n"/>
    </row>
    <row r="350">
      <c r="A350" s="15" t="inlineStr">
        <is>
          <t>UK</t>
        </is>
      </c>
      <c r="B350" s="16" t="n">
        <v>349</v>
      </c>
      <c r="C350" s="17" t="n">
        <v>3</v>
      </c>
      <c r="D350" s="18" t="inlineStr">
        <is>
          <t>Fragrance</t>
        </is>
      </c>
      <c r="E350" s="18" t="inlineStr">
        <is>
          <t>Agence de Parfumerie</t>
        </is>
      </c>
      <c r="F350" s="19" t="inlineStr">
        <is>
          <t>https://www.agencedeparfumerie.co.uk</t>
        </is>
      </c>
      <c r="G350" s="18" t="inlineStr">
        <is>
          <t>Welwyn Garden City, Hertfordshire</t>
        </is>
      </c>
      <c r="H350" s="18" t="inlineStr"/>
      <c r="I350" s="18" t="inlineStr">
        <is>
          <t>UK</t>
        </is>
      </c>
      <c r="J350" s="18" t="inlineStr">
        <is>
          <t>UK (no import)</t>
        </is>
      </c>
      <c r="K350" s="18" t="inlineStr">
        <is>
          <t>Unit 10 Bridge Gate Centre, Welwyn Garden City, Hertfordshire</t>
        </is>
      </c>
      <c r="L350" s="18" t="inlineStr">
        <is>
          <t>+44 20 3198 4600</t>
        </is>
      </c>
      <c r="M350" s="18" t="inlineStr"/>
      <c r="N350" s="18" t="inlineStr">
        <is>
          <t>Wholesaler + online retailer</t>
        </is>
      </c>
      <c r="O350" s="18" t="inlineStr">
        <is>
          <t>Branded fragrances</t>
        </is>
      </c>
      <c r="P350" s="18" t="inlineStr">
        <is>
          <t>Designer fragrance</t>
        </is>
      </c>
      <c r="Q350" s="18" t="inlineStr">
        <is>
          <t>On request</t>
        </is>
      </c>
      <c r="R350" s="18" t="inlineStr">
        <is>
          <t>Business purchasing account</t>
        </is>
      </c>
      <c r="S350" s="18" t="inlineStr">
        <is>
          <t>Yes (UK based)</t>
        </is>
      </c>
      <c r="T350" s="18" t="inlineStr">
        <is>
          <t>Unknown</t>
        </is>
      </c>
      <c r="U350" s="18" t="inlineStr">
        <is>
          <t>Unknown</t>
        </is>
      </c>
      <c r="V350" s="18" t="inlineStr"/>
      <c r="W350" s="18" t="inlineStr">
        <is>
          <t>Founded 2014; small firm (2-10 staff)</t>
        </is>
      </c>
      <c r="X350" s="18" t="inlineStr">
        <is>
          <t>Small supplier - good for low starter quantities</t>
        </is>
      </c>
      <c r="Y350" s="18" t="inlineStr">
        <is>
          <t>Also sells retail, so check wholesale pricing is competitive.</t>
        </is>
      </c>
      <c r="Z350" s="18" t="inlineStr">
        <is>
          <t>Directory - confirm on website</t>
        </is>
      </c>
      <c r="AA350" s="19" t="inlineStr">
        <is>
          <t>Source link</t>
        </is>
      </c>
      <c r="AB350" s="19" t="inlineStr">
        <is>
          <t>Search LinkedIn</t>
        </is>
      </c>
      <c r="AC350" s="18" t="inlineStr">
        <is>
          <t>Round 1</t>
        </is>
      </c>
      <c r="AD350" s="20" t="inlineStr">
        <is>
          <t>Not contacted</t>
        </is>
      </c>
      <c r="AE350" s="21" t="n"/>
      <c r="AF350" s="20" t="n"/>
      <c r="AG350" s="20" t="n"/>
      <c r="AH350" s="20" t="n"/>
      <c r="AI350" s="21">
        <f>IF(AE350="","",WORKDAY(AE350,5))</f>
        <v/>
      </c>
      <c r="AJ350" s="20" t="n"/>
      <c r="AK350" s="20" t="n"/>
    </row>
    <row r="351">
      <c r="A351" s="15" t="inlineStr">
        <is>
          <t>UK</t>
        </is>
      </c>
      <c r="B351" s="16" t="n">
        <v>350</v>
      </c>
      <c r="C351" s="17" t="n">
        <v>4</v>
      </c>
      <c r="D351" s="18" t="inlineStr">
        <is>
          <t>General Wholesale / FMCG</t>
        </is>
      </c>
      <c r="E351" s="18" t="inlineStr">
        <is>
          <t>Booker Wholesale (incl. Makro UK)</t>
        </is>
      </c>
      <c r="F351" s="19" t="inlineStr">
        <is>
          <t>https://www.booker.co.uk</t>
        </is>
      </c>
      <c r="G351" s="18" t="inlineStr">
        <is>
          <t>Nationwide branches</t>
        </is>
      </c>
      <c r="H351" s="18" t="inlineStr"/>
      <c r="I351" s="18" t="inlineStr">
        <is>
          <t>UK</t>
        </is>
      </c>
      <c r="J351" s="18" t="inlineStr">
        <is>
          <t>UK (no import)</t>
        </is>
      </c>
      <c r="K351" s="18" t="inlineStr">
        <is>
          <t>See branch finder</t>
        </is>
      </c>
      <c r="L351" s="18" t="inlineStr"/>
      <c r="M351" s="18" t="inlineStr"/>
      <c r="N351" s="18" t="inlineStr">
        <is>
          <t>Cash &amp; carry / delivered wholesale</t>
        </is>
      </c>
      <c r="O351" s="18" t="inlineStr">
        <is>
          <t>Grocery, household, health &amp; beauty, confectionery, pet</t>
        </is>
      </c>
      <c r="P351" s="18" t="inlineStr">
        <is>
          <t>FMCG</t>
        </is>
      </c>
      <c r="Q351" s="18" t="inlineStr">
        <is>
          <t>None in branch</t>
        </is>
      </c>
      <c r="R351" s="18" t="inlineStr">
        <is>
          <t>Business registration; VAT no. for some credit tiers</t>
        </is>
      </c>
      <c r="S351" s="18" t="inlineStr">
        <is>
          <t>Yes</t>
        </is>
      </c>
      <c r="T351" s="18" t="inlineStr">
        <is>
          <t>Unknown</t>
        </is>
      </c>
      <c r="U351" s="18" t="inlineStr">
        <is>
          <t>Unknown</t>
        </is>
      </c>
      <c r="V351" s="18" t="inlineStr"/>
      <c r="W351" s="18" t="inlineStr">
        <is>
          <t>UK's largest cash &amp; carry (Tesco group)</t>
        </is>
      </c>
      <c r="X351" s="18" t="inlineStr">
        <is>
          <t>Fine for invoices; margins tight - use promo deals</t>
        </is>
      </c>
      <c r="Y351" s="18" t="inlineStr">
        <is>
          <t>Register online at booker.co.uk.</t>
        </is>
      </c>
      <c r="Z351" s="18" t="inlineStr">
        <is>
          <t>Well-known</t>
        </is>
      </c>
      <c r="AA351" s="19" t="inlineStr">
        <is>
          <t>Source link</t>
        </is>
      </c>
      <c r="AB351" s="19" t="inlineStr">
        <is>
          <t>Search LinkedIn</t>
        </is>
      </c>
      <c r="AC351" s="18" t="inlineStr">
        <is>
          <t>Round 1</t>
        </is>
      </c>
      <c r="AD351" s="20" t="inlineStr">
        <is>
          <t>Not contacted</t>
        </is>
      </c>
      <c r="AE351" s="21" t="n"/>
      <c r="AF351" s="20" t="n"/>
      <c r="AG351" s="20" t="n"/>
      <c r="AH351" s="20" t="n"/>
      <c r="AI351" s="21">
        <f>IF(AE351="","",WORKDAY(AE351,5))</f>
        <v/>
      </c>
      <c r="AJ351" s="20" t="n"/>
      <c r="AK351" s="20" t="n"/>
    </row>
    <row r="352">
      <c r="A352" s="15" t="inlineStr">
        <is>
          <t>UK</t>
        </is>
      </c>
      <c r="B352" s="16" t="n">
        <v>351</v>
      </c>
      <c r="C352" s="17" t="n">
        <v>3</v>
      </c>
      <c r="D352" s="18" t="inlineStr">
        <is>
          <t>General Wholesale / FMCG</t>
        </is>
      </c>
      <c r="E352" s="18" t="inlineStr">
        <is>
          <t>Bestway Wholesale</t>
        </is>
      </c>
      <c r="F352" s="19" t="inlineStr">
        <is>
          <t>https://www.bestwaywholesale.co.uk</t>
        </is>
      </c>
      <c r="G352" s="18" t="inlineStr">
        <is>
          <t>HQ Park Royal, London + depots</t>
        </is>
      </c>
      <c r="H352" s="18" t="inlineStr"/>
      <c r="I352" s="18" t="inlineStr">
        <is>
          <t>UK</t>
        </is>
      </c>
      <c r="J352" s="18" t="inlineStr">
        <is>
          <t>UK (no import)</t>
        </is>
      </c>
      <c r="K352" s="18" t="inlineStr">
        <is>
          <t>2 Abbey Road, Park Royal, London NW10 7BW</t>
        </is>
      </c>
      <c r="L352" s="18" t="inlineStr">
        <is>
          <t>+44 1738 646666 (Wholesale) / +44 20 8453 1234 (Group)</t>
        </is>
      </c>
      <c r="M352" s="18" t="inlineStr">
        <is>
          <t>bestway.group@bestway.co.uk</t>
        </is>
      </c>
      <c r="N352" s="18" t="inlineStr">
        <is>
          <t>Cash &amp; carry / delivered</t>
        </is>
      </c>
      <c r="O352" s="18" t="inlineStr">
        <is>
          <t>Grocery, household, H&amp;B</t>
        </is>
      </c>
      <c r="P352" s="18" t="inlineStr">
        <is>
          <t>FMCG</t>
        </is>
      </c>
      <c r="Q352" s="18" t="inlineStr">
        <is>
          <t>None in depot</t>
        </is>
      </c>
      <c r="R352" s="18" t="inlineStr">
        <is>
          <t>Trade registration</t>
        </is>
      </c>
      <c r="S352" s="18" t="inlineStr">
        <is>
          <t>Yes</t>
        </is>
      </c>
      <c r="T352" s="18" t="inlineStr">
        <is>
          <t>Unknown</t>
        </is>
      </c>
      <c r="U352" s="18" t="inlineStr">
        <is>
          <t>Unknown</t>
        </is>
      </c>
      <c r="V352" s="18" t="inlineStr"/>
      <c r="W352" s="18" t="inlineStr">
        <is>
          <t>Companies House 01207120; major UK wholesaler</t>
        </is>
      </c>
      <c r="X352" s="18" t="inlineStr"/>
      <c r="Y352" s="18" t="inlineStr"/>
      <c r="Z352" s="18" t="inlineStr">
        <is>
          <t>Official website</t>
        </is>
      </c>
      <c r="AA352" s="19" t="inlineStr">
        <is>
          <t>Source link</t>
        </is>
      </c>
      <c r="AB352" s="19" t="inlineStr">
        <is>
          <t>Search LinkedIn</t>
        </is>
      </c>
      <c r="AC352" s="18" t="inlineStr">
        <is>
          <t>Round 1</t>
        </is>
      </c>
      <c r="AD352" s="20" t="inlineStr">
        <is>
          <t>Not contacted</t>
        </is>
      </c>
      <c r="AE352" s="21" t="n"/>
      <c r="AF352" s="20" t="n"/>
      <c r="AG352" s="20" t="n"/>
      <c r="AH352" s="20" t="n"/>
      <c r="AI352" s="21">
        <f>IF(AE352="","",WORKDAY(AE352,5))</f>
        <v/>
      </c>
      <c r="AJ352" s="20" t="n"/>
      <c r="AK352" s="20" t="n"/>
    </row>
    <row r="353">
      <c r="A353" s="15" t="inlineStr">
        <is>
          <t>UK</t>
        </is>
      </c>
      <c r="B353" s="16" t="n">
        <v>352</v>
      </c>
      <c r="C353" s="17" t="n">
        <v>3</v>
      </c>
      <c r="D353" s="18" t="inlineStr">
        <is>
          <t>General Wholesale / FMCG</t>
        </is>
      </c>
      <c r="E353" s="18" t="inlineStr">
        <is>
          <t>Costco UK (Business Membership)</t>
        </is>
      </c>
      <c r="F353" s="19" t="inlineStr">
        <is>
          <t>https://www.costco.co.uk</t>
        </is>
      </c>
      <c r="G353" s="18" t="inlineStr">
        <is>
          <t>Nationwide warehouses</t>
        </is>
      </c>
      <c r="H353" s="18" t="inlineStr"/>
      <c r="I353" s="18" t="inlineStr">
        <is>
          <t>UK</t>
        </is>
      </c>
      <c r="J353" s="18" t="inlineStr">
        <is>
          <t>UK (no import)</t>
        </is>
      </c>
      <c r="K353" s="18" t="inlineStr"/>
      <c r="L353" s="18" t="inlineStr">
        <is>
          <t>+44 1923 830477 (Central Membership)</t>
        </is>
      </c>
      <c r="M353" s="18" t="inlineStr"/>
      <c r="N353" s="18" t="inlineStr">
        <is>
          <t>Warehouse club</t>
        </is>
      </c>
      <c r="O353" s="18" t="inlineStr">
        <is>
          <t>Grocery, household, health &amp; beauty, toys, electronics</t>
        </is>
      </c>
      <c r="P353" s="18" t="inlineStr">
        <is>
          <t>FMCG / general</t>
        </is>
      </c>
      <c r="Q353" s="18" t="inlineStr">
        <is>
          <t>None</t>
        </is>
      </c>
      <c r="R353" s="18" t="inlineStr">
        <is>
          <t>One business document &lt;3 months old (VAT cert, Companies House cert or business bank statement) + photo ID, in person</t>
        </is>
      </c>
      <c r="S353" s="18" t="inlineStr">
        <is>
          <t>Yes</t>
        </is>
      </c>
      <c r="T353" s="18" t="inlineStr">
        <is>
          <t>Unknown</t>
        </is>
      </c>
      <c r="U353" s="18" t="inlineStr">
        <is>
          <t>Unknown</t>
        </is>
      </c>
      <c r="V353" s="18" t="inlineStr"/>
      <c r="W353" s="18" t="inlineStr">
        <is>
          <t>Official membership page</t>
        </is>
      </c>
      <c r="X353" s="18" t="inlineStr">
        <is>
          <t>Business membership allows resale; receipts show Costco details</t>
        </is>
      </c>
      <c r="Y353" s="18" t="inlineStr"/>
      <c r="Z353" s="18" t="inlineStr">
        <is>
          <t>Official website</t>
        </is>
      </c>
      <c r="AA353" s="19" t="inlineStr">
        <is>
          <t>Source link</t>
        </is>
      </c>
      <c r="AB353" s="19" t="inlineStr">
        <is>
          <t>Search LinkedIn</t>
        </is>
      </c>
      <c r="AC353" s="18" t="inlineStr">
        <is>
          <t>Round 1</t>
        </is>
      </c>
      <c r="AD353" s="20" t="inlineStr">
        <is>
          <t>Not contacted</t>
        </is>
      </c>
      <c r="AE353" s="21" t="n"/>
      <c r="AF353" s="20" t="n"/>
      <c r="AG353" s="20" t="n"/>
      <c r="AH353" s="20" t="n"/>
      <c r="AI353" s="21">
        <f>IF(AE353="","",WORKDAY(AE353,5))</f>
        <v/>
      </c>
      <c r="AJ353" s="20" t="n"/>
      <c r="AK353" s="20" t="n"/>
    </row>
    <row r="354">
      <c r="A354" s="15" t="inlineStr">
        <is>
          <t>UK</t>
        </is>
      </c>
      <c r="B354" s="16" t="n">
        <v>353</v>
      </c>
      <c r="C354" s="17" t="n">
        <v>3</v>
      </c>
      <c r="D354" s="18" t="inlineStr">
        <is>
          <t>General Wholesale / FMCG</t>
        </is>
      </c>
      <c r="E354" s="18" t="inlineStr">
        <is>
          <t>Dhamecha Cash &amp; Carry</t>
        </is>
      </c>
      <c r="F354" s="19" t="inlineStr">
        <is>
          <t>https://www.dhamecha.com</t>
        </is>
      </c>
      <c r="G354" s="18" t="inlineStr">
        <is>
          <t>London, Midlands, North West (13 depots)</t>
        </is>
      </c>
      <c r="H354" s="18" t="inlineStr"/>
      <c r="I354" s="18" t="inlineStr">
        <is>
          <t>UK</t>
        </is>
      </c>
      <c r="J354" s="18" t="inlineStr">
        <is>
          <t>UK (no import)</t>
        </is>
      </c>
      <c r="K354" s="18" t="inlineStr">
        <is>
          <t>Wembley: Wembley Stadium Ind. Est., First Way, HA9 0TU</t>
        </is>
      </c>
      <c r="L354" s="18" t="inlineStr">
        <is>
          <t>+44 20 8903 8181 (Wembley)</t>
        </is>
      </c>
      <c r="M354" s="18" t="inlineStr"/>
      <c r="N354" s="18" t="inlineStr">
        <is>
          <t>Cash &amp; carry</t>
        </is>
      </c>
      <c r="O354" s="18" t="inlineStr">
        <is>
          <t>Grocery, household, H&amp;B</t>
        </is>
      </c>
      <c r="P354" s="18" t="inlineStr">
        <is>
          <t>FMCG</t>
        </is>
      </c>
      <c r="Q354" s="18" t="inlineStr">
        <is>
          <t>None</t>
        </is>
      </c>
      <c r="R354" s="18" t="inlineStr">
        <is>
          <t>Strictly trade only</t>
        </is>
      </c>
      <c r="S354" s="18" t="inlineStr">
        <is>
          <t>Yes</t>
        </is>
      </c>
      <c r="T354" s="18" t="inlineStr">
        <is>
          <t>Unknown</t>
        </is>
      </c>
      <c r="U354" s="18" t="inlineStr">
        <is>
          <t>Unknown</t>
        </is>
      </c>
      <c r="V354" s="18" t="inlineStr"/>
      <c r="W354" s="18" t="inlineStr">
        <is>
          <t>~14,000 trade customers; acquired Hyperama depots</t>
        </is>
      </c>
      <c r="X354" s="18" t="inlineStr"/>
      <c r="Y354" s="18" t="inlineStr"/>
      <c r="Z354" s="18" t="inlineStr">
        <is>
          <t>Trade press / Unitas listing</t>
        </is>
      </c>
      <c r="AA354" s="19" t="inlineStr">
        <is>
          <t>Source link</t>
        </is>
      </c>
      <c r="AB354" s="19" t="inlineStr">
        <is>
          <t>Search LinkedIn</t>
        </is>
      </c>
      <c r="AC354" s="18" t="inlineStr">
        <is>
          <t>Round 1</t>
        </is>
      </c>
      <c r="AD354" s="20" t="inlineStr">
        <is>
          <t>Not contacted</t>
        </is>
      </c>
      <c r="AE354" s="21" t="n"/>
      <c r="AF354" s="20" t="n"/>
      <c r="AG354" s="20" t="n"/>
      <c r="AH354" s="20" t="n"/>
      <c r="AI354" s="21">
        <f>IF(AE354="","",WORKDAY(AE354,5))</f>
        <v/>
      </c>
      <c r="AJ354" s="20" t="n"/>
      <c r="AK354" s="20" t="n"/>
    </row>
    <row r="355">
      <c r="A355" s="15" t="inlineStr">
        <is>
          <t>UK</t>
        </is>
      </c>
      <c r="B355" s="16" t="n">
        <v>354</v>
      </c>
      <c r="C355" s="17" t="n">
        <v>3</v>
      </c>
      <c r="D355" s="18" t="inlineStr">
        <is>
          <t>General Wholesale / FMCG</t>
        </is>
      </c>
      <c r="E355" s="18" t="inlineStr">
        <is>
          <t>DK Wholesale</t>
        </is>
      </c>
      <c r="F355" s="19" t="inlineStr">
        <is>
          <t>https://www.dkwholesale.com</t>
        </is>
      </c>
      <c r="G355" s="18" t="inlineStr">
        <is>
          <t>Manchester</t>
        </is>
      </c>
      <c r="H355" s="18" t="inlineStr"/>
      <c r="I355" s="18" t="inlineStr">
        <is>
          <t>UK</t>
        </is>
      </c>
      <c r="J355" s="18" t="inlineStr">
        <is>
          <t>UK (no import)</t>
        </is>
      </c>
      <c r="K355" s="18" t="inlineStr">
        <is>
          <t>4 Harthill Street, Manchester M8 8AG</t>
        </is>
      </c>
      <c r="L355" s="18" t="inlineStr">
        <is>
          <t>+44 161 832 5200</t>
        </is>
      </c>
      <c r="M355" s="18" t="inlineStr">
        <is>
          <t>dkwholesaleltd@gmail.com</t>
        </is>
      </c>
      <c r="N355" s="18" t="inlineStr">
        <is>
          <t>General wholesaler</t>
        </is>
      </c>
      <c r="O355" s="18" t="inlineStr">
        <is>
          <t>Beauty, toys, electronics, gifts, household</t>
        </is>
      </c>
      <c r="P355" s="18" t="inlineStr">
        <is>
          <t>General merchandise</t>
        </is>
      </c>
      <c r="Q355" s="18" t="inlineStr">
        <is>
          <t>On request</t>
        </is>
      </c>
      <c r="R355" s="18" t="inlineStr">
        <is>
          <t>Trade</t>
        </is>
      </c>
      <c r="S355" s="18" t="inlineStr">
        <is>
          <t>Yes</t>
        </is>
      </c>
      <c r="T355" s="18" t="inlineStr">
        <is>
          <t>Unknown</t>
        </is>
      </c>
      <c r="U355" s="18" t="inlineStr">
        <is>
          <t>Unknown</t>
        </is>
      </c>
      <c r="V355" s="18" t="inlineStr"/>
      <c r="W355" s="18" t="inlineStr">
        <is>
          <t>Founded 1983; Trustpilot profile</t>
        </is>
      </c>
      <c r="X355" s="18" t="inlineStr"/>
      <c r="Y355" s="18" t="inlineStr">
        <is>
          <t>Gmail address - confirm company number.</t>
        </is>
      </c>
      <c r="Z355" s="18" t="inlineStr">
        <is>
          <t>Trustpilot listing</t>
        </is>
      </c>
      <c r="AA355" s="19" t="inlineStr">
        <is>
          <t>Source link</t>
        </is>
      </c>
      <c r="AB355" s="19" t="inlineStr">
        <is>
          <t>Search LinkedIn</t>
        </is>
      </c>
      <c r="AC355" s="18" t="inlineStr">
        <is>
          <t>Round 1</t>
        </is>
      </c>
      <c r="AD355" s="20" t="inlineStr">
        <is>
          <t>Not contacted</t>
        </is>
      </c>
      <c r="AE355" s="21" t="n"/>
      <c r="AF355" s="20" t="n"/>
      <c r="AG355" s="20" t="n"/>
      <c r="AH355" s="20" t="n"/>
      <c r="AI355" s="21">
        <f>IF(AE355="","",WORKDAY(AE355,5))</f>
        <v/>
      </c>
      <c r="AJ355" s="20" t="n"/>
      <c r="AK355" s="20" t="n"/>
    </row>
    <row r="356">
      <c r="A356" s="15" t="inlineStr">
        <is>
          <t>UK</t>
        </is>
      </c>
      <c r="B356" s="16" t="n">
        <v>355</v>
      </c>
      <c r="C356" s="17" t="n">
        <v>3</v>
      </c>
      <c r="D356" s="18" t="inlineStr">
        <is>
          <t>General Wholesale / FMCG</t>
        </is>
      </c>
      <c r="E356" s="18" t="inlineStr">
        <is>
          <t>Hancocks (World of Sweets)</t>
        </is>
      </c>
      <c r="F356" s="19" t="inlineStr">
        <is>
          <t>https://www.hancocks.co.uk</t>
        </is>
      </c>
      <c r="G356" s="18" t="inlineStr">
        <is>
          <t>Loughborough (HQ) + depots</t>
        </is>
      </c>
      <c r="H356" s="18" t="inlineStr"/>
      <c r="I356" s="18" t="inlineStr">
        <is>
          <t>UK</t>
        </is>
      </c>
      <c r="J356" s="18" t="inlineStr">
        <is>
          <t>UK (no import)</t>
        </is>
      </c>
      <c r="K356" s="18" t="inlineStr">
        <is>
          <t>25 Jubilee Drive, Loughborough LE11 5TX</t>
        </is>
      </c>
      <c r="L356" s="18" t="inlineStr"/>
      <c r="M356" s="18" t="inlineStr"/>
      <c r="N356" s="18" t="inlineStr">
        <is>
          <t>Confectionery cash &amp; carry</t>
        </is>
      </c>
      <c r="O356" s="18" t="inlineStr">
        <is>
          <t>5,000+ sweets &amp; chocolate SKUs, novelty</t>
        </is>
      </c>
      <c r="P356" s="18" t="inlineStr">
        <is>
          <t>Confectionery / grocery</t>
        </is>
      </c>
      <c r="Q356" s="18" t="inlineStr">
        <is>
          <t>On request</t>
        </is>
      </c>
      <c r="R356" s="18" t="inlineStr">
        <is>
          <t>Any business requiring wholesale confectionery</t>
        </is>
      </c>
      <c r="S356" s="18" t="inlineStr">
        <is>
          <t>Yes</t>
        </is>
      </c>
      <c r="T356" s="18" t="inlineStr">
        <is>
          <t>Unknown</t>
        </is>
      </c>
      <c r="U356" s="18" t="inlineStr">
        <is>
          <t>Unknown</t>
        </is>
      </c>
      <c r="V356" s="18" t="inlineStr"/>
      <c r="W356" s="18" t="inlineStr">
        <is>
          <t>Companies House 00868097; est. 1962</t>
        </is>
      </c>
      <c r="X356" s="18" t="inlineStr">
        <is>
          <t>Grocery is a huge Amazon UK category; watch expiry dates (FBA rules)</t>
        </is>
      </c>
      <c r="Y356" s="18" t="inlineStr"/>
      <c r="Z356" s="18" t="inlineStr">
        <is>
          <t>Companies House + trade press</t>
        </is>
      </c>
      <c r="AA356" s="19" t="inlineStr">
        <is>
          <t>Source link</t>
        </is>
      </c>
      <c r="AB356" s="19" t="inlineStr">
        <is>
          <t>Search LinkedIn</t>
        </is>
      </c>
      <c r="AC356" s="18" t="inlineStr">
        <is>
          <t>Round 1</t>
        </is>
      </c>
      <c r="AD356" s="20" t="inlineStr">
        <is>
          <t>Not contacted</t>
        </is>
      </c>
      <c r="AE356" s="21" t="n"/>
      <c r="AF356" s="20" t="n"/>
      <c r="AG356" s="20" t="n"/>
      <c r="AH356" s="20" t="n"/>
      <c r="AI356" s="21">
        <f>IF(AE356="","",WORKDAY(AE356,5))</f>
        <v/>
      </c>
      <c r="AJ356" s="20" t="n"/>
      <c r="AK356" s="20" t="n"/>
    </row>
    <row r="357">
      <c r="A357" s="15" t="inlineStr">
        <is>
          <t>UK</t>
        </is>
      </c>
      <c r="B357" s="16" t="n">
        <v>356</v>
      </c>
      <c r="C357" s="17" t="n">
        <v>3</v>
      </c>
      <c r="D357" s="18" t="inlineStr">
        <is>
          <t>General Wholesale / FMCG</t>
        </is>
      </c>
      <c r="E357" s="18" t="inlineStr">
        <is>
          <t>Parfetts (Parfett &amp; Sons Ltd)</t>
        </is>
      </c>
      <c r="F357" s="19" t="inlineStr">
        <is>
          <t>https://www.parfetts.co.uk</t>
        </is>
      </c>
      <c r="G357" s="18" t="inlineStr">
        <is>
          <t>Stockport (HQ) + depots incl. Sheffield</t>
        </is>
      </c>
      <c r="H357" s="18" t="inlineStr"/>
      <c r="I357" s="18" t="inlineStr">
        <is>
          <t>UK</t>
        </is>
      </c>
      <c r="J357" s="18" t="inlineStr">
        <is>
          <t>UK (no import)</t>
        </is>
      </c>
      <c r="K357" s="18" t="inlineStr">
        <is>
          <t>Sheffield depot: Europa Drive, Shepcote Business Park, S9 1XT</t>
        </is>
      </c>
      <c r="L357" s="18" t="inlineStr">
        <is>
          <t>+44 114 251 8888 (Sheffield)</t>
        </is>
      </c>
      <c r="M357" s="18" t="inlineStr"/>
      <c r="N357" s="18" t="inlineStr">
        <is>
          <t>Cash &amp; carry</t>
        </is>
      </c>
      <c r="O357" s="18" t="inlineStr">
        <is>
          <t>Grocery, household, H&amp;B, confectionery</t>
        </is>
      </c>
      <c r="P357" s="18" t="inlineStr">
        <is>
          <t>FMCG</t>
        </is>
      </c>
      <c r="Q357" s="18" t="inlineStr">
        <is>
          <t>None</t>
        </is>
      </c>
      <c r="R357" s="18" t="inlineStr">
        <is>
          <t>Trade registration</t>
        </is>
      </c>
      <c r="S357" s="18" t="inlineStr">
        <is>
          <t>Yes</t>
        </is>
      </c>
      <c r="T357" s="18" t="inlineStr">
        <is>
          <t>Unknown</t>
        </is>
      </c>
      <c r="U357" s="18" t="inlineStr">
        <is>
          <t>Unknown</t>
        </is>
      </c>
      <c r="V357" s="18" t="inlineStr"/>
      <c r="W357" s="18" t="inlineStr">
        <is>
          <t>Family-owned independent wholesaler</t>
        </is>
      </c>
      <c r="X357" s="18" t="inlineStr"/>
      <c r="Y357" s="18" t="inlineStr"/>
      <c r="Z357" s="18" t="inlineStr">
        <is>
          <t>Directory</t>
        </is>
      </c>
      <c r="AA357" s="19" t="inlineStr">
        <is>
          <t>Source link</t>
        </is>
      </c>
      <c r="AB357" s="19" t="inlineStr">
        <is>
          <t>Search LinkedIn</t>
        </is>
      </c>
      <c r="AC357" s="18" t="inlineStr">
        <is>
          <t>Round 1</t>
        </is>
      </c>
      <c r="AD357" s="20" t="inlineStr">
        <is>
          <t>Not contacted</t>
        </is>
      </c>
      <c r="AE357" s="21" t="n"/>
      <c r="AF357" s="20" t="n"/>
      <c r="AG357" s="20" t="n"/>
      <c r="AH357" s="20" t="n"/>
      <c r="AI357" s="21">
        <f>IF(AE357="","",WORKDAY(AE357,5))</f>
        <v/>
      </c>
      <c r="AJ357" s="20" t="n"/>
      <c r="AK357" s="20" t="n"/>
    </row>
    <row r="358">
      <c r="A358" s="15" t="inlineStr">
        <is>
          <t>UK</t>
        </is>
      </c>
      <c r="B358" s="16" t="n">
        <v>357</v>
      </c>
      <c r="C358" s="17" t="n">
        <v>2</v>
      </c>
      <c r="D358" s="18" t="inlineStr">
        <is>
          <t>General Wholesale / FMCG</t>
        </is>
      </c>
      <c r="E358" s="18" t="inlineStr">
        <is>
          <t>Wholesale Clearance UK</t>
        </is>
      </c>
      <c r="F358" s="19" t="inlineStr">
        <is>
          <t>https://www.wholesaleclearance.co.uk</t>
        </is>
      </c>
      <c r="G358" s="18" t="inlineStr">
        <is>
          <t>UK</t>
        </is>
      </c>
      <c r="H358" s="18" t="inlineStr"/>
      <c r="I358" s="18" t="inlineStr">
        <is>
          <t>UK</t>
        </is>
      </c>
      <c r="J358" s="18" t="inlineStr">
        <is>
          <t>UK (no import)</t>
        </is>
      </c>
      <c r="K358" s="18" t="inlineStr"/>
      <c r="L358" s="18" t="inlineStr"/>
      <c r="M358" s="18" t="inlineStr"/>
      <c r="N358" s="18" t="inlineStr">
        <is>
          <t>Clearance / surplus wholesaler</t>
        </is>
      </c>
      <c r="O358" s="18" t="inlineStr">
        <is>
          <t>Branded clearance &amp; surplus</t>
        </is>
      </c>
      <c r="P358" s="18" t="inlineStr">
        <is>
          <t>Clearance</t>
        </is>
      </c>
      <c r="Q358" s="18" t="inlineStr">
        <is>
          <t>No minimum order</t>
        </is>
      </c>
      <c r="R358" s="18" t="inlineStr">
        <is>
          <t>Trade</t>
        </is>
      </c>
      <c r="S358" s="18" t="inlineStr">
        <is>
          <t>Yes</t>
        </is>
      </c>
      <c r="T358" s="18" t="inlineStr">
        <is>
          <t>Unknown</t>
        </is>
      </c>
      <c r="U358" s="18" t="inlineStr">
        <is>
          <t>Unknown</t>
        </is>
      </c>
      <c r="V358" s="18" t="inlineStr"/>
      <c r="W358" s="18" t="inlineStr">
        <is>
          <t>Founded 2005 (per blog)</t>
        </is>
      </c>
      <c r="X358" s="18" t="inlineStr">
        <is>
          <t>CAUTION: clearance stock may be damaged/expired - check condition</t>
        </is>
      </c>
      <c r="Y358" s="18" t="inlineStr"/>
      <c r="Z358" s="18" t="inlineStr">
        <is>
          <t>Blog article</t>
        </is>
      </c>
      <c r="AA358" s="19" t="inlineStr">
        <is>
          <t>Source link</t>
        </is>
      </c>
      <c r="AB358" s="19" t="inlineStr">
        <is>
          <t>Search LinkedIn</t>
        </is>
      </c>
      <c r="AC358" s="18" t="inlineStr">
        <is>
          <t>Round 1</t>
        </is>
      </c>
      <c r="AD358" s="20" t="inlineStr">
        <is>
          <t>Not contacted</t>
        </is>
      </c>
      <c r="AE358" s="21" t="n"/>
      <c r="AF358" s="20" t="n"/>
      <c r="AG358" s="20" t="n"/>
      <c r="AH358" s="20" t="n"/>
      <c r="AI358" s="21">
        <f>IF(AE358="","",WORKDAY(AE358,5))</f>
        <v/>
      </c>
      <c r="AJ358" s="20" t="n"/>
      <c r="AK358" s="20" t="n"/>
    </row>
    <row r="359">
      <c r="A359" s="15" t="inlineStr">
        <is>
          <t>UK</t>
        </is>
      </c>
      <c r="B359" s="16" t="n">
        <v>358</v>
      </c>
      <c r="C359" s="17" t="n">
        <v>5</v>
      </c>
      <c r="D359" s="18" t="inlineStr">
        <is>
          <t>Health &amp; Personal Care</t>
        </is>
      </c>
      <c r="E359" s="18" t="inlineStr">
        <is>
          <t>Harrisons Direct (Albert Harrison &amp; Co Ltd)</t>
        </is>
      </c>
      <c r="F359" s="19" t="inlineStr">
        <is>
          <t>https://www.harrisonsdirect.co.uk</t>
        </is>
      </c>
      <c r="G359" s="18" t="inlineStr">
        <is>
          <t>Padiham, Burnley, Lancashire</t>
        </is>
      </c>
      <c r="H359" s="18" t="inlineStr"/>
      <c r="I359" s="18" t="inlineStr">
        <is>
          <t>UK</t>
        </is>
      </c>
      <c r="J359" s="18" t="inlineStr">
        <is>
          <t>UK (no import)</t>
        </is>
      </c>
      <c r="K359" s="18" t="inlineStr">
        <is>
          <t>Unit 14A Mead Way, Shuttleworth Mead Business Park, Padiham, BB12 7NG</t>
        </is>
      </c>
      <c r="L359" s="18" t="inlineStr">
        <is>
          <t>+44 1254 306840</t>
        </is>
      </c>
      <c r="M359" s="18" t="inlineStr"/>
      <c r="N359" s="18" t="inlineStr">
        <is>
          <t>Wholesaler</t>
        </is>
      </c>
      <c r="O359" s="18" t="inlineStr">
        <is>
          <t>Health &amp; beauty, GSL medicines (pain relief, hay fever), toiletries, household</t>
        </is>
      </c>
      <c r="P359" s="18" t="inlineStr">
        <is>
          <t>Health / OTC / toiletries</t>
        </is>
      </c>
      <c r="Q359" s="18" t="inlineStr">
        <is>
          <t>No minimum order in UK; free delivery over £200 ex VAT</t>
        </is>
      </c>
      <c r="R359" s="18" t="inlineStr">
        <is>
          <t>Open trade account to see prices</t>
        </is>
      </c>
      <c r="S359" s="18" t="inlineStr">
        <is>
          <t>Yes; also ships to IE/NI/EU</t>
        </is>
      </c>
      <c r="T359" s="18" t="inlineStr">
        <is>
          <t>Unknown</t>
        </is>
      </c>
      <c r="U359" s="18" t="inlineStr">
        <is>
          <t>Unknown</t>
        </is>
      </c>
      <c r="V359" s="18" t="inlineStr"/>
      <c r="W359" s="18" t="inlineStr">
        <is>
          <t>Long-established family wholesaler; listed in Better Retailing supplier directory</t>
        </is>
      </c>
      <c r="X359" s="18" t="inlineStr">
        <is>
          <t>Branded FMCG lines - good for wholesale arbitrage; note Amazon rules on medicines</t>
        </is>
      </c>
      <c r="Y359" s="18" t="inlineStr">
        <is>
          <t>Low barrier to start - good first account.</t>
        </is>
      </c>
      <c r="Z359" s="18" t="inlineStr">
        <is>
          <t>Company website (via search)</t>
        </is>
      </c>
      <c r="AA359" s="19" t="inlineStr">
        <is>
          <t>Source link</t>
        </is>
      </c>
      <c r="AB359" s="19" t="inlineStr">
        <is>
          <t>Search LinkedIn</t>
        </is>
      </c>
      <c r="AC359" s="18" t="inlineStr">
        <is>
          <t>Round 1</t>
        </is>
      </c>
      <c r="AD359" s="20" t="inlineStr">
        <is>
          <t>Not contacted</t>
        </is>
      </c>
      <c r="AE359" s="21" t="n"/>
      <c r="AF359" s="20" t="n"/>
      <c r="AG359" s="20" t="n"/>
      <c r="AH359" s="20" t="n"/>
      <c r="AI359" s="21">
        <f>IF(AE359="","",WORKDAY(AE359,5))</f>
        <v/>
      </c>
      <c r="AJ359" s="20" t="n"/>
      <c r="AK359" s="20" t="n"/>
    </row>
    <row r="360">
      <c r="A360" s="15" t="inlineStr">
        <is>
          <t>UK</t>
        </is>
      </c>
      <c r="B360" s="16" t="n">
        <v>359</v>
      </c>
      <c r="C360" s="17" t="n">
        <v>4</v>
      </c>
      <c r="D360" s="18" t="inlineStr">
        <is>
          <t>Health &amp; Personal Care</t>
        </is>
      </c>
      <c r="E360" s="18" t="inlineStr">
        <is>
          <t>PB Wholesale (Protein Bargain Wholesale)</t>
        </is>
      </c>
      <c r="F360" s="19" t="inlineStr">
        <is>
          <t>https://www.proteinbargainwholesale.co.uk</t>
        </is>
      </c>
      <c r="G360" s="18" t="inlineStr">
        <is>
          <t>Liverpool</t>
        </is>
      </c>
      <c r="H360" s="18" t="inlineStr"/>
      <c r="I360" s="18" t="inlineStr">
        <is>
          <t>UK</t>
        </is>
      </c>
      <c r="J360" s="18" t="inlineStr">
        <is>
          <t>UK (no import)</t>
        </is>
      </c>
      <c r="K360" s="18" t="inlineStr">
        <is>
          <t>7 Webber Road, Liverpool (verify)</t>
        </is>
      </c>
      <c r="L360" s="18" t="inlineStr"/>
      <c r="M360" s="18" t="inlineStr"/>
      <c r="N360" s="18" t="inlineStr">
        <is>
          <t>Sports nutrition wholesaler</t>
        </is>
      </c>
      <c r="O360" s="18" t="inlineStr">
        <is>
          <t>CNP, Mountain Joe's, Per4M + other sports nutrition brands</t>
        </is>
      </c>
      <c r="P360" s="18" t="inlineStr">
        <is>
          <t>Sports nutrition / supplements</t>
        </is>
      </c>
      <c r="Q360" s="18" t="inlineStr">
        <is>
          <t>On request</t>
        </is>
      </c>
      <c r="R360" s="18" t="inlineStr">
        <is>
          <t>Registered trade account</t>
        </is>
      </c>
      <c r="S360" s="18" t="inlineStr">
        <is>
          <t>Yes</t>
        </is>
      </c>
      <c r="T360" s="18" t="inlineStr">
        <is>
          <t>Unknown</t>
        </is>
      </c>
      <c r="U360" s="18" t="inlineStr">
        <is>
          <t>Unknown</t>
        </is>
      </c>
      <c r="V360" s="18" t="inlineStr"/>
      <c r="W360" s="18" t="inlineStr">
        <is>
          <t>Part of PB Group; dedicated account managers</t>
        </is>
      </c>
      <c r="X360" s="18" t="inlineStr">
        <is>
          <t>Supplies online retailers - supplements sell well on Amazon UK</t>
        </is>
      </c>
      <c r="Y360" s="18" t="inlineStr"/>
      <c r="Z360" s="18" t="inlineStr">
        <is>
          <t>Trustpilot + trade press</t>
        </is>
      </c>
      <c r="AA360" s="19" t="inlineStr">
        <is>
          <t>Source link</t>
        </is>
      </c>
      <c r="AB360" s="19" t="inlineStr">
        <is>
          <t>Search LinkedIn</t>
        </is>
      </c>
      <c r="AC360" s="18" t="inlineStr">
        <is>
          <t>Round 1</t>
        </is>
      </c>
      <c r="AD360" s="20" t="inlineStr">
        <is>
          <t>Not contacted</t>
        </is>
      </c>
      <c r="AE360" s="21" t="n"/>
      <c r="AF360" s="20" t="n"/>
      <c r="AG360" s="20" t="n"/>
      <c r="AH360" s="20" t="n"/>
      <c r="AI360" s="21">
        <f>IF(AE360="","",WORKDAY(AE360,5))</f>
        <v/>
      </c>
      <c r="AJ360" s="20" t="n"/>
      <c r="AK360" s="20" t="n"/>
    </row>
    <row r="361">
      <c r="A361" s="15" t="inlineStr">
        <is>
          <t>UK</t>
        </is>
      </c>
      <c r="B361" s="16" t="n">
        <v>360</v>
      </c>
      <c r="C361" s="17" t="n">
        <v>4</v>
      </c>
      <c r="D361" s="18" t="inlineStr">
        <is>
          <t>Health &amp; Personal Care</t>
        </is>
      </c>
      <c r="E361" s="18" t="inlineStr">
        <is>
          <t>Reliance Medical Ltd</t>
        </is>
      </c>
      <c r="F361" s="19" t="inlineStr">
        <is>
          <t>https://www.reliancemedical.co.uk</t>
        </is>
      </c>
      <c r="G361" s="18" t="inlineStr">
        <is>
          <t>Talke, Staffordshire (older address: Congleton, Cheshire)</t>
        </is>
      </c>
      <c r="H361" s="18" t="inlineStr"/>
      <c r="I361" s="18" t="inlineStr">
        <is>
          <t>UK</t>
        </is>
      </c>
      <c r="J361" s="18" t="inlineStr">
        <is>
          <t>UK (no import)</t>
        </is>
      </c>
      <c r="K361" s="18" t="inlineStr">
        <is>
          <t>Older listing: The Radnor Building, Radnor Park Trading Estate, Back Lane, Congleton CW12 4XP</t>
        </is>
      </c>
      <c r="L361" s="18" t="inlineStr"/>
      <c r="M361" s="18" t="inlineStr"/>
      <c r="N361" s="18" t="inlineStr">
        <is>
          <t>Trade-only distributor / manufacturer</t>
        </is>
      </c>
      <c r="O361" s="18" t="inlineStr">
        <is>
          <t>First aid kits (BS 8599), dressings, first aid consumables</t>
        </is>
      </c>
      <c r="P361" s="18" t="inlineStr">
        <is>
          <t>First aid / healthcare</t>
        </is>
      </c>
      <c r="Q361" s="18" t="inlineStr">
        <is>
          <t>On request</t>
        </is>
      </c>
      <c r="R361" s="18" t="inlineStr">
        <is>
          <t>Trade only - sells to distributors</t>
        </is>
      </c>
      <c r="S361" s="18" t="inlineStr">
        <is>
          <t>Yes</t>
        </is>
      </c>
      <c r="T361" s="18" t="inlineStr">
        <is>
          <t>Unknown</t>
        </is>
      </c>
      <c r="U361" s="18" t="inlineStr">
        <is>
          <t>Unknown</t>
        </is>
      </c>
      <c r="V361" s="18" t="inlineStr"/>
      <c r="W361" s="18" t="inlineStr">
        <is>
          <t>Supplies NHS &amp; government; largest UK first aid distributor network</t>
        </is>
      </c>
      <c r="X361" s="18" t="inlineStr">
        <is>
          <t>First aid kits sell well on Amazon UK</t>
        </is>
      </c>
      <c r="Y361" s="18" t="inlineStr"/>
      <c r="Z361" s="18" t="inlineStr">
        <is>
          <t>Directory + trade press</t>
        </is>
      </c>
      <c r="AA361" s="19" t="inlineStr">
        <is>
          <t>Source link</t>
        </is>
      </c>
      <c r="AB361" s="19" t="inlineStr">
        <is>
          <t>Search LinkedIn</t>
        </is>
      </c>
      <c r="AC361" s="18" t="inlineStr">
        <is>
          <t>Round 1</t>
        </is>
      </c>
      <c r="AD361" s="20" t="inlineStr">
        <is>
          <t>Not contacted</t>
        </is>
      </c>
      <c r="AE361" s="21" t="n"/>
      <c r="AF361" s="20" t="n"/>
      <c r="AG361" s="20" t="n"/>
      <c r="AH361" s="20" t="n"/>
      <c r="AI361" s="21">
        <f>IF(AE361="","",WORKDAY(AE361,5))</f>
        <v/>
      </c>
      <c r="AJ361" s="20" t="n"/>
      <c r="AK361" s="20" t="n"/>
    </row>
    <row r="362">
      <c r="A362" s="15" t="inlineStr">
        <is>
          <t>UK</t>
        </is>
      </c>
      <c r="B362" s="16" t="n">
        <v>361</v>
      </c>
      <c r="C362" s="17" t="n">
        <v>3</v>
      </c>
      <c r="D362" s="18" t="inlineStr">
        <is>
          <t>Health &amp; Personal Care</t>
        </is>
      </c>
      <c r="E362" s="18" t="inlineStr">
        <is>
          <t>CLF Distribution</t>
        </is>
      </c>
      <c r="F362" s="19" t="inlineStr">
        <is>
          <t>https://www.clfdistribution.com</t>
        </is>
      </c>
      <c r="G362" s="18" t="inlineStr">
        <is>
          <t>Southampton</t>
        </is>
      </c>
      <c r="H362" s="18" t="inlineStr"/>
      <c r="I362" s="18" t="inlineStr">
        <is>
          <t>UK</t>
        </is>
      </c>
      <c r="J362" s="18" t="inlineStr">
        <is>
          <t>UK (no import)</t>
        </is>
      </c>
      <c r="K362" s="18" t="inlineStr">
        <is>
          <t>Reg: Unit 3, Quest 271 Test Lane, Southampton SO16 9SD (licensed site: Building 210, Nursling Ind. Est., Mauretania Rd, SO16 0YS)</t>
        </is>
      </c>
      <c r="L362" s="18" t="inlineStr">
        <is>
          <t>+44 23 8127 7000</t>
        </is>
      </c>
      <c r="M362" s="18" t="inlineStr">
        <is>
          <t>customerservices@clfdistribution.com</t>
        </is>
      </c>
      <c r="N362" s="18" t="inlineStr">
        <is>
          <t>Wholesaler / Distributor</t>
        </is>
      </c>
      <c r="O362" s="18" t="inlineStr">
        <is>
          <t>Hundreds of health, wellness, natural beauty &amp; lifestyle brands</t>
        </is>
      </c>
      <c r="P362" s="18" t="inlineStr">
        <is>
          <t>Health / natural beauty / supplements</t>
        </is>
      </c>
      <c r="Q362" s="18" t="inlineStr">
        <is>
          <t>On request</t>
        </is>
      </c>
      <c r="R362" s="18" t="inlineStr">
        <is>
          <t>Independent retailers - trade account</t>
        </is>
      </c>
      <c r="S362" s="18" t="inlineStr">
        <is>
          <t>Yes (UK based)</t>
        </is>
      </c>
      <c r="T362" s="18" t="inlineStr">
        <is>
          <t>Unknown</t>
        </is>
      </c>
      <c r="U362" s="18" t="inlineStr">
        <is>
          <t>Unknown</t>
        </is>
      </c>
      <c r="V362" s="18" t="inlineStr"/>
      <c r="W362" s="18" t="inlineStr">
        <is>
          <t>Employee-owned; MHRA wholesale licence site listed</t>
        </is>
      </c>
      <c r="X362" s="18" t="inlineStr">
        <is>
          <t>CAUTION: says its brands are exclusive to independents &amp; not discounted online - ask about online/Amazon policy before applying</t>
        </is>
      </c>
      <c r="Y362" s="18" t="inlineStr">
        <is>
          <t>Great range but may restrict marketplace selling.</t>
        </is>
      </c>
      <c r="Z362" s="18" t="inlineStr">
        <is>
          <t>Directory + MHRA doc</t>
        </is>
      </c>
      <c r="AA362" s="19" t="inlineStr">
        <is>
          <t>Source link</t>
        </is>
      </c>
      <c r="AB362" s="19" t="inlineStr">
        <is>
          <t>Search LinkedIn</t>
        </is>
      </c>
      <c r="AC362" s="18" t="inlineStr">
        <is>
          <t>Round 1</t>
        </is>
      </c>
      <c r="AD362" s="20" t="inlineStr">
        <is>
          <t>Not contacted</t>
        </is>
      </c>
      <c r="AE362" s="21" t="n"/>
      <c r="AF362" s="20" t="n"/>
      <c r="AG362" s="20" t="n"/>
      <c r="AH362" s="20" t="n"/>
      <c r="AI362" s="21">
        <f>IF(AE362="","",WORKDAY(AE362,5))</f>
        <v/>
      </c>
      <c r="AJ362" s="20" t="n"/>
      <c r="AK362" s="20" t="n"/>
    </row>
    <row r="363">
      <c r="A363" s="15" t="inlineStr">
        <is>
          <t>UK</t>
        </is>
      </c>
      <c r="B363" s="16" t="n">
        <v>362</v>
      </c>
      <c r="C363" s="17" t="n">
        <v>3</v>
      </c>
      <c r="D363" s="18" t="inlineStr">
        <is>
          <t>Health &amp; Personal Care</t>
        </is>
      </c>
      <c r="E363" s="18" t="inlineStr">
        <is>
          <t>Lexon (UK) Ltd</t>
        </is>
      </c>
      <c r="F363" s="18" t="inlineStr">
        <is>
          <t>Not confirmed - search company name</t>
        </is>
      </c>
      <c r="G363" s="18" t="inlineStr">
        <is>
          <t>Redditch, Worcestershire</t>
        </is>
      </c>
      <c r="H363" s="18" t="inlineStr"/>
      <c r="I363" s="18" t="inlineStr">
        <is>
          <t>UK</t>
        </is>
      </c>
      <c r="J363" s="18" t="inlineStr">
        <is>
          <t>UK (no import)</t>
        </is>
      </c>
      <c r="K363" s="18" t="inlineStr">
        <is>
          <t>18 Oxleasow Road, Moons Moat East, Redditch, B98 0RE</t>
        </is>
      </c>
      <c r="L363" s="18" t="inlineStr">
        <is>
          <t>+44 1527 501900</t>
        </is>
      </c>
      <c r="M363" s="18" t="inlineStr"/>
      <c r="N363" s="18" t="inlineStr">
        <is>
          <t>Pharmaceutical / healthcare wholesaler (MHRA licensed)</t>
        </is>
      </c>
      <c r="O363" s="18" t="inlineStr">
        <is>
          <t>OTC, fragrances, parallel imports, generics</t>
        </is>
      </c>
      <c r="P363" s="18" t="inlineStr">
        <is>
          <t>Health / OTC / fragrance</t>
        </is>
      </c>
      <c r="Q363" s="18" t="inlineStr">
        <is>
          <t>On request</t>
        </is>
      </c>
      <c r="R363" s="18" t="inlineStr">
        <is>
          <t>Primarily pharmacies - ask about non-pharmacy retail accounts</t>
        </is>
      </c>
      <c r="S363" s="18" t="inlineStr">
        <is>
          <t>Yes</t>
        </is>
      </c>
      <c r="T363" s="18" t="inlineStr">
        <is>
          <t>Unknown</t>
        </is>
      </c>
      <c r="U363" s="18" t="inlineStr">
        <is>
          <t>Unknown</t>
        </is>
      </c>
      <c r="V363" s="18" t="inlineStr"/>
      <c r="W363" s="18" t="inlineStr">
        <is>
          <t>Companies House 03076698; MHRA WDA(H) 15184 (sites: Redditch, Leeds, East Kilbride, Ferryhill)</t>
        </is>
      </c>
      <c r="X363" s="18" t="inlineStr">
        <is>
          <t>Licensed wholesaler = strong invoices; may only supply pharmacies for medicines</t>
        </is>
      </c>
      <c r="Y363" s="18" t="inlineStr">
        <is>
          <t>Sister business to Knights Fragrances (same address).</t>
        </is>
      </c>
      <c r="Z363" s="18" t="inlineStr">
        <is>
          <t>Companies House + MHRA</t>
        </is>
      </c>
      <c r="AA363" s="19" t="inlineStr">
        <is>
          <t>Source link</t>
        </is>
      </c>
      <c r="AB363" s="19" t="inlineStr">
        <is>
          <t>Search LinkedIn</t>
        </is>
      </c>
      <c r="AC363" s="18" t="inlineStr">
        <is>
          <t>Round 1</t>
        </is>
      </c>
      <c r="AD363" s="20" t="inlineStr">
        <is>
          <t>Not contacted</t>
        </is>
      </c>
      <c r="AE363" s="21" t="n"/>
      <c r="AF363" s="20" t="n"/>
      <c r="AG363" s="20" t="n"/>
      <c r="AH363" s="20" t="n"/>
      <c r="AI363" s="21">
        <f>IF(AE363="","",WORKDAY(AE363,5))</f>
        <v/>
      </c>
      <c r="AJ363" s="20" t="n"/>
      <c r="AK363" s="20" t="n"/>
    </row>
    <row r="364">
      <c r="A364" s="15" t="inlineStr">
        <is>
          <t>UK</t>
        </is>
      </c>
      <c r="B364" s="16" t="n">
        <v>363</v>
      </c>
      <c r="C364" s="17" t="n">
        <v>3</v>
      </c>
      <c r="D364" s="18" t="inlineStr">
        <is>
          <t>Health &amp; Personal Care</t>
        </is>
      </c>
      <c r="E364" s="18" t="inlineStr">
        <is>
          <t>Predator Nutrition (wholesale)</t>
        </is>
      </c>
      <c r="F364" s="19" t="inlineStr">
        <is>
          <t>https://www.predatornutrition.com</t>
        </is>
      </c>
      <c r="G364" s="18" t="inlineStr">
        <is>
          <t>Leeds</t>
        </is>
      </c>
      <c r="H364" s="18" t="inlineStr"/>
      <c r="I364" s="18" t="inlineStr">
        <is>
          <t>UK</t>
        </is>
      </c>
      <c r="J364" s="18" t="inlineStr">
        <is>
          <t>UK (no import)</t>
        </is>
      </c>
      <c r="K364" s="18" t="inlineStr">
        <is>
          <t>Leeds</t>
        </is>
      </c>
      <c r="L364" s="18" t="inlineStr"/>
      <c r="M364" s="18" t="inlineStr"/>
      <c r="N364" s="18" t="inlineStr">
        <is>
          <t>Sports supplement wholesaler &amp; retailer</t>
        </is>
      </c>
      <c r="O364" s="18" t="inlineStr">
        <is>
          <t>Exclusive EU distributor: Driven Sports, Body Nutrition, MTS Nutrition + others</t>
        </is>
      </c>
      <c r="P364" s="18" t="inlineStr">
        <is>
          <t>Sports nutrition</t>
        </is>
      </c>
      <c r="Q364" s="18" t="inlineStr">
        <is>
          <t>On request</t>
        </is>
      </c>
      <c r="R364" s="18" t="inlineStr">
        <is>
          <t>Trade</t>
        </is>
      </c>
      <c r="S364" s="18" t="inlineStr">
        <is>
          <t>Yes</t>
        </is>
      </c>
      <c r="T364" s="18" t="inlineStr">
        <is>
          <t>Unknown</t>
        </is>
      </c>
      <c r="U364" s="18" t="inlineStr">
        <is>
          <t>Unknown</t>
        </is>
      </c>
      <c r="V364" s="18" t="inlineStr"/>
      <c r="W364" s="18" t="inlineStr">
        <is>
          <t>Self-described leading European sports supplement wholesaler</t>
        </is>
      </c>
      <c r="X364" s="18" t="inlineStr"/>
      <c r="Y364" s="18" t="inlineStr"/>
      <c r="Z364" s="18" t="inlineStr">
        <is>
          <t>Third-party profile</t>
        </is>
      </c>
      <c r="AA364" s="19" t="inlineStr">
        <is>
          <t>Source link</t>
        </is>
      </c>
      <c r="AB364" s="19" t="inlineStr">
        <is>
          <t>Search LinkedIn</t>
        </is>
      </c>
      <c r="AC364" s="18" t="inlineStr">
        <is>
          <t>Round 2</t>
        </is>
      </c>
      <c r="AD364" s="20" t="inlineStr">
        <is>
          <t>Not contacted</t>
        </is>
      </c>
      <c r="AE364" s="21" t="n"/>
      <c r="AF364" s="20" t="n"/>
      <c r="AG364" s="20" t="n"/>
      <c r="AH364" s="20" t="n"/>
      <c r="AI364" s="21">
        <f>IF(AE364="","",WORKDAY(AE364,5))</f>
        <v/>
      </c>
      <c r="AJ364" s="20" t="n"/>
      <c r="AK364" s="20" t="n"/>
    </row>
    <row r="365">
      <c r="A365" s="15" t="inlineStr">
        <is>
          <t>UK</t>
        </is>
      </c>
      <c r="B365" s="16" t="n">
        <v>364</v>
      </c>
      <c r="C365" s="17" t="n">
        <v>2</v>
      </c>
      <c r="D365" s="18" t="inlineStr">
        <is>
          <t>Health &amp; Personal Care</t>
        </is>
      </c>
      <c r="E365" s="18" t="inlineStr">
        <is>
          <t>GP Supplies</t>
        </is>
      </c>
      <c r="F365" s="18" t="inlineStr">
        <is>
          <t>Not confirmed - search company name</t>
        </is>
      </c>
      <c r="G365" s="18" t="inlineStr">
        <is>
          <t>London</t>
        </is>
      </c>
      <c r="H365" s="18" t="inlineStr"/>
      <c r="I365" s="18" t="inlineStr">
        <is>
          <t>UK</t>
        </is>
      </c>
      <c r="J365" s="18" t="inlineStr">
        <is>
          <t>UK (no import)</t>
        </is>
      </c>
      <c r="K365" s="18" t="inlineStr"/>
      <c r="L365" s="18" t="inlineStr"/>
      <c r="M365" s="18" t="inlineStr"/>
      <c r="N365" s="18" t="inlineStr">
        <is>
          <t>Medical supplier</t>
        </is>
      </c>
      <c r="O365" s="18" t="inlineStr">
        <is>
          <t>BP monitors, diagnostics, mobility aids, dressings - 25,000+ lines</t>
        </is>
      </c>
      <c r="P365" s="18" t="inlineStr">
        <is>
          <t>Medical / mobility</t>
        </is>
      </c>
      <c r="Q365" s="18" t="inlineStr">
        <is>
          <t>On request</t>
        </is>
      </c>
      <c r="R365" s="18" t="inlineStr">
        <is>
          <t>Trade &amp; healthcare accounts</t>
        </is>
      </c>
      <c r="S365" s="18" t="inlineStr">
        <is>
          <t>Yes</t>
        </is>
      </c>
      <c r="T365" s="18" t="inlineStr">
        <is>
          <t>Unknown</t>
        </is>
      </c>
      <c r="U365" s="18" t="inlineStr">
        <is>
          <t>Unknown</t>
        </is>
      </c>
      <c r="V365" s="18" t="inlineStr"/>
      <c r="W365" s="18" t="inlineStr">
        <is>
          <t>Supplies all areas of healthcare</t>
        </is>
      </c>
      <c r="X365" s="18" t="inlineStr"/>
      <c r="Y365" s="18" t="inlineStr">
        <is>
          <t>Also sells retail.</t>
        </is>
      </c>
      <c r="Z365" s="18" t="inlineStr">
        <is>
          <t>Directory</t>
        </is>
      </c>
      <c r="AA365" s="19" t="inlineStr">
        <is>
          <t>Source link</t>
        </is>
      </c>
      <c r="AB365" s="19" t="inlineStr">
        <is>
          <t>Search LinkedIn</t>
        </is>
      </c>
      <c r="AC365" s="18" t="inlineStr">
        <is>
          <t>Round 1</t>
        </is>
      </c>
      <c r="AD365" s="20" t="inlineStr">
        <is>
          <t>Not contacted</t>
        </is>
      </c>
      <c r="AE365" s="21" t="n"/>
      <c r="AF365" s="20" t="n"/>
      <c r="AG365" s="20" t="n"/>
      <c r="AH365" s="20" t="n"/>
      <c r="AI365" s="21">
        <f>IF(AE365="","",WORKDAY(AE365,5))</f>
        <v/>
      </c>
      <c r="AJ365" s="20" t="n"/>
      <c r="AK365" s="20" t="n"/>
    </row>
    <row r="366">
      <c r="A366" s="15" t="inlineStr">
        <is>
          <t>UK</t>
        </is>
      </c>
      <c r="B366" s="16" t="n">
        <v>365</v>
      </c>
      <c r="C366" s="17" t="n">
        <v>2</v>
      </c>
      <c r="D366" s="18" t="inlineStr">
        <is>
          <t>Health &amp; Personal Care</t>
        </is>
      </c>
      <c r="E366" s="18" t="inlineStr">
        <is>
          <t>Karysrol Ltd</t>
        </is>
      </c>
      <c r="F366" s="19" t="inlineStr">
        <is>
          <t>https://b2brazil.com/hotsite/karysrolltd</t>
        </is>
      </c>
      <c r="G366" s="18" t="inlineStr"/>
      <c r="H366" s="18" t="inlineStr"/>
      <c r="I366" s="18" t="inlineStr">
        <is>
          <t>UK</t>
        </is>
      </c>
      <c r="J366" s="18" t="inlineStr">
        <is>
          <t>UK (no import)</t>
        </is>
      </c>
      <c r="K366" s="18" t="inlineStr"/>
      <c r="L366" s="18" t="inlineStr"/>
      <c r="M366" s="18" t="inlineStr"/>
      <c r="N366" s="18" t="inlineStr">
        <is>
          <t>Health &amp; wellness wholesaler</t>
        </is>
      </c>
      <c r="O366" s="18" t="inlineStr">
        <is>
          <t>Vitamins, minerals, supplements, some beauty</t>
        </is>
      </c>
      <c r="P366" s="18" t="inlineStr">
        <is>
          <t>Supplements</t>
        </is>
      </c>
      <c r="Q366" s="18" t="inlineStr">
        <is>
          <t>On request</t>
        </is>
      </c>
      <c r="R366" s="18" t="inlineStr">
        <is>
          <t>B2B</t>
        </is>
      </c>
      <c r="S366" s="18" t="inlineStr">
        <is>
          <t>Yes</t>
        </is>
      </c>
      <c r="T366" s="18" t="inlineStr">
        <is>
          <t>Unknown</t>
        </is>
      </c>
      <c r="U366" s="18" t="inlineStr">
        <is>
          <t>Unknown</t>
        </is>
      </c>
      <c r="V366" s="18" t="inlineStr"/>
      <c r="W366" s="18" t="inlineStr">
        <is>
          <t>30+ years industry experience (self-described)</t>
        </is>
      </c>
      <c r="X366" s="18" t="inlineStr"/>
      <c r="Y366" s="18" t="inlineStr">
        <is>
          <t>Verify on Companies House.</t>
        </is>
      </c>
      <c r="Z366" s="18" t="inlineStr">
        <is>
          <t>Marketplace profile only</t>
        </is>
      </c>
      <c r="AA366" s="19" t="inlineStr">
        <is>
          <t>Source link</t>
        </is>
      </c>
      <c r="AB366" s="19" t="inlineStr">
        <is>
          <t>Search LinkedIn</t>
        </is>
      </c>
      <c r="AC366" s="18" t="inlineStr">
        <is>
          <t>Round 2</t>
        </is>
      </c>
      <c r="AD366" s="20" t="inlineStr">
        <is>
          <t>Not contacted</t>
        </is>
      </c>
      <c r="AE366" s="21" t="n"/>
      <c r="AF366" s="20" t="n"/>
      <c r="AG366" s="20" t="n"/>
      <c r="AH366" s="20" t="n"/>
      <c r="AI366" s="21">
        <f>IF(AE366="","",WORKDAY(AE366,5))</f>
        <v/>
      </c>
      <c r="AJ366" s="20" t="n"/>
      <c r="AK366" s="20" t="n"/>
    </row>
    <row r="367">
      <c r="A367" s="15" t="inlineStr">
        <is>
          <t>UK</t>
        </is>
      </c>
      <c r="B367" s="16" t="n">
        <v>366</v>
      </c>
      <c r="C367" s="17" t="n">
        <v>2</v>
      </c>
      <c r="D367" s="18" t="inlineStr">
        <is>
          <t>Health &amp; Personal Care</t>
        </is>
      </c>
      <c r="E367" s="18" t="inlineStr">
        <is>
          <t>Kinetic Natural Product Distributor (Kinetic Enterprises Ltd)</t>
        </is>
      </c>
      <c r="F367" s="19" t="inlineStr">
        <is>
          <t>https://www.kinetic4health.co.uk</t>
        </is>
      </c>
      <c r="G367" s="18" t="inlineStr">
        <is>
          <t>London area</t>
        </is>
      </c>
      <c r="H367" s="18" t="inlineStr"/>
      <c r="I367" s="18" t="inlineStr">
        <is>
          <t>UK</t>
        </is>
      </c>
      <c r="J367" s="18" t="inlineStr">
        <is>
          <t>UK (no import)</t>
        </is>
      </c>
      <c r="K367" s="18" t="inlineStr"/>
      <c r="L367" s="18" t="inlineStr"/>
      <c r="M367" s="18" t="inlineStr"/>
      <c r="N367" s="18" t="inlineStr">
        <is>
          <t>Distributor</t>
        </is>
      </c>
      <c r="O367" s="18" t="inlineStr">
        <is>
          <t>Natural &amp; organic beauty, nutrition, superfoods</t>
        </is>
      </c>
      <c r="P367" s="18" t="inlineStr">
        <is>
          <t>Natural health / beauty</t>
        </is>
      </c>
      <c r="Q367" s="18" t="inlineStr">
        <is>
          <t>On request</t>
        </is>
      </c>
      <c r="R367" s="18" t="inlineStr">
        <is>
          <t>Trade (health stores, pharmacies, spas)</t>
        </is>
      </c>
      <c r="S367" s="18" t="inlineStr">
        <is>
          <t>Yes; also Europe</t>
        </is>
      </c>
      <c r="T367" s="18" t="inlineStr">
        <is>
          <t>Unknown</t>
        </is>
      </c>
      <c r="U367" s="18" t="inlineStr">
        <is>
          <t>Unknown</t>
        </is>
      </c>
      <c r="V367" s="18" t="inlineStr"/>
      <c r="W367" s="18" t="inlineStr">
        <is>
          <t>23+ years trading</t>
        </is>
      </c>
      <c r="X367" s="18" t="inlineStr">
        <is>
          <t>Ask about online-seller policy</t>
        </is>
      </c>
      <c r="Y367" s="18" t="inlineStr"/>
      <c r="Z367" s="18" t="inlineStr">
        <is>
          <t>Trade press</t>
        </is>
      </c>
      <c r="AA367" s="19" t="inlineStr">
        <is>
          <t>Source link</t>
        </is>
      </c>
      <c r="AB367" s="19" t="inlineStr">
        <is>
          <t>Search LinkedIn</t>
        </is>
      </c>
      <c r="AC367" s="18" t="inlineStr">
        <is>
          <t>Round 1</t>
        </is>
      </c>
      <c r="AD367" s="20" t="inlineStr">
        <is>
          <t>Not contacted</t>
        </is>
      </c>
      <c r="AE367" s="21" t="n"/>
      <c r="AF367" s="20" t="n"/>
      <c r="AG367" s="20" t="n"/>
      <c r="AH367" s="20" t="n"/>
      <c r="AI367" s="21">
        <f>IF(AE367="","",WORKDAY(AE367,5))</f>
        <v/>
      </c>
      <c r="AJ367" s="20" t="n"/>
      <c r="AK367" s="20" t="n"/>
    </row>
    <row r="368">
      <c r="A368" s="15" t="inlineStr">
        <is>
          <t>UK</t>
        </is>
      </c>
      <c r="B368" s="16" t="n">
        <v>367</v>
      </c>
      <c r="C368" s="17" t="n">
        <v>2</v>
      </c>
      <c r="D368" s="18" t="inlineStr">
        <is>
          <t>Health &amp; Personal Care</t>
        </is>
      </c>
      <c r="E368" s="18" t="inlineStr">
        <is>
          <t>Suma Wholefoods</t>
        </is>
      </c>
      <c r="F368" s="19" t="inlineStr">
        <is>
          <t>https://www.suma.coop</t>
        </is>
      </c>
      <c r="G368" s="18" t="inlineStr">
        <is>
          <t>Elland, West Yorkshire</t>
        </is>
      </c>
      <c r="H368" s="18" t="inlineStr"/>
      <c r="I368" s="18" t="inlineStr">
        <is>
          <t>UK</t>
        </is>
      </c>
      <c r="J368" s="18" t="inlineStr">
        <is>
          <t>UK (no import)</t>
        </is>
      </c>
      <c r="K368" s="18" t="inlineStr"/>
      <c r="L368" s="18" t="inlineStr"/>
      <c r="M368" s="18" t="inlineStr"/>
      <c r="N368" s="18" t="inlineStr">
        <is>
          <t>Wholesaler (co-op)</t>
        </is>
      </c>
      <c r="O368" s="18" t="inlineStr">
        <is>
          <t>Natural/organic food, health &amp; eco beauty/household</t>
        </is>
      </c>
      <c r="P368" s="18" t="inlineStr">
        <is>
          <t>Natural health / grocery</t>
        </is>
      </c>
      <c r="Q368" s="18" t="inlineStr">
        <is>
          <t>Approx £250-£350 + VAT (per customer reviews - confirm)</t>
        </is>
      </c>
      <c r="R368" s="18" t="inlineStr">
        <is>
          <t>Trade account</t>
        </is>
      </c>
      <c r="S368" s="18" t="inlineStr">
        <is>
          <t>Yes</t>
        </is>
      </c>
      <c r="T368" s="18" t="inlineStr">
        <is>
          <t>Unknown</t>
        </is>
      </c>
      <c r="U368" s="18" t="inlineStr">
        <is>
          <t>Unknown</t>
        </is>
      </c>
      <c r="V368" s="18" t="inlineStr"/>
      <c r="W368" s="18" t="inlineStr">
        <is>
          <t>Large UK workers' co-operative</t>
        </is>
      </c>
      <c r="X368" s="18" t="inlineStr"/>
      <c r="Y368" s="18" t="inlineStr"/>
      <c r="Z368" s="18" t="inlineStr">
        <is>
          <t>Reviews - confirm terms</t>
        </is>
      </c>
      <c r="AA368" s="19" t="inlineStr">
        <is>
          <t>Source link</t>
        </is>
      </c>
      <c r="AB368" s="19" t="inlineStr">
        <is>
          <t>Search LinkedIn</t>
        </is>
      </c>
      <c r="AC368" s="18" t="inlineStr">
        <is>
          <t>Round 1</t>
        </is>
      </c>
      <c r="AD368" s="20" t="inlineStr">
        <is>
          <t>Not contacted</t>
        </is>
      </c>
      <c r="AE368" s="21" t="n"/>
      <c r="AF368" s="20" t="n"/>
      <c r="AG368" s="20" t="n"/>
      <c r="AH368" s="20" t="n"/>
      <c r="AI368" s="21">
        <f>IF(AE368="","",WORKDAY(AE368,5))</f>
        <v/>
      </c>
      <c r="AJ368" s="20" t="n"/>
      <c r="AK368" s="20" t="n"/>
    </row>
    <row r="369">
      <c r="A369" s="15" t="inlineStr">
        <is>
          <t>UK</t>
        </is>
      </c>
      <c r="B369" s="16" t="n">
        <v>368</v>
      </c>
      <c r="C369" s="17" t="n">
        <v>5</v>
      </c>
      <c r="D369" s="18" t="inlineStr">
        <is>
          <t>Home &amp; Kitchen</t>
        </is>
      </c>
      <c r="E369" s="18" t="inlineStr">
        <is>
          <t>RKW Ltd (Sutton Venture Group)</t>
        </is>
      </c>
      <c r="F369" s="19" t="inlineStr">
        <is>
          <t>https://www.rkwltd.com</t>
        </is>
      </c>
      <c r="G369" s="18" t="inlineStr">
        <is>
          <t>Stoke-on-Trent</t>
        </is>
      </c>
      <c r="H369" s="18" t="inlineStr"/>
      <c r="I369" s="18" t="inlineStr">
        <is>
          <t>UK</t>
        </is>
      </c>
      <c r="J369" s="18" t="inlineStr">
        <is>
          <t>UK (no import)</t>
        </is>
      </c>
      <c r="K369" s="18" t="inlineStr">
        <is>
          <t>Sutton House, Berryhill Road, Fenton, Stoke-on-Trent ST4 2NL</t>
        </is>
      </c>
      <c r="L369" s="18" t="inlineStr">
        <is>
          <t>+44 333 220 6070</t>
        </is>
      </c>
      <c r="M369" s="18" t="inlineStr">
        <is>
          <t>sales@rkwltd.com</t>
        </is>
      </c>
      <c r="N369" s="18" t="inlineStr">
        <is>
          <t>Brand owner / distributor</t>
        </is>
      </c>
      <c r="O369" s="18" t="inlineStr">
        <is>
          <t>Tower, Swan, Goblin, Redring, Wade, Royal Victoria, Burco; exclusive Smeg SDA distributor</t>
        </is>
      </c>
      <c r="P369" s="18" t="inlineStr">
        <is>
          <t>Small domestic appliances &amp; housewares</t>
        </is>
      </c>
      <c r="Q369" s="18" t="inlineStr">
        <is>
          <t>On request</t>
        </is>
      </c>
      <c r="R369" s="18" t="inlineStr">
        <is>
          <t>Retailers</t>
        </is>
      </c>
      <c r="S369" s="18" t="inlineStr">
        <is>
          <t>Yes</t>
        </is>
      </c>
      <c r="T369" s="18" t="inlineStr">
        <is>
          <t>Unknown</t>
        </is>
      </c>
      <c r="U369" s="18" t="inlineStr">
        <is>
          <t>Unknown</t>
        </is>
      </c>
      <c r="V369" s="18" t="inlineStr"/>
      <c r="W369" s="18" t="inlineStr">
        <is>
          <t>Est. 1989; 15 brands; Ambiente exhibitor</t>
        </is>
      </c>
      <c r="X369" s="18" t="inlineStr">
        <is>
          <t>Tower &amp; Swan are big Amazon UK sellers - brand-direct invoices</t>
        </is>
      </c>
      <c r="Y369" s="18" t="inlineStr"/>
      <c r="Z369" s="18" t="inlineStr">
        <is>
          <t>Trade press + exhibitor listing</t>
        </is>
      </c>
      <c r="AA369" s="19" t="inlineStr">
        <is>
          <t>Source link</t>
        </is>
      </c>
      <c r="AB369" s="19" t="inlineStr">
        <is>
          <t>Search LinkedIn</t>
        </is>
      </c>
      <c r="AC369" s="18" t="inlineStr">
        <is>
          <t>Round 2</t>
        </is>
      </c>
      <c r="AD369" s="20" t="inlineStr">
        <is>
          <t>Not contacted</t>
        </is>
      </c>
      <c r="AE369" s="21" t="n"/>
      <c r="AF369" s="20" t="n"/>
      <c r="AG369" s="20" t="n"/>
      <c r="AH369" s="20" t="n"/>
      <c r="AI369" s="21">
        <f>IF(AE369="","",WORKDAY(AE369,5))</f>
        <v/>
      </c>
      <c r="AJ369" s="20" t="n"/>
      <c r="AK369" s="20" t="n"/>
    </row>
    <row r="370">
      <c r="A370" s="15" t="inlineStr">
        <is>
          <t>UK</t>
        </is>
      </c>
      <c r="B370" s="16" t="n">
        <v>369</v>
      </c>
      <c r="C370" s="17" t="n">
        <v>4</v>
      </c>
      <c r="D370" s="18" t="inlineStr">
        <is>
          <t>Home &amp; Kitchen</t>
        </is>
      </c>
      <c r="E370" s="18" t="inlineStr">
        <is>
          <t>EPE International Ltd</t>
        </is>
      </c>
      <c r="F370" s="19" t="inlineStr">
        <is>
          <t>https://www.epeinternational.com</t>
        </is>
      </c>
      <c r="G370" s="18" t="inlineStr">
        <is>
          <t>Bradford</t>
        </is>
      </c>
      <c r="H370" s="18" t="inlineStr"/>
      <c r="I370" s="18" t="inlineStr">
        <is>
          <t>UK</t>
        </is>
      </c>
      <c r="J370" s="18" t="inlineStr">
        <is>
          <t>UK (no import)</t>
        </is>
      </c>
      <c r="K370" s="18" t="inlineStr">
        <is>
          <t>Belfry House, Roydsdale Way, Euroway Trading Estate, Bradford BD4 6SU</t>
        </is>
      </c>
      <c r="L370" s="18" t="inlineStr"/>
      <c r="M370" s="18" t="inlineStr"/>
      <c r="N370" s="18" t="inlineStr">
        <is>
          <t>Distributor (housewares &amp; SDA)</t>
        </is>
      </c>
      <c r="O370" s="18" t="inlineStr">
        <is>
          <t>Kenwood, De'Longhi, Kärcher, Philips, Braun (food prep/laundry), Salter, Tefal/Jamie Oliver cookware</t>
        </is>
      </c>
      <c r="P370" s="18" t="inlineStr">
        <is>
          <t>Kitchen electricals &amp; cookware</t>
        </is>
      </c>
      <c r="Q370" s="18" t="inlineStr">
        <is>
          <t>On request</t>
        </is>
      </c>
      <c r="R370" s="18" t="inlineStr">
        <is>
          <t>Retailers - 24/7 trade site with live stock</t>
        </is>
      </c>
      <c r="S370" s="18" t="inlineStr">
        <is>
          <t>Yes</t>
        </is>
      </c>
      <c r="T370" s="18" t="inlineStr">
        <is>
          <t>Unknown</t>
        </is>
      </c>
      <c r="U370" s="18" t="inlineStr">
        <is>
          <t>Unknown</t>
        </is>
      </c>
      <c r="V370" s="18" t="inlineStr"/>
      <c r="W370" s="18" t="inlineStr">
        <is>
          <t>20+ years; BHETA &amp; Bira supplier; trade arm Trade Direct Electrical Appliances</t>
        </is>
      </c>
      <c r="X370" s="18" t="inlineStr"/>
      <c r="Y370" s="18" t="inlineStr"/>
      <c r="Z370" s="18" t="inlineStr">
        <is>
          <t>Trade press + association listings</t>
        </is>
      </c>
      <c r="AA370" s="19" t="inlineStr">
        <is>
          <t>Source link</t>
        </is>
      </c>
      <c r="AB370" s="19" t="inlineStr">
        <is>
          <t>Search LinkedIn</t>
        </is>
      </c>
      <c r="AC370" s="18" t="inlineStr">
        <is>
          <t>Round 2</t>
        </is>
      </c>
      <c r="AD370" s="20" t="inlineStr">
        <is>
          <t>Not contacted</t>
        </is>
      </c>
      <c r="AE370" s="21" t="n"/>
      <c r="AF370" s="20" t="n"/>
      <c r="AG370" s="20" t="n"/>
      <c r="AH370" s="20" t="n"/>
      <c r="AI370" s="21">
        <f>IF(AE370="","",WORKDAY(AE370,5))</f>
        <v/>
      </c>
      <c r="AJ370" s="20" t="n"/>
      <c r="AK370" s="20" t="n"/>
    </row>
    <row r="371">
      <c r="A371" s="15" t="inlineStr">
        <is>
          <t>UK</t>
        </is>
      </c>
      <c r="B371" s="16" t="n">
        <v>370</v>
      </c>
      <c r="C371" s="17" t="n">
        <v>3</v>
      </c>
      <c r="D371" s="18" t="inlineStr">
        <is>
          <t>Home &amp; Kitchen</t>
        </is>
      </c>
      <c r="E371" s="18" t="inlineStr">
        <is>
          <t>Bluestem Group</t>
        </is>
      </c>
      <c r="F371" s="18" t="inlineStr">
        <is>
          <t>Not confirmed - search company name</t>
        </is>
      </c>
      <c r="G371" s="18" t="inlineStr">
        <is>
          <t>Ipswich area</t>
        </is>
      </c>
      <c r="H371" s="18" t="inlineStr"/>
      <c r="I371" s="18" t="inlineStr">
        <is>
          <t>UK</t>
        </is>
      </c>
      <c r="J371" s="18" t="inlineStr">
        <is>
          <t>UK (no import)</t>
        </is>
      </c>
      <c r="K371" s="18" t="inlineStr"/>
      <c r="L371" s="18" t="inlineStr">
        <is>
          <t>+44 1473 271272</t>
        </is>
      </c>
      <c r="M371" s="18" t="inlineStr">
        <is>
          <t>sales@bluestemgroup.co.uk</t>
        </is>
      </c>
      <c r="N371" s="18" t="inlineStr">
        <is>
          <t>Exclusive distribution partner</t>
        </is>
      </c>
      <c r="O371" s="18" t="inlineStr">
        <is>
          <t>De'Longhi, Kenwood, Braun, Ariete</t>
        </is>
      </c>
      <c r="P371" s="18" t="inlineStr">
        <is>
          <t>Small domestic appliances</t>
        </is>
      </c>
      <c r="Q371" s="18" t="inlineStr">
        <is>
          <t>On request</t>
        </is>
      </c>
      <c r="R371" s="18" t="inlineStr">
        <is>
          <t>Retailers</t>
        </is>
      </c>
      <c r="S371" s="18" t="inlineStr">
        <is>
          <t>Yes</t>
        </is>
      </c>
      <c r="T371" s="18" t="inlineStr">
        <is>
          <t>Unknown</t>
        </is>
      </c>
      <c r="U371" s="18" t="inlineStr">
        <is>
          <t>Unknown</t>
        </is>
      </c>
      <c r="V371" s="18" t="inlineStr"/>
      <c r="W371" s="18" t="inlineStr">
        <is>
          <t>Exclusive De'Longhi Group partnership (BHETA news)</t>
        </is>
      </c>
      <c r="X371" s="18" t="inlineStr"/>
      <c r="Y371" s="18" t="inlineStr"/>
      <c r="Z371" s="18" t="inlineStr">
        <is>
          <t>Trade association news</t>
        </is>
      </c>
      <c r="AA371" s="19" t="inlineStr">
        <is>
          <t>Source link</t>
        </is>
      </c>
      <c r="AB371" s="19" t="inlineStr">
        <is>
          <t>Search LinkedIn</t>
        </is>
      </c>
      <c r="AC371" s="18" t="inlineStr">
        <is>
          <t>Round 2</t>
        </is>
      </c>
      <c r="AD371" s="20" t="inlineStr">
        <is>
          <t>Not contacted</t>
        </is>
      </c>
      <c r="AE371" s="21" t="n"/>
      <c r="AF371" s="20" t="n"/>
      <c r="AG371" s="20" t="n"/>
      <c r="AH371" s="20" t="n"/>
      <c r="AI371" s="21">
        <f>IF(AE371="","",WORKDAY(AE371,5))</f>
        <v/>
      </c>
      <c r="AJ371" s="20" t="n"/>
      <c r="AK371" s="20" t="n"/>
    </row>
    <row r="372">
      <c r="A372" s="15" t="inlineStr">
        <is>
          <t>UK</t>
        </is>
      </c>
      <c r="B372" s="16" t="n">
        <v>371</v>
      </c>
      <c r="C372" s="17" t="n">
        <v>3</v>
      </c>
      <c r="D372" s="18" t="inlineStr">
        <is>
          <t>Home &amp; Kitchen</t>
        </is>
      </c>
      <c r="E372" s="18" t="inlineStr">
        <is>
          <t>Burton McCall</t>
        </is>
      </c>
      <c r="F372" s="18" t="inlineStr">
        <is>
          <t>Not confirmed - search company name</t>
        </is>
      </c>
      <c r="G372" s="18" t="inlineStr">
        <is>
          <t>Leicester</t>
        </is>
      </c>
      <c r="H372" s="18" t="inlineStr"/>
      <c r="I372" s="18" t="inlineStr">
        <is>
          <t>UK</t>
        </is>
      </c>
      <c r="J372" s="18" t="inlineStr">
        <is>
          <t>UK (no import)</t>
        </is>
      </c>
      <c r="K372" s="18" t="inlineStr"/>
      <c r="L372" s="18" t="inlineStr"/>
      <c r="M372" s="18" t="inlineStr"/>
      <c r="N372" s="18" t="inlineStr">
        <is>
          <t>Housewares distributor</t>
        </is>
      </c>
      <c r="O372" s="18" t="inlineStr">
        <is>
          <t>Microplane (UK) + premium kitchenware brands</t>
        </is>
      </c>
      <c r="P372" s="18" t="inlineStr">
        <is>
          <t>Kitchen tools</t>
        </is>
      </c>
      <c r="Q372" s="18" t="inlineStr">
        <is>
          <t>On request</t>
        </is>
      </c>
      <c r="R372" s="18" t="inlineStr">
        <is>
          <t>Retailers</t>
        </is>
      </c>
      <c r="S372" s="18" t="inlineStr">
        <is>
          <t>Yes</t>
        </is>
      </c>
      <c r="T372" s="18" t="inlineStr">
        <is>
          <t>Unknown</t>
        </is>
      </c>
      <c r="U372" s="18" t="inlineStr">
        <is>
          <t>Unknown</t>
        </is>
      </c>
      <c r="V372" s="18" t="inlineStr"/>
      <c r="W372" s="18" t="inlineStr">
        <is>
          <t>Established UK housewares distributor</t>
        </is>
      </c>
      <c r="X372" s="18" t="inlineStr"/>
      <c r="Y372" s="18" t="inlineStr"/>
      <c r="Z372" s="18" t="inlineStr">
        <is>
          <t>Trade press</t>
        </is>
      </c>
      <c r="AA372" s="19" t="inlineStr">
        <is>
          <t>Source link</t>
        </is>
      </c>
      <c r="AB372" s="19" t="inlineStr">
        <is>
          <t>Search LinkedIn</t>
        </is>
      </c>
      <c r="AC372" s="18" t="inlineStr">
        <is>
          <t>Round 2</t>
        </is>
      </c>
      <c r="AD372" s="20" t="inlineStr">
        <is>
          <t>Not contacted</t>
        </is>
      </c>
      <c r="AE372" s="21" t="n"/>
      <c r="AF372" s="20" t="n"/>
      <c r="AG372" s="20" t="n"/>
      <c r="AH372" s="20" t="n"/>
      <c r="AI372" s="21">
        <f>IF(AE372="","",WORKDAY(AE372,5))</f>
        <v/>
      </c>
      <c r="AJ372" s="20" t="n"/>
      <c r="AK372" s="20" t="n"/>
    </row>
    <row r="373">
      <c r="A373" s="15" t="inlineStr">
        <is>
          <t>UK</t>
        </is>
      </c>
      <c r="B373" s="16" t="n">
        <v>372</v>
      </c>
      <c r="C373" s="17" t="n">
        <v>3</v>
      </c>
      <c r="D373" s="18" t="inlineStr">
        <is>
          <t>Home &amp; Kitchen</t>
        </is>
      </c>
      <c r="E373" s="18" t="inlineStr">
        <is>
          <t>Connect Distribution</t>
        </is>
      </c>
      <c r="F373" s="19" t="inlineStr">
        <is>
          <t>https://www.connect-distribution.co.uk</t>
        </is>
      </c>
      <c r="G373" s="18" t="inlineStr">
        <is>
          <t>UK</t>
        </is>
      </c>
      <c r="H373" s="18" t="inlineStr"/>
      <c r="I373" s="18" t="inlineStr">
        <is>
          <t>UK</t>
        </is>
      </c>
      <c r="J373" s="18" t="inlineStr">
        <is>
          <t>UK (no import)</t>
        </is>
      </c>
      <c r="K373" s="18" t="inlineStr"/>
      <c r="L373" s="18" t="inlineStr"/>
      <c r="M373" s="18" t="inlineStr">
        <is>
          <t>sales@connect-distribution.co.uk</t>
        </is>
      </c>
      <c r="N373" s="18" t="inlineStr">
        <is>
          <t>Appointed distributor</t>
        </is>
      </c>
      <c r="O373" s="18" t="inlineStr">
        <is>
          <t>De'Longhi, Kenwood, Braun small appliances (200+ products)</t>
        </is>
      </c>
      <c r="P373" s="18" t="inlineStr">
        <is>
          <t>Small domestic appliances</t>
        </is>
      </c>
      <c r="Q373" s="18" t="inlineStr">
        <is>
          <t>On request</t>
        </is>
      </c>
      <c r="R373" s="18" t="inlineStr">
        <is>
          <t>Independent electrical retailers - register online</t>
        </is>
      </c>
      <c r="S373" s="18" t="inlineStr">
        <is>
          <t>Yes</t>
        </is>
      </c>
      <c r="T373" s="18" t="inlineStr">
        <is>
          <t>Unknown</t>
        </is>
      </c>
      <c r="U373" s="18" t="inlineStr">
        <is>
          <t>Unknown</t>
        </is>
      </c>
      <c r="V373" s="18" t="inlineStr"/>
      <c r="W373" s="18" t="inlineStr">
        <is>
          <t>Appointed De'Longhi Group distributor; Head of B2B Carl Bould</t>
        </is>
      </c>
      <c r="X373" s="18" t="inlineStr">
        <is>
          <t>Targets independents - ask about online</t>
        </is>
      </c>
      <c r="Y373" s="18" t="inlineStr">
        <is>
          <t>Register: connect-distribution.co.uk/register.html</t>
        </is>
      </c>
      <c r="Z373" s="18" t="inlineStr">
        <is>
          <t>Trade press + Bira listing</t>
        </is>
      </c>
      <c r="AA373" s="19" t="inlineStr">
        <is>
          <t>Source link</t>
        </is>
      </c>
      <c r="AB373" s="19" t="inlineStr">
        <is>
          <t>Search LinkedIn</t>
        </is>
      </c>
      <c r="AC373" s="18" t="inlineStr">
        <is>
          <t>Round 2</t>
        </is>
      </c>
      <c r="AD373" s="20" t="inlineStr">
        <is>
          <t>Not contacted</t>
        </is>
      </c>
      <c r="AE373" s="21" t="n"/>
      <c r="AF373" s="20" t="n"/>
      <c r="AG373" s="20" t="n"/>
      <c r="AH373" s="20" t="n"/>
      <c r="AI373" s="21">
        <f>IF(AE373="","",WORKDAY(AE373,5))</f>
        <v/>
      </c>
      <c r="AJ373" s="20" t="n"/>
      <c r="AK373" s="20" t="n"/>
    </row>
    <row r="374">
      <c r="A374" s="15" t="inlineStr">
        <is>
          <t>UK</t>
        </is>
      </c>
      <c r="B374" s="16" t="n">
        <v>373</v>
      </c>
      <c r="C374" s="17" t="n">
        <v>3</v>
      </c>
      <c r="D374" s="18" t="inlineStr">
        <is>
          <t>Home &amp; Kitchen</t>
        </is>
      </c>
      <c r="E374" s="18" t="inlineStr">
        <is>
          <t>HAUS Marketing &amp; Distribution</t>
        </is>
      </c>
      <c r="F374" s="19" t="inlineStr">
        <is>
          <t>https://hauswares.co.uk</t>
        </is>
      </c>
      <c r="G374" s="18" t="inlineStr">
        <is>
          <t>Stoke-on-Trent</t>
        </is>
      </c>
      <c r="H374" s="18" t="inlineStr"/>
      <c r="I374" s="18" t="inlineStr">
        <is>
          <t>UK</t>
        </is>
      </c>
      <c r="J374" s="18" t="inlineStr">
        <is>
          <t>UK (no import)</t>
        </is>
      </c>
      <c r="K374" s="18" t="inlineStr">
        <is>
          <t>Stoke-on-Trent (offices &amp; warehouse)</t>
        </is>
      </c>
      <c r="L374" s="18" t="inlineStr">
        <is>
          <t>+44 1782 572910</t>
        </is>
      </c>
      <c r="M374" s="18" t="inlineStr">
        <is>
          <t>info@inthehaus.co.uk</t>
        </is>
      </c>
      <c r="N374" s="18" t="inlineStr">
        <is>
          <t>Exclusive UK importer / distributor</t>
        </is>
      </c>
      <c r="O374" s="18" t="inlineStr">
        <is>
          <t>De Buyer, Scanpan, Emile Henry, Vacu Vin (+ others)</t>
        </is>
      </c>
      <c r="P374" s="18" t="inlineStr">
        <is>
          <t>Premium cookware</t>
        </is>
      </c>
      <c r="Q374" s="18" t="inlineStr">
        <is>
          <t>On request</t>
        </is>
      </c>
      <c r="R374" s="18" t="inlineStr">
        <is>
          <t>Retailers - trade portal log-in</t>
        </is>
      </c>
      <c r="S374" s="18" t="inlineStr">
        <is>
          <t>Yes</t>
        </is>
      </c>
      <c r="T374" s="18" t="inlineStr">
        <is>
          <t>Unknown</t>
        </is>
      </c>
      <c r="U374" s="18" t="inlineStr">
        <is>
          <t>Unknown</t>
        </is>
      </c>
      <c r="V374" s="18" t="inlineStr"/>
      <c r="W374" s="18" t="inlineStr">
        <is>
          <t>20 years in housewares; Bira supplier</t>
        </is>
      </c>
      <c r="X374" s="18" t="inlineStr">
        <is>
          <t>Premium brands may set online pricing rules</t>
        </is>
      </c>
      <c r="Y374" s="18" t="inlineStr"/>
      <c r="Z374" s="18" t="inlineStr">
        <is>
          <t>Bira listing + trade press</t>
        </is>
      </c>
      <c r="AA374" s="19" t="inlineStr">
        <is>
          <t>Source link</t>
        </is>
      </c>
      <c r="AB374" s="19" t="inlineStr">
        <is>
          <t>Search LinkedIn</t>
        </is>
      </c>
      <c r="AC374" s="18" t="inlineStr">
        <is>
          <t>Round 2</t>
        </is>
      </c>
      <c r="AD374" s="20" t="inlineStr">
        <is>
          <t>Not contacted</t>
        </is>
      </c>
      <c r="AE374" s="21" t="n"/>
      <c r="AF374" s="20" t="n"/>
      <c r="AG374" s="20" t="n"/>
      <c r="AH374" s="20" t="n"/>
      <c r="AI374" s="21">
        <f>IF(AE374="","",WORKDAY(AE374,5))</f>
        <v/>
      </c>
      <c r="AJ374" s="20" t="n"/>
      <c r="AK374" s="20" t="n"/>
    </row>
    <row r="375">
      <c r="A375" s="15" t="inlineStr">
        <is>
          <t>UK</t>
        </is>
      </c>
      <c r="B375" s="16" t="n">
        <v>374</v>
      </c>
      <c r="C375" s="17" t="n">
        <v>3</v>
      </c>
      <c r="D375" s="18" t="inlineStr">
        <is>
          <t>Home &amp; Kitchen</t>
        </is>
      </c>
      <c r="E375" s="18" t="inlineStr">
        <is>
          <t>SQ Professional Ltd</t>
        </is>
      </c>
      <c r="F375" s="19" t="inlineStr">
        <is>
          <t>https://www.great.gov.uk/international/buy-from-the-uk/find-a-supplier/supplier/07179010</t>
        </is>
      </c>
      <c r="G375" s="18" t="inlineStr">
        <is>
          <t>Enfield</t>
        </is>
      </c>
      <c r="H375" s="18" t="inlineStr"/>
      <c r="I375" s="18" t="inlineStr">
        <is>
          <t>UK</t>
        </is>
      </c>
      <c r="J375" s="18" t="inlineStr">
        <is>
          <t>UK (no import)</t>
        </is>
      </c>
      <c r="K375" s="18" t="inlineStr">
        <is>
          <t>Enfield</t>
        </is>
      </c>
      <c r="L375" s="18" t="inlineStr"/>
      <c r="M375" s="18" t="inlineStr"/>
      <c r="N375" s="18" t="inlineStr">
        <is>
          <t>Kitchenware &amp; houseware supplier</t>
        </is>
      </c>
      <c r="O375" s="18" t="inlineStr">
        <is>
          <t>Own-brand &amp; licensed kitchenware/houseware</t>
        </is>
      </c>
      <c r="P375" s="18" t="inlineStr">
        <is>
          <t>Kitchenware</t>
        </is>
      </c>
      <c r="Q375" s="18" t="inlineStr">
        <is>
          <t>On request</t>
        </is>
      </c>
      <c r="R375" s="18" t="inlineStr">
        <is>
          <t>Wholesalers, multiples, retailers</t>
        </is>
      </c>
      <c r="S375" s="18" t="inlineStr">
        <is>
          <t>Yes</t>
        </is>
      </c>
      <c r="T375" s="18" t="inlineStr">
        <is>
          <t>Unknown</t>
        </is>
      </c>
      <c r="U375" s="18" t="inlineStr">
        <is>
          <t>Unknown</t>
        </is>
      </c>
      <c r="V375" s="18" t="inlineStr">
        <is>
          <t>CH 07179010</t>
        </is>
      </c>
      <c r="W375" s="18" t="inlineStr">
        <is>
          <t>Companies House 07179010</t>
        </is>
      </c>
      <c r="X375" s="18" t="inlineStr"/>
      <c r="Y375" s="18" t="inlineStr"/>
      <c r="Z375" s="18" t="inlineStr">
        <is>
          <t>Gov supplier directory</t>
        </is>
      </c>
      <c r="AA375" s="19" t="inlineStr">
        <is>
          <t>Source link</t>
        </is>
      </c>
      <c r="AB375" s="19" t="inlineStr">
        <is>
          <t>Search LinkedIn</t>
        </is>
      </c>
      <c r="AC375" s="18" t="inlineStr">
        <is>
          <t>Round 2</t>
        </is>
      </c>
      <c r="AD375" s="20" t="inlineStr">
        <is>
          <t>Not contacted</t>
        </is>
      </c>
      <c r="AE375" s="21" t="n"/>
      <c r="AF375" s="20" t="n"/>
      <c r="AG375" s="20" t="n"/>
      <c r="AH375" s="20" t="n"/>
      <c r="AI375" s="21">
        <f>IF(AE375="","",WORKDAY(AE375,5))</f>
        <v/>
      </c>
      <c r="AJ375" s="20" t="n"/>
      <c r="AK375" s="20" t="n"/>
    </row>
    <row r="376">
      <c r="A376" s="15" t="inlineStr">
        <is>
          <t>UK</t>
        </is>
      </c>
      <c r="B376" s="16" t="n">
        <v>375</v>
      </c>
      <c r="C376" s="17" t="n">
        <v>4</v>
      </c>
      <c r="D376" s="18" t="inlineStr">
        <is>
          <t>Pet Supplies</t>
        </is>
      </c>
      <c r="E376" s="18" t="inlineStr">
        <is>
          <t>Pedigree Wholesale</t>
        </is>
      </c>
      <c r="F376" s="19" t="inlineStr">
        <is>
          <t>https://www.petproducts.co.uk</t>
        </is>
      </c>
      <c r="G376" s="18" t="inlineStr">
        <is>
          <t>Gamston, Nottingham</t>
        </is>
      </c>
      <c r="H376" s="18" t="inlineStr"/>
      <c r="I376" s="18" t="inlineStr">
        <is>
          <t>UK</t>
        </is>
      </c>
      <c r="J376" s="18" t="inlineStr">
        <is>
          <t>UK (no import)</t>
        </is>
      </c>
      <c r="K376" s="18" t="inlineStr">
        <is>
          <t>Pedigree House, Ambleside, Gamston, Nottingham NG2 6NQ</t>
        </is>
      </c>
      <c r="L376" s="18" t="inlineStr">
        <is>
          <t>+44 115 982 3900</t>
        </is>
      </c>
      <c r="M376" s="18" t="inlineStr">
        <is>
          <t>sales@petproducts.co.uk</t>
        </is>
      </c>
      <c r="N376" s="18" t="inlineStr">
        <is>
          <t>Pet wholesaler</t>
        </is>
      </c>
      <c r="O376" s="18" t="inlineStr">
        <is>
          <t>KONG, Chuckit!, James Wellbeloved, Forthglade, Nutriment, Carnilove - 10,000+ products</t>
        </is>
      </c>
      <c r="P376" s="18" t="inlineStr">
        <is>
          <t>Pet food &amp; accessories</t>
        </is>
      </c>
      <c r="Q376" s="18" t="inlineStr">
        <is>
          <t>Box or pallet accounts</t>
        </is>
      </c>
      <c r="R376" s="18" t="inlineStr">
        <is>
          <t>Register at petproducts.co.uk/register</t>
        </is>
      </c>
      <c r="S376" s="18" t="inlineStr">
        <is>
          <t>Yes</t>
        </is>
      </c>
      <c r="T376" s="18" t="inlineStr">
        <is>
          <t>Unknown</t>
        </is>
      </c>
      <c r="U376" s="18" t="inlineStr">
        <is>
          <t>Unknown</t>
        </is>
      </c>
      <c r="V376" s="18" t="inlineStr"/>
      <c r="W376" s="18" t="inlineStr">
        <is>
          <t>50+ years supplying UK pet retailers; Companies House 01047681</t>
        </is>
      </c>
      <c r="X376" s="18" t="inlineStr">
        <is>
          <t>Pet supplies is a top Amazon UK category</t>
        </is>
      </c>
      <c r="Y376" s="18" t="inlineStr"/>
      <c r="Z376" s="18" t="inlineStr">
        <is>
          <t>Company website + price guide</t>
        </is>
      </c>
      <c r="AA376" s="19" t="inlineStr">
        <is>
          <t>Source link</t>
        </is>
      </c>
      <c r="AB376" s="19" t="inlineStr">
        <is>
          <t>Search LinkedIn</t>
        </is>
      </c>
      <c r="AC376" s="18" t="inlineStr">
        <is>
          <t>Round 1</t>
        </is>
      </c>
      <c r="AD376" s="20" t="inlineStr">
        <is>
          <t>Not contacted</t>
        </is>
      </c>
      <c r="AE376" s="21" t="n"/>
      <c r="AF376" s="20" t="n"/>
      <c r="AG376" s="20" t="n"/>
      <c r="AH376" s="20" t="n"/>
      <c r="AI376" s="21">
        <f>IF(AE376="","",WORKDAY(AE376,5))</f>
        <v/>
      </c>
      <c r="AJ376" s="20" t="n"/>
      <c r="AK376" s="20" t="n"/>
    </row>
    <row r="377">
      <c r="A377" s="15" t="inlineStr">
        <is>
          <t>UK</t>
        </is>
      </c>
      <c r="B377" s="16" t="n">
        <v>376</v>
      </c>
      <c r="C377" s="17" t="n">
        <v>3</v>
      </c>
      <c r="D377" s="18" t="inlineStr">
        <is>
          <t>Pet Supplies</t>
        </is>
      </c>
      <c r="E377" s="18" t="inlineStr">
        <is>
          <t>Paws Products Wholesale</t>
        </is>
      </c>
      <c r="F377" s="19" t="inlineStr">
        <is>
          <t>https://www.pawsproducts.com</t>
        </is>
      </c>
      <c r="G377" s="18" t="inlineStr">
        <is>
          <t>Keighley area, West Yorkshire</t>
        </is>
      </c>
      <c r="H377" s="18" t="inlineStr"/>
      <c r="I377" s="18" t="inlineStr">
        <is>
          <t>UK</t>
        </is>
      </c>
      <c r="J377" s="18" t="inlineStr">
        <is>
          <t>UK (no import)</t>
        </is>
      </c>
      <c r="K377" s="18" t="inlineStr"/>
      <c r="L377" s="18" t="inlineStr">
        <is>
          <t>+44 1535 517334</t>
        </is>
      </c>
      <c r="M377" s="18" t="inlineStr">
        <is>
          <t>info@pawsproducts.com</t>
        </is>
      </c>
      <c r="N377" s="18" t="inlineStr">
        <is>
          <t>Pet wholesaler</t>
        </is>
      </c>
      <c r="O377" s="18" t="inlineStr">
        <is>
          <t>Pet accessories &amp; products</t>
        </is>
      </c>
      <c r="P377" s="18" t="inlineStr">
        <is>
          <t>Pet</t>
        </is>
      </c>
      <c r="Q377" s="18" t="inlineStr">
        <is>
          <t>On request</t>
        </is>
      </c>
      <c r="R377" s="18" t="inlineStr">
        <is>
          <t>Trade-only clientele</t>
        </is>
      </c>
      <c r="S377" s="18" t="inlineStr">
        <is>
          <t>Yes</t>
        </is>
      </c>
      <c r="T377" s="18" t="inlineStr">
        <is>
          <t>Unknown</t>
        </is>
      </c>
      <c r="U377" s="18" t="inlineStr">
        <is>
          <t>Unknown</t>
        </is>
      </c>
      <c r="V377" s="18" t="inlineStr"/>
      <c r="W377" s="18" t="inlineStr">
        <is>
          <t>Pet Business World directory listing</t>
        </is>
      </c>
      <c r="X377" s="18" t="inlineStr"/>
      <c r="Y377" s="18" t="inlineStr">
        <is>
          <t>Accepts card/PayPal.</t>
        </is>
      </c>
      <c r="Z377" s="18" t="inlineStr">
        <is>
          <t>Trade directory</t>
        </is>
      </c>
      <c r="AA377" s="19" t="inlineStr">
        <is>
          <t>Source link</t>
        </is>
      </c>
      <c r="AB377" s="19" t="inlineStr">
        <is>
          <t>Search LinkedIn</t>
        </is>
      </c>
      <c r="AC377" s="18" t="inlineStr">
        <is>
          <t>Round 1</t>
        </is>
      </c>
      <c r="AD377" s="20" t="inlineStr">
        <is>
          <t>Not contacted</t>
        </is>
      </c>
      <c r="AE377" s="21" t="n"/>
      <c r="AF377" s="20" t="n"/>
      <c r="AG377" s="20" t="n"/>
      <c r="AH377" s="20" t="n"/>
      <c r="AI377" s="21">
        <f>IF(AE377="","",WORKDAY(AE377,5))</f>
        <v/>
      </c>
      <c r="AJ377" s="20" t="n"/>
      <c r="AK377" s="20" t="n"/>
    </row>
    <row r="378">
      <c r="A378" s="15" t="inlineStr">
        <is>
          <t>UK</t>
        </is>
      </c>
      <c r="B378" s="16" t="n">
        <v>377</v>
      </c>
      <c r="C378" s="17" t="n">
        <v>3</v>
      </c>
      <c r="D378" s="18" t="inlineStr">
        <is>
          <t>Pet Supplies</t>
        </is>
      </c>
      <c r="E378" s="18" t="inlineStr">
        <is>
          <t>PMS International</t>
        </is>
      </c>
      <c r="F378" s="18" t="inlineStr">
        <is>
          <t>Not confirmed - search company name</t>
        </is>
      </c>
      <c r="G378" s="18" t="inlineStr">
        <is>
          <t>UK</t>
        </is>
      </c>
      <c r="H378" s="18" t="inlineStr"/>
      <c r="I378" s="18" t="inlineStr">
        <is>
          <t>UK</t>
        </is>
      </c>
      <c r="J378" s="18" t="inlineStr">
        <is>
          <t>UK (no import)</t>
        </is>
      </c>
      <c r="K378" s="18" t="inlineStr"/>
      <c r="L378" s="18" t="inlineStr"/>
      <c r="M378" s="18" t="inlineStr"/>
      <c r="N378" s="18" t="inlineStr">
        <is>
          <t>Importer / distributor</t>
        </is>
      </c>
      <c r="O378" s="18" t="inlineStr">
        <is>
          <t>K9, Playful Pets, Crufts-branded pet products</t>
        </is>
      </c>
      <c r="P378" s="18" t="inlineStr">
        <is>
          <t>Pet accessories</t>
        </is>
      </c>
      <c r="Q378" s="18" t="inlineStr">
        <is>
          <t>On request</t>
        </is>
      </c>
      <c r="R378" s="18" t="inlineStr">
        <is>
          <t>Trade</t>
        </is>
      </c>
      <c r="S378" s="18" t="inlineStr">
        <is>
          <t>Yes</t>
        </is>
      </c>
      <c r="T378" s="18" t="inlineStr">
        <is>
          <t>Unknown</t>
        </is>
      </c>
      <c r="U378" s="18" t="inlineStr">
        <is>
          <t>Unknown</t>
        </is>
      </c>
      <c r="V378" s="18" t="inlineStr"/>
      <c r="W378" s="18" t="inlineStr">
        <is>
          <t>Pet Business World trade directory</t>
        </is>
      </c>
      <c r="X378" s="18" t="inlineStr"/>
      <c r="Y378" s="18" t="inlineStr"/>
      <c r="Z378" s="18" t="inlineStr">
        <is>
          <t>Trade directory</t>
        </is>
      </c>
      <c r="AA378" s="19" t="inlineStr">
        <is>
          <t>Source link</t>
        </is>
      </c>
      <c r="AB378" s="19" t="inlineStr">
        <is>
          <t>Search LinkedIn</t>
        </is>
      </c>
      <c r="AC378" s="18" t="inlineStr">
        <is>
          <t>Round 2</t>
        </is>
      </c>
      <c r="AD378" s="20" t="inlineStr">
        <is>
          <t>Not contacted</t>
        </is>
      </c>
      <c r="AE378" s="21" t="n"/>
      <c r="AF378" s="20" t="n"/>
      <c r="AG378" s="20" t="n"/>
      <c r="AH378" s="20" t="n"/>
      <c r="AI378" s="21">
        <f>IF(AE378="","",WORKDAY(AE378,5))</f>
        <v/>
      </c>
      <c r="AJ378" s="20" t="n"/>
      <c r="AK378" s="20" t="n"/>
    </row>
    <row r="379">
      <c r="A379" s="15" t="inlineStr">
        <is>
          <t>UK</t>
        </is>
      </c>
      <c r="B379" s="16" t="n">
        <v>378</v>
      </c>
      <c r="C379" s="17" t="n">
        <v>4</v>
      </c>
      <c r="D379" s="18" t="inlineStr">
        <is>
          <t>Sports &amp; Outdoors</t>
        </is>
      </c>
      <c r="E379" s="18" t="inlineStr">
        <is>
          <t>Gymkit UK</t>
        </is>
      </c>
      <c r="F379" s="19" t="inlineStr">
        <is>
          <t>https://www.gymkituk.com</t>
        </is>
      </c>
      <c r="G379" s="18" t="inlineStr">
        <is>
          <t>Whittlesey, Peterborough</t>
        </is>
      </c>
      <c r="H379" s="18" t="inlineStr"/>
      <c r="I379" s="18" t="inlineStr">
        <is>
          <t>UK</t>
        </is>
      </c>
      <c r="J379" s="18" t="inlineStr">
        <is>
          <t>UK (no import)</t>
        </is>
      </c>
      <c r="K379" s="18" t="inlineStr">
        <is>
          <t>130 Station Road, Whittlesey, Peterborough PE7 2EY</t>
        </is>
      </c>
      <c r="L379" s="18" t="inlineStr">
        <is>
          <t>+44 1733 205551</t>
        </is>
      </c>
      <c r="M379" s="18" t="inlineStr"/>
      <c r="N379" s="18" t="inlineStr">
        <is>
          <t>Distributor (wholesale to trade)</t>
        </is>
      </c>
      <c r="O379" s="18" t="inlineStr">
        <is>
          <t>Teeter inversion tables (European distributor), Renpho, Mad Dogg/Spinning + fitness kit</t>
        </is>
      </c>
      <c r="P379" s="18" t="inlineStr">
        <is>
          <t>Fitness equipment</t>
        </is>
      </c>
      <c r="Q379" s="18" t="inlineStr">
        <is>
          <t>On request</t>
        </is>
      </c>
      <c r="R379" s="18" t="inlineStr">
        <is>
          <t>Trade</t>
        </is>
      </c>
      <c r="S379" s="18" t="inlineStr">
        <is>
          <t>Yes</t>
        </is>
      </c>
      <c r="T379" s="18" t="inlineStr">
        <is>
          <t>Unknown</t>
        </is>
      </c>
      <c r="U379" s="18" t="inlineStr">
        <is>
          <t>Unknown</t>
        </is>
      </c>
      <c r="V379" s="18" t="inlineStr"/>
      <c r="W379" s="18" t="inlineStr">
        <is>
          <t>Trading since 2003; supplies 50+ retailers incl. John Lewis</t>
        </is>
      </c>
      <c r="X379" s="18" t="inlineStr">
        <is>
          <t>Renpho &amp; Teeter are popular on Amazon</t>
        </is>
      </c>
      <c r="Y379" s="18" t="inlineStr"/>
      <c r="Z379" s="18" t="inlineStr">
        <is>
          <t>Industry directory profile</t>
        </is>
      </c>
      <c r="AA379" s="19" t="inlineStr">
        <is>
          <t>Source link</t>
        </is>
      </c>
      <c r="AB379" s="19" t="inlineStr">
        <is>
          <t>Search LinkedIn</t>
        </is>
      </c>
      <c r="AC379" s="18" t="inlineStr">
        <is>
          <t>Round 2</t>
        </is>
      </c>
      <c r="AD379" s="20" t="inlineStr">
        <is>
          <t>Not contacted</t>
        </is>
      </c>
      <c r="AE379" s="21" t="n"/>
      <c r="AF379" s="20" t="n"/>
      <c r="AG379" s="20" t="n"/>
      <c r="AH379" s="20" t="n"/>
      <c r="AI379" s="21">
        <f>IF(AE379="","",WORKDAY(AE379,5))</f>
        <v/>
      </c>
      <c r="AJ379" s="20" t="n"/>
      <c r="AK379" s="20" t="n"/>
    </row>
    <row r="380">
      <c r="A380" s="15" t="inlineStr">
        <is>
          <t>UK</t>
        </is>
      </c>
      <c r="B380" s="16" t="n">
        <v>379</v>
      </c>
      <c r="C380" s="17" t="n">
        <v>3</v>
      </c>
      <c r="D380" s="18" t="inlineStr">
        <is>
          <t>Sports &amp; Outdoors</t>
        </is>
      </c>
      <c r="E380" s="18" t="inlineStr">
        <is>
          <t>Hykeham Wholesale Ltd</t>
        </is>
      </c>
      <c r="F380" s="19" t="inlineStr">
        <is>
          <t>https://hykew-hykehamwholesale.dc02.gob2b.com</t>
        </is>
      </c>
      <c r="G380" s="18" t="inlineStr">
        <is>
          <t>Lincoln</t>
        </is>
      </c>
      <c r="H380" s="18" t="inlineStr"/>
      <c r="I380" s="18" t="inlineStr">
        <is>
          <t>UK</t>
        </is>
      </c>
      <c r="J380" s="18" t="inlineStr">
        <is>
          <t>UK (no import)</t>
        </is>
      </c>
      <c r="K380" s="18" t="inlineStr">
        <is>
          <t>99 Doddington Road, Lincoln LN6 7HD</t>
        </is>
      </c>
      <c r="L380" s="18" t="inlineStr"/>
      <c r="M380" s="18" t="inlineStr"/>
      <c r="N380" s="18" t="inlineStr">
        <is>
          <t>Cycling trade wholesaler</t>
        </is>
      </c>
      <c r="O380" s="18" t="inlineStr">
        <is>
          <t>Bike accessories, components, wheels; UK distributor for Kross bikes</t>
        </is>
      </c>
      <c r="P380" s="18" t="inlineStr">
        <is>
          <t>Cycling</t>
        </is>
      </c>
      <c r="Q380" s="18" t="inlineStr">
        <is>
          <t>On request</t>
        </is>
      </c>
      <c r="R380" s="18" t="inlineStr">
        <is>
          <t>Trade account - independent bike shops</t>
        </is>
      </c>
      <c r="S380" s="18" t="inlineStr">
        <is>
          <t>Yes</t>
        </is>
      </c>
      <c r="T380" s="18" t="inlineStr">
        <is>
          <t>Unknown</t>
        </is>
      </c>
      <c r="U380" s="18" t="inlineStr">
        <is>
          <t>Unknown</t>
        </is>
      </c>
      <c r="V380" s="18" t="inlineStr">
        <is>
          <t>CH 04582675</t>
        </is>
      </c>
      <c r="W380" s="18" t="inlineStr">
        <is>
          <t>Companies House 04582675; 50+ years supplying the trade; up to 10% settlement discount</t>
        </is>
      </c>
      <c r="X380" s="18" t="inlineStr"/>
      <c r="Y380" s="18" t="inlineStr">
        <is>
          <t>MD: Paul Walker.</t>
        </is>
      </c>
      <c r="Z380" s="18" t="inlineStr">
        <is>
          <t>Companies House + trade press</t>
        </is>
      </c>
      <c r="AA380" s="19" t="inlineStr">
        <is>
          <t>Source link</t>
        </is>
      </c>
      <c r="AB380" s="19" t="inlineStr">
        <is>
          <t>Search LinkedIn</t>
        </is>
      </c>
      <c r="AC380" s="18" t="inlineStr">
        <is>
          <t>Round 2</t>
        </is>
      </c>
      <c r="AD380" s="20" t="inlineStr">
        <is>
          <t>Not contacted</t>
        </is>
      </c>
      <c r="AE380" s="21" t="n"/>
      <c r="AF380" s="20" t="n"/>
      <c r="AG380" s="20" t="n"/>
      <c r="AH380" s="20" t="n"/>
      <c r="AI380" s="21">
        <f>IF(AE380="","",WORKDAY(AE380,5))</f>
        <v/>
      </c>
      <c r="AJ380" s="20" t="n"/>
      <c r="AK380" s="20" t="n"/>
    </row>
    <row r="381">
      <c r="A381" s="15" t="inlineStr">
        <is>
          <t>UK</t>
        </is>
      </c>
      <c r="B381" s="16" t="n">
        <v>380</v>
      </c>
      <c r="C381" s="17" t="n">
        <v>3</v>
      </c>
      <c r="D381" s="18" t="inlineStr">
        <is>
          <t>Sports &amp; Outdoors</t>
        </is>
      </c>
      <c r="E381" s="18" t="inlineStr">
        <is>
          <t>Vango (AMG Group Ltd)</t>
        </is>
      </c>
      <c r="F381" s="19" t="inlineStr">
        <is>
          <t>https://www.vango.co.uk</t>
        </is>
      </c>
      <c r="G381" s="18" t="inlineStr">
        <is>
          <t>Port Glasgow / Renfrew, Scotland</t>
        </is>
      </c>
      <c r="H381" s="18" t="inlineStr"/>
      <c r="I381" s="18" t="inlineStr">
        <is>
          <t>UK</t>
        </is>
      </c>
      <c r="J381" s="18" t="inlineStr">
        <is>
          <t>UK (no import)</t>
        </is>
      </c>
      <c r="K381" s="18" t="inlineStr">
        <is>
          <t>Port Glasgow (HQ), Renfrew distribution centre</t>
        </is>
      </c>
      <c r="L381" s="18" t="inlineStr"/>
      <c r="M381" s="18" t="inlineStr"/>
      <c r="N381" s="18" t="inlineStr">
        <is>
          <t>Brand owner / manufacturer</t>
        </is>
      </c>
      <c r="O381" s="18" t="inlineStr">
        <is>
          <t>Vango, Force Ten + AMG outdoor brands</t>
        </is>
      </c>
      <c r="P381" s="18" t="inlineStr">
        <is>
          <t>Tents &amp; camping</t>
        </is>
      </c>
      <c r="Q381" s="18" t="inlineStr">
        <is>
          <t>Account based</t>
        </is>
      </c>
      <c r="R381" s="18" t="inlineStr">
        <is>
          <t>Stockist application</t>
        </is>
      </c>
      <c r="S381" s="18" t="inlineStr">
        <is>
          <t>Yes</t>
        </is>
      </c>
      <c r="T381" s="18" t="inlineStr">
        <is>
          <t>Unknown</t>
        </is>
      </c>
      <c r="U381" s="18" t="inlineStr">
        <is>
          <t>Unknown</t>
        </is>
      </c>
      <c r="V381" s="18" t="inlineStr"/>
      <c r="W381" s="18" t="inlineStr">
        <is>
          <t>Distributes to 40+ countries; 113k sq ft DC</t>
        </is>
      </c>
      <c r="X381" s="18" t="inlineStr">
        <is>
          <t>Brand-direct; check stockist online rules</t>
        </is>
      </c>
      <c r="Y381" s="18" t="inlineStr"/>
      <c r="Z381" s="18" t="inlineStr">
        <is>
          <t>Wikipedia + trade press</t>
        </is>
      </c>
      <c r="AA381" s="19" t="inlineStr">
        <is>
          <t>Source link</t>
        </is>
      </c>
      <c r="AB381" s="19" t="inlineStr">
        <is>
          <t>Search LinkedIn</t>
        </is>
      </c>
      <c r="AC381" s="18" t="inlineStr">
        <is>
          <t>Round 2</t>
        </is>
      </c>
      <c r="AD381" s="20" t="inlineStr">
        <is>
          <t>Not contacted</t>
        </is>
      </c>
      <c r="AE381" s="21" t="n"/>
      <c r="AF381" s="20" t="n"/>
      <c r="AG381" s="20" t="n"/>
      <c r="AH381" s="20" t="n"/>
      <c r="AI381" s="21">
        <f>IF(AE381="","",WORKDAY(AE381,5))</f>
        <v/>
      </c>
      <c r="AJ381" s="20" t="n"/>
      <c r="AK381" s="20" t="n"/>
    </row>
    <row r="382">
      <c r="A382" s="15" t="inlineStr">
        <is>
          <t>UK</t>
        </is>
      </c>
      <c r="B382" s="16" t="n">
        <v>381</v>
      </c>
      <c r="C382" s="17" t="n">
        <v>4</v>
      </c>
      <c r="D382" s="18" t="inlineStr">
        <is>
          <t>Stationery &amp; Office</t>
        </is>
      </c>
      <c r="E382" s="18" t="inlineStr">
        <is>
          <t>Galaxy Wholesalers Ltd</t>
        </is>
      </c>
      <c r="F382" s="19" t="inlineStr">
        <is>
          <t>https://supplier-directory.betterretailing.com/suppliers/galaxy-wholesalers/</t>
        </is>
      </c>
      <c r="G382" s="18" t="inlineStr">
        <is>
          <t>London</t>
        </is>
      </c>
      <c r="H382" s="18" t="inlineStr"/>
      <c r="I382" s="18" t="inlineStr">
        <is>
          <t>UK</t>
        </is>
      </c>
      <c r="J382" s="18" t="inlineStr">
        <is>
          <t>UK (no import)</t>
        </is>
      </c>
      <c r="K382" s="18" t="inlineStr">
        <is>
          <t>4 Chase Road, London NW10 6HZ</t>
        </is>
      </c>
      <c r="L382" s="18" t="inlineStr"/>
      <c r="M382" s="18" t="inlineStr"/>
      <c r="N382" s="18" t="inlineStr">
        <is>
          <t>B2B stationery wholesaler</t>
        </is>
      </c>
      <c r="O382" s="18" t="inlineStr">
        <is>
          <t>Market-leading branded stationery</t>
        </is>
      </c>
      <c r="P382" s="18" t="inlineStr">
        <is>
          <t>Branded stationery</t>
        </is>
      </c>
      <c r="Q382" s="18" t="inlineStr">
        <is>
          <t>On request</t>
        </is>
      </c>
      <c r="R382" s="18" t="inlineStr">
        <is>
          <t>Independent retailers, businesses, schools</t>
        </is>
      </c>
      <c r="S382" s="18" t="inlineStr">
        <is>
          <t>Yes</t>
        </is>
      </c>
      <c r="T382" s="18" t="inlineStr">
        <is>
          <t>Unknown</t>
        </is>
      </c>
      <c r="U382" s="18" t="inlineStr">
        <is>
          <t>Unknown</t>
        </is>
      </c>
      <c r="V382" s="18" t="inlineStr">
        <is>
          <t>CH 02872447</t>
        </is>
      </c>
      <c r="W382" s="18" t="inlineStr">
        <is>
          <t>Companies House 02872447 (active)</t>
        </is>
      </c>
      <c r="X382" s="18" t="inlineStr">
        <is>
          <t>Branded stationery (BIC, Pilot etc.) is steady on Amazon</t>
        </is>
      </c>
      <c r="Y382" s="18" t="inlineStr"/>
      <c r="Z382" s="18" t="inlineStr">
        <is>
          <t>Companies House + supplier directory</t>
        </is>
      </c>
      <c r="AA382" s="19" t="inlineStr">
        <is>
          <t>Source link</t>
        </is>
      </c>
      <c r="AB382" s="19" t="inlineStr">
        <is>
          <t>Search LinkedIn</t>
        </is>
      </c>
      <c r="AC382" s="18" t="inlineStr">
        <is>
          <t>Round 2</t>
        </is>
      </c>
      <c r="AD382" s="20" t="inlineStr">
        <is>
          <t>Not contacted</t>
        </is>
      </c>
      <c r="AE382" s="21" t="n"/>
      <c r="AF382" s="20" t="n"/>
      <c r="AG382" s="20" t="n"/>
      <c r="AH382" s="20" t="n"/>
      <c r="AI382" s="21">
        <f>IF(AE382="","",WORKDAY(AE382,5))</f>
        <v/>
      </c>
      <c r="AJ382" s="20" t="n"/>
      <c r="AK382" s="20" t="n"/>
    </row>
    <row r="383">
      <c r="A383" s="15" t="inlineStr">
        <is>
          <t>UK</t>
        </is>
      </c>
      <c r="B383" s="16" t="n">
        <v>382</v>
      </c>
      <c r="C383" s="17" t="n">
        <v>4</v>
      </c>
      <c r="D383" s="18" t="inlineStr">
        <is>
          <t>Stationery &amp; Office</t>
        </is>
      </c>
      <c r="E383" s="18" t="inlineStr">
        <is>
          <t>VOW Wholesale (evo Group)</t>
        </is>
      </c>
      <c r="F383" s="18" t="inlineStr">
        <is>
          <t>Not confirmed - search company name</t>
        </is>
      </c>
      <c r="G383" s="18" t="inlineStr">
        <is>
          <t>Sheffield</t>
        </is>
      </c>
      <c r="H383" s="18" t="inlineStr"/>
      <c r="I383" s="18" t="inlineStr">
        <is>
          <t>UK</t>
        </is>
      </c>
      <c r="J383" s="18" t="inlineStr">
        <is>
          <t>UK (no import)</t>
        </is>
      </c>
      <c r="K383" s="18" t="inlineStr">
        <is>
          <t>Sheffield (VOW Europe Ltd reg. office)</t>
        </is>
      </c>
      <c r="L383" s="18" t="inlineStr"/>
      <c r="M383" s="18" t="inlineStr"/>
      <c r="N383" s="18" t="inlineStr">
        <is>
          <t>Business supplies wholesaler</t>
        </is>
      </c>
      <c r="O383" s="18" t="inlineStr">
        <is>
          <t>24,000+ office products incl. 5 Star brand; took over Exertis Supplies (2026)</t>
        </is>
      </c>
      <c r="P383" s="18" t="inlineStr">
        <is>
          <t>Office supplies &amp; print consumables</t>
        </is>
      </c>
      <c r="Q383" s="18" t="inlineStr">
        <is>
          <t>On request</t>
        </is>
      </c>
      <c r="R383" s="18" t="inlineStr">
        <is>
          <t>Resellers (4,000+ reseller customers)</t>
        </is>
      </c>
      <c r="S383" s="18" t="inlineStr">
        <is>
          <t>Yes (UK &amp; Ireland)</t>
        </is>
      </c>
      <c r="T383" s="18" t="inlineStr">
        <is>
          <t>Unknown</t>
        </is>
      </c>
      <c r="U383" s="18" t="inlineStr">
        <is>
          <t>Unknown</t>
        </is>
      </c>
      <c r="V383" s="18" t="inlineStr">
        <is>
          <t>CH 01204488</t>
        </is>
      </c>
      <c r="W383" s="18" t="inlineStr">
        <is>
          <t>Companies House 01204488 (VOW Europe Ltd); part of evo Group</t>
        </is>
      </c>
      <c r="X383" s="18" t="inlineStr">
        <is>
          <t>Reseller-focused - ask about marketplace sellers</t>
        </is>
      </c>
      <c r="Y383" s="18" t="inlineStr"/>
      <c r="Z383" s="18" t="inlineStr">
        <is>
          <t>Companies House + trade press</t>
        </is>
      </c>
      <c r="AA383" s="19" t="inlineStr">
        <is>
          <t>Source link</t>
        </is>
      </c>
      <c r="AB383" s="19" t="inlineStr">
        <is>
          <t>Search LinkedIn</t>
        </is>
      </c>
      <c r="AC383" s="18" t="inlineStr">
        <is>
          <t>Round 2</t>
        </is>
      </c>
      <c r="AD383" s="20" t="inlineStr">
        <is>
          <t>Not contacted</t>
        </is>
      </c>
      <c r="AE383" s="21" t="n"/>
      <c r="AF383" s="20" t="n"/>
      <c r="AG383" s="20" t="n"/>
      <c r="AH383" s="20" t="n"/>
      <c r="AI383" s="21">
        <f>IF(AE383="","",WORKDAY(AE383,5))</f>
        <v/>
      </c>
      <c r="AJ383" s="20" t="n"/>
      <c r="AK383" s="20" t="n"/>
    </row>
    <row r="384">
      <c r="A384" s="15" t="inlineStr">
        <is>
          <t>UK</t>
        </is>
      </c>
      <c r="B384" s="16" t="n">
        <v>383</v>
      </c>
      <c r="C384" s="17" t="n">
        <v>3</v>
      </c>
      <c r="D384" s="18" t="inlineStr">
        <is>
          <t>Stationery &amp; Office</t>
        </is>
      </c>
      <c r="E384" s="18" t="inlineStr">
        <is>
          <t>The Impact Distribution Group</t>
        </is>
      </c>
      <c r="F384" s="19" t="inlineStr">
        <is>
          <t>https://supplier-directory.betterretailing.com/?p=1293</t>
        </is>
      </c>
      <c r="G384" s="18" t="inlineStr">
        <is>
          <t>Liversedge, West Yorkshire</t>
        </is>
      </c>
      <c r="H384" s="18" t="inlineStr"/>
      <c r="I384" s="18" t="inlineStr">
        <is>
          <t>UK</t>
        </is>
      </c>
      <c r="J384" s="18" t="inlineStr">
        <is>
          <t>UK (no import)</t>
        </is>
      </c>
      <c r="K384" s="18" t="inlineStr">
        <is>
          <t>c/o Nak, Triton House, Hare Park Lane, Liversedge WF15 8HN</t>
        </is>
      </c>
      <c r="L384" s="18" t="inlineStr"/>
      <c r="M384" s="18" t="inlineStr"/>
      <c r="N384" s="18" t="inlineStr">
        <is>
          <t>Buying group of ~20 stationery/card/party wholesalers</t>
        </is>
      </c>
      <c r="O384" s="18" t="inlineStr">
        <is>
          <t>Stationery, greetings cards, party goods</t>
        </is>
      </c>
      <c r="P384" s="18" t="inlineStr">
        <is>
          <t>Stationery &amp; party</t>
        </is>
      </c>
      <c r="Q384" s="18" t="inlineStr">
        <is>
          <t>Varies by member</t>
        </is>
      </c>
      <c r="R384" s="18" t="inlineStr">
        <is>
          <t>Trade only - delivered or cash &amp; carry</t>
        </is>
      </c>
      <c r="S384" s="18" t="inlineStr">
        <is>
          <t>Yes</t>
        </is>
      </c>
      <c r="T384" s="18" t="inlineStr">
        <is>
          <t>Unknown</t>
        </is>
      </c>
      <c r="U384" s="18" t="inlineStr">
        <is>
          <t>Unknown</t>
        </is>
      </c>
      <c r="V384" s="18" t="inlineStr"/>
      <c r="W384" s="18" t="inlineStr">
        <is>
          <t>One of the largest independent UK stationery wholesale groups</t>
        </is>
      </c>
      <c r="X384" s="18" t="inlineStr">
        <is>
          <t>Contact individual member wholesalers</t>
        </is>
      </c>
      <c r="Y384" s="18" t="inlineStr"/>
      <c r="Z384" s="18" t="inlineStr">
        <is>
          <t>Supplier directory</t>
        </is>
      </c>
      <c r="AA384" s="19" t="inlineStr">
        <is>
          <t>Source link</t>
        </is>
      </c>
      <c r="AB384" s="19" t="inlineStr">
        <is>
          <t>Search LinkedIn</t>
        </is>
      </c>
      <c r="AC384" s="18" t="inlineStr">
        <is>
          <t>Round 2</t>
        </is>
      </c>
      <c r="AD384" s="20" t="inlineStr">
        <is>
          <t>Not contacted</t>
        </is>
      </c>
      <c r="AE384" s="21" t="n"/>
      <c r="AF384" s="20" t="n"/>
      <c r="AG384" s="20" t="n"/>
      <c r="AH384" s="20" t="n"/>
      <c r="AI384" s="21">
        <f>IF(AE384="","",WORKDAY(AE384,5))</f>
        <v/>
      </c>
      <c r="AJ384" s="20" t="n"/>
      <c r="AK384" s="20" t="n"/>
    </row>
    <row r="385">
      <c r="A385" s="15" t="inlineStr">
        <is>
          <t>UK</t>
        </is>
      </c>
      <c r="B385" s="16" t="n">
        <v>384</v>
      </c>
      <c r="C385" s="17" t="n">
        <v>3</v>
      </c>
      <c r="D385" s="18" t="inlineStr">
        <is>
          <t>Stationery &amp; Office</t>
        </is>
      </c>
      <c r="E385" s="18" t="inlineStr">
        <is>
          <t>West Design Products</t>
        </is>
      </c>
      <c r="F385" s="18" t="inlineStr">
        <is>
          <t>Not confirmed - search company name</t>
        </is>
      </c>
      <c r="G385" s="18" t="inlineStr">
        <is>
          <t>UK</t>
        </is>
      </c>
      <c r="H385" s="18" t="inlineStr"/>
      <c r="I385" s="18" t="inlineStr">
        <is>
          <t>UK</t>
        </is>
      </c>
      <c r="J385" s="18" t="inlineStr">
        <is>
          <t>UK (no import)</t>
        </is>
      </c>
      <c r="K385" s="18" t="inlineStr"/>
      <c r="L385" s="18" t="inlineStr"/>
      <c r="M385" s="18" t="inlineStr"/>
      <c r="N385" s="18" t="inlineStr">
        <is>
          <t>Manufacturer / wholesaler (trade only)</t>
        </is>
      </c>
      <c r="O385" s="18" t="inlineStr">
        <is>
          <t>Art &amp; craft goods</t>
        </is>
      </c>
      <c r="P385" s="18" t="inlineStr">
        <is>
          <t>Arts &amp; crafts</t>
        </is>
      </c>
      <c r="Q385" s="18" t="inlineStr">
        <is>
          <t>On request</t>
        </is>
      </c>
      <c r="R385" s="18" t="inlineStr">
        <is>
          <t>Trade only</t>
        </is>
      </c>
      <c r="S385" s="18" t="inlineStr">
        <is>
          <t>Yes</t>
        </is>
      </c>
      <c r="T385" s="18" t="inlineStr">
        <is>
          <t>Unknown</t>
        </is>
      </c>
      <c r="U385" s="18" t="inlineStr">
        <is>
          <t>Unknown</t>
        </is>
      </c>
      <c r="V385" s="18" t="inlineStr"/>
      <c r="W385" s="18" t="inlineStr">
        <is>
          <t>Supplies UK, Europe &amp; global trade</t>
        </is>
      </c>
      <c r="X385" s="18" t="inlineStr">
        <is>
          <t>Contact directly (not via Faire - Faire bans Amazon sellers)</t>
        </is>
      </c>
      <c r="Y385" s="18" t="inlineStr"/>
      <c r="Z385" s="18" t="inlineStr">
        <is>
          <t>Directory</t>
        </is>
      </c>
      <c r="AA385" s="19" t="inlineStr">
        <is>
          <t>Source link</t>
        </is>
      </c>
      <c r="AB385" s="19" t="inlineStr">
        <is>
          <t>Search LinkedIn</t>
        </is>
      </c>
      <c r="AC385" s="18" t="inlineStr">
        <is>
          <t>Round 2</t>
        </is>
      </c>
      <c r="AD385" s="20" t="inlineStr">
        <is>
          <t>Not contacted</t>
        </is>
      </c>
      <c r="AE385" s="21" t="n"/>
      <c r="AF385" s="20" t="n"/>
      <c r="AG385" s="20" t="n"/>
      <c r="AH385" s="20" t="n"/>
      <c r="AI385" s="21">
        <f>IF(AE385="","",WORKDAY(AE385,5))</f>
        <v/>
      </c>
      <c r="AJ385" s="20" t="n"/>
      <c r="AK385" s="20" t="n"/>
    </row>
    <row r="386">
      <c r="A386" s="15" t="inlineStr">
        <is>
          <t>UK</t>
        </is>
      </c>
      <c r="B386" s="16" t="n">
        <v>385</v>
      </c>
      <c r="C386" s="17" t="n">
        <v>5</v>
      </c>
      <c r="D386" s="18" t="inlineStr">
        <is>
          <t>Toys &amp; Games</t>
        </is>
      </c>
      <c r="E386" s="18" t="inlineStr">
        <is>
          <t>A.B. Gee of Ripley Ltd</t>
        </is>
      </c>
      <c r="F386" s="19" t="inlineStr">
        <is>
          <t>https://www.abgee.co.uk</t>
        </is>
      </c>
      <c r="G386" s="18" t="inlineStr">
        <is>
          <t>Ripley, Derbyshire</t>
        </is>
      </c>
      <c r="H386" s="18" t="inlineStr"/>
      <c r="I386" s="18" t="inlineStr">
        <is>
          <t>UK</t>
        </is>
      </c>
      <c r="J386" s="18" t="inlineStr">
        <is>
          <t>UK (no import)</t>
        </is>
      </c>
      <c r="K386" s="18" t="inlineStr">
        <is>
          <t>Asher Lane Business Park, Ripley, DE5 3SW</t>
        </is>
      </c>
      <c r="L386" s="18" t="inlineStr">
        <is>
          <t>+44 1773 570444</t>
        </is>
      </c>
      <c r="M386" s="18" t="inlineStr">
        <is>
          <t>sales@abgee.co.uk</t>
        </is>
      </c>
      <c r="N386" s="18" t="inlineStr">
        <is>
          <t>Official distributor / wholesaler</t>
        </is>
      </c>
      <c r="O386" s="18" t="inlineStr">
        <is>
          <t>Hasbro, Mattel, Funko, MGA, Zapf + more</t>
        </is>
      </c>
      <c r="P386" s="18" t="inlineStr">
        <is>
          <t>Branded toys</t>
        </is>
      </c>
      <c r="Q386" s="18" t="inlineStr">
        <is>
          <t>On request</t>
        </is>
      </c>
      <c r="R386" s="18" t="inlineStr">
        <is>
          <t>Trade account</t>
        </is>
      </c>
      <c r="S386" s="18" t="inlineStr">
        <is>
          <t>Yes</t>
        </is>
      </c>
      <c r="T386" s="18" t="inlineStr">
        <is>
          <t>Unknown</t>
        </is>
      </c>
      <c r="U386" s="18" t="inlineStr">
        <is>
          <t>Unknown</t>
        </is>
      </c>
      <c r="V386" s="18" t="inlineStr"/>
      <c r="W386" s="18" t="inlineStr">
        <is>
          <t>Companies House 01936299; official distributor status for major brands</t>
        </is>
      </c>
      <c r="X386" s="18" t="inlineStr">
        <is>
          <t>Supplies online stores - excellent invoices for toy ungating</t>
        </is>
      </c>
      <c r="Y386" s="18" t="inlineStr">
        <is>
          <t>Top pick for branded toys.</t>
        </is>
      </c>
      <c r="Z386" s="18" t="inlineStr">
        <is>
          <t>Companies House + trade press</t>
        </is>
      </c>
      <c r="AA386" s="19" t="inlineStr">
        <is>
          <t>Source link</t>
        </is>
      </c>
      <c r="AB386" s="19" t="inlineStr">
        <is>
          <t>Search LinkedIn</t>
        </is>
      </c>
      <c r="AC386" s="18" t="inlineStr">
        <is>
          <t>Round 1</t>
        </is>
      </c>
      <c r="AD386" s="20" t="inlineStr">
        <is>
          <t>Not contacted</t>
        </is>
      </c>
      <c r="AE386" s="21" t="n"/>
      <c r="AF386" s="20" t="n"/>
      <c r="AG386" s="20" t="n"/>
      <c r="AH386" s="20" t="n"/>
      <c r="AI386" s="21">
        <f>IF(AE386="","",WORKDAY(AE386,5))</f>
        <v/>
      </c>
      <c r="AJ386" s="20" t="n"/>
      <c r="AK386" s="20" t="n"/>
    </row>
    <row r="387">
      <c r="A387" s="15" t="inlineStr">
        <is>
          <t>UK</t>
        </is>
      </c>
      <c r="B387" s="16" t="n">
        <v>386</v>
      </c>
      <c r="C387" s="17" t="n">
        <v>5</v>
      </c>
      <c r="D387" s="18" t="inlineStr">
        <is>
          <t>Toys &amp; Games</t>
        </is>
      </c>
      <c r="E387" s="18" t="inlineStr">
        <is>
          <t>NDA Toys</t>
        </is>
      </c>
      <c r="F387" s="19" t="inlineStr">
        <is>
          <t>https://www.nda-toys.com</t>
        </is>
      </c>
      <c r="G387" s="18" t="inlineStr">
        <is>
          <t>Runcorn, Cheshire</t>
        </is>
      </c>
      <c r="H387" s="18" t="inlineStr"/>
      <c r="I387" s="18" t="inlineStr">
        <is>
          <t>UK</t>
        </is>
      </c>
      <c r="J387" s="18" t="inlineStr">
        <is>
          <t>UK (no import)</t>
        </is>
      </c>
      <c r="K387" s="18" t="inlineStr">
        <is>
          <t>Runcorn, Cheshire (see website)</t>
        </is>
      </c>
      <c r="L387" s="18" t="inlineStr"/>
      <c r="M387" s="18" t="inlineStr"/>
      <c r="N387" s="18" t="inlineStr">
        <is>
          <t>Online wholesale distributor</t>
        </is>
      </c>
      <c r="O387" s="18" t="inlineStr">
        <is>
          <t>Hasbro, Mattel, Funko, Playmobil</t>
        </is>
      </c>
      <c r="P387" s="18" t="inlineStr">
        <is>
          <t>Branded toys</t>
        </is>
      </c>
      <c r="Q387" s="18" t="inlineStr">
        <is>
          <t>On request</t>
        </is>
      </c>
      <c r="R387" s="18" t="inlineStr">
        <is>
          <t>Trade - retailers &amp; online sellers</t>
        </is>
      </c>
      <c r="S387" s="18" t="inlineStr">
        <is>
          <t>Yes</t>
        </is>
      </c>
      <c r="T387" s="18" t="inlineStr">
        <is>
          <t>Unknown</t>
        </is>
      </c>
      <c r="U387" s="18" t="inlineStr">
        <is>
          <t>Unknown</t>
        </is>
      </c>
      <c r="V387" s="18" t="inlineStr"/>
      <c r="W387" s="18" t="inlineStr">
        <is>
          <t>800+ Trustpilot reviews; Toy Fair exhibitor</t>
        </is>
      </c>
      <c r="X387" s="18" t="inlineStr">
        <is>
          <t>Actively serves online sellers - very good fit</t>
        </is>
      </c>
      <c r="Y387" s="18" t="inlineStr"/>
      <c r="Z387" s="18" t="inlineStr">
        <is>
          <t>Trustpilot + Toy Fair</t>
        </is>
      </c>
      <c r="AA387" s="19" t="inlineStr">
        <is>
          <t>Source link</t>
        </is>
      </c>
      <c r="AB387" s="19" t="inlineStr">
        <is>
          <t>Search LinkedIn</t>
        </is>
      </c>
      <c r="AC387" s="18" t="inlineStr">
        <is>
          <t>Round 1</t>
        </is>
      </c>
      <c r="AD387" s="20" t="inlineStr">
        <is>
          <t>Not contacted</t>
        </is>
      </c>
      <c r="AE387" s="21" t="n"/>
      <c r="AF387" s="20" t="n"/>
      <c r="AG387" s="20" t="n"/>
      <c r="AH387" s="20" t="n"/>
      <c r="AI387" s="21">
        <f>IF(AE387="","",WORKDAY(AE387,5))</f>
        <v/>
      </c>
      <c r="AJ387" s="20" t="n"/>
      <c r="AK387" s="20" t="n"/>
    </row>
    <row r="388">
      <c r="A388" s="15" t="inlineStr">
        <is>
          <t>UK</t>
        </is>
      </c>
      <c r="B388" s="16" t="n">
        <v>387</v>
      </c>
      <c r="C388" s="17" t="n">
        <v>5</v>
      </c>
      <c r="D388" s="18" t="inlineStr">
        <is>
          <t>Toys &amp; Games</t>
        </is>
      </c>
      <c r="E388" s="18" t="inlineStr">
        <is>
          <t>Wind Designs Ltd</t>
        </is>
      </c>
      <c r="F388" s="19" t="inlineStr">
        <is>
          <t>https://www.wind-designs.com</t>
        </is>
      </c>
      <c r="G388" s="18" t="inlineStr">
        <is>
          <t>Soham, Ely, Cambridgeshire</t>
        </is>
      </c>
      <c r="H388" s="18" t="inlineStr"/>
      <c r="I388" s="18" t="inlineStr">
        <is>
          <t>UK</t>
        </is>
      </c>
      <c r="J388" s="18" t="inlineStr">
        <is>
          <t>UK (no import)</t>
        </is>
      </c>
      <c r="K388" s="18" t="inlineStr">
        <is>
          <t>27 Regal Drive, Soham, Ely, CB7 5BE</t>
        </is>
      </c>
      <c r="L388" s="18" t="inlineStr">
        <is>
          <t>+44 1353 724140</t>
        </is>
      </c>
      <c r="M388" s="18" t="inlineStr"/>
      <c r="N388" s="18" t="inlineStr">
        <is>
          <t>National distributor</t>
        </is>
      </c>
      <c r="O388" s="18" t="inlineStr">
        <is>
          <t>Hasbro, Mattel, Basic Fun!, Bandai, John Adams, PlayMonster, Moose; exclusive for Trends UK</t>
        </is>
      </c>
      <c r="P388" s="18" t="inlineStr">
        <is>
          <t>Branded toys &amp; games</t>
        </is>
      </c>
      <c r="Q388" s="18" t="inlineStr">
        <is>
          <t>On request (B2B website)</t>
        </is>
      </c>
      <c r="R388" s="18" t="inlineStr">
        <is>
          <t>Trade account via B2B site</t>
        </is>
      </c>
      <c r="S388" s="18" t="inlineStr">
        <is>
          <t>Yes</t>
        </is>
      </c>
      <c r="T388" s="18" t="inlineStr">
        <is>
          <t>Unknown</t>
        </is>
      </c>
      <c r="U388" s="18" t="inlineStr">
        <is>
          <t>Unknown</t>
        </is>
      </c>
      <c r="V388" s="18" t="inlineStr"/>
      <c r="W388" s="18" t="inlineStr">
        <is>
          <t>28+ years; supplies key online retailers &amp; buying groups</t>
        </is>
      </c>
      <c r="X388" s="18" t="inlineStr">
        <is>
          <t>Supplies online retailers - good fit</t>
        </is>
      </c>
      <c r="Y388" s="18" t="inlineStr">
        <is>
          <t>Order online via B2B site.</t>
        </is>
      </c>
      <c r="Z388" s="18" t="inlineStr">
        <is>
          <t>Directory + Toy Fair listing</t>
        </is>
      </c>
      <c r="AA388" s="19" t="inlineStr">
        <is>
          <t>Source link</t>
        </is>
      </c>
      <c r="AB388" s="19" t="inlineStr">
        <is>
          <t>Search LinkedIn</t>
        </is>
      </c>
      <c r="AC388" s="18" t="inlineStr">
        <is>
          <t>Round 1</t>
        </is>
      </c>
      <c r="AD388" s="20" t="inlineStr">
        <is>
          <t>Not contacted</t>
        </is>
      </c>
      <c r="AE388" s="21" t="n"/>
      <c r="AF388" s="20" t="n"/>
      <c r="AG388" s="20" t="n"/>
      <c r="AH388" s="20" t="n"/>
      <c r="AI388" s="21">
        <f>IF(AE388="","",WORKDAY(AE388,5))</f>
        <v/>
      </c>
      <c r="AJ388" s="20" t="n"/>
      <c r="AK388" s="20" t="n"/>
    </row>
    <row r="389">
      <c r="A389" s="15" t="inlineStr">
        <is>
          <t>UK</t>
        </is>
      </c>
      <c r="B389" s="16" t="n">
        <v>388</v>
      </c>
      <c r="C389" s="17" t="n">
        <v>4</v>
      </c>
      <c r="D389" s="18" t="inlineStr">
        <is>
          <t>Toys &amp; Games</t>
        </is>
      </c>
      <c r="E389" s="18" t="inlineStr">
        <is>
          <t>John Adams Leisure Ltd</t>
        </is>
      </c>
      <c r="F389" s="19" t="inlineStr">
        <is>
          <t>https://www.johnadams.co.uk</t>
        </is>
      </c>
      <c r="G389" s="18" t="inlineStr">
        <is>
          <t>Huntingdon, Cambridgeshire</t>
        </is>
      </c>
      <c r="H389" s="18" t="inlineStr"/>
      <c r="I389" s="18" t="inlineStr">
        <is>
          <t>UK</t>
        </is>
      </c>
      <c r="J389" s="18" t="inlineStr">
        <is>
          <t>UK (no import)</t>
        </is>
      </c>
      <c r="K389" s="18" t="inlineStr">
        <is>
          <t>Hercules House, Pierson Road, Enterprise Campus, Alconbury Weald, Huntingdon PE28 4YA</t>
        </is>
      </c>
      <c r="L389" s="18" t="inlineStr">
        <is>
          <t>+44 1480 414361</t>
        </is>
      </c>
      <c r="M389" s="18" t="inlineStr"/>
      <c r="N389" s="18" t="inlineStr">
        <is>
          <t>Brand owner / distributor</t>
        </is>
      </c>
      <c r="O389" s="18" t="inlineStr">
        <is>
          <t>Games, science &amp; craft kits, Peterkin brands</t>
        </is>
      </c>
      <c r="P389" s="18" t="inlineStr">
        <is>
          <t>Toys &amp; games</t>
        </is>
      </c>
      <c r="Q389" s="18" t="inlineStr">
        <is>
          <t>On request</t>
        </is>
      </c>
      <c r="R389" s="18" t="inlineStr">
        <is>
          <t>Trade</t>
        </is>
      </c>
      <c r="S389" s="18" t="inlineStr">
        <is>
          <t>Yes</t>
        </is>
      </c>
      <c r="T389" s="18" t="inlineStr">
        <is>
          <t>Unknown</t>
        </is>
      </c>
      <c r="U389" s="18" t="inlineStr">
        <is>
          <t>Unknown</t>
        </is>
      </c>
      <c r="V389" s="18" t="inlineStr"/>
      <c r="W389" s="18" t="inlineStr">
        <is>
          <t>Companies House 01761275; London Toy Fair exhibitor</t>
        </is>
      </c>
      <c r="X389" s="18" t="inlineStr">
        <is>
          <t>Brand owner - direct invoices</t>
        </is>
      </c>
      <c r="Y389" s="18" t="inlineStr"/>
      <c r="Z389" s="18" t="inlineStr">
        <is>
          <t>Companies House + gov supplier directory</t>
        </is>
      </c>
      <c r="AA389" s="19" t="inlineStr">
        <is>
          <t>Source link</t>
        </is>
      </c>
      <c r="AB389" s="19" t="inlineStr">
        <is>
          <t>Search LinkedIn</t>
        </is>
      </c>
      <c r="AC389" s="18" t="inlineStr">
        <is>
          <t>Round 1</t>
        </is>
      </c>
      <c r="AD389" s="20" t="inlineStr">
        <is>
          <t>Not contacted</t>
        </is>
      </c>
      <c r="AE389" s="21" t="n"/>
      <c r="AF389" s="20" t="n"/>
      <c r="AG389" s="20" t="n"/>
      <c r="AH389" s="20" t="n"/>
      <c r="AI389" s="21">
        <f>IF(AE389="","",WORKDAY(AE389,5))</f>
        <v/>
      </c>
      <c r="AJ389" s="20" t="n"/>
      <c r="AK389" s="20" t="n"/>
    </row>
    <row r="390">
      <c r="A390" s="15" t="inlineStr">
        <is>
          <t>UK</t>
        </is>
      </c>
      <c r="B390" s="16" t="n">
        <v>389</v>
      </c>
      <c r="C390" s="17" t="n">
        <v>4</v>
      </c>
      <c r="D390" s="18" t="inlineStr">
        <is>
          <t>Toys &amp; Games</t>
        </is>
      </c>
      <c r="E390" s="18" t="inlineStr">
        <is>
          <t>One For Fun</t>
        </is>
      </c>
      <c r="F390" s="18" t="inlineStr">
        <is>
          <t>Not confirmed - search company name</t>
        </is>
      </c>
      <c r="G390" s="18" t="inlineStr">
        <is>
          <t>Cambuslang, Glasgow</t>
        </is>
      </c>
      <c r="H390" s="18" t="inlineStr"/>
      <c r="I390" s="18" t="inlineStr">
        <is>
          <t>UK</t>
        </is>
      </c>
      <c r="J390" s="18" t="inlineStr">
        <is>
          <t>UK (no import)</t>
        </is>
      </c>
      <c r="K390" s="18" t="inlineStr">
        <is>
          <t>3-5 Cambuslang Way, Gateway Office Park, Cambuslang, Glasgow G32 8ND</t>
        </is>
      </c>
      <c r="L390" s="18" t="inlineStr">
        <is>
          <t>+44 141 613 2525</t>
        </is>
      </c>
      <c r="M390" s="18" t="inlineStr"/>
      <c r="N390" s="18" t="inlineStr">
        <is>
          <t>Wholesaler / distributor</t>
        </is>
      </c>
      <c r="O390" s="18" t="inlineStr">
        <is>
          <t>HGL, Tobar, Ozbozz; licensed Maisto, Bburago, Dream Beams, Dino Collecto</t>
        </is>
      </c>
      <c r="P390" s="18" t="inlineStr">
        <is>
          <t>Toys, games, gifts, gadgets</t>
        </is>
      </c>
      <c r="Q390" s="18" t="inlineStr">
        <is>
          <t>On request</t>
        </is>
      </c>
      <c r="R390" s="18" t="inlineStr">
        <is>
          <t>Trade</t>
        </is>
      </c>
      <c r="S390" s="18" t="inlineStr">
        <is>
          <t>Yes</t>
        </is>
      </c>
      <c r="T390" s="18" t="inlineStr">
        <is>
          <t>Unknown</t>
        </is>
      </c>
      <c r="U390" s="18" t="inlineStr">
        <is>
          <t>Unknown</t>
        </is>
      </c>
      <c r="V390" s="18" t="inlineStr"/>
      <c r="W390" s="18" t="inlineStr">
        <is>
          <t>45-50+ years; ~81 staff; showrooms Glasgow/LA/HK</t>
        </is>
      </c>
      <c r="X390" s="18" t="inlineStr"/>
      <c r="Y390" s="18" t="inlineStr">
        <is>
          <t>Route to Tobar products.</t>
        </is>
      </c>
      <c r="Z390" s="18" t="inlineStr">
        <is>
          <t>Directory + Toy Fair</t>
        </is>
      </c>
      <c r="AA390" s="19" t="inlineStr">
        <is>
          <t>Source link</t>
        </is>
      </c>
      <c r="AB390" s="19" t="inlineStr">
        <is>
          <t>Search LinkedIn</t>
        </is>
      </c>
      <c r="AC390" s="18" t="inlineStr">
        <is>
          <t>Round 1</t>
        </is>
      </c>
      <c r="AD390" s="20" t="inlineStr">
        <is>
          <t>Not contacted</t>
        </is>
      </c>
      <c r="AE390" s="21" t="n"/>
      <c r="AF390" s="20" t="n"/>
      <c r="AG390" s="20" t="n"/>
      <c r="AH390" s="20" t="n"/>
      <c r="AI390" s="21">
        <f>IF(AE390="","",WORKDAY(AE390,5))</f>
        <v/>
      </c>
      <c r="AJ390" s="20" t="n"/>
      <c r="AK390" s="20" t="n"/>
    </row>
    <row r="391">
      <c r="A391" s="15" t="inlineStr">
        <is>
          <t>UK</t>
        </is>
      </c>
      <c r="B391" s="16" t="n">
        <v>390</v>
      </c>
      <c r="C391" s="17" t="n">
        <v>4</v>
      </c>
      <c r="D391" s="18" t="inlineStr">
        <is>
          <t>Toys &amp; Games</t>
        </is>
      </c>
      <c r="E391" s="18" t="inlineStr">
        <is>
          <t>Peterkin UK Ltd (John Adams group)</t>
        </is>
      </c>
      <c r="F391" s="19" t="inlineStr">
        <is>
          <t>https://www.peterkin.co.uk</t>
        </is>
      </c>
      <c r="G391" s="18" t="inlineStr">
        <is>
          <t>Henley-on-Thames (reg.)</t>
        </is>
      </c>
      <c r="H391" s="18" t="inlineStr"/>
      <c r="I391" s="18" t="inlineStr">
        <is>
          <t>UK</t>
        </is>
      </c>
      <c r="J391" s="18" t="inlineStr">
        <is>
          <t>UK (no import)</t>
        </is>
      </c>
      <c r="K391" s="18" t="inlineStr">
        <is>
          <t>Old London House, Stoke Row, Henley-on-Thames RG9 5QL</t>
        </is>
      </c>
      <c r="L391" s="18" t="inlineStr"/>
      <c r="M391" s="18" t="inlineStr">
        <is>
          <t>sales@peterkin.co.uk</t>
        </is>
      </c>
      <c r="N391" s="18" t="inlineStr">
        <is>
          <t>Manufacturer / distributor</t>
        </is>
      </c>
      <c r="O391" s="18" t="inlineStr">
        <is>
          <t>Dolls World, Brookite, Action Man + distributed brands</t>
        </is>
      </c>
      <c r="P391" s="18" t="inlineStr">
        <is>
          <t>Branded toys</t>
        </is>
      </c>
      <c r="Q391" s="18" t="inlineStr">
        <is>
          <t>On request</t>
        </is>
      </c>
      <c r="R391" s="18" t="inlineStr">
        <is>
          <t>Trade - via local rep</t>
        </is>
      </c>
      <c r="S391" s="18" t="inlineStr">
        <is>
          <t>Yes</t>
        </is>
      </c>
      <c r="T391" s="18" t="inlineStr">
        <is>
          <t>Unknown</t>
        </is>
      </c>
      <c r="U391" s="18" t="inlineStr">
        <is>
          <t>Unknown</t>
        </is>
      </c>
      <c r="V391" s="18" t="inlineStr"/>
      <c r="W391" s="18" t="inlineStr">
        <is>
          <t>Companies House 00566155 (est. 1956)</t>
        </is>
      </c>
      <c r="X391" s="18" t="inlineStr">
        <is>
          <t>Brand owner - ask about authorised reseller status</t>
        </is>
      </c>
      <c r="Y391" s="18" t="inlineStr"/>
      <c r="Z391" s="18" t="inlineStr">
        <is>
          <t>Companies House + trade press</t>
        </is>
      </c>
      <c r="AA391" s="19" t="inlineStr">
        <is>
          <t>Source link</t>
        </is>
      </c>
      <c r="AB391" s="19" t="inlineStr">
        <is>
          <t>Search LinkedIn</t>
        </is>
      </c>
      <c r="AC391" s="18" t="inlineStr">
        <is>
          <t>Round 1</t>
        </is>
      </c>
      <c r="AD391" s="20" t="inlineStr">
        <is>
          <t>Not contacted</t>
        </is>
      </c>
      <c r="AE391" s="21" t="n"/>
      <c r="AF391" s="20" t="n"/>
      <c r="AG391" s="20" t="n"/>
      <c r="AH391" s="20" t="n"/>
      <c r="AI391" s="21">
        <f>IF(AE391="","",WORKDAY(AE391,5))</f>
        <v/>
      </c>
      <c r="AJ391" s="20" t="n"/>
      <c r="AK391" s="20" t="n"/>
    </row>
    <row r="392">
      <c r="A392" s="15" t="inlineStr">
        <is>
          <t>UK</t>
        </is>
      </c>
      <c r="B392" s="16" t="n">
        <v>391</v>
      </c>
      <c r="C392" s="17" t="n">
        <v>3</v>
      </c>
      <c r="D392" s="18" t="inlineStr">
        <is>
          <t>Toys &amp; Games</t>
        </is>
      </c>
      <c r="E392" s="18" t="inlineStr">
        <is>
          <t>Character Options Ltd</t>
        </is>
      </c>
      <c r="F392" s="19" t="inlineStr">
        <is>
          <t>https://www.character-online.com</t>
        </is>
      </c>
      <c r="G392" s="18" t="inlineStr">
        <is>
          <t>Oldham</t>
        </is>
      </c>
      <c r="H392" s="18" t="inlineStr"/>
      <c r="I392" s="18" t="inlineStr">
        <is>
          <t>UK</t>
        </is>
      </c>
      <c r="J392" s="18" t="inlineStr">
        <is>
          <t>UK (no import)</t>
        </is>
      </c>
      <c r="K392" s="18" t="inlineStr">
        <is>
          <t>Lees Brook Mill, Lees Road, Oldham OL4 5JL</t>
        </is>
      </c>
      <c r="L392" s="18" t="inlineStr">
        <is>
          <t>+44 161 633 9800</t>
        </is>
      </c>
      <c r="M392" s="18" t="inlineStr"/>
      <c r="N392" s="18" t="inlineStr">
        <is>
          <t>Brand owner / distributor</t>
        </is>
      </c>
      <c r="O392" s="18" t="inlineStr">
        <is>
          <t>Licensed &amp; own-brand toys (Peppa Pig, Doctor Who etc. - check current)</t>
        </is>
      </c>
      <c r="P392" s="18" t="inlineStr">
        <is>
          <t>Branded / licensed toys</t>
        </is>
      </c>
      <c r="Q392" s="18" t="inlineStr">
        <is>
          <t>On request</t>
        </is>
      </c>
      <c r="R392" s="18" t="inlineStr">
        <is>
          <t>Trade - national accounts</t>
        </is>
      </c>
      <c r="S392" s="18" t="inlineStr">
        <is>
          <t>Yes</t>
        </is>
      </c>
      <c r="T392" s="18" t="inlineStr">
        <is>
          <t>Unknown</t>
        </is>
      </c>
      <c r="U392" s="18" t="inlineStr">
        <is>
          <t>Unknown</t>
        </is>
      </c>
      <c r="V392" s="18" t="inlineStr"/>
      <c r="W392" s="18" t="inlineStr">
        <is>
          <t>Part of The Character Group plc (LSE listed); Toy Industry Award winner</t>
        </is>
      </c>
      <c r="X392" s="18" t="inlineStr"/>
      <c r="Y392" s="18" t="inlineStr">
        <is>
          <t>Sales Director listed as David Bramford.</t>
        </is>
      </c>
      <c r="Z392" s="18" t="inlineStr">
        <is>
          <t>Trade press + directory</t>
        </is>
      </c>
      <c r="AA392" s="19" t="inlineStr">
        <is>
          <t>Source link</t>
        </is>
      </c>
      <c r="AB392" s="19" t="inlineStr">
        <is>
          <t>Search LinkedIn</t>
        </is>
      </c>
      <c r="AC392" s="18" t="inlineStr">
        <is>
          <t>Round 1</t>
        </is>
      </c>
      <c r="AD392" s="20" t="inlineStr">
        <is>
          <t>Not contacted</t>
        </is>
      </c>
      <c r="AE392" s="21" t="n"/>
      <c r="AF392" s="20" t="n"/>
      <c r="AG392" s="20" t="n"/>
      <c r="AH392" s="20" t="n"/>
      <c r="AI392" s="21">
        <f>IF(AE392="","",WORKDAY(AE392,5))</f>
        <v/>
      </c>
      <c r="AJ392" s="20" t="n"/>
      <c r="AK392" s="20" t="n"/>
    </row>
    <row r="393">
      <c r="A393" s="15" t="inlineStr">
        <is>
          <t>UK</t>
        </is>
      </c>
      <c r="B393" s="16" t="n">
        <v>392</v>
      </c>
      <c r="C393" s="17" t="n">
        <v>3</v>
      </c>
      <c r="D393" s="18" t="inlineStr">
        <is>
          <t>Toys &amp; Games</t>
        </is>
      </c>
      <c r="E393" s="18" t="inlineStr">
        <is>
          <t>Keycraft</t>
        </is>
      </c>
      <c r="F393" s="19" t="inlineStr">
        <is>
          <t>https://gb.keycraftglobal.com</t>
        </is>
      </c>
      <c r="G393" s="18" t="inlineStr">
        <is>
          <t>Peterhead, Scotland (UK) / La Garde (FR)</t>
        </is>
      </c>
      <c r="H393" s="18" t="inlineStr">
        <is>
          <t>France</t>
        </is>
      </c>
      <c r="I393" s="18" t="inlineStr">
        <is>
          <t>UK</t>
        </is>
      </c>
      <c r="J393" s="18" t="inlineStr">
        <is>
          <t>UK (no import)</t>
        </is>
      </c>
      <c r="K393" s="18" t="inlineStr">
        <is>
          <t>Blackhouse Industrial Estate, Peterhead AB42 1BN</t>
        </is>
      </c>
      <c r="L393" s="18" t="inlineStr">
        <is>
          <t>+33 1 44 29 03 52 (customer service)</t>
        </is>
      </c>
      <c r="M393" s="18" t="inlineStr"/>
      <c r="N393" s="18" t="inlineStr">
        <is>
          <t>Wholesaler / manufacturer</t>
        </is>
      </c>
      <c r="O393" s="18" t="inlineStr">
        <is>
          <t>Pocket money toys, science &amp; craft kits, plush, stationery</t>
        </is>
      </c>
      <c r="P393" s="18" t="inlineStr">
        <is>
          <t>Pocket money toys</t>
        </is>
      </c>
      <c r="Q393" s="18" t="inlineStr">
        <is>
          <t>On request (counter display units)</t>
        </is>
      </c>
      <c r="R393" s="18" t="inlineStr">
        <is>
          <t>Trade account</t>
        </is>
      </c>
      <c r="S393" s="18" t="inlineStr">
        <is>
          <t>Yes</t>
        </is>
      </c>
      <c r="T393" s="18" t="inlineStr">
        <is>
          <t>Unknown</t>
        </is>
      </c>
      <c r="U393" s="18" t="inlineStr">
        <is>
          <t>Unknown</t>
        </is>
      </c>
      <c r="V393" s="18" t="inlineStr"/>
      <c r="W393" s="18" t="inlineStr">
        <is>
          <t>Founded 1974</t>
        </is>
      </c>
      <c r="X393" s="18" t="inlineStr">
        <is>
          <t>Own brands - low price point, check FBA fees</t>
        </is>
      </c>
      <c r="Y393" s="18" t="inlineStr"/>
      <c r="Z393" s="18" t="inlineStr">
        <is>
          <t>Trade show listing</t>
        </is>
      </c>
      <c r="AA393" s="19" t="inlineStr">
        <is>
          <t>Source link</t>
        </is>
      </c>
      <c r="AB393" s="19" t="inlineStr">
        <is>
          <t>Search LinkedIn</t>
        </is>
      </c>
      <c r="AC393" s="18" t="inlineStr">
        <is>
          <t>Round 1</t>
        </is>
      </c>
      <c r="AD393" s="20" t="inlineStr">
        <is>
          <t>Not contacted</t>
        </is>
      </c>
      <c r="AE393" s="21" t="n"/>
      <c r="AF393" s="20" t="n"/>
      <c r="AG393" s="20" t="n"/>
      <c r="AH393" s="20" t="n"/>
      <c r="AI393" s="21">
        <f>IF(AE393="","",WORKDAY(AE393,5))</f>
        <v/>
      </c>
      <c r="AJ393" s="20" t="n"/>
      <c r="AK393" s="20" t="n"/>
    </row>
    <row r="394">
      <c r="A394" s="15" t="inlineStr">
        <is>
          <t>UK</t>
        </is>
      </c>
      <c r="B394" s="16" t="n">
        <v>393</v>
      </c>
      <c r="C394" s="17" t="n">
        <v>3</v>
      </c>
      <c r="D394" s="18" t="inlineStr">
        <is>
          <t>Toys &amp; Games</t>
        </is>
      </c>
      <c r="E394" s="18" t="inlineStr">
        <is>
          <t>Puckator Ltd</t>
        </is>
      </c>
      <c r="F394" s="19" t="inlineStr">
        <is>
          <t>https://www.puckator.co.uk</t>
        </is>
      </c>
      <c r="G394" s="18" t="inlineStr">
        <is>
          <t>Cornwall</t>
        </is>
      </c>
      <c r="H394" s="18" t="inlineStr"/>
      <c r="I394" s="18" t="inlineStr">
        <is>
          <t>UK</t>
        </is>
      </c>
      <c r="J394" s="18" t="inlineStr">
        <is>
          <t>UK (no import)</t>
        </is>
      </c>
      <c r="K394" s="18" t="inlineStr">
        <is>
          <t>See website</t>
        </is>
      </c>
      <c r="L394" s="18" t="inlineStr"/>
      <c r="M394" s="18" t="inlineStr"/>
      <c r="N394" s="18" t="inlineStr">
        <is>
          <t>Gift &amp; novelty wholesaler</t>
        </is>
      </c>
      <c r="O394" s="18" t="inlineStr">
        <is>
          <t>Licensed gifts, novelty toys, stationery</t>
        </is>
      </c>
      <c r="P394" s="18" t="inlineStr">
        <is>
          <t>Gifts / novelty</t>
        </is>
      </c>
      <c r="Q394" s="18" t="inlineStr">
        <is>
          <t>£50 minimum (£75 shown on toy pages); free delivery over £100</t>
        </is>
      </c>
      <c r="R394" s="18" t="inlineStr">
        <is>
          <t>Trade account - VAT number NOT required</t>
        </is>
      </c>
      <c r="S394" s="18" t="inlineStr">
        <is>
          <t>Yes</t>
        </is>
      </c>
      <c r="T394" s="18" t="inlineStr">
        <is>
          <t>Unknown</t>
        </is>
      </c>
      <c r="U394" s="18" t="inlineStr">
        <is>
          <t>Unknown</t>
        </is>
      </c>
      <c r="V394" s="18" t="inlineStr"/>
      <c r="W394" s="18" t="inlineStr">
        <is>
          <t>Toy Fair exhibitor; same-day dispatch before 11am</t>
        </is>
      </c>
      <c r="X394" s="18" t="inlineStr">
        <is>
          <t>Low MOQ - good for testing products</t>
        </is>
      </c>
      <c r="Y394" s="18" t="inlineStr"/>
      <c r="Z394" s="18" t="inlineStr">
        <is>
          <t>Company website (via search)</t>
        </is>
      </c>
      <c r="AA394" s="19" t="inlineStr">
        <is>
          <t>Source link</t>
        </is>
      </c>
      <c r="AB394" s="19" t="inlineStr">
        <is>
          <t>Search LinkedIn</t>
        </is>
      </c>
      <c r="AC394" s="18" t="inlineStr">
        <is>
          <t>Round 1</t>
        </is>
      </c>
      <c r="AD394" s="20" t="inlineStr">
        <is>
          <t>Not contacted</t>
        </is>
      </c>
      <c r="AE394" s="21" t="n"/>
      <c r="AF394" s="20" t="n"/>
      <c r="AG394" s="20" t="n"/>
      <c r="AH394" s="20" t="n"/>
      <c r="AI394" s="21">
        <f>IF(AE394="","",WORKDAY(AE394,5))</f>
        <v/>
      </c>
      <c r="AJ394" s="20" t="n"/>
      <c r="AK394" s="20" t="n"/>
    </row>
    <row r="395">
      <c r="A395" s="22" t="inlineStr">
        <is>
          <t>Pan-European / Online</t>
        </is>
      </c>
      <c r="B395" s="23" t="n">
        <v>394</v>
      </c>
      <c r="C395" s="10" t="n">
        <v>2</v>
      </c>
      <c r="D395" s="11" t="inlineStr">
        <is>
          <t>B2B Marketplace</t>
        </is>
      </c>
      <c r="E395" s="11" t="inlineStr">
        <is>
          <t>B-Stock - Amazon EU Liquidation Auctions</t>
        </is>
      </c>
      <c r="F395" s="12" t="inlineStr">
        <is>
          <t>https://bstock.com/amazoneu/about/</t>
        </is>
      </c>
      <c r="G395" s="11" t="inlineStr"/>
      <c r="H395" s="11" t="inlineStr">
        <is>
          <t>UK</t>
        </is>
      </c>
      <c r="I395" s="11" t="inlineStr">
        <is>
          <t>Pan-EU</t>
        </is>
      </c>
      <c r="J395" s="11" t="inlineStr">
        <is>
          <t>Varies</t>
        </is>
      </c>
      <c r="K395" s="11" t="inlineStr"/>
      <c r="L395" s="11" t="inlineStr"/>
      <c r="M395" s="11" t="inlineStr"/>
      <c r="N395" s="11" t="inlineStr">
        <is>
          <t>Official Amazon liquidation auction marketplace</t>
        </is>
      </c>
      <c r="O395" s="11" t="inlineStr">
        <is>
          <t>Amazon EU/UK customer returns, overstock &amp; salvage - electronics, toys, home, sports, pets, office</t>
        </is>
      </c>
      <c r="P395" s="11" t="inlineStr">
        <is>
          <t>Liquidation lots</t>
        </is>
      </c>
      <c r="Q395" s="11" t="inlineStr">
        <is>
          <t>Per auction (pallets to truckloads)</t>
        </is>
      </c>
      <c r="R395" s="11" t="inlineStr">
        <is>
          <t>Qualified business buyers in EU &amp; UK - free registration</t>
        </is>
      </c>
      <c r="S395" s="11" t="inlineStr">
        <is>
          <t>Yes</t>
        </is>
      </c>
      <c r="T395" s="11" t="inlineStr">
        <is>
          <t>N/A</t>
        </is>
      </c>
      <c r="U395" s="11" t="inlineStr">
        <is>
          <t>No</t>
        </is>
      </c>
      <c r="V395" s="11" t="inlineStr"/>
      <c r="W395" s="11" t="inlineStr">
        <is>
          <t>B-Stock is Amazon's official liquidation partner</t>
        </is>
      </c>
      <c r="X395" s="11" t="inlineStr">
        <is>
          <t>CAUTION: returns can't be sold as 'New' on Amazon - grade carefully, resell as Used/elsewhere</t>
        </is>
      </c>
      <c r="Y395" s="11" t="inlineStr"/>
      <c r="Z395" s="11" t="inlineStr">
        <is>
          <t>Official B-Stock site</t>
        </is>
      </c>
      <c r="AA395" s="12" t="inlineStr">
        <is>
          <t>Source link</t>
        </is>
      </c>
      <c r="AB395" s="12" t="inlineStr">
        <is>
          <t>Search LinkedIn</t>
        </is>
      </c>
      <c r="AC395" s="11" t="inlineStr">
        <is>
          <t>Round 2</t>
        </is>
      </c>
      <c r="AD395" s="13" t="inlineStr">
        <is>
          <t>Not contacted</t>
        </is>
      </c>
      <c r="AE395" s="14" t="n"/>
      <c r="AF395" s="13" t="n"/>
      <c r="AG395" s="13" t="n"/>
      <c r="AH395" s="13" t="n"/>
      <c r="AI395" s="14">
        <f>IF(AE395="","",WORKDAY(AE395,5))</f>
        <v/>
      </c>
      <c r="AJ395" s="13" t="n"/>
      <c r="AK395" s="13" t="n"/>
    </row>
    <row r="396">
      <c r="A396" s="24" t="inlineStr">
        <is>
          <t>Pan-European / Online</t>
        </is>
      </c>
      <c r="B396" s="25" t="n">
        <v>395</v>
      </c>
      <c r="C396" s="17" t="n">
        <v>1</v>
      </c>
      <c r="D396" s="18" t="inlineStr">
        <is>
          <t>B2B Marketplace</t>
        </is>
      </c>
      <c r="E396" s="18" t="inlineStr">
        <is>
          <t>Faire</t>
        </is>
      </c>
      <c r="F396" s="19" t="inlineStr">
        <is>
          <t>https://www.faire.com</t>
        </is>
      </c>
      <c r="G396" s="18" t="inlineStr"/>
      <c r="H396" s="18" t="inlineStr"/>
      <c r="I396" s="18" t="inlineStr">
        <is>
          <t>Pan-EU</t>
        </is>
      </c>
      <c r="J396" s="18" t="inlineStr">
        <is>
          <t>Varies</t>
        </is>
      </c>
      <c r="K396" s="18" t="inlineStr"/>
      <c r="L396" s="18" t="inlineStr"/>
      <c r="M396" s="18" t="inlineStr"/>
      <c r="N396" s="18" t="inlineStr">
        <is>
          <t>Wholesale marketplace</t>
        </is>
      </c>
      <c r="O396" s="18" t="inlineStr">
        <is>
          <t>100,000+ brands incl. Bigjigs Toys</t>
        </is>
      </c>
      <c r="P396" s="18" t="inlineStr">
        <is>
          <t>Independent brands</t>
        </is>
      </c>
      <c r="Q396" s="18" t="inlineStr">
        <is>
          <t>Brand-set</t>
        </is>
      </c>
      <c r="R396" s="18" t="inlineStr">
        <is>
          <t>Retailer account</t>
        </is>
      </c>
      <c r="S396" s="18" t="inlineStr">
        <is>
          <t>Yes</t>
        </is>
      </c>
      <c r="T396" s="18" t="inlineStr">
        <is>
          <t>Unknown</t>
        </is>
      </c>
      <c r="U396" s="18" t="inlineStr">
        <is>
          <t>Unknown</t>
        </is>
      </c>
      <c r="V396" s="18" t="inlineStr"/>
      <c r="W396" s="18" t="inlineStr">
        <is>
          <t>Major marketplace</t>
        </is>
      </c>
      <c r="X396" s="18" t="inlineStr">
        <is>
          <t>NOT SUITABLE: Faire states it cannot fulfil orders for retailers selling on Amazon/eBay/Etsy</t>
        </is>
      </c>
      <c r="Y396" s="18" t="inlineStr">
        <is>
          <t>Listed so you know to avoid it for Amazon.</t>
        </is>
      </c>
      <c r="Z396" s="18" t="inlineStr">
        <is>
          <t>Faire help centre</t>
        </is>
      </c>
      <c r="AA396" s="19" t="inlineStr">
        <is>
          <t>Source link</t>
        </is>
      </c>
      <c r="AB396" s="19" t="inlineStr">
        <is>
          <t>Search LinkedIn</t>
        </is>
      </c>
      <c r="AC396" s="18" t="inlineStr">
        <is>
          <t>Round 1</t>
        </is>
      </c>
      <c r="AD396" s="20" t="inlineStr">
        <is>
          <t>Not contacted</t>
        </is>
      </c>
      <c r="AE396" s="21" t="n"/>
      <c r="AF396" s="20" t="n"/>
      <c r="AG396" s="20" t="n"/>
      <c r="AH396" s="20" t="n"/>
      <c r="AI396" s="21">
        <f>IF(AE396="","",WORKDAY(AE396,5))</f>
        <v/>
      </c>
      <c r="AJ396" s="20" t="n"/>
      <c r="AK396" s="20" t="n"/>
    </row>
    <row r="397">
      <c r="A397" s="24" t="inlineStr">
        <is>
          <t>Pan-European / Online</t>
        </is>
      </c>
      <c r="B397" s="25" t="n">
        <v>396</v>
      </c>
      <c r="C397" s="17" t="n">
        <v>3</v>
      </c>
      <c r="D397" s="18" t="inlineStr">
        <is>
          <t>Beauty</t>
        </is>
      </c>
      <c r="E397" s="18" t="inlineStr">
        <is>
          <t>Symphonya.eu</t>
        </is>
      </c>
      <c r="F397" s="19" t="inlineStr">
        <is>
          <t>https://symphonya.eu</t>
        </is>
      </c>
      <c r="G397" s="18" t="inlineStr"/>
      <c r="H397" s="18" t="inlineStr"/>
      <c r="I397" s="18" t="inlineStr">
        <is>
          <t>Pan-EU</t>
        </is>
      </c>
      <c r="J397" s="18" t="inlineStr">
        <is>
          <t>Varies</t>
        </is>
      </c>
      <c r="K397" s="18" t="inlineStr"/>
      <c r="L397" s="18" t="inlineStr"/>
      <c r="M397" s="18" t="inlineStr">
        <is>
          <t>via website</t>
        </is>
      </c>
      <c r="N397" s="18" t="inlineStr">
        <is>
          <t>B2B beauty trading company</t>
        </is>
      </c>
      <c r="O397" s="18" t="inlineStr">
        <is>
          <t>Branded perfumes, cosmetics, skincare, haircare</t>
        </is>
      </c>
      <c r="P397" s="18" t="inlineStr">
        <is>
          <t>Branded beauty &amp; fragrance</t>
        </is>
      </c>
      <c r="Q397" s="18" t="inlineStr">
        <is>
          <t>On request</t>
        </is>
      </c>
      <c r="R397" s="18" t="inlineStr">
        <is>
          <t>Online &amp; offline retailers</t>
        </is>
      </c>
      <c r="S397" s="18" t="inlineStr">
        <is>
          <t>Ask</t>
        </is>
      </c>
      <c r="T397" s="18" t="inlineStr">
        <is>
          <t>Yes (targets online sellers)</t>
        </is>
      </c>
      <c r="U397" s="18" t="inlineStr">
        <is>
          <t>Yes</t>
        </is>
      </c>
      <c r="V397" s="18" t="inlineStr"/>
      <c r="W397" s="18" t="inlineStr">
        <is>
          <t>Listed as a HelloTax partner (EU VAT compliance specialist)</t>
        </is>
      </c>
      <c r="X397" s="18" t="inlineStr">
        <is>
          <t>Offers API integration + dropshipping aimed at online sellers</t>
        </is>
      </c>
      <c r="Y397" s="18" t="inlineStr">
        <is>
          <t>Verify company registration.</t>
        </is>
      </c>
      <c r="Z397" s="18" t="inlineStr">
        <is>
          <t>Partner profile only</t>
        </is>
      </c>
      <c r="AA397" s="19" t="inlineStr">
        <is>
          <t>Source link</t>
        </is>
      </c>
      <c r="AB397" s="19" t="inlineStr">
        <is>
          <t>Search LinkedIn</t>
        </is>
      </c>
      <c r="AC397" s="18" t="inlineStr">
        <is>
          <t>Round 2</t>
        </is>
      </c>
      <c r="AD397" s="20" t="inlineStr">
        <is>
          <t>Not contacted</t>
        </is>
      </c>
      <c r="AE397" s="21" t="n"/>
      <c r="AF397" s="20" t="n"/>
      <c r="AG397" s="20" t="n"/>
      <c r="AH397" s="20" t="n"/>
      <c r="AI397" s="21">
        <f>IF(AE397="","",WORKDAY(AE397,5))</f>
        <v/>
      </c>
      <c r="AJ397" s="20" t="n"/>
      <c r="AK397" s="20" t="n"/>
    </row>
  </sheetData>
  <autoFilter ref="A1:AK397"/>
  <conditionalFormatting sqref="C2:C397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1</formula>
    </cfRule>
  </conditionalFormatting>
  <conditionalFormatting sqref="AI2:AI397">
    <cfRule type="expression" priority="4" dxfId="3">
      <formula>AND(AI2&lt;&gt;"",AI2&lt;=TODAY(),OR(AD2="Contacted",AD2="Follow-up sent"))</formula>
    </cfRule>
  </conditionalFormatting>
  <conditionalFormatting sqref="J2:J397">
    <cfRule type="cellIs" priority="5" operator="equal" dxfId="4">
      <formula>"Low-cost"</formula>
    </cfRule>
    <cfRule type="cellIs" priority="6" operator="equal" dxfId="5">
      <formula>"Mid"</formula>
    </cfRule>
  </conditionalFormatting>
  <conditionalFormatting sqref="Y2:Y397">
    <cfRule type="expression" priority="7" dxfId="6">
      <formula>OR(ISNUMBER(SEARCH("RED FLAG",Y2)),ISNUMBER(SEARCH("NOT SUITABLE",X2)))</formula>
    </cfRule>
  </conditionalFormatting>
  <conditionalFormatting sqref="T2:T397">
    <cfRule type="expression" priority="8" dxfId="4">
      <formula>ISNUMBER(SEARCH("Yes",T2))</formula>
    </cfRule>
    <cfRule type="expression" priority="9" dxfId="7">
      <formula>ISNUMBER(SEARCH("estrict",T2))</formula>
    </cfRule>
  </conditionalFormatting>
  <dataValidations count="4">
    <dataValidation sqref="AD2:AD397" showDropDown="0" showInputMessage="0" showErrorMessage="0" allowBlank="1" type="list">
      <formula1>"Not contacted,Contacted,Follow-up sent,Replied,Application submitted,Account approved,Price list received,First order placed,Rejected,Not suitable"</formula1>
    </dataValidation>
    <dataValidation sqref="AF2:AF397" showDropDown="0" showInputMessage="0" showErrorMessage="0" allowBlank="1" type="list">
      <formula1>"Email,LinkedIn,Phone,Website form,WhatsApp,Trade show,In person"</formula1>
    </dataValidation>
    <dataValidation sqref="AJ2:AJ397" showDropDown="0" showInputMessage="0" showErrorMessage="0" allowBlank="1" type="list">
      <formula1>"Yes,No,Pending"</formula1>
    </dataValidation>
    <dataValidation sqref="AE2:AE397" showDropDown="0" showInputMessage="0" showErrorMessage="0" allowBlank="1" type="date" operator="greaterThan">
      <formula1>DATE(2020,1,1)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AA2" r:id="rId2"/>
    <hyperlink xmlns:r="http://schemas.openxmlformats.org/officeDocument/2006/relationships" ref="AB2" r:id="rId3"/>
    <hyperlink xmlns:r="http://schemas.openxmlformats.org/officeDocument/2006/relationships" ref="F3" r:id="rId4"/>
    <hyperlink xmlns:r="http://schemas.openxmlformats.org/officeDocument/2006/relationships" ref="AA3" r:id="rId5"/>
    <hyperlink xmlns:r="http://schemas.openxmlformats.org/officeDocument/2006/relationships" ref="AB3" r:id="rId6"/>
    <hyperlink xmlns:r="http://schemas.openxmlformats.org/officeDocument/2006/relationships" ref="F4" r:id="rId7"/>
    <hyperlink xmlns:r="http://schemas.openxmlformats.org/officeDocument/2006/relationships" ref="AA4" r:id="rId8"/>
    <hyperlink xmlns:r="http://schemas.openxmlformats.org/officeDocument/2006/relationships" ref="AB4" r:id="rId9"/>
    <hyperlink xmlns:r="http://schemas.openxmlformats.org/officeDocument/2006/relationships" ref="F5" r:id="rId10"/>
    <hyperlink xmlns:r="http://schemas.openxmlformats.org/officeDocument/2006/relationships" ref="AA5" r:id="rId11"/>
    <hyperlink xmlns:r="http://schemas.openxmlformats.org/officeDocument/2006/relationships" ref="AB5" r:id="rId12"/>
    <hyperlink xmlns:r="http://schemas.openxmlformats.org/officeDocument/2006/relationships" ref="F6" r:id="rId13"/>
    <hyperlink xmlns:r="http://schemas.openxmlformats.org/officeDocument/2006/relationships" ref="AA6" r:id="rId14"/>
    <hyperlink xmlns:r="http://schemas.openxmlformats.org/officeDocument/2006/relationships" ref="AB6" r:id="rId15"/>
    <hyperlink xmlns:r="http://schemas.openxmlformats.org/officeDocument/2006/relationships" ref="F7" r:id="rId16"/>
    <hyperlink xmlns:r="http://schemas.openxmlformats.org/officeDocument/2006/relationships" ref="AA7" r:id="rId17"/>
    <hyperlink xmlns:r="http://schemas.openxmlformats.org/officeDocument/2006/relationships" ref="AB7" r:id="rId18"/>
    <hyperlink xmlns:r="http://schemas.openxmlformats.org/officeDocument/2006/relationships" ref="F8" r:id="rId19"/>
    <hyperlink xmlns:r="http://schemas.openxmlformats.org/officeDocument/2006/relationships" ref="AA8" r:id="rId20"/>
    <hyperlink xmlns:r="http://schemas.openxmlformats.org/officeDocument/2006/relationships" ref="AB8" r:id="rId21"/>
    <hyperlink xmlns:r="http://schemas.openxmlformats.org/officeDocument/2006/relationships" ref="F9" r:id="rId22"/>
    <hyperlink xmlns:r="http://schemas.openxmlformats.org/officeDocument/2006/relationships" ref="AA9" r:id="rId23"/>
    <hyperlink xmlns:r="http://schemas.openxmlformats.org/officeDocument/2006/relationships" ref="AB9" r:id="rId24"/>
    <hyperlink xmlns:r="http://schemas.openxmlformats.org/officeDocument/2006/relationships" ref="F10" r:id="rId25"/>
    <hyperlink xmlns:r="http://schemas.openxmlformats.org/officeDocument/2006/relationships" ref="AA10" r:id="rId26"/>
    <hyperlink xmlns:r="http://schemas.openxmlformats.org/officeDocument/2006/relationships" ref="AB10" r:id="rId27"/>
    <hyperlink xmlns:r="http://schemas.openxmlformats.org/officeDocument/2006/relationships" ref="F11" r:id="rId28"/>
    <hyperlink xmlns:r="http://schemas.openxmlformats.org/officeDocument/2006/relationships" ref="AA11" r:id="rId29"/>
    <hyperlink xmlns:r="http://schemas.openxmlformats.org/officeDocument/2006/relationships" ref="AB11" r:id="rId30"/>
    <hyperlink xmlns:r="http://schemas.openxmlformats.org/officeDocument/2006/relationships" ref="F12" r:id="rId31"/>
    <hyperlink xmlns:r="http://schemas.openxmlformats.org/officeDocument/2006/relationships" ref="AA12" r:id="rId32"/>
    <hyperlink xmlns:r="http://schemas.openxmlformats.org/officeDocument/2006/relationships" ref="AB12" r:id="rId33"/>
    <hyperlink xmlns:r="http://schemas.openxmlformats.org/officeDocument/2006/relationships" ref="AA13" r:id="rId34"/>
    <hyperlink xmlns:r="http://schemas.openxmlformats.org/officeDocument/2006/relationships" ref="AB13" r:id="rId35"/>
    <hyperlink xmlns:r="http://schemas.openxmlformats.org/officeDocument/2006/relationships" ref="F14" r:id="rId36"/>
    <hyperlink xmlns:r="http://schemas.openxmlformats.org/officeDocument/2006/relationships" ref="AA14" r:id="rId37"/>
    <hyperlink xmlns:r="http://schemas.openxmlformats.org/officeDocument/2006/relationships" ref="AB14" r:id="rId38"/>
    <hyperlink xmlns:r="http://schemas.openxmlformats.org/officeDocument/2006/relationships" ref="F15" r:id="rId39"/>
    <hyperlink xmlns:r="http://schemas.openxmlformats.org/officeDocument/2006/relationships" ref="AA15" r:id="rId40"/>
    <hyperlink xmlns:r="http://schemas.openxmlformats.org/officeDocument/2006/relationships" ref="AB15" r:id="rId41"/>
    <hyperlink xmlns:r="http://schemas.openxmlformats.org/officeDocument/2006/relationships" ref="F16" r:id="rId42"/>
    <hyperlink xmlns:r="http://schemas.openxmlformats.org/officeDocument/2006/relationships" ref="AA16" r:id="rId43"/>
    <hyperlink xmlns:r="http://schemas.openxmlformats.org/officeDocument/2006/relationships" ref="AB16" r:id="rId44"/>
    <hyperlink xmlns:r="http://schemas.openxmlformats.org/officeDocument/2006/relationships" ref="AA17" r:id="rId45"/>
    <hyperlink xmlns:r="http://schemas.openxmlformats.org/officeDocument/2006/relationships" ref="AB17" r:id="rId46"/>
    <hyperlink xmlns:r="http://schemas.openxmlformats.org/officeDocument/2006/relationships" ref="F18" r:id="rId47"/>
    <hyperlink xmlns:r="http://schemas.openxmlformats.org/officeDocument/2006/relationships" ref="AA18" r:id="rId48"/>
    <hyperlink xmlns:r="http://schemas.openxmlformats.org/officeDocument/2006/relationships" ref="AB18" r:id="rId49"/>
    <hyperlink xmlns:r="http://schemas.openxmlformats.org/officeDocument/2006/relationships" ref="AA19" r:id="rId50"/>
    <hyperlink xmlns:r="http://schemas.openxmlformats.org/officeDocument/2006/relationships" ref="AB19" r:id="rId51"/>
    <hyperlink xmlns:r="http://schemas.openxmlformats.org/officeDocument/2006/relationships" ref="F20" r:id="rId52"/>
    <hyperlink xmlns:r="http://schemas.openxmlformats.org/officeDocument/2006/relationships" ref="AA20" r:id="rId53"/>
    <hyperlink xmlns:r="http://schemas.openxmlformats.org/officeDocument/2006/relationships" ref="AB20" r:id="rId54"/>
    <hyperlink xmlns:r="http://schemas.openxmlformats.org/officeDocument/2006/relationships" ref="F21" r:id="rId55"/>
    <hyperlink xmlns:r="http://schemas.openxmlformats.org/officeDocument/2006/relationships" ref="AA21" r:id="rId56"/>
    <hyperlink xmlns:r="http://schemas.openxmlformats.org/officeDocument/2006/relationships" ref="AB21" r:id="rId57"/>
    <hyperlink xmlns:r="http://schemas.openxmlformats.org/officeDocument/2006/relationships" ref="AA22" r:id="rId58"/>
    <hyperlink xmlns:r="http://schemas.openxmlformats.org/officeDocument/2006/relationships" ref="AB22" r:id="rId59"/>
    <hyperlink xmlns:r="http://schemas.openxmlformats.org/officeDocument/2006/relationships" ref="F23" r:id="rId60"/>
    <hyperlink xmlns:r="http://schemas.openxmlformats.org/officeDocument/2006/relationships" ref="AA23" r:id="rId61"/>
    <hyperlink xmlns:r="http://schemas.openxmlformats.org/officeDocument/2006/relationships" ref="AB23" r:id="rId62"/>
    <hyperlink xmlns:r="http://schemas.openxmlformats.org/officeDocument/2006/relationships" ref="F24" r:id="rId63"/>
    <hyperlink xmlns:r="http://schemas.openxmlformats.org/officeDocument/2006/relationships" ref="AA24" r:id="rId64"/>
    <hyperlink xmlns:r="http://schemas.openxmlformats.org/officeDocument/2006/relationships" ref="AB24" r:id="rId65"/>
    <hyperlink xmlns:r="http://schemas.openxmlformats.org/officeDocument/2006/relationships" ref="F25" r:id="rId66"/>
    <hyperlink xmlns:r="http://schemas.openxmlformats.org/officeDocument/2006/relationships" ref="AA25" r:id="rId67"/>
    <hyperlink xmlns:r="http://schemas.openxmlformats.org/officeDocument/2006/relationships" ref="AB25" r:id="rId68"/>
    <hyperlink xmlns:r="http://schemas.openxmlformats.org/officeDocument/2006/relationships" ref="AA26" r:id="rId69"/>
    <hyperlink xmlns:r="http://schemas.openxmlformats.org/officeDocument/2006/relationships" ref="AB26" r:id="rId70"/>
    <hyperlink xmlns:r="http://schemas.openxmlformats.org/officeDocument/2006/relationships" ref="AA27" r:id="rId71"/>
    <hyperlink xmlns:r="http://schemas.openxmlformats.org/officeDocument/2006/relationships" ref="AB27" r:id="rId72"/>
    <hyperlink xmlns:r="http://schemas.openxmlformats.org/officeDocument/2006/relationships" ref="F28" r:id="rId73"/>
    <hyperlink xmlns:r="http://schemas.openxmlformats.org/officeDocument/2006/relationships" ref="AA28" r:id="rId74"/>
    <hyperlink xmlns:r="http://schemas.openxmlformats.org/officeDocument/2006/relationships" ref="AB28" r:id="rId75"/>
    <hyperlink xmlns:r="http://schemas.openxmlformats.org/officeDocument/2006/relationships" ref="AA29" r:id="rId76"/>
    <hyperlink xmlns:r="http://schemas.openxmlformats.org/officeDocument/2006/relationships" ref="AB29" r:id="rId77"/>
    <hyperlink xmlns:r="http://schemas.openxmlformats.org/officeDocument/2006/relationships" ref="AA30" r:id="rId78"/>
    <hyperlink xmlns:r="http://schemas.openxmlformats.org/officeDocument/2006/relationships" ref="AB30" r:id="rId79"/>
    <hyperlink xmlns:r="http://schemas.openxmlformats.org/officeDocument/2006/relationships" ref="AA31" r:id="rId80"/>
    <hyperlink xmlns:r="http://schemas.openxmlformats.org/officeDocument/2006/relationships" ref="AB31" r:id="rId81"/>
    <hyperlink xmlns:r="http://schemas.openxmlformats.org/officeDocument/2006/relationships" ref="AA32" r:id="rId82"/>
    <hyperlink xmlns:r="http://schemas.openxmlformats.org/officeDocument/2006/relationships" ref="AB32" r:id="rId83"/>
    <hyperlink xmlns:r="http://schemas.openxmlformats.org/officeDocument/2006/relationships" ref="AA33" r:id="rId84"/>
    <hyperlink xmlns:r="http://schemas.openxmlformats.org/officeDocument/2006/relationships" ref="AB33" r:id="rId85"/>
    <hyperlink xmlns:r="http://schemas.openxmlformats.org/officeDocument/2006/relationships" ref="F34" r:id="rId86"/>
    <hyperlink xmlns:r="http://schemas.openxmlformats.org/officeDocument/2006/relationships" ref="AA34" r:id="rId87"/>
    <hyperlink xmlns:r="http://schemas.openxmlformats.org/officeDocument/2006/relationships" ref="AB34" r:id="rId88"/>
    <hyperlink xmlns:r="http://schemas.openxmlformats.org/officeDocument/2006/relationships" ref="F35" r:id="rId89"/>
    <hyperlink xmlns:r="http://schemas.openxmlformats.org/officeDocument/2006/relationships" ref="AA35" r:id="rId90"/>
    <hyperlink xmlns:r="http://schemas.openxmlformats.org/officeDocument/2006/relationships" ref="AB35" r:id="rId91"/>
    <hyperlink xmlns:r="http://schemas.openxmlformats.org/officeDocument/2006/relationships" ref="F36" r:id="rId92"/>
    <hyperlink xmlns:r="http://schemas.openxmlformats.org/officeDocument/2006/relationships" ref="AA36" r:id="rId93"/>
    <hyperlink xmlns:r="http://schemas.openxmlformats.org/officeDocument/2006/relationships" ref="AB36" r:id="rId94"/>
    <hyperlink xmlns:r="http://schemas.openxmlformats.org/officeDocument/2006/relationships" ref="F37" r:id="rId95"/>
    <hyperlink xmlns:r="http://schemas.openxmlformats.org/officeDocument/2006/relationships" ref="AA37" r:id="rId96"/>
    <hyperlink xmlns:r="http://schemas.openxmlformats.org/officeDocument/2006/relationships" ref="AB37" r:id="rId97"/>
    <hyperlink xmlns:r="http://schemas.openxmlformats.org/officeDocument/2006/relationships" ref="F38" r:id="rId98"/>
    <hyperlink xmlns:r="http://schemas.openxmlformats.org/officeDocument/2006/relationships" ref="AA38" r:id="rId99"/>
    <hyperlink xmlns:r="http://schemas.openxmlformats.org/officeDocument/2006/relationships" ref="AB38" r:id="rId100"/>
    <hyperlink xmlns:r="http://schemas.openxmlformats.org/officeDocument/2006/relationships" ref="F39" r:id="rId101"/>
    <hyperlink xmlns:r="http://schemas.openxmlformats.org/officeDocument/2006/relationships" ref="AA39" r:id="rId102"/>
    <hyperlink xmlns:r="http://schemas.openxmlformats.org/officeDocument/2006/relationships" ref="AB39" r:id="rId103"/>
    <hyperlink xmlns:r="http://schemas.openxmlformats.org/officeDocument/2006/relationships" ref="AA40" r:id="rId104"/>
    <hyperlink xmlns:r="http://schemas.openxmlformats.org/officeDocument/2006/relationships" ref="AB40" r:id="rId105"/>
    <hyperlink xmlns:r="http://schemas.openxmlformats.org/officeDocument/2006/relationships" ref="AA41" r:id="rId106"/>
    <hyperlink xmlns:r="http://schemas.openxmlformats.org/officeDocument/2006/relationships" ref="AB41" r:id="rId107"/>
    <hyperlink xmlns:r="http://schemas.openxmlformats.org/officeDocument/2006/relationships" ref="F42" r:id="rId108"/>
    <hyperlink xmlns:r="http://schemas.openxmlformats.org/officeDocument/2006/relationships" ref="AA42" r:id="rId109"/>
    <hyperlink xmlns:r="http://schemas.openxmlformats.org/officeDocument/2006/relationships" ref="AB42" r:id="rId110"/>
    <hyperlink xmlns:r="http://schemas.openxmlformats.org/officeDocument/2006/relationships" ref="F43" r:id="rId111"/>
    <hyperlink xmlns:r="http://schemas.openxmlformats.org/officeDocument/2006/relationships" ref="AA43" r:id="rId112"/>
    <hyperlink xmlns:r="http://schemas.openxmlformats.org/officeDocument/2006/relationships" ref="AB43" r:id="rId113"/>
    <hyperlink xmlns:r="http://schemas.openxmlformats.org/officeDocument/2006/relationships" ref="F44" r:id="rId114"/>
    <hyperlink xmlns:r="http://schemas.openxmlformats.org/officeDocument/2006/relationships" ref="AA44" r:id="rId115"/>
    <hyperlink xmlns:r="http://schemas.openxmlformats.org/officeDocument/2006/relationships" ref="AB44" r:id="rId116"/>
    <hyperlink xmlns:r="http://schemas.openxmlformats.org/officeDocument/2006/relationships" ref="F45" r:id="rId117"/>
    <hyperlink xmlns:r="http://schemas.openxmlformats.org/officeDocument/2006/relationships" ref="AA45" r:id="rId118"/>
    <hyperlink xmlns:r="http://schemas.openxmlformats.org/officeDocument/2006/relationships" ref="AB45" r:id="rId119"/>
    <hyperlink xmlns:r="http://schemas.openxmlformats.org/officeDocument/2006/relationships" ref="F46" r:id="rId120"/>
    <hyperlink xmlns:r="http://schemas.openxmlformats.org/officeDocument/2006/relationships" ref="AA46" r:id="rId121"/>
    <hyperlink xmlns:r="http://schemas.openxmlformats.org/officeDocument/2006/relationships" ref="AB46" r:id="rId122"/>
    <hyperlink xmlns:r="http://schemas.openxmlformats.org/officeDocument/2006/relationships" ref="F47" r:id="rId123"/>
    <hyperlink xmlns:r="http://schemas.openxmlformats.org/officeDocument/2006/relationships" ref="AA47" r:id="rId124"/>
    <hyperlink xmlns:r="http://schemas.openxmlformats.org/officeDocument/2006/relationships" ref="AB47" r:id="rId125"/>
    <hyperlink xmlns:r="http://schemas.openxmlformats.org/officeDocument/2006/relationships" ref="AA48" r:id="rId126"/>
    <hyperlink xmlns:r="http://schemas.openxmlformats.org/officeDocument/2006/relationships" ref="AB48" r:id="rId127"/>
    <hyperlink xmlns:r="http://schemas.openxmlformats.org/officeDocument/2006/relationships" ref="F49" r:id="rId128"/>
    <hyperlink xmlns:r="http://schemas.openxmlformats.org/officeDocument/2006/relationships" ref="AA49" r:id="rId129"/>
    <hyperlink xmlns:r="http://schemas.openxmlformats.org/officeDocument/2006/relationships" ref="AB49" r:id="rId130"/>
    <hyperlink xmlns:r="http://schemas.openxmlformats.org/officeDocument/2006/relationships" ref="F50" r:id="rId131"/>
    <hyperlink xmlns:r="http://schemas.openxmlformats.org/officeDocument/2006/relationships" ref="AA50" r:id="rId132"/>
    <hyperlink xmlns:r="http://schemas.openxmlformats.org/officeDocument/2006/relationships" ref="AB50" r:id="rId133"/>
    <hyperlink xmlns:r="http://schemas.openxmlformats.org/officeDocument/2006/relationships" ref="F51" r:id="rId134"/>
    <hyperlink xmlns:r="http://schemas.openxmlformats.org/officeDocument/2006/relationships" ref="AA51" r:id="rId135"/>
    <hyperlink xmlns:r="http://schemas.openxmlformats.org/officeDocument/2006/relationships" ref="AB51" r:id="rId136"/>
    <hyperlink xmlns:r="http://schemas.openxmlformats.org/officeDocument/2006/relationships" ref="F52" r:id="rId137"/>
    <hyperlink xmlns:r="http://schemas.openxmlformats.org/officeDocument/2006/relationships" ref="AA52" r:id="rId138"/>
    <hyperlink xmlns:r="http://schemas.openxmlformats.org/officeDocument/2006/relationships" ref="AB52" r:id="rId139"/>
    <hyperlink xmlns:r="http://schemas.openxmlformats.org/officeDocument/2006/relationships" ref="F53" r:id="rId140"/>
    <hyperlink xmlns:r="http://schemas.openxmlformats.org/officeDocument/2006/relationships" ref="AA53" r:id="rId141"/>
    <hyperlink xmlns:r="http://schemas.openxmlformats.org/officeDocument/2006/relationships" ref="AB53" r:id="rId142"/>
    <hyperlink xmlns:r="http://schemas.openxmlformats.org/officeDocument/2006/relationships" ref="F54" r:id="rId143"/>
    <hyperlink xmlns:r="http://schemas.openxmlformats.org/officeDocument/2006/relationships" ref="AA54" r:id="rId144"/>
    <hyperlink xmlns:r="http://schemas.openxmlformats.org/officeDocument/2006/relationships" ref="AB54" r:id="rId145"/>
    <hyperlink xmlns:r="http://schemas.openxmlformats.org/officeDocument/2006/relationships" ref="F55" r:id="rId146"/>
    <hyperlink xmlns:r="http://schemas.openxmlformats.org/officeDocument/2006/relationships" ref="AA55" r:id="rId147"/>
    <hyperlink xmlns:r="http://schemas.openxmlformats.org/officeDocument/2006/relationships" ref="AB55" r:id="rId148"/>
    <hyperlink xmlns:r="http://schemas.openxmlformats.org/officeDocument/2006/relationships" ref="F56" r:id="rId149"/>
    <hyperlink xmlns:r="http://schemas.openxmlformats.org/officeDocument/2006/relationships" ref="AA56" r:id="rId150"/>
    <hyperlink xmlns:r="http://schemas.openxmlformats.org/officeDocument/2006/relationships" ref="AB56" r:id="rId151"/>
    <hyperlink xmlns:r="http://schemas.openxmlformats.org/officeDocument/2006/relationships" ref="F57" r:id="rId152"/>
    <hyperlink xmlns:r="http://schemas.openxmlformats.org/officeDocument/2006/relationships" ref="AA57" r:id="rId153"/>
    <hyperlink xmlns:r="http://schemas.openxmlformats.org/officeDocument/2006/relationships" ref="AB57" r:id="rId154"/>
    <hyperlink xmlns:r="http://schemas.openxmlformats.org/officeDocument/2006/relationships" ref="F58" r:id="rId155"/>
    <hyperlink xmlns:r="http://schemas.openxmlformats.org/officeDocument/2006/relationships" ref="AA58" r:id="rId156"/>
    <hyperlink xmlns:r="http://schemas.openxmlformats.org/officeDocument/2006/relationships" ref="AB58" r:id="rId157"/>
    <hyperlink xmlns:r="http://schemas.openxmlformats.org/officeDocument/2006/relationships" ref="F59" r:id="rId158"/>
    <hyperlink xmlns:r="http://schemas.openxmlformats.org/officeDocument/2006/relationships" ref="AA59" r:id="rId159"/>
    <hyperlink xmlns:r="http://schemas.openxmlformats.org/officeDocument/2006/relationships" ref="AB59" r:id="rId160"/>
    <hyperlink xmlns:r="http://schemas.openxmlformats.org/officeDocument/2006/relationships" ref="F60" r:id="rId161"/>
    <hyperlink xmlns:r="http://schemas.openxmlformats.org/officeDocument/2006/relationships" ref="AA60" r:id="rId162"/>
    <hyperlink xmlns:r="http://schemas.openxmlformats.org/officeDocument/2006/relationships" ref="AB60" r:id="rId163"/>
    <hyperlink xmlns:r="http://schemas.openxmlformats.org/officeDocument/2006/relationships" ref="F61" r:id="rId164"/>
    <hyperlink xmlns:r="http://schemas.openxmlformats.org/officeDocument/2006/relationships" ref="AA61" r:id="rId165"/>
    <hyperlink xmlns:r="http://schemas.openxmlformats.org/officeDocument/2006/relationships" ref="AB61" r:id="rId166"/>
    <hyperlink xmlns:r="http://schemas.openxmlformats.org/officeDocument/2006/relationships" ref="F62" r:id="rId167"/>
    <hyperlink xmlns:r="http://schemas.openxmlformats.org/officeDocument/2006/relationships" ref="AA62" r:id="rId168"/>
    <hyperlink xmlns:r="http://schemas.openxmlformats.org/officeDocument/2006/relationships" ref="AB62" r:id="rId169"/>
    <hyperlink xmlns:r="http://schemas.openxmlformats.org/officeDocument/2006/relationships" ref="F63" r:id="rId170"/>
    <hyperlink xmlns:r="http://schemas.openxmlformats.org/officeDocument/2006/relationships" ref="AA63" r:id="rId171"/>
    <hyperlink xmlns:r="http://schemas.openxmlformats.org/officeDocument/2006/relationships" ref="AB63" r:id="rId172"/>
    <hyperlink xmlns:r="http://schemas.openxmlformats.org/officeDocument/2006/relationships" ref="F64" r:id="rId173"/>
    <hyperlink xmlns:r="http://schemas.openxmlformats.org/officeDocument/2006/relationships" ref="AA64" r:id="rId174"/>
    <hyperlink xmlns:r="http://schemas.openxmlformats.org/officeDocument/2006/relationships" ref="AB64" r:id="rId175"/>
    <hyperlink xmlns:r="http://schemas.openxmlformats.org/officeDocument/2006/relationships" ref="F65" r:id="rId176"/>
    <hyperlink xmlns:r="http://schemas.openxmlformats.org/officeDocument/2006/relationships" ref="AA65" r:id="rId177"/>
    <hyperlink xmlns:r="http://schemas.openxmlformats.org/officeDocument/2006/relationships" ref="AB65" r:id="rId178"/>
    <hyperlink xmlns:r="http://schemas.openxmlformats.org/officeDocument/2006/relationships" ref="F66" r:id="rId179"/>
    <hyperlink xmlns:r="http://schemas.openxmlformats.org/officeDocument/2006/relationships" ref="AA66" r:id="rId180"/>
    <hyperlink xmlns:r="http://schemas.openxmlformats.org/officeDocument/2006/relationships" ref="AB66" r:id="rId181"/>
    <hyperlink xmlns:r="http://schemas.openxmlformats.org/officeDocument/2006/relationships" ref="AA67" r:id="rId182"/>
    <hyperlink xmlns:r="http://schemas.openxmlformats.org/officeDocument/2006/relationships" ref="AB67" r:id="rId183"/>
    <hyperlink xmlns:r="http://schemas.openxmlformats.org/officeDocument/2006/relationships" ref="F68" r:id="rId184"/>
    <hyperlink xmlns:r="http://schemas.openxmlformats.org/officeDocument/2006/relationships" ref="AA68" r:id="rId185"/>
    <hyperlink xmlns:r="http://schemas.openxmlformats.org/officeDocument/2006/relationships" ref="AB68" r:id="rId186"/>
    <hyperlink xmlns:r="http://schemas.openxmlformats.org/officeDocument/2006/relationships" ref="F69" r:id="rId187"/>
    <hyperlink xmlns:r="http://schemas.openxmlformats.org/officeDocument/2006/relationships" ref="AA69" r:id="rId188"/>
    <hyperlink xmlns:r="http://schemas.openxmlformats.org/officeDocument/2006/relationships" ref="AB69" r:id="rId189"/>
    <hyperlink xmlns:r="http://schemas.openxmlformats.org/officeDocument/2006/relationships" ref="F70" r:id="rId190"/>
    <hyperlink xmlns:r="http://schemas.openxmlformats.org/officeDocument/2006/relationships" ref="AA70" r:id="rId191"/>
    <hyperlink xmlns:r="http://schemas.openxmlformats.org/officeDocument/2006/relationships" ref="AB70" r:id="rId192"/>
    <hyperlink xmlns:r="http://schemas.openxmlformats.org/officeDocument/2006/relationships" ref="F71" r:id="rId193"/>
    <hyperlink xmlns:r="http://schemas.openxmlformats.org/officeDocument/2006/relationships" ref="AA71" r:id="rId194"/>
    <hyperlink xmlns:r="http://schemas.openxmlformats.org/officeDocument/2006/relationships" ref="AB71" r:id="rId195"/>
    <hyperlink xmlns:r="http://schemas.openxmlformats.org/officeDocument/2006/relationships" ref="F72" r:id="rId196"/>
    <hyperlink xmlns:r="http://schemas.openxmlformats.org/officeDocument/2006/relationships" ref="AA72" r:id="rId197"/>
    <hyperlink xmlns:r="http://schemas.openxmlformats.org/officeDocument/2006/relationships" ref="AB72" r:id="rId198"/>
    <hyperlink xmlns:r="http://schemas.openxmlformats.org/officeDocument/2006/relationships" ref="F73" r:id="rId199"/>
    <hyperlink xmlns:r="http://schemas.openxmlformats.org/officeDocument/2006/relationships" ref="AA73" r:id="rId200"/>
    <hyperlink xmlns:r="http://schemas.openxmlformats.org/officeDocument/2006/relationships" ref="AB73" r:id="rId201"/>
    <hyperlink xmlns:r="http://schemas.openxmlformats.org/officeDocument/2006/relationships" ref="F74" r:id="rId202"/>
    <hyperlink xmlns:r="http://schemas.openxmlformats.org/officeDocument/2006/relationships" ref="AA74" r:id="rId203"/>
    <hyperlink xmlns:r="http://schemas.openxmlformats.org/officeDocument/2006/relationships" ref="AB74" r:id="rId204"/>
    <hyperlink xmlns:r="http://schemas.openxmlformats.org/officeDocument/2006/relationships" ref="AA75" r:id="rId205"/>
    <hyperlink xmlns:r="http://schemas.openxmlformats.org/officeDocument/2006/relationships" ref="AB75" r:id="rId206"/>
    <hyperlink xmlns:r="http://schemas.openxmlformats.org/officeDocument/2006/relationships" ref="F76" r:id="rId207"/>
    <hyperlink xmlns:r="http://schemas.openxmlformats.org/officeDocument/2006/relationships" ref="AA76" r:id="rId208"/>
    <hyperlink xmlns:r="http://schemas.openxmlformats.org/officeDocument/2006/relationships" ref="AB76" r:id="rId209"/>
    <hyperlink xmlns:r="http://schemas.openxmlformats.org/officeDocument/2006/relationships" ref="F77" r:id="rId210"/>
    <hyperlink xmlns:r="http://schemas.openxmlformats.org/officeDocument/2006/relationships" ref="AA77" r:id="rId211"/>
    <hyperlink xmlns:r="http://schemas.openxmlformats.org/officeDocument/2006/relationships" ref="AB77" r:id="rId212"/>
    <hyperlink xmlns:r="http://schemas.openxmlformats.org/officeDocument/2006/relationships" ref="F78" r:id="rId213"/>
    <hyperlink xmlns:r="http://schemas.openxmlformats.org/officeDocument/2006/relationships" ref="AA78" r:id="rId214"/>
    <hyperlink xmlns:r="http://schemas.openxmlformats.org/officeDocument/2006/relationships" ref="AB78" r:id="rId215"/>
    <hyperlink xmlns:r="http://schemas.openxmlformats.org/officeDocument/2006/relationships" ref="F79" r:id="rId216"/>
    <hyperlink xmlns:r="http://schemas.openxmlformats.org/officeDocument/2006/relationships" ref="AA79" r:id="rId217"/>
    <hyperlink xmlns:r="http://schemas.openxmlformats.org/officeDocument/2006/relationships" ref="AB79" r:id="rId218"/>
    <hyperlink xmlns:r="http://schemas.openxmlformats.org/officeDocument/2006/relationships" ref="AA80" r:id="rId219"/>
    <hyperlink xmlns:r="http://schemas.openxmlformats.org/officeDocument/2006/relationships" ref="AB80" r:id="rId220"/>
    <hyperlink xmlns:r="http://schemas.openxmlformats.org/officeDocument/2006/relationships" ref="F81" r:id="rId221"/>
    <hyperlink xmlns:r="http://schemas.openxmlformats.org/officeDocument/2006/relationships" ref="AA81" r:id="rId222"/>
    <hyperlink xmlns:r="http://schemas.openxmlformats.org/officeDocument/2006/relationships" ref="AB81" r:id="rId223"/>
    <hyperlink xmlns:r="http://schemas.openxmlformats.org/officeDocument/2006/relationships" ref="F82" r:id="rId224"/>
    <hyperlink xmlns:r="http://schemas.openxmlformats.org/officeDocument/2006/relationships" ref="AA82" r:id="rId225"/>
    <hyperlink xmlns:r="http://schemas.openxmlformats.org/officeDocument/2006/relationships" ref="AB82" r:id="rId226"/>
    <hyperlink xmlns:r="http://schemas.openxmlformats.org/officeDocument/2006/relationships" ref="F83" r:id="rId227"/>
    <hyperlink xmlns:r="http://schemas.openxmlformats.org/officeDocument/2006/relationships" ref="AA83" r:id="rId228"/>
    <hyperlink xmlns:r="http://schemas.openxmlformats.org/officeDocument/2006/relationships" ref="AB83" r:id="rId229"/>
    <hyperlink xmlns:r="http://schemas.openxmlformats.org/officeDocument/2006/relationships" ref="F84" r:id="rId230"/>
    <hyperlink xmlns:r="http://schemas.openxmlformats.org/officeDocument/2006/relationships" ref="AA84" r:id="rId231"/>
    <hyperlink xmlns:r="http://schemas.openxmlformats.org/officeDocument/2006/relationships" ref="AB84" r:id="rId232"/>
    <hyperlink xmlns:r="http://schemas.openxmlformats.org/officeDocument/2006/relationships" ref="F85" r:id="rId233"/>
    <hyperlink xmlns:r="http://schemas.openxmlformats.org/officeDocument/2006/relationships" ref="AA85" r:id="rId234"/>
    <hyperlink xmlns:r="http://schemas.openxmlformats.org/officeDocument/2006/relationships" ref="AB85" r:id="rId235"/>
    <hyperlink xmlns:r="http://schemas.openxmlformats.org/officeDocument/2006/relationships" ref="F86" r:id="rId236"/>
    <hyperlink xmlns:r="http://schemas.openxmlformats.org/officeDocument/2006/relationships" ref="AA86" r:id="rId237"/>
    <hyperlink xmlns:r="http://schemas.openxmlformats.org/officeDocument/2006/relationships" ref="AB86" r:id="rId238"/>
    <hyperlink xmlns:r="http://schemas.openxmlformats.org/officeDocument/2006/relationships" ref="F87" r:id="rId239"/>
    <hyperlink xmlns:r="http://schemas.openxmlformats.org/officeDocument/2006/relationships" ref="AA87" r:id="rId240"/>
    <hyperlink xmlns:r="http://schemas.openxmlformats.org/officeDocument/2006/relationships" ref="AB87" r:id="rId241"/>
    <hyperlink xmlns:r="http://schemas.openxmlformats.org/officeDocument/2006/relationships" ref="F88" r:id="rId242"/>
    <hyperlink xmlns:r="http://schemas.openxmlformats.org/officeDocument/2006/relationships" ref="AA88" r:id="rId243"/>
    <hyperlink xmlns:r="http://schemas.openxmlformats.org/officeDocument/2006/relationships" ref="AB88" r:id="rId244"/>
    <hyperlink xmlns:r="http://schemas.openxmlformats.org/officeDocument/2006/relationships" ref="F89" r:id="rId245"/>
    <hyperlink xmlns:r="http://schemas.openxmlformats.org/officeDocument/2006/relationships" ref="AA89" r:id="rId246"/>
    <hyperlink xmlns:r="http://schemas.openxmlformats.org/officeDocument/2006/relationships" ref="AB89" r:id="rId247"/>
    <hyperlink xmlns:r="http://schemas.openxmlformats.org/officeDocument/2006/relationships" ref="F90" r:id="rId248"/>
    <hyperlink xmlns:r="http://schemas.openxmlformats.org/officeDocument/2006/relationships" ref="AA90" r:id="rId249"/>
    <hyperlink xmlns:r="http://schemas.openxmlformats.org/officeDocument/2006/relationships" ref="AB90" r:id="rId250"/>
    <hyperlink xmlns:r="http://schemas.openxmlformats.org/officeDocument/2006/relationships" ref="AA91" r:id="rId251"/>
    <hyperlink xmlns:r="http://schemas.openxmlformats.org/officeDocument/2006/relationships" ref="AB91" r:id="rId252"/>
    <hyperlink xmlns:r="http://schemas.openxmlformats.org/officeDocument/2006/relationships" ref="AA92" r:id="rId253"/>
    <hyperlink xmlns:r="http://schemas.openxmlformats.org/officeDocument/2006/relationships" ref="AB92" r:id="rId254"/>
    <hyperlink xmlns:r="http://schemas.openxmlformats.org/officeDocument/2006/relationships" ref="F93" r:id="rId255"/>
    <hyperlink xmlns:r="http://schemas.openxmlformats.org/officeDocument/2006/relationships" ref="AA93" r:id="rId256"/>
    <hyperlink xmlns:r="http://schemas.openxmlformats.org/officeDocument/2006/relationships" ref="AB93" r:id="rId257"/>
    <hyperlink xmlns:r="http://schemas.openxmlformats.org/officeDocument/2006/relationships" ref="F94" r:id="rId258"/>
    <hyperlink xmlns:r="http://schemas.openxmlformats.org/officeDocument/2006/relationships" ref="AA94" r:id="rId259"/>
    <hyperlink xmlns:r="http://schemas.openxmlformats.org/officeDocument/2006/relationships" ref="AB94" r:id="rId260"/>
    <hyperlink xmlns:r="http://schemas.openxmlformats.org/officeDocument/2006/relationships" ref="F95" r:id="rId261"/>
    <hyperlink xmlns:r="http://schemas.openxmlformats.org/officeDocument/2006/relationships" ref="AA95" r:id="rId262"/>
    <hyperlink xmlns:r="http://schemas.openxmlformats.org/officeDocument/2006/relationships" ref="AB95" r:id="rId263"/>
    <hyperlink xmlns:r="http://schemas.openxmlformats.org/officeDocument/2006/relationships" ref="F96" r:id="rId264"/>
    <hyperlink xmlns:r="http://schemas.openxmlformats.org/officeDocument/2006/relationships" ref="AA96" r:id="rId265"/>
    <hyperlink xmlns:r="http://schemas.openxmlformats.org/officeDocument/2006/relationships" ref="AB96" r:id="rId266"/>
    <hyperlink xmlns:r="http://schemas.openxmlformats.org/officeDocument/2006/relationships" ref="F97" r:id="rId267"/>
    <hyperlink xmlns:r="http://schemas.openxmlformats.org/officeDocument/2006/relationships" ref="AA97" r:id="rId268"/>
    <hyperlink xmlns:r="http://schemas.openxmlformats.org/officeDocument/2006/relationships" ref="AB97" r:id="rId269"/>
    <hyperlink xmlns:r="http://schemas.openxmlformats.org/officeDocument/2006/relationships" ref="F98" r:id="rId270"/>
    <hyperlink xmlns:r="http://schemas.openxmlformats.org/officeDocument/2006/relationships" ref="AA98" r:id="rId271"/>
    <hyperlink xmlns:r="http://schemas.openxmlformats.org/officeDocument/2006/relationships" ref="AB98" r:id="rId272"/>
    <hyperlink xmlns:r="http://schemas.openxmlformats.org/officeDocument/2006/relationships" ref="F99" r:id="rId273"/>
    <hyperlink xmlns:r="http://schemas.openxmlformats.org/officeDocument/2006/relationships" ref="AA99" r:id="rId274"/>
    <hyperlink xmlns:r="http://schemas.openxmlformats.org/officeDocument/2006/relationships" ref="AB99" r:id="rId275"/>
    <hyperlink xmlns:r="http://schemas.openxmlformats.org/officeDocument/2006/relationships" ref="F100" r:id="rId276"/>
    <hyperlink xmlns:r="http://schemas.openxmlformats.org/officeDocument/2006/relationships" ref="AA100" r:id="rId277"/>
    <hyperlink xmlns:r="http://schemas.openxmlformats.org/officeDocument/2006/relationships" ref="AB100" r:id="rId278"/>
    <hyperlink xmlns:r="http://schemas.openxmlformats.org/officeDocument/2006/relationships" ref="F101" r:id="rId279"/>
    <hyperlink xmlns:r="http://schemas.openxmlformats.org/officeDocument/2006/relationships" ref="AA101" r:id="rId280"/>
    <hyperlink xmlns:r="http://schemas.openxmlformats.org/officeDocument/2006/relationships" ref="AB101" r:id="rId281"/>
    <hyperlink xmlns:r="http://schemas.openxmlformats.org/officeDocument/2006/relationships" ref="F102" r:id="rId282"/>
    <hyperlink xmlns:r="http://schemas.openxmlformats.org/officeDocument/2006/relationships" ref="AA102" r:id="rId283"/>
    <hyperlink xmlns:r="http://schemas.openxmlformats.org/officeDocument/2006/relationships" ref="AB102" r:id="rId284"/>
    <hyperlink xmlns:r="http://schemas.openxmlformats.org/officeDocument/2006/relationships" ref="F103" r:id="rId285"/>
    <hyperlink xmlns:r="http://schemas.openxmlformats.org/officeDocument/2006/relationships" ref="AA103" r:id="rId286"/>
    <hyperlink xmlns:r="http://schemas.openxmlformats.org/officeDocument/2006/relationships" ref="AB103" r:id="rId287"/>
    <hyperlink xmlns:r="http://schemas.openxmlformats.org/officeDocument/2006/relationships" ref="F104" r:id="rId288"/>
    <hyperlink xmlns:r="http://schemas.openxmlformats.org/officeDocument/2006/relationships" ref="AA104" r:id="rId289"/>
    <hyperlink xmlns:r="http://schemas.openxmlformats.org/officeDocument/2006/relationships" ref="AB104" r:id="rId290"/>
    <hyperlink xmlns:r="http://schemas.openxmlformats.org/officeDocument/2006/relationships" ref="F105" r:id="rId291"/>
    <hyperlink xmlns:r="http://schemas.openxmlformats.org/officeDocument/2006/relationships" ref="AA105" r:id="rId292"/>
    <hyperlink xmlns:r="http://schemas.openxmlformats.org/officeDocument/2006/relationships" ref="AB105" r:id="rId293"/>
    <hyperlink xmlns:r="http://schemas.openxmlformats.org/officeDocument/2006/relationships" ref="F106" r:id="rId294"/>
    <hyperlink xmlns:r="http://schemas.openxmlformats.org/officeDocument/2006/relationships" ref="AA106" r:id="rId295"/>
    <hyperlink xmlns:r="http://schemas.openxmlformats.org/officeDocument/2006/relationships" ref="AB106" r:id="rId296"/>
    <hyperlink xmlns:r="http://schemas.openxmlformats.org/officeDocument/2006/relationships" ref="F107" r:id="rId297"/>
    <hyperlink xmlns:r="http://schemas.openxmlformats.org/officeDocument/2006/relationships" ref="AA107" r:id="rId298"/>
    <hyperlink xmlns:r="http://schemas.openxmlformats.org/officeDocument/2006/relationships" ref="AB107" r:id="rId299"/>
    <hyperlink xmlns:r="http://schemas.openxmlformats.org/officeDocument/2006/relationships" ref="F108" r:id="rId300"/>
    <hyperlink xmlns:r="http://schemas.openxmlformats.org/officeDocument/2006/relationships" ref="AA108" r:id="rId301"/>
    <hyperlink xmlns:r="http://schemas.openxmlformats.org/officeDocument/2006/relationships" ref="AB108" r:id="rId302"/>
    <hyperlink xmlns:r="http://schemas.openxmlformats.org/officeDocument/2006/relationships" ref="F109" r:id="rId303"/>
    <hyperlink xmlns:r="http://schemas.openxmlformats.org/officeDocument/2006/relationships" ref="AA109" r:id="rId304"/>
    <hyperlink xmlns:r="http://schemas.openxmlformats.org/officeDocument/2006/relationships" ref="AB109" r:id="rId305"/>
    <hyperlink xmlns:r="http://schemas.openxmlformats.org/officeDocument/2006/relationships" ref="F110" r:id="rId306"/>
    <hyperlink xmlns:r="http://schemas.openxmlformats.org/officeDocument/2006/relationships" ref="AA110" r:id="rId307"/>
    <hyperlink xmlns:r="http://schemas.openxmlformats.org/officeDocument/2006/relationships" ref="AB110" r:id="rId308"/>
    <hyperlink xmlns:r="http://schemas.openxmlformats.org/officeDocument/2006/relationships" ref="F111" r:id="rId309"/>
    <hyperlink xmlns:r="http://schemas.openxmlformats.org/officeDocument/2006/relationships" ref="AA111" r:id="rId310"/>
    <hyperlink xmlns:r="http://schemas.openxmlformats.org/officeDocument/2006/relationships" ref="AB111" r:id="rId311"/>
    <hyperlink xmlns:r="http://schemas.openxmlformats.org/officeDocument/2006/relationships" ref="F112" r:id="rId312"/>
    <hyperlink xmlns:r="http://schemas.openxmlformats.org/officeDocument/2006/relationships" ref="AA112" r:id="rId313"/>
    <hyperlink xmlns:r="http://schemas.openxmlformats.org/officeDocument/2006/relationships" ref="AB112" r:id="rId314"/>
    <hyperlink xmlns:r="http://schemas.openxmlformats.org/officeDocument/2006/relationships" ref="AA113" r:id="rId315"/>
    <hyperlink xmlns:r="http://schemas.openxmlformats.org/officeDocument/2006/relationships" ref="AB113" r:id="rId316"/>
    <hyperlink xmlns:r="http://schemas.openxmlformats.org/officeDocument/2006/relationships" ref="F114" r:id="rId317"/>
    <hyperlink xmlns:r="http://schemas.openxmlformats.org/officeDocument/2006/relationships" ref="AA114" r:id="rId318"/>
    <hyperlink xmlns:r="http://schemas.openxmlformats.org/officeDocument/2006/relationships" ref="AB114" r:id="rId319"/>
    <hyperlink xmlns:r="http://schemas.openxmlformats.org/officeDocument/2006/relationships" ref="F115" r:id="rId320"/>
    <hyperlink xmlns:r="http://schemas.openxmlformats.org/officeDocument/2006/relationships" ref="AA115" r:id="rId321"/>
    <hyperlink xmlns:r="http://schemas.openxmlformats.org/officeDocument/2006/relationships" ref="AB115" r:id="rId322"/>
    <hyperlink xmlns:r="http://schemas.openxmlformats.org/officeDocument/2006/relationships" ref="F116" r:id="rId323"/>
    <hyperlink xmlns:r="http://schemas.openxmlformats.org/officeDocument/2006/relationships" ref="AA116" r:id="rId324"/>
    <hyperlink xmlns:r="http://schemas.openxmlformats.org/officeDocument/2006/relationships" ref="AB116" r:id="rId325"/>
    <hyperlink xmlns:r="http://schemas.openxmlformats.org/officeDocument/2006/relationships" ref="F117" r:id="rId326"/>
    <hyperlink xmlns:r="http://schemas.openxmlformats.org/officeDocument/2006/relationships" ref="AA117" r:id="rId327"/>
    <hyperlink xmlns:r="http://schemas.openxmlformats.org/officeDocument/2006/relationships" ref="AB117" r:id="rId328"/>
    <hyperlink xmlns:r="http://schemas.openxmlformats.org/officeDocument/2006/relationships" ref="F118" r:id="rId329"/>
    <hyperlink xmlns:r="http://schemas.openxmlformats.org/officeDocument/2006/relationships" ref="AA118" r:id="rId330"/>
    <hyperlink xmlns:r="http://schemas.openxmlformats.org/officeDocument/2006/relationships" ref="AB118" r:id="rId331"/>
    <hyperlink xmlns:r="http://schemas.openxmlformats.org/officeDocument/2006/relationships" ref="AA119" r:id="rId332"/>
    <hyperlink xmlns:r="http://schemas.openxmlformats.org/officeDocument/2006/relationships" ref="AB119" r:id="rId333"/>
    <hyperlink xmlns:r="http://schemas.openxmlformats.org/officeDocument/2006/relationships" ref="F120" r:id="rId334"/>
    <hyperlink xmlns:r="http://schemas.openxmlformats.org/officeDocument/2006/relationships" ref="AA120" r:id="rId335"/>
    <hyperlink xmlns:r="http://schemas.openxmlformats.org/officeDocument/2006/relationships" ref="AB120" r:id="rId336"/>
    <hyperlink xmlns:r="http://schemas.openxmlformats.org/officeDocument/2006/relationships" ref="F121" r:id="rId337"/>
    <hyperlink xmlns:r="http://schemas.openxmlformats.org/officeDocument/2006/relationships" ref="AA121" r:id="rId338"/>
    <hyperlink xmlns:r="http://schemas.openxmlformats.org/officeDocument/2006/relationships" ref="AB121" r:id="rId339"/>
    <hyperlink xmlns:r="http://schemas.openxmlformats.org/officeDocument/2006/relationships" ref="F122" r:id="rId340"/>
    <hyperlink xmlns:r="http://schemas.openxmlformats.org/officeDocument/2006/relationships" ref="AA122" r:id="rId341"/>
    <hyperlink xmlns:r="http://schemas.openxmlformats.org/officeDocument/2006/relationships" ref="AB122" r:id="rId342"/>
    <hyperlink xmlns:r="http://schemas.openxmlformats.org/officeDocument/2006/relationships" ref="F123" r:id="rId343"/>
    <hyperlink xmlns:r="http://schemas.openxmlformats.org/officeDocument/2006/relationships" ref="AA123" r:id="rId344"/>
    <hyperlink xmlns:r="http://schemas.openxmlformats.org/officeDocument/2006/relationships" ref="AB123" r:id="rId345"/>
    <hyperlink xmlns:r="http://schemas.openxmlformats.org/officeDocument/2006/relationships" ref="F124" r:id="rId346"/>
    <hyperlink xmlns:r="http://schemas.openxmlformats.org/officeDocument/2006/relationships" ref="AA124" r:id="rId347"/>
    <hyperlink xmlns:r="http://schemas.openxmlformats.org/officeDocument/2006/relationships" ref="AB124" r:id="rId348"/>
    <hyperlink xmlns:r="http://schemas.openxmlformats.org/officeDocument/2006/relationships" ref="F125" r:id="rId349"/>
    <hyperlink xmlns:r="http://schemas.openxmlformats.org/officeDocument/2006/relationships" ref="AA125" r:id="rId350"/>
    <hyperlink xmlns:r="http://schemas.openxmlformats.org/officeDocument/2006/relationships" ref="AB125" r:id="rId351"/>
    <hyperlink xmlns:r="http://schemas.openxmlformats.org/officeDocument/2006/relationships" ref="F126" r:id="rId352"/>
    <hyperlink xmlns:r="http://schemas.openxmlformats.org/officeDocument/2006/relationships" ref="AA126" r:id="rId353"/>
    <hyperlink xmlns:r="http://schemas.openxmlformats.org/officeDocument/2006/relationships" ref="AB126" r:id="rId354"/>
    <hyperlink xmlns:r="http://schemas.openxmlformats.org/officeDocument/2006/relationships" ref="F127" r:id="rId355"/>
    <hyperlink xmlns:r="http://schemas.openxmlformats.org/officeDocument/2006/relationships" ref="AA127" r:id="rId356"/>
    <hyperlink xmlns:r="http://schemas.openxmlformats.org/officeDocument/2006/relationships" ref="AB127" r:id="rId357"/>
    <hyperlink xmlns:r="http://schemas.openxmlformats.org/officeDocument/2006/relationships" ref="F128" r:id="rId358"/>
    <hyperlink xmlns:r="http://schemas.openxmlformats.org/officeDocument/2006/relationships" ref="AA128" r:id="rId359"/>
    <hyperlink xmlns:r="http://schemas.openxmlformats.org/officeDocument/2006/relationships" ref="AB128" r:id="rId360"/>
    <hyperlink xmlns:r="http://schemas.openxmlformats.org/officeDocument/2006/relationships" ref="F129" r:id="rId361"/>
    <hyperlink xmlns:r="http://schemas.openxmlformats.org/officeDocument/2006/relationships" ref="AA129" r:id="rId362"/>
    <hyperlink xmlns:r="http://schemas.openxmlformats.org/officeDocument/2006/relationships" ref="AB129" r:id="rId363"/>
    <hyperlink xmlns:r="http://schemas.openxmlformats.org/officeDocument/2006/relationships" ref="F130" r:id="rId364"/>
    <hyperlink xmlns:r="http://schemas.openxmlformats.org/officeDocument/2006/relationships" ref="AA130" r:id="rId365"/>
    <hyperlink xmlns:r="http://schemas.openxmlformats.org/officeDocument/2006/relationships" ref="AB130" r:id="rId366"/>
    <hyperlink xmlns:r="http://schemas.openxmlformats.org/officeDocument/2006/relationships" ref="F131" r:id="rId367"/>
    <hyperlink xmlns:r="http://schemas.openxmlformats.org/officeDocument/2006/relationships" ref="AA131" r:id="rId368"/>
    <hyperlink xmlns:r="http://schemas.openxmlformats.org/officeDocument/2006/relationships" ref="AB131" r:id="rId369"/>
    <hyperlink xmlns:r="http://schemas.openxmlformats.org/officeDocument/2006/relationships" ref="F132" r:id="rId370"/>
    <hyperlink xmlns:r="http://schemas.openxmlformats.org/officeDocument/2006/relationships" ref="AA132" r:id="rId371"/>
    <hyperlink xmlns:r="http://schemas.openxmlformats.org/officeDocument/2006/relationships" ref="AB132" r:id="rId372"/>
    <hyperlink xmlns:r="http://schemas.openxmlformats.org/officeDocument/2006/relationships" ref="F133" r:id="rId373"/>
    <hyperlink xmlns:r="http://schemas.openxmlformats.org/officeDocument/2006/relationships" ref="AA133" r:id="rId374"/>
    <hyperlink xmlns:r="http://schemas.openxmlformats.org/officeDocument/2006/relationships" ref="AB133" r:id="rId375"/>
    <hyperlink xmlns:r="http://schemas.openxmlformats.org/officeDocument/2006/relationships" ref="F134" r:id="rId376"/>
    <hyperlink xmlns:r="http://schemas.openxmlformats.org/officeDocument/2006/relationships" ref="AA134" r:id="rId377"/>
    <hyperlink xmlns:r="http://schemas.openxmlformats.org/officeDocument/2006/relationships" ref="AB134" r:id="rId378"/>
    <hyperlink xmlns:r="http://schemas.openxmlformats.org/officeDocument/2006/relationships" ref="F135" r:id="rId379"/>
    <hyperlink xmlns:r="http://schemas.openxmlformats.org/officeDocument/2006/relationships" ref="AA135" r:id="rId380"/>
    <hyperlink xmlns:r="http://schemas.openxmlformats.org/officeDocument/2006/relationships" ref="AB135" r:id="rId381"/>
    <hyperlink xmlns:r="http://schemas.openxmlformats.org/officeDocument/2006/relationships" ref="F136" r:id="rId382"/>
    <hyperlink xmlns:r="http://schemas.openxmlformats.org/officeDocument/2006/relationships" ref="AA136" r:id="rId383"/>
    <hyperlink xmlns:r="http://schemas.openxmlformats.org/officeDocument/2006/relationships" ref="AB136" r:id="rId384"/>
    <hyperlink xmlns:r="http://schemas.openxmlformats.org/officeDocument/2006/relationships" ref="F137" r:id="rId385"/>
    <hyperlink xmlns:r="http://schemas.openxmlformats.org/officeDocument/2006/relationships" ref="AA137" r:id="rId386"/>
    <hyperlink xmlns:r="http://schemas.openxmlformats.org/officeDocument/2006/relationships" ref="AB137" r:id="rId387"/>
    <hyperlink xmlns:r="http://schemas.openxmlformats.org/officeDocument/2006/relationships" ref="AA138" r:id="rId388"/>
    <hyperlink xmlns:r="http://schemas.openxmlformats.org/officeDocument/2006/relationships" ref="AB138" r:id="rId389"/>
    <hyperlink xmlns:r="http://schemas.openxmlformats.org/officeDocument/2006/relationships" ref="F139" r:id="rId390"/>
    <hyperlink xmlns:r="http://schemas.openxmlformats.org/officeDocument/2006/relationships" ref="AA139" r:id="rId391"/>
    <hyperlink xmlns:r="http://schemas.openxmlformats.org/officeDocument/2006/relationships" ref="AB139" r:id="rId392"/>
    <hyperlink xmlns:r="http://schemas.openxmlformats.org/officeDocument/2006/relationships" ref="F140" r:id="rId393"/>
    <hyperlink xmlns:r="http://schemas.openxmlformats.org/officeDocument/2006/relationships" ref="AA140" r:id="rId394"/>
    <hyperlink xmlns:r="http://schemas.openxmlformats.org/officeDocument/2006/relationships" ref="AB140" r:id="rId395"/>
    <hyperlink xmlns:r="http://schemas.openxmlformats.org/officeDocument/2006/relationships" ref="F141" r:id="rId396"/>
    <hyperlink xmlns:r="http://schemas.openxmlformats.org/officeDocument/2006/relationships" ref="AA141" r:id="rId397"/>
    <hyperlink xmlns:r="http://schemas.openxmlformats.org/officeDocument/2006/relationships" ref="AB141" r:id="rId398"/>
    <hyperlink xmlns:r="http://schemas.openxmlformats.org/officeDocument/2006/relationships" ref="F142" r:id="rId399"/>
    <hyperlink xmlns:r="http://schemas.openxmlformats.org/officeDocument/2006/relationships" ref="AA142" r:id="rId400"/>
    <hyperlink xmlns:r="http://schemas.openxmlformats.org/officeDocument/2006/relationships" ref="AB142" r:id="rId401"/>
    <hyperlink xmlns:r="http://schemas.openxmlformats.org/officeDocument/2006/relationships" ref="F143" r:id="rId402"/>
    <hyperlink xmlns:r="http://schemas.openxmlformats.org/officeDocument/2006/relationships" ref="AA143" r:id="rId403"/>
    <hyperlink xmlns:r="http://schemas.openxmlformats.org/officeDocument/2006/relationships" ref="AB143" r:id="rId404"/>
    <hyperlink xmlns:r="http://schemas.openxmlformats.org/officeDocument/2006/relationships" ref="F144" r:id="rId405"/>
    <hyperlink xmlns:r="http://schemas.openxmlformats.org/officeDocument/2006/relationships" ref="AA144" r:id="rId406"/>
    <hyperlink xmlns:r="http://schemas.openxmlformats.org/officeDocument/2006/relationships" ref="AB144" r:id="rId407"/>
    <hyperlink xmlns:r="http://schemas.openxmlformats.org/officeDocument/2006/relationships" ref="F145" r:id="rId408"/>
    <hyperlink xmlns:r="http://schemas.openxmlformats.org/officeDocument/2006/relationships" ref="AA145" r:id="rId409"/>
    <hyperlink xmlns:r="http://schemas.openxmlformats.org/officeDocument/2006/relationships" ref="AB145" r:id="rId410"/>
    <hyperlink xmlns:r="http://schemas.openxmlformats.org/officeDocument/2006/relationships" ref="F146" r:id="rId411"/>
    <hyperlink xmlns:r="http://schemas.openxmlformats.org/officeDocument/2006/relationships" ref="AA146" r:id="rId412"/>
    <hyperlink xmlns:r="http://schemas.openxmlformats.org/officeDocument/2006/relationships" ref="AB146" r:id="rId413"/>
    <hyperlink xmlns:r="http://schemas.openxmlformats.org/officeDocument/2006/relationships" ref="F147" r:id="rId414"/>
    <hyperlink xmlns:r="http://schemas.openxmlformats.org/officeDocument/2006/relationships" ref="AA147" r:id="rId415"/>
    <hyperlink xmlns:r="http://schemas.openxmlformats.org/officeDocument/2006/relationships" ref="AB147" r:id="rId416"/>
    <hyperlink xmlns:r="http://schemas.openxmlformats.org/officeDocument/2006/relationships" ref="F148" r:id="rId417"/>
    <hyperlink xmlns:r="http://schemas.openxmlformats.org/officeDocument/2006/relationships" ref="AA148" r:id="rId418"/>
    <hyperlink xmlns:r="http://schemas.openxmlformats.org/officeDocument/2006/relationships" ref="AB148" r:id="rId419"/>
    <hyperlink xmlns:r="http://schemas.openxmlformats.org/officeDocument/2006/relationships" ref="F149" r:id="rId420"/>
    <hyperlink xmlns:r="http://schemas.openxmlformats.org/officeDocument/2006/relationships" ref="AA149" r:id="rId421"/>
    <hyperlink xmlns:r="http://schemas.openxmlformats.org/officeDocument/2006/relationships" ref="AB149" r:id="rId422"/>
    <hyperlink xmlns:r="http://schemas.openxmlformats.org/officeDocument/2006/relationships" ref="F150" r:id="rId423"/>
    <hyperlink xmlns:r="http://schemas.openxmlformats.org/officeDocument/2006/relationships" ref="AA150" r:id="rId424"/>
    <hyperlink xmlns:r="http://schemas.openxmlformats.org/officeDocument/2006/relationships" ref="AB150" r:id="rId425"/>
    <hyperlink xmlns:r="http://schemas.openxmlformats.org/officeDocument/2006/relationships" ref="F151" r:id="rId426"/>
    <hyperlink xmlns:r="http://schemas.openxmlformats.org/officeDocument/2006/relationships" ref="AA151" r:id="rId427"/>
    <hyperlink xmlns:r="http://schemas.openxmlformats.org/officeDocument/2006/relationships" ref="AB151" r:id="rId428"/>
    <hyperlink xmlns:r="http://schemas.openxmlformats.org/officeDocument/2006/relationships" ref="F152" r:id="rId429"/>
    <hyperlink xmlns:r="http://schemas.openxmlformats.org/officeDocument/2006/relationships" ref="AA152" r:id="rId430"/>
    <hyperlink xmlns:r="http://schemas.openxmlformats.org/officeDocument/2006/relationships" ref="AB152" r:id="rId431"/>
    <hyperlink xmlns:r="http://schemas.openxmlformats.org/officeDocument/2006/relationships" ref="F153" r:id="rId432"/>
    <hyperlink xmlns:r="http://schemas.openxmlformats.org/officeDocument/2006/relationships" ref="AA153" r:id="rId433"/>
    <hyperlink xmlns:r="http://schemas.openxmlformats.org/officeDocument/2006/relationships" ref="AB153" r:id="rId434"/>
    <hyperlink xmlns:r="http://schemas.openxmlformats.org/officeDocument/2006/relationships" ref="F154" r:id="rId435"/>
    <hyperlink xmlns:r="http://schemas.openxmlformats.org/officeDocument/2006/relationships" ref="AA154" r:id="rId436"/>
    <hyperlink xmlns:r="http://schemas.openxmlformats.org/officeDocument/2006/relationships" ref="AB154" r:id="rId437"/>
    <hyperlink xmlns:r="http://schemas.openxmlformats.org/officeDocument/2006/relationships" ref="F155" r:id="rId438"/>
    <hyperlink xmlns:r="http://schemas.openxmlformats.org/officeDocument/2006/relationships" ref="AA155" r:id="rId439"/>
    <hyperlink xmlns:r="http://schemas.openxmlformats.org/officeDocument/2006/relationships" ref="AB155" r:id="rId440"/>
    <hyperlink xmlns:r="http://schemas.openxmlformats.org/officeDocument/2006/relationships" ref="F156" r:id="rId441"/>
    <hyperlink xmlns:r="http://schemas.openxmlformats.org/officeDocument/2006/relationships" ref="AA156" r:id="rId442"/>
    <hyperlink xmlns:r="http://schemas.openxmlformats.org/officeDocument/2006/relationships" ref="AB156" r:id="rId443"/>
    <hyperlink xmlns:r="http://schemas.openxmlformats.org/officeDocument/2006/relationships" ref="F157" r:id="rId444"/>
    <hyperlink xmlns:r="http://schemas.openxmlformats.org/officeDocument/2006/relationships" ref="AA157" r:id="rId445"/>
    <hyperlink xmlns:r="http://schemas.openxmlformats.org/officeDocument/2006/relationships" ref="AB157" r:id="rId446"/>
    <hyperlink xmlns:r="http://schemas.openxmlformats.org/officeDocument/2006/relationships" ref="F158" r:id="rId447"/>
    <hyperlink xmlns:r="http://schemas.openxmlformats.org/officeDocument/2006/relationships" ref="AA158" r:id="rId448"/>
    <hyperlink xmlns:r="http://schemas.openxmlformats.org/officeDocument/2006/relationships" ref="AB158" r:id="rId449"/>
    <hyperlink xmlns:r="http://schemas.openxmlformats.org/officeDocument/2006/relationships" ref="F159" r:id="rId450"/>
    <hyperlink xmlns:r="http://schemas.openxmlformats.org/officeDocument/2006/relationships" ref="AA159" r:id="rId451"/>
    <hyperlink xmlns:r="http://schemas.openxmlformats.org/officeDocument/2006/relationships" ref="AB159" r:id="rId452"/>
    <hyperlink xmlns:r="http://schemas.openxmlformats.org/officeDocument/2006/relationships" ref="F160" r:id="rId453"/>
    <hyperlink xmlns:r="http://schemas.openxmlformats.org/officeDocument/2006/relationships" ref="AA160" r:id="rId454"/>
    <hyperlink xmlns:r="http://schemas.openxmlformats.org/officeDocument/2006/relationships" ref="AB160" r:id="rId455"/>
    <hyperlink xmlns:r="http://schemas.openxmlformats.org/officeDocument/2006/relationships" ref="F161" r:id="rId456"/>
    <hyperlink xmlns:r="http://schemas.openxmlformats.org/officeDocument/2006/relationships" ref="AA161" r:id="rId457"/>
    <hyperlink xmlns:r="http://schemas.openxmlformats.org/officeDocument/2006/relationships" ref="AB161" r:id="rId458"/>
    <hyperlink xmlns:r="http://schemas.openxmlformats.org/officeDocument/2006/relationships" ref="F162" r:id="rId459"/>
    <hyperlink xmlns:r="http://schemas.openxmlformats.org/officeDocument/2006/relationships" ref="AA162" r:id="rId460"/>
    <hyperlink xmlns:r="http://schemas.openxmlformats.org/officeDocument/2006/relationships" ref="AB162" r:id="rId461"/>
    <hyperlink xmlns:r="http://schemas.openxmlformats.org/officeDocument/2006/relationships" ref="F163" r:id="rId462"/>
    <hyperlink xmlns:r="http://schemas.openxmlformats.org/officeDocument/2006/relationships" ref="AA163" r:id="rId463"/>
    <hyperlink xmlns:r="http://schemas.openxmlformats.org/officeDocument/2006/relationships" ref="AB163" r:id="rId464"/>
    <hyperlink xmlns:r="http://schemas.openxmlformats.org/officeDocument/2006/relationships" ref="F164" r:id="rId465"/>
    <hyperlink xmlns:r="http://schemas.openxmlformats.org/officeDocument/2006/relationships" ref="AA164" r:id="rId466"/>
    <hyperlink xmlns:r="http://schemas.openxmlformats.org/officeDocument/2006/relationships" ref="AB164" r:id="rId467"/>
    <hyperlink xmlns:r="http://schemas.openxmlformats.org/officeDocument/2006/relationships" ref="F165" r:id="rId468"/>
    <hyperlink xmlns:r="http://schemas.openxmlformats.org/officeDocument/2006/relationships" ref="AA165" r:id="rId469"/>
    <hyperlink xmlns:r="http://schemas.openxmlformats.org/officeDocument/2006/relationships" ref="AB165" r:id="rId470"/>
    <hyperlink xmlns:r="http://schemas.openxmlformats.org/officeDocument/2006/relationships" ref="F166" r:id="rId471"/>
    <hyperlink xmlns:r="http://schemas.openxmlformats.org/officeDocument/2006/relationships" ref="AA166" r:id="rId472"/>
    <hyperlink xmlns:r="http://schemas.openxmlformats.org/officeDocument/2006/relationships" ref="AB166" r:id="rId473"/>
    <hyperlink xmlns:r="http://schemas.openxmlformats.org/officeDocument/2006/relationships" ref="F167" r:id="rId474"/>
    <hyperlink xmlns:r="http://schemas.openxmlformats.org/officeDocument/2006/relationships" ref="AA167" r:id="rId475"/>
    <hyperlink xmlns:r="http://schemas.openxmlformats.org/officeDocument/2006/relationships" ref="AB167" r:id="rId476"/>
    <hyperlink xmlns:r="http://schemas.openxmlformats.org/officeDocument/2006/relationships" ref="F168" r:id="rId477"/>
    <hyperlink xmlns:r="http://schemas.openxmlformats.org/officeDocument/2006/relationships" ref="AA168" r:id="rId478"/>
    <hyperlink xmlns:r="http://schemas.openxmlformats.org/officeDocument/2006/relationships" ref="AB168" r:id="rId479"/>
    <hyperlink xmlns:r="http://schemas.openxmlformats.org/officeDocument/2006/relationships" ref="F169" r:id="rId480"/>
    <hyperlink xmlns:r="http://schemas.openxmlformats.org/officeDocument/2006/relationships" ref="AA169" r:id="rId481"/>
    <hyperlink xmlns:r="http://schemas.openxmlformats.org/officeDocument/2006/relationships" ref="AB169" r:id="rId482"/>
    <hyperlink xmlns:r="http://schemas.openxmlformats.org/officeDocument/2006/relationships" ref="F170" r:id="rId483"/>
    <hyperlink xmlns:r="http://schemas.openxmlformats.org/officeDocument/2006/relationships" ref="AA170" r:id="rId484"/>
    <hyperlink xmlns:r="http://schemas.openxmlformats.org/officeDocument/2006/relationships" ref="AB170" r:id="rId485"/>
    <hyperlink xmlns:r="http://schemas.openxmlformats.org/officeDocument/2006/relationships" ref="F171" r:id="rId486"/>
    <hyperlink xmlns:r="http://schemas.openxmlformats.org/officeDocument/2006/relationships" ref="AA171" r:id="rId487"/>
    <hyperlink xmlns:r="http://schemas.openxmlformats.org/officeDocument/2006/relationships" ref="AB171" r:id="rId488"/>
    <hyperlink xmlns:r="http://schemas.openxmlformats.org/officeDocument/2006/relationships" ref="F172" r:id="rId489"/>
    <hyperlink xmlns:r="http://schemas.openxmlformats.org/officeDocument/2006/relationships" ref="AA172" r:id="rId490"/>
    <hyperlink xmlns:r="http://schemas.openxmlformats.org/officeDocument/2006/relationships" ref="AB172" r:id="rId491"/>
    <hyperlink xmlns:r="http://schemas.openxmlformats.org/officeDocument/2006/relationships" ref="F173" r:id="rId492"/>
    <hyperlink xmlns:r="http://schemas.openxmlformats.org/officeDocument/2006/relationships" ref="AA173" r:id="rId493"/>
    <hyperlink xmlns:r="http://schemas.openxmlformats.org/officeDocument/2006/relationships" ref="AB173" r:id="rId494"/>
    <hyperlink xmlns:r="http://schemas.openxmlformats.org/officeDocument/2006/relationships" ref="F174" r:id="rId495"/>
    <hyperlink xmlns:r="http://schemas.openxmlformats.org/officeDocument/2006/relationships" ref="AA174" r:id="rId496"/>
    <hyperlink xmlns:r="http://schemas.openxmlformats.org/officeDocument/2006/relationships" ref="AB174" r:id="rId497"/>
    <hyperlink xmlns:r="http://schemas.openxmlformats.org/officeDocument/2006/relationships" ref="F175" r:id="rId498"/>
    <hyperlink xmlns:r="http://schemas.openxmlformats.org/officeDocument/2006/relationships" ref="AA175" r:id="rId499"/>
    <hyperlink xmlns:r="http://schemas.openxmlformats.org/officeDocument/2006/relationships" ref="AB175" r:id="rId500"/>
    <hyperlink xmlns:r="http://schemas.openxmlformats.org/officeDocument/2006/relationships" ref="AA176" r:id="rId501"/>
    <hyperlink xmlns:r="http://schemas.openxmlformats.org/officeDocument/2006/relationships" ref="AB176" r:id="rId502"/>
    <hyperlink xmlns:r="http://schemas.openxmlformats.org/officeDocument/2006/relationships" ref="F177" r:id="rId503"/>
    <hyperlink xmlns:r="http://schemas.openxmlformats.org/officeDocument/2006/relationships" ref="AA177" r:id="rId504"/>
    <hyperlink xmlns:r="http://schemas.openxmlformats.org/officeDocument/2006/relationships" ref="AB177" r:id="rId505"/>
    <hyperlink xmlns:r="http://schemas.openxmlformats.org/officeDocument/2006/relationships" ref="F178" r:id="rId506"/>
    <hyperlink xmlns:r="http://schemas.openxmlformats.org/officeDocument/2006/relationships" ref="AA178" r:id="rId507"/>
    <hyperlink xmlns:r="http://schemas.openxmlformats.org/officeDocument/2006/relationships" ref="AB178" r:id="rId508"/>
    <hyperlink xmlns:r="http://schemas.openxmlformats.org/officeDocument/2006/relationships" ref="F179" r:id="rId509"/>
    <hyperlink xmlns:r="http://schemas.openxmlformats.org/officeDocument/2006/relationships" ref="AA179" r:id="rId510"/>
    <hyperlink xmlns:r="http://schemas.openxmlformats.org/officeDocument/2006/relationships" ref="AB179" r:id="rId511"/>
    <hyperlink xmlns:r="http://schemas.openxmlformats.org/officeDocument/2006/relationships" ref="F180" r:id="rId512"/>
    <hyperlink xmlns:r="http://schemas.openxmlformats.org/officeDocument/2006/relationships" ref="AA180" r:id="rId513"/>
    <hyperlink xmlns:r="http://schemas.openxmlformats.org/officeDocument/2006/relationships" ref="AB180" r:id="rId514"/>
    <hyperlink xmlns:r="http://schemas.openxmlformats.org/officeDocument/2006/relationships" ref="F181" r:id="rId515"/>
    <hyperlink xmlns:r="http://schemas.openxmlformats.org/officeDocument/2006/relationships" ref="AA181" r:id="rId516"/>
    <hyperlink xmlns:r="http://schemas.openxmlformats.org/officeDocument/2006/relationships" ref="AB181" r:id="rId517"/>
    <hyperlink xmlns:r="http://schemas.openxmlformats.org/officeDocument/2006/relationships" ref="F182" r:id="rId518"/>
    <hyperlink xmlns:r="http://schemas.openxmlformats.org/officeDocument/2006/relationships" ref="AA182" r:id="rId519"/>
    <hyperlink xmlns:r="http://schemas.openxmlformats.org/officeDocument/2006/relationships" ref="AB182" r:id="rId520"/>
    <hyperlink xmlns:r="http://schemas.openxmlformats.org/officeDocument/2006/relationships" ref="F183" r:id="rId521"/>
    <hyperlink xmlns:r="http://schemas.openxmlformats.org/officeDocument/2006/relationships" ref="AA183" r:id="rId522"/>
    <hyperlink xmlns:r="http://schemas.openxmlformats.org/officeDocument/2006/relationships" ref="AB183" r:id="rId523"/>
    <hyperlink xmlns:r="http://schemas.openxmlformats.org/officeDocument/2006/relationships" ref="F184" r:id="rId524"/>
    <hyperlink xmlns:r="http://schemas.openxmlformats.org/officeDocument/2006/relationships" ref="AA184" r:id="rId525"/>
    <hyperlink xmlns:r="http://schemas.openxmlformats.org/officeDocument/2006/relationships" ref="AB184" r:id="rId526"/>
    <hyperlink xmlns:r="http://schemas.openxmlformats.org/officeDocument/2006/relationships" ref="AA185" r:id="rId527"/>
    <hyperlink xmlns:r="http://schemas.openxmlformats.org/officeDocument/2006/relationships" ref="AB185" r:id="rId528"/>
    <hyperlink xmlns:r="http://schemas.openxmlformats.org/officeDocument/2006/relationships" ref="F186" r:id="rId529"/>
    <hyperlink xmlns:r="http://schemas.openxmlformats.org/officeDocument/2006/relationships" ref="AA186" r:id="rId530"/>
    <hyperlink xmlns:r="http://schemas.openxmlformats.org/officeDocument/2006/relationships" ref="AB186" r:id="rId531"/>
    <hyperlink xmlns:r="http://schemas.openxmlformats.org/officeDocument/2006/relationships" ref="F187" r:id="rId532"/>
    <hyperlink xmlns:r="http://schemas.openxmlformats.org/officeDocument/2006/relationships" ref="AA187" r:id="rId533"/>
    <hyperlink xmlns:r="http://schemas.openxmlformats.org/officeDocument/2006/relationships" ref="AB187" r:id="rId534"/>
    <hyperlink xmlns:r="http://schemas.openxmlformats.org/officeDocument/2006/relationships" ref="F188" r:id="rId535"/>
    <hyperlink xmlns:r="http://schemas.openxmlformats.org/officeDocument/2006/relationships" ref="AA188" r:id="rId536"/>
    <hyperlink xmlns:r="http://schemas.openxmlformats.org/officeDocument/2006/relationships" ref="AB188" r:id="rId537"/>
    <hyperlink xmlns:r="http://schemas.openxmlformats.org/officeDocument/2006/relationships" ref="F189" r:id="rId538"/>
    <hyperlink xmlns:r="http://schemas.openxmlformats.org/officeDocument/2006/relationships" ref="AA189" r:id="rId539"/>
    <hyperlink xmlns:r="http://schemas.openxmlformats.org/officeDocument/2006/relationships" ref="AB189" r:id="rId540"/>
    <hyperlink xmlns:r="http://schemas.openxmlformats.org/officeDocument/2006/relationships" ref="F190" r:id="rId541"/>
    <hyperlink xmlns:r="http://schemas.openxmlformats.org/officeDocument/2006/relationships" ref="AA190" r:id="rId542"/>
    <hyperlink xmlns:r="http://schemas.openxmlformats.org/officeDocument/2006/relationships" ref="AB190" r:id="rId543"/>
    <hyperlink xmlns:r="http://schemas.openxmlformats.org/officeDocument/2006/relationships" ref="F191" r:id="rId544"/>
    <hyperlink xmlns:r="http://schemas.openxmlformats.org/officeDocument/2006/relationships" ref="AA191" r:id="rId545"/>
    <hyperlink xmlns:r="http://schemas.openxmlformats.org/officeDocument/2006/relationships" ref="AB191" r:id="rId546"/>
    <hyperlink xmlns:r="http://schemas.openxmlformats.org/officeDocument/2006/relationships" ref="F192" r:id="rId547"/>
    <hyperlink xmlns:r="http://schemas.openxmlformats.org/officeDocument/2006/relationships" ref="AA192" r:id="rId548"/>
    <hyperlink xmlns:r="http://schemas.openxmlformats.org/officeDocument/2006/relationships" ref="AB192" r:id="rId549"/>
    <hyperlink xmlns:r="http://schemas.openxmlformats.org/officeDocument/2006/relationships" ref="F193" r:id="rId550"/>
    <hyperlink xmlns:r="http://schemas.openxmlformats.org/officeDocument/2006/relationships" ref="AA193" r:id="rId551"/>
    <hyperlink xmlns:r="http://schemas.openxmlformats.org/officeDocument/2006/relationships" ref="AB193" r:id="rId552"/>
    <hyperlink xmlns:r="http://schemas.openxmlformats.org/officeDocument/2006/relationships" ref="F194" r:id="rId553"/>
    <hyperlink xmlns:r="http://schemas.openxmlformats.org/officeDocument/2006/relationships" ref="AA194" r:id="rId554"/>
    <hyperlink xmlns:r="http://schemas.openxmlformats.org/officeDocument/2006/relationships" ref="AB194" r:id="rId555"/>
    <hyperlink xmlns:r="http://schemas.openxmlformats.org/officeDocument/2006/relationships" ref="F195" r:id="rId556"/>
    <hyperlink xmlns:r="http://schemas.openxmlformats.org/officeDocument/2006/relationships" ref="AA195" r:id="rId557"/>
    <hyperlink xmlns:r="http://schemas.openxmlformats.org/officeDocument/2006/relationships" ref="AB195" r:id="rId558"/>
    <hyperlink xmlns:r="http://schemas.openxmlformats.org/officeDocument/2006/relationships" ref="F196" r:id="rId559"/>
    <hyperlink xmlns:r="http://schemas.openxmlformats.org/officeDocument/2006/relationships" ref="AA196" r:id="rId560"/>
    <hyperlink xmlns:r="http://schemas.openxmlformats.org/officeDocument/2006/relationships" ref="AB196" r:id="rId561"/>
    <hyperlink xmlns:r="http://schemas.openxmlformats.org/officeDocument/2006/relationships" ref="F197" r:id="rId562"/>
    <hyperlink xmlns:r="http://schemas.openxmlformats.org/officeDocument/2006/relationships" ref="AA197" r:id="rId563"/>
    <hyperlink xmlns:r="http://schemas.openxmlformats.org/officeDocument/2006/relationships" ref="AB197" r:id="rId564"/>
    <hyperlink xmlns:r="http://schemas.openxmlformats.org/officeDocument/2006/relationships" ref="F198" r:id="rId565"/>
    <hyperlink xmlns:r="http://schemas.openxmlformats.org/officeDocument/2006/relationships" ref="AA198" r:id="rId566"/>
    <hyperlink xmlns:r="http://schemas.openxmlformats.org/officeDocument/2006/relationships" ref="AB198" r:id="rId567"/>
    <hyperlink xmlns:r="http://schemas.openxmlformats.org/officeDocument/2006/relationships" ref="F199" r:id="rId568"/>
    <hyperlink xmlns:r="http://schemas.openxmlformats.org/officeDocument/2006/relationships" ref="AA199" r:id="rId569"/>
    <hyperlink xmlns:r="http://schemas.openxmlformats.org/officeDocument/2006/relationships" ref="AB199" r:id="rId570"/>
    <hyperlink xmlns:r="http://schemas.openxmlformats.org/officeDocument/2006/relationships" ref="F200" r:id="rId571"/>
    <hyperlink xmlns:r="http://schemas.openxmlformats.org/officeDocument/2006/relationships" ref="AA200" r:id="rId572"/>
    <hyperlink xmlns:r="http://schemas.openxmlformats.org/officeDocument/2006/relationships" ref="AB200" r:id="rId573"/>
    <hyperlink xmlns:r="http://schemas.openxmlformats.org/officeDocument/2006/relationships" ref="F201" r:id="rId574"/>
    <hyperlink xmlns:r="http://schemas.openxmlformats.org/officeDocument/2006/relationships" ref="AA201" r:id="rId575"/>
    <hyperlink xmlns:r="http://schemas.openxmlformats.org/officeDocument/2006/relationships" ref="AB201" r:id="rId576"/>
    <hyperlink xmlns:r="http://schemas.openxmlformats.org/officeDocument/2006/relationships" ref="F202" r:id="rId577"/>
    <hyperlink xmlns:r="http://schemas.openxmlformats.org/officeDocument/2006/relationships" ref="AA202" r:id="rId578"/>
    <hyperlink xmlns:r="http://schemas.openxmlformats.org/officeDocument/2006/relationships" ref="AB202" r:id="rId579"/>
    <hyperlink xmlns:r="http://schemas.openxmlformats.org/officeDocument/2006/relationships" ref="F203" r:id="rId580"/>
    <hyperlink xmlns:r="http://schemas.openxmlformats.org/officeDocument/2006/relationships" ref="AA203" r:id="rId581"/>
    <hyperlink xmlns:r="http://schemas.openxmlformats.org/officeDocument/2006/relationships" ref="AB203" r:id="rId582"/>
    <hyperlink xmlns:r="http://schemas.openxmlformats.org/officeDocument/2006/relationships" ref="F204" r:id="rId583"/>
    <hyperlink xmlns:r="http://schemas.openxmlformats.org/officeDocument/2006/relationships" ref="AA204" r:id="rId584"/>
    <hyperlink xmlns:r="http://schemas.openxmlformats.org/officeDocument/2006/relationships" ref="AB204" r:id="rId585"/>
    <hyperlink xmlns:r="http://schemas.openxmlformats.org/officeDocument/2006/relationships" ref="F205" r:id="rId586"/>
    <hyperlink xmlns:r="http://schemas.openxmlformats.org/officeDocument/2006/relationships" ref="AA205" r:id="rId587"/>
    <hyperlink xmlns:r="http://schemas.openxmlformats.org/officeDocument/2006/relationships" ref="AB205" r:id="rId588"/>
    <hyperlink xmlns:r="http://schemas.openxmlformats.org/officeDocument/2006/relationships" ref="F206" r:id="rId589"/>
    <hyperlink xmlns:r="http://schemas.openxmlformats.org/officeDocument/2006/relationships" ref="AA206" r:id="rId590"/>
    <hyperlink xmlns:r="http://schemas.openxmlformats.org/officeDocument/2006/relationships" ref="AB206" r:id="rId591"/>
    <hyperlink xmlns:r="http://schemas.openxmlformats.org/officeDocument/2006/relationships" ref="F207" r:id="rId592"/>
    <hyperlink xmlns:r="http://schemas.openxmlformats.org/officeDocument/2006/relationships" ref="AA207" r:id="rId593"/>
    <hyperlink xmlns:r="http://schemas.openxmlformats.org/officeDocument/2006/relationships" ref="AB207" r:id="rId594"/>
    <hyperlink xmlns:r="http://schemas.openxmlformats.org/officeDocument/2006/relationships" ref="F208" r:id="rId595"/>
    <hyperlink xmlns:r="http://schemas.openxmlformats.org/officeDocument/2006/relationships" ref="AA208" r:id="rId596"/>
    <hyperlink xmlns:r="http://schemas.openxmlformats.org/officeDocument/2006/relationships" ref="AB208" r:id="rId597"/>
    <hyperlink xmlns:r="http://schemas.openxmlformats.org/officeDocument/2006/relationships" ref="F209" r:id="rId598"/>
    <hyperlink xmlns:r="http://schemas.openxmlformats.org/officeDocument/2006/relationships" ref="AA209" r:id="rId599"/>
    <hyperlink xmlns:r="http://schemas.openxmlformats.org/officeDocument/2006/relationships" ref="AB209" r:id="rId600"/>
    <hyperlink xmlns:r="http://schemas.openxmlformats.org/officeDocument/2006/relationships" ref="F210" r:id="rId601"/>
    <hyperlink xmlns:r="http://schemas.openxmlformats.org/officeDocument/2006/relationships" ref="AA210" r:id="rId602"/>
    <hyperlink xmlns:r="http://schemas.openxmlformats.org/officeDocument/2006/relationships" ref="AB210" r:id="rId603"/>
    <hyperlink xmlns:r="http://schemas.openxmlformats.org/officeDocument/2006/relationships" ref="F211" r:id="rId604"/>
    <hyperlink xmlns:r="http://schemas.openxmlformats.org/officeDocument/2006/relationships" ref="AA211" r:id="rId605"/>
    <hyperlink xmlns:r="http://schemas.openxmlformats.org/officeDocument/2006/relationships" ref="AB211" r:id="rId606"/>
    <hyperlink xmlns:r="http://schemas.openxmlformats.org/officeDocument/2006/relationships" ref="F212" r:id="rId607"/>
    <hyperlink xmlns:r="http://schemas.openxmlformats.org/officeDocument/2006/relationships" ref="AA212" r:id="rId608"/>
    <hyperlink xmlns:r="http://schemas.openxmlformats.org/officeDocument/2006/relationships" ref="AB212" r:id="rId609"/>
    <hyperlink xmlns:r="http://schemas.openxmlformats.org/officeDocument/2006/relationships" ref="F213" r:id="rId610"/>
    <hyperlink xmlns:r="http://schemas.openxmlformats.org/officeDocument/2006/relationships" ref="AA213" r:id="rId611"/>
    <hyperlink xmlns:r="http://schemas.openxmlformats.org/officeDocument/2006/relationships" ref="AB213" r:id="rId612"/>
    <hyperlink xmlns:r="http://schemas.openxmlformats.org/officeDocument/2006/relationships" ref="F214" r:id="rId613"/>
    <hyperlink xmlns:r="http://schemas.openxmlformats.org/officeDocument/2006/relationships" ref="AA214" r:id="rId614"/>
    <hyperlink xmlns:r="http://schemas.openxmlformats.org/officeDocument/2006/relationships" ref="AB214" r:id="rId615"/>
    <hyperlink xmlns:r="http://schemas.openxmlformats.org/officeDocument/2006/relationships" ref="AA215" r:id="rId616"/>
    <hyperlink xmlns:r="http://schemas.openxmlformats.org/officeDocument/2006/relationships" ref="AB215" r:id="rId617"/>
    <hyperlink xmlns:r="http://schemas.openxmlformats.org/officeDocument/2006/relationships" ref="F216" r:id="rId618"/>
    <hyperlink xmlns:r="http://schemas.openxmlformats.org/officeDocument/2006/relationships" ref="AA216" r:id="rId619"/>
    <hyperlink xmlns:r="http://schemas.openxmlformats.org/officeDocument/2006/relationships" ref="AB216" r:id="rId620"/>
    <hyperlink xmlns:r="http://schemas.openxmlformats.org/officeDocument/2006/relationships" ref="F217" r:id="rId621"/>
    <hyperlink xmlns:r="http://schemas.openxmlformats.org/officeDocument/2006/relationships" ref="AA217" r:id="rId622"/>
    <hyperlink xmlns:r="http://schemas.openxmlformats.org/officeDocument/2006/relationships" ref="AB217" r:id="rId623"/>
    <hyperlink xmlns:r="http://schemas.openxmlformats.org/officeDocument/2006/relationships" ref="F218" r:id="rId624"/>
    <hyperlink xmlns:r="http://schemas.openxmlformats.org/officeDocument/2006/relationships" ref="AA218" r:id="rId625"/>
    <hyperlink xmlns:r="http://schemas.openxmlformats.org/officeDocument/2006/relationships" ref="AB218" r:id="rId626"/>
    <hyperlink xmlns:r="http://schemas.openxmlformats.org/officeDocument/2006/relationships" ref="F219" r:id="rId627"/>
    <hyperlink xmlns:r="http://schemas.openxmlformats.org/officeDocument/2006/relationships" ref="AA219" r:id="rId628"/>
    <hyperlink xmlns:r="http://schemas.openxmlformats.org/officeDocument/2006/relationships" ref="AB219" r:id="rId629"/>
    <hyperlink xmlns:r="http://schemas.openxmlformats.org/officeDocument/2006/relationships" ref="F220" r:id="rId630"/>
    <hyperlink xmlns:r="http://schemas.openxmlformats.org/officeDocument/2006/relationships" ref="AA220" r:id="rId631"/>
    <hyperlink xmlns:r="http://schemas.openxmlformats.org/officeDocument/2006/relationships" ref="AB220" r:id="rId632"/>
    <hyperlink xmlns:r="http://schemas.openxmlformats.org/officeDocument/2006/relationships" ref="F221" r:id="rId633"/>
    <hyperlink xmlns:r="http://schemas.openxmlformats.org/officeDocument/2006/relationships" ref="AA221" r:id="rId634"/>
    <hyperlink xmlns:r="http://schemas.openxmlformats.org/officeDocument/2006/relationships" ref="AB221" r:id="rId635"/>
    <hyperlink xmlns:r="http://schemas.openxmlformats.org/officeDocument/2006/relationships" ref="AA222" r:id="rId636"/>
    <hyperlink xmlns:r="http://schemas.openxmlformats.org/officeDocument/2006/relationships" ref="AB222" r:id="rId637"/>
    <hyperlink xmlns:r="http://schemas.openxmlformats.org/officeDocument/2006/relationships" ref="F223" r:id="rId638"/>
    <hyperlink xmlns:r="http://schemas.openxmlformats.org/officeDocument/2006/relationships" ref="AA223" r:id="rId639"/>
    <hyperlink xmlns:r="http://schemas.openxmlformats.org/officeDocument/2006/relationships" ref="AB223" r:id="rId640"/>
    <hyperlink xmlns:r="http://schemas.openxmlformats.org/officeDocument/2006/relationships" ref="F224" r:id="rId641"/>
    <hyperlink xmlns:r="http://schemas.openxmlformats.org/officeDocument/2006/relationships" ref="AA224" r:id="rId642"/>
    <hyperlink xmlns:r="http://schemas.openxmlformats.org/officeDocument/2006/relationships" ref="AB224" r:id="rId643"/>
    <hyperlink xmlns:r="http://schemas.openxmlformats.org/officeDocument/2006/relationships" ref="AA225" r:id="rId644"/>
    <hyperlink xmlns:r="http://schemas.openxmlformats.org/officeDocument/2006/relationships" ref="AB225" r:id="rId645"/>
    <hyperlink xmlns:r="http://schemas.openxmlformats.org/officeDocument/2006/relationships" ref="F226" r:id="rId646"/>
    <hyperlink xmlns:r="http://schemas.openxmlformats.org/officeDocument/2006/relationships" ref="AA226" r:id="rId647"/>
    <hyperlink xmlns:r="http://schemas.openxmlformats.org/officeDocument/2006/relationships" ref="AB226" r:id="rId648"/>
    <hyperlink xmlns:r="http://schemas.openxmlformats.org/officeDocument/2006/relationships" ref="F227" r:id="rId649"/>
    <hyperlink xmlns:r="http://schemas.openxmlformats.org/officeDocument/2006/relationships" ref="AA227" r:id="rId650"/>
    <hyperlink xmlns:r="http://schemas.openxmlformats.org/officeDocument/2006/relationships" ref="AB227" r:id="rId651"/>
    <hyperlink xmlns:r="http://schemas.openxmlformats.org/officeDocument/2006/relationships" ref="AA228" r:id="rId652"/>
    <hyperlink xmlns:r="http://schemas.openxmlformats.org/officeDocument/2006/relationships" ref="AB228" r:id="rId653"/>
    <hyperlink xmlns:r="http://schemas.openxmlformats.org/officeDocument/2006/relationships" ref="F229" r:id="rId654"/>
    <hyperlink xmlns:r="http://schemas.openxmlformats.org/officeDocument/2006/relationships" ref="AA229" r:id="rId655"/>
    <hyperlink xmlns:r="http://schemas.openxmlformats.org/officeDocument/2006/relationships" ref="AB229" r:id="rId656"/>
    <hyperlink xmlns:r="http://schemas.openxmlformats.org/officeDocument/2006/relationships" ref="AA230" r:id="rId657"/>
    <hyperlink xmlns:r="http://schemas.openxmlformats.org/officeDocument/2006/relationships" ref="AB230" r:id="rId658"/>
    <hyperlink xmlns:r="http://schemas.openxmlformats.org/officeDocument/2006/relationships" ref="F231" r:id="rId659"/>
    <hyperlink xmlns:r="http://schemas.openxmlformats.org/officeDocument/2006/relationships" ref="AA231" r:id="rId660"/>
    <hyperlink xmlns:r="http://schemas.openxmlformats.org/officeDocument/2006/relationships" ref="AB231" r:id="rId661"/>
    <hyperlink xmlns:r="http://schemas.openxmlformats.org/officeDocument/2006/relationships" ref="F232" r:id="rId662"/>
    <hyperlink xmlns:r="http://schemas.openxmlformats.org/officeDocument/2006/relationships" ref="AA232" r:id="rId663"/>
    <hyperlink xmlns:r="http://schemas.openxmlformats.org/officeDocument/2006/relationships" ref="AB232" r:id="rId664"/>
    <hyperlink xmlns:r="http://schemas.openxmlformats.org/officeDocument/2006/relationships" ref="F233" r:id="rId665"/>
    <hyperlink xmlns:r="http://schemas.openxmlformats.org/officeDocument/2006/relationships" ref="AA233" r:id="rId666"/>
    <hyperlink xmlns:r="http://schemas.openxmlformats.org/officeDocument/2006/relationships" ref="AB233" r:id="rId667"/>
    <hyperlink xmlns:r="http://schemas.openxmlformats.org/officeDocument/2006/relationships" ref="F234" r:id="rId668"/>
    <hyperlink xmlns:r="http://schemas.openxmlformats.org/officeDocument/2006/relationships" ref="AA234" r:id="rId669"/>
    <hyperlink xmlns:r="http://schemas.openxmlformats.org/officeDocument/2006/relationships" ref="AB234" r:id="rId670"/>
    <hyperlink xmlns:r="http://schemas.openxmlformats.org/officeDocument/2006/relationships" ref="F235" r:id="rId671"/>
    <hyperlink xmlns:r="http://schemas.openxmlformats.org/officeDocument/2006/relationships" ref="AA235" r:id="rId672"/>
    <hyperlink xmlns:r="http://schemas.openxmlformats.org/officeDocument/2006/relationships" ref="AB235" r:id="rId673"/>
    <hyperlink xmlns:r="http://schemas.openxmlformats.org/officeDocument/2006/relationships" ref="AA236" r:id="rId674"/>
    <hyperlink xmlns:r="http://schemas.openxmlformats.org/officeDocument/2006/relationships" ref="AB236" r:id="rId675"/>
    <hyperlink xmlns:r="http://schemas.openxmlformats.org/officeDocument/2006/relationships" ref="AA237" r:id="rId676"/>
    <hyperlink xmlns:r="http://schemas.openxmlformats.org/officeDocument/2006/relationships" ref="AB237" r:id="rId677"/>
    <hyperlink xmlns:r="http://schemas.openxmlformats.org/officeDocument/2006/relationships" ref="AA238" r:id="rId678"/>
    <hyperlink xmlns:r="http://schemas.openxmlformats.org/officeDocument/2006/relationships" ref="AB238" r:id="rId679"/>
    <hyperlink xmlns:r="http://schemas.openxmlformats.org/officeDocument/2006/relationships" ref="F239" r:id="rId680"/>
    <hyperlink xmlns:r="http://schemas.openxmlformats.org/officeDocument/2006/relationships" ref="AA239" r:id="rId681"/>
    <hyperlink xmlns:r="http://schemas.openxmlformats.org/officeDocument/2006/relationships" ref="AB239" r:id="rId682"/>
    <hyperlink xmlns:r="http://schemas.openxmlformats.org/officeDocument/2006/relationships" ref="AA240" r:id="rId683"/>
    <hyperlink xmlns:r="http://schemas.openxmlformats.org/officeDocument/2006/relationships" ref="AB240" r:id="rId684"/>
    <hyperlink xmlns:r="http://schemas.openxmlformats.org/officeDocument/2006/relationships" ref="F241" r:id="rId685"/>
    <hyperlink xmlns:r="http://schemas.openxmlformats.org/officeDocument/2006/relationships" ref="AA241" r:id="rId686"/>
    <hyperlink xmlns:r="http://schemas.openxmlformats.org/officeDocument/2006/relationships" ref="AB241" r:id="rId687"/>
    <hyperlink xmlns:r="http://schemas.openxmlformats.org/officeDocument/2006/relationships" ref="F242" r:id="rId688"/>
    <hyperlink xmlns:r="http://schemas.openxmlformats.org/officeDocument/2006/relationships" ref="AA242" r:id="rId689"/>
    <hyperlink xmlns:r="http://schemas.openxmlformats.org/officeDocument/2006/relationships" ref="AB242" r:id="rId690"/>
    <hyperlink xmlns:r="http://schemas.openxmlformats.org/officeDocument/2006/relationships" ref="AA243" r:id="rId691"/>
    <hyperlink xmlns:r="http://schemas.openxmlformats.org/officeDocument/2006/relationships" ref="AB243" r:id="rId692"/>
    <hyperlink xmlns:r="http://schemas.openxmlformats.org/officeDocument/2006/relationships" ref="F244" r:id="rId693"/>
    <hyperlink xmlns:r="http://schemas.openxmlformats.org/officeDocument/2006/relationships" ref="AA244" r:id="rId694"/>
    <hyperlink xmlns:r="http://schemas.openxmlformats.org/officeDocument/2006/relationships" ref="AB244" r:id="rId695"/>
    <hyperlink xmlns:r="http://schemas.openxmlformats.org/officeDocument/2006/relationships" ref="F245" r:id="rId696"/>
    <hyperlink xmlns:r="http://schemas.openxmlformats.org/officeDocument/2006/relationships" ref="AA245" r:id="rId697"/>
    <hyperlink xmlns:r="http://schemas.openxmlformats.org/officeDocument/2006/relationships" ref="AB245" r:id="rId698"/>
    <hyperlink xmlns:r="http://schemas.openxmlformats.org/officeDocument/2006/relationships" ref="F246" r:id="rId699"/>
    <hyperlink xmlns:r="http://schemas.openxmlformats.org/officeDocument/2006/relationships" ref="AA246" r:id="rId700"/>
    <hyperlink xmlns:r="http://schemas.openxmlformats.org/officeDocument/2006/relationships" ref="AB246" r:id="rId701"/>
    <hyperlink xmlns:r="http://schemas.openxmlformats.org/officeDocument/2006/relationships" ref="AA247" r:id="rId702"/>
    <hyperlink xmlns:r="http://schemas.openxmlformats.org/officeDocument/2006/relationships" ref="AB247" r:id="rId703"/>
    <hyperlink xmlns:r="http://schemas.openxmlformats.org/officeDocument/2006/relationships" ref="F248" r:id="rId704"/>
    <hyperlink xmlns:r="http://schemas.openxmlformats.org/officeDocument/2006/relationships" ref="AA248" r:id="rId705"/>
    <hyperlink xmlns:r="http://schemas.openxmlformats.org/officeDocument/2006/relationships" ref="AB248" r:id="rId706"/>
    <hyperlink xmlns:r="http://schemas.openxmlformats.org/officeDocument/2006/relationships" ref="AA249" r:id="rId707"/>
    <hyperlink xmlns:r="http://schemas.openxmlformats.org/officeDocument/2006/relationships" ref="AB249" r:id="rId708"/>
    <hyperlink xmlns:r="http://schemas.openxmlformats.org/officeDocument/2006/relationships" ref="F250" r:id="rId709"/>
    <hyperlink xmlns:r="http://schemas.openxmlformats.org/officeDocument/2006/relationships" ref="AA250" r:id="rId710"/>
    <hyperlink xmlns:r="http://schemas.openxmlformats.org/officeDocument/2006/relationships" ref="AB250" r:id="rId711"/>
    <hyperlink xmlns:r="http://schemas.openxmlformats.org/officeDocument/2006/relationships" ref="F251" r:id="rId712"/>
    <hyperlink xmlns:r="http://schemas.openxmlformats.org/officeDocument/2006/relationships" ref="AA251" r:id="rId713"/>
    <hyperlink xmlns:r="http://schemas.openxmlformats.org/officeDocument/2006/relationships" ref="AB251" r:id="rId714"/>
    <hyperlink xmlns:r="http://schemas.openxmlformats.org/officeDocument/2006/relationships" ref="F252" r:id="rId715"/>
    <hyperlink xmlns:r="http://schemas.openxmlformats.org/officeDocument/2006/relationships" ref="AA252" r:id="rId716"/>
    <hyperlink xmlns:r="http://schemas.openxmlformats.org/officeDocument/2006/relationships" ref="AB252" r:id="rId717"/>
    <hyperlink xmlns:r="http://schemas.openxmlformats.org/officeDocument/2006/relationships" ref="F253" r:id="rId718"/>
    <hyperlink xmlns:r="http://schemas.openxmlformats.org/officeDocument/2006/relationships" ref="AA253" r:id="rId719"/>
    <hyperlink xmlns:r="http://schemas.openxmlformats.org/officeDocument/2006/relationships" ref="AB253" r:id="rId720"/>
    <hyperlink xmlns:r="http://schemas.openxmlformats.org/officeDocument/2006/relationships" ref="F254" r:id="rId721"/>
    <hyperlink xmlns:r="http://schemas.openxmlformats.org/officeDocument/2006/relationships" ref="AA254" r:id="rId722"/>
    <hyperlink xmlns:r="http://schemas.openxmlformats.org/officeDocument/2006/relationships" ref="AB254" r:id="rId723"/>
    <hyperlink xmlns:r="http://schemas.openxmlformats.org/officeDocument/2006/relationships" ref="AA255" r:id="rId724"/>
    <hyperlink xmlns:r="http://schemas.openxmlformats.org/officeDocument/2006/relationships" ref="AB255" r:id="rId725"/>
    <hyperlink xmlns:r="http://schemas.openxmlformats.org/officeDocument/2006/relationships" ref="F256" r:id="rId726"/>
    <hyperlink xmlns:r="http://schemas.openxmlformats.org/officeDocument/2006/relationships" ref="AA256" r:id="rId727"/>
    <hyperlink xmlns:r="http://schemas.openxmlformats.org/officeDocument/2006/relationships" ref="AB256" r:id="rId728"/>
    <hyperlink xmlns:r="http://schemas.openxmlformats.org/officeDocument/2006/relationships" ref="F257" r:id="rId729"/>
    <hyperlink xmlns:r="http://schemas.openxmlformats.org/officeDocument/2006/relationships" ref="AA257" r:id="rId730"/>
    <hyperlink xmlns:r="http://schemas.openxmlformats.org/officeDocument/2006/relationships" ref="AB257" r:id="rId731"/>
    <hyperlink xmlns:r="http://schemas.openxmlformats.org/officeDocument/2006/relationships" ref="F258" r:id="rId732"/>
    <hyperlink xmlns:r="http://schemas.openxmlformats.org/officeDocument/2006/relationships" ref="AA258" r:id="rId733"/>
    <hyperlink xmlns:r="http://schemas.openxmlformats.org/officeDocument/2006/relationships" ref="AB258" r:id="rId734"/>
    <hyperlink xmlns:r="http://schemas.openxmlformats.org/officeDocument/2006/relationships" ref="F259" r:id="rId735"/>
    <hyperlink xmlns:r="http://schemas.openxmlformats.org/officeDocument/2006/relationships" ref="AA259" r:id="rId736"/>
    <hyperlink xmlns:r="http://schemas.openxmlformats.org/officeDocument/2006/relationships" ref="AB259" r:id="rId737"/>
    <hyperlink xmlns:r="http://schemas.openxmlformats.org/officeDocument/2006/relationships" ref="F260" r:id="rId738"/>
    <hyperlink xmlns:r="http://schemas.openxmlformats.org/officeDocument/2006/relationships" ref="AA260" r:id="rId739"/>
    <hyperlink xmlns:r="http://schemas.openxmlformats.org/officeDocument/2006/relationships" ref="AB260" r:id="rId740"/>
    <hyperlink xmlns:r="http://schemas.openxmlformats.org/officeDocument/2006/relationships" ref="F261" r:id="rId741"/>
    <hyperlink xmlns:r="http://schemas.openxmlformats.org/officeDocument/2006/relationships" ref="AA261" r:id="rId742"/>
    <hyperlink xmlns:r="http://schemas.openxmlformats.org/officeDocument/2006/relationships" ref="AB261" r:id="rId743"/>
    <hyperlink xmlns:r="http://schemas.openxmlformats.org/officeDocument/2006/relationships" ref="AA262" r:id="rId744"/>
    <hyperlink xmlns:r="http://schemas.openxmlformats.org/officeDocument/2006/relationships" ref="AB262" r:id="rId745"/>
    <hyperlink xmlns:r="http://schemas.openxmlformats.org/officeDocument/2006/relationships" ref="F263" r:id="rId746"/>
    <hyperlink xmlns:r="http://schemas.openxmlformats.org/officeDocument/2006/relationships" ref="AA263" r:id="rId747"/>
    <hyperlink xmlns:r="http://schemas.openxmlformats.org/officeDocument/2006/relationships" ref="AB263" r:id="rId748"/>
    <hyperlink xmlns:r="http://schemas.openxmlformats.org/officeDocument/2006/relationships" ref="F264" r:id="rId749"/>
    <hyperlink xmlns:r="http://schemas.openxmlformats.org/officeDocument/2006/relationships" ref="AA264" r:id="rId750"/>
    <hyperlink xmlns:r="http://schemas.openxmlformats.org/officeDocument/2006/relationships" ref="AB264" r:id="rId751"/>
    <hyperlink xmlns:r="http://schemas.openxmlformats.org/officeDocument/2006/relationships" ref="F265" r:id="rId752"/>
    <hyperlink xmlns:r="http://schemas.openxmlformats.org/officeDocument/2006/relationships" ref="AA265" r:id="rId753"/>
    <hyperlink xmlns:r="http://schemas.openxmlformats.org/officeDocument/2006/relationships" ref="AB265" r:id="rId754"/>
    <hyperlink xmlns:r="http://schemas.openxmlformats.org/officeDocument/2006/relationships" ref="F266" r:id="rId755"/>
    <hyperlink xmlns:r="http://schemas.openxmlformats.org/officeDocument/2006/relationships" ref="AA266" r:id="rId756"/>
    <hyperlink xmlns:r="http://schemas.openxmlformats.org/officeDocument/2006/relationships" ref="AB266" r:id="rId757"/>
    <hyperlink xmlns:r="http://schemas.openxmlformats.org/officeDocument/2006/relationships" ref="F267" r:id="rId758"/>
    <hyperlink xmlns:r="http://schemas.openxmlformats.org/officeDocument/2006/relationships" ref="AA267" r:id="rId759"/>
    <hyperlink xmlns:r="http://schemas.openxmlformats.org/officeDocument/2006/relationships" ref="AB267" r:id="rId760"/>
    <hyperlink xmlns:r="http://schemas.openxmlformats.org/officeDocument/2006/relationships" ref="F268" r:id="rId761"/>
    <hyperlink xmlns:r="http://schemas.openxmlformats.org/officeDocument/2006/relationships" ref="AA268" r:id="rId762"/>
    <hyperlink xmlns:r="http://schemas.openxmlformats.org/officeDocument/2006/relationships" ref="AB268" r:id="rId763"/>
    <hyperlink xmlns:r="http://schemas.openxmlformats.org/officeDocument/2006/relationships" ref="F269" r:id="rId764"/>
    <hyperlink xmlns:r="http://schemas.openxmlformats.org/officeDocument/2006/relationships" ref="AA269" r:id="rId765"/>
    <hyperlink xmlns:r="http://schemas.openxmlformats.org/officeDocument/2006/relationships" ref="AB269" r:id="rId766"/>
    <hyperlink xmlns:r="http://schemas.openxmlformats.org/officeDocument/2006/relationships" ref="F270" r:id="rId767"/>
    <hyperlink xmlns:r="http://schemas.openxmlformats.org/officeDocument/2006/relationships" ref="AA270" r:id="rId768"/>
    <hyperlink xmlns:r="http://schemas.openxmlformats.org/officeDocument/2006/relationships" ref="AB270" r:id="rId769"/>
    <hyperlink xmlns:r="http://schemas.openxmlformats.org/officeDocument/2006/relationships" ref="AA271" r:id="rId770"/>
    <hyperlink xmlns:r="http://schemas.openxmlformats.org/officeDocument/2006/relationships" ref="AB271" r:id="rId771"/>
    <hyperlink xmlns:r="http://schemas.openxmlformats.org/officeDocument/2006/relationships" ref="F272" r:id="rId772"/>
    <hyperlink xmlns:r="http://schemas.openxmlformats.org/officeDocument/2006/relationships" ref="AA272" r:id="rId773"/>
    <hyperlink xmlns:r="http://schemas.openxmlformats.org/officeDocument/2006/relationships" ref="AB272" r:id="rId774"/>
    <hyperlink xmlns:r="http://schemas.openxmlformats.org/officeDocument/2006/relationships" ref="F273" r:id="rId775"/>
    <hyperlink xmlns:r="http://schemas.openxmlformats.org/officeDocument/2006/relationships" ref="AA273" r:id="rId776"/>
    <hyperlink xmlns:r="http://schemas.openxmlformats.org/officeDocument/2006/relationships" ref="AB273" r:id="rId777"/>
    <hyperlink xmlns:r="http://schemas.openxmlformats.org/officeDocument/2006/relationships" ref="F274" r:id="rId778"/>
    <hyperlink xmlns:r="http://schemas.openxmlformats.org/officeDocument/2006/relationships" ref="AA274" r:id="rId779"/>
    <hyperlink xmlns:r="http://schemas.openxmlformats.org/officeDocument/2006/relationships" ref="AB274" r:id="rId780"/>
    <hyperlink xmlns:r="http://schemas.openxmlformats.org/officeDocument/2006/relationships" ref="F275" r:id="rId781"/>
    <hyperlink xmlns:r="http://schemas.openxmlformats.org/officeDocument/2006/relationships" ref="AA275" r:id="rId782"/>
    <hyperlink xmlns:r="http://schemas.openxmlformats.org/officeDocument/2006/relationships" ref="AB275" r:id="rId783"/>
    <hyperlink xmlns:r="http://schemas.openxmlformats.org/officeDocument/2006/relationships" ref="F276" r:id="rId784"/>
    <hyperlink xmlns:r="http://schemas.openxmlformats.org/officeDocument/2006/relationships" ref="AA276" r:id="rId785"/>
    <hyperlink xmlns:r="http://schemas.openxmlformats.org/officeDocument/2006/relationships" ref="AB276" r:id="rId786"/>
    <hyperlink xmlns:r="http://schemas.openxmlformats.org/officeDocument/2006/relationships" ref="AA277" r:id="rId787"/>
    <hyperlink xmlns:r="http://schemas.openxmlformats.org/officeDocument/2006/relationships" ref="AB277" r:id="rId788"/>
    <hyperlink xmlns:r="http://schemas.openxmlformats.org/officeDocument/2006/relationships" ref="AA278" r:id="rId789"/>
    <hyperlink xmlns:r="http://schemas.openxmlformats.org/officeDocument/2006/relationships" ref="AB278" r:id="rId790"/>
    <hyperlink xmlns:r="http://schemas.openxmlformats.org/officeDocument/2006/relationships" ref="AA279" r:id="rId791"/>
    <hyperlink xmlns:r="http://schemas.openxmlformats.org/officeDocument/2006/relationships" ref="AB279" r:id="rId792"/>
    <hyperlink xmlns:r="http://schemas.openxmlformats.org/officeDocument/2006/relationships" ref="F280" r:id="rId793"/>
    <hyperlink xmlns:r="http://schemas.openxmlformats.org/officeDocument/2006/relationships" ref="AA280" r:id="rId794"/>
    <hyperlink xmlns:r="http://schemas.openxmlformats.org/officeDocument/2006/relationships" ref="AB280" r:id="rId795"/>
    <hyperlink xmlns:r="http://schemas.openxmlformats.org/officeDocument/2006/relationships" ref="F281" r:id="rId796"/>
    <hyperlink xmlns:r="http://schemas.openxmlformats.org/officeDocument/2006/relationships" ref="AA281" r:id="rId797"/>
    <hyperlink xmlns:r="http://schemas.openxmlformats.org/officeDocument/2006/relationships" ref="AB281" r:id="rId798"/>
    <hyperlink xmlns:r="http://schemas.openxmlformats.org/officeDocument/2006/relationships" ref="F282" r:id="rId799"/>
    <hyperlink xmlns:r="http://schemas.openxmlformats.org/officeDocument/2006/relationships" ref="AA282" r:id="rId800"/>
    <hyperlink xmlns:r="http://schemas.openxmlformats.org/officeDocument/2006/relationships" ref="AB282" r:id="rId801"/>
    <hyperlink xmlns:r="http://schemas.openxmlformats.org/officeDocument/2006/relationships" ref="F283" r:id="rId802"/>
    <hyperlink xmlns:r="http://schemas.openxmlformats.org/officeDocument/2006/relationships" ref="AA283" r:id="rId803"/>
    <hyperlink xmlns:r="http://schemas.openxmlformats.org/officeDocument/2006/relationships" ref="AB283" r:id="rId804"/>
    <hyperlink xmlns:r="http://schemas.openxmlformats.org/officeDocument/2006/relationships" ref="F284" r:id="rId805"/>
    <hyperlink xmlns:r="http://schemas.openxmlformats.org/officeDocument/2006/relationships" ref="AA284" r:id="rId806"/>
    <hyperlink xmlns:r="http://schemas.openxmlformats.org/officeDocument/2006/relationships" ref="AB284" r:id="rId807"/>
    <hyperlink xmlns:r="http://schemas.openxmlformats.org/officeDocument/2006/relationships" ref="AA285" r:id="rId808"/>
    <hyperlink xmlns:r="http://schemas.openxmlformats.org/officeDocument/2006/relationships" ref="AB285" r:id="rId809"/>
    <hyperlink xmlns:r="http://schemas.openxmlformats.org/officeDocument/2006/relationships" ref="F286" r:id="rId810"/>
    <hyperlink xmlns:r="http://schemas.openxmlformats.org/officeDocument/2006/relationships" ref="AA286" r:id="rId811"/>
    <hyperlink xmlns:r="http://schemas.openxmlformats.org/officeDocument/2006/relationships" ref="AB286" r:id="rId812"/>
    <hyperlink xmlns:r="http://schemas.openxmlformats.org/officeDocument/2006/relationships" ref="F287" r:id="rId813"/>
    <hyperlink xmlns:r="http://schemas.openxmlformats.org/officeDocument/2006/relationships" ref="AA287" r:id="rId814"/>
    <hyperlink xmlns:r="http://schemas.openxmlformats.org/officeDocument/2006/relationships" ref="AB287" r:id="rId815"/>
    <hyperlink xmlns:r="http://schemas.openxmlformats.org/officeDocument/2006/relationships" ref="AA288" r:id="rId816"/>
    <hyperlink xmlns:r="http://schemas.openxmlformats.org/officeDocument/2006/relationships" ref="AB288" r:id="rId817"/>
    <hyperlink xmlns:r="http://schemas.openxmlformats.org/officeDocument/2006/relationships" ref="AA289" r:id="rId818"/>
    <hyperlink xmlns:r="http://schemas.openxmlformats.org/officeDocument/2006/relationships" ref="AB289" r:id="rId819"/>
    <hyperlink xmlns:r="http://schemas.openxmlformats.org/officeDocument/2006/relationships" ref="F290" r:id="rId820"/>
    <hyperlink xmlns:r="http://schemas.openxmlformats.org/officeDocument/2006/relationships" ref="AA290" r:id="rId821"/>
    <hyperlink xmlns:r="http://schemas.openxmlformats.org/officeDocument/2006/relationships" ref="AB290" r:id="rId822"/>
    <hyperlink xmlns:r="http://schemas.openxmlformats.org/officeDocument/2006/relationships" ref="AA291" r:id="rId823"/>
    <hyperlink xmlns:r="http://schemas.openxmlformats.org/officeDocument/2006/relationships" ref="AB291" r:id="rId824"/>
    <hyperlink xmlns:r="http://schemas.openxmlformats.org/officeDocument/2006/relationships" ref="F292" r:id="rId825"/>
    <hyperlink xmlns:r="http://schemas.openxmlformats.org/officeDocument/2006/relationships" ref="AA292" r:id="rId826"/>
    <hyperlink xmlns:r="http://schemas.openxmlformats.org/officeDocument/2006/relationships" ref="AB292" r:id="rId827"/>
    <hyperlink xmlns:r="http://schemas.openxmlformats.org/officeDocument/2006/relationships" ref="F293" r:id="rId828"/>
    <hyperlink xmlns:r="http://schemas.openxmlformats.org/officeDocument/2006/relationships" ref="AA293" r:id="rId829"/>
    <hyperlink xmlns:r="http://schemas.openxmlformats.org/officeDocument/2006/relationships" ref="AB293" r:id="rId830"/>
    <hyperlink xmlns:r="http://schemas.openxmlformats.org/officeDocument/2006/relationships" ref="F294" r:id="rId831"/>
    <hyperlink xmlns:r="http://schemas.openxmlformats.org/officeDocument/2006/relationships" ref="AA294" r:id="rId832"/>
    <hyperlink xmlns:r="http://schemas.openxmlformats.org/officeDocument/2006/relationships" ref="AB294" r:id="rId833"/>
    <hyperlink xmlns:r="http://schemas.openxmlformats.org/officeDocument/2006/relationships" ref="F295" r:id="rId834"/>
    <hyperlink xmlns:r="http://schemas.openxmlformats.org/officeDocument/2006/relationships" ref="AA295" r:id="rId835"/>
    <hyperlink xmlns:r="http://schemas.openxmlformats.org/officeDocument/2006/relationships" ref="AB295" r:id="rId836"/>
    <hyperlink xmlns:r="http://schemas.openxmlformats.org/officeDocument/2006/relationships" ref="F296" r:id="rId837"/>
    <hyperlink xmlns:r="http://schemas.openxmlformats.org/officeDocument/2006/relationships" ref="AA296" r:id="rId838"/>
    <hyperlink xmlns:r="http://schemas.openxmlformats.org/officeDocument/2006/relationships" ref="AB296" r:id="rId839"/>
    <hyperlink xmlns:r="http://schemas.openxmlformats.org/officeDocument/2006/relationships" ref="F297" r:id="rId840"/>
    <hyperlink xmlns:r="http://schemas.openxmlformats.org/officeDocument/2006/relationships" ref="AA297" r:id="rId841"/>
    <hyperlink xmlns:r="http://schemas.openxmlformats.org/officeDocument/2006/relationships" ref="AB297" r:id="rId842"/>
    <hyperlink xmlns:r="http://schemas.openxmlformats.org/officeDocument/2006/relationships" ref="F298" r:id="rId843"/>
    <hyperlink xmlns:r="http://schemas.openxmlformats.org/officeDocument/2006/relationships" ref="AA298" r:id="rId844"/>
    <hyperlink xmlns:r="http://schemas.openxmlformats.org/officeDocument/2006/relationships" ref="AB298" r:id="rId845"/>
    <hyperlink xmlns:r="http://schemas.openxmlformats.org/officeDocument/2006/relationships" ref="AA299" r:id="rId846"/>
    <hyperlink xmlns:r="http://schemas.openxmlformats.org/officeDocument/2006/relationships" ref="AB299" r:id="rId847"/>
    <hyperlink xmlns:r="http://schemas.openxmlformats.org/officeDocument/2006/relationships" ref="F300" r:id="rId848"/>
    <hyperlink xmlns:r="http://schemas.openxmlformats.org/officeDocument/2006/relationships" ref="AA300" r:id="rId849"/>
    <hyperlink xmlns:r="http://schemas.openxmlformats.org/officeDocument/2006/relationships" ref="AB300" r:id="rId850"/>
    <hyperlink xmlns:r="http://schemas.openxmlformats.org/officeDocument/2006/relationships" ref="F301" r:id="rId851"/>
    <hyperlink xmlns:r="http://schemas.openxmlformats.org/officeDocument/2006/relationships" ref="AA301" r:id="rId852"/>
    <hyperlink xmlns:r="http://schemas.openxmlformats.org/officeDocument/2006/relationships" ref="AB301" r:id="rId853"/>
    <hyperlink xmlns:r="http://schemas.openxmlformats.org/officeDocument/2006/relationships" ref="F302" r:id="rId854"/>
    <hyperlink xmlns:r="http://schemas.openxmlformats.org/officeDocument/2006/relationships" ref="AA302" r:id="rId855"/>
    <hyperlink xmlns:r="http://schemas.openxmlformats.org/officeDocument/2006/relationships" ref="AB302" r:id="rId856"/>
    <hyperlink xmlns:r="http://schemas.openxmlformats.org/officeDocument/2006/relationships" ref="F303" r:id="rId857"/>
    <hyperlink xmlns:r="http://schemas.openxmlformats.org/officeDocument/2006/relationships" ref="AA303" r:id="rId858"/>
    <hyperlink xmlns:r="http://schemas.openxmlformats.org/officeDocument/2006/relationships" ref="AB303" r:id="rId859"/>
    <hyperlink xmlns:r="http://schemas.openxmlformats.org/officeDocument/2006/relationships" ref="F304" r:id="rId860"/>
    <hyperlink xmlns:r="http://schemas.openxmlformats.org/officeDocument/2006/relationships" ref="AA304" r:id="rId861"/>
    <hyperlink xmlns:r="http://schemas.openxmlformats.org/officeDocument/2006/relationships" ref="AB304" r:id="rId862"/>
    <hyperlink xmlns:r="http://schemas.openxmlformats.org/officeDocument/2006/relationships" ref="AA305" r:id="rId863"/>
    <hyperlink xmlns:r="http://schemas.openxmlformats.org/officeDocument/2006/relationships" ref="AB305" r:id="rId864"/>
    <hyperlink xmlns:r="http://schemas.openxmlformats.org/officeDocument/2006/relationships" ref="F306" r:id="rId865"/>
    <hyperlink xmlns:r="http://schemas.openxmlformats.org/officeDocument/2006/relationships" ref="AA306" r:id="rId866"/>
    <hyperlink xmlns:r="http://schemas.openxmlformats.org/officeDocument/2006/relationships" ref="AB306" r:id="rId867"/>
    <hyperlink xmlns:r="http://schemas.openxmlformats.org/officeDocument/2006/relationships" ref="F307" r:id="rId868"/>
    <hyperlink xmlns:r="http://schemas.openxmlformats.org/officeDocument/2006/relationships" ref="AA307" r:id="rId869"/>
    <hyperlink xmlns:r="http://schemas.openxmlformats.org/officeDocument/2006/relationships" ref="AB307" r:id="rId870"/>
    <hyperlink xmlns:r="http://schemas.openxmlformats.org/officeDocument/2006/relationships" ref="F308" r:id="rId871"/>
    <hyperlink xmlns:r="http://schemas.openxmlformats.org/officeDocument/2006/relationships" ref="AA308" r:id="rId872"/>
    <hyperlink xmlns:r="http://schemas.openxmlformats.org/officeDocument/2006/relationships" ref="AB308" r:id="rId873"/>
    <hyperlink xmlns:r="http://schemas.openxmlformats.org/officeDocument/2006/relationships" ref="F309" r:id="rId874"/>
    <hyperlink xmlns:r="http://schemas.openxmlformats.org/officeDocument/2006/relationships" ref="AA309" r:id="rId875"/>
    <hyperlink xmlns:r="http://schemas.openxmlformats.org/officeDocument/2006/relationships" ref="AB309" r:id="rId876"/>
    <hyperlink xmlns:r="http://schemas.openxmlformats.org/officeDocument/2006/relationships" ref="F310" r:id="rId877"/>
    <hyperlink xmlns:r="http://schemas.openxmlformats.org/officeDocument/2006/relationships" ref="AA310" r:id="rId878"/>
    <hyperlink xmlns:r="http://schemas.openxmlformats.org/officeDocument/2006/relationships" ref="AB310" r:id="rId879"/>
    <hyperlink xmlns:r="http://schemas.openxmlformats.org/officeDocument/2006/relationships" ref="F311" r:id="rId880"/>
    <hyperlink xmlns:r="http://schemas.openxmlformats.org/officeDocument/2006/relationships" ref="AA311" r:id="rId881"/>
    <hyperlink xmlns:r="http://schemas.openxmlformats.org/officeDocument/2006/relationships" ref="AB311" r:id="rId882"/>
    <hyperlink xmlns:r="http://schemas.openxmlformats.org/officeDocument/2006/relationships" ref="AA312" r:id="rId883"/>
    <hyperlink xmlns:r="http://schemas.openxmlformats.org/officeDocument/2006/relationships" ref="AB312" r:id="rId884"/>
    <hyperlink xmlns:r="http://schemas.openxmlformats.org/officeDocument/2006/relationships" ref="AA313" r:id="rId885"/>
    <hyperlink xmlns:r="http://schemas.openxmlformats.org/officeDocument/2006/relationships" ref="AB313" r:id="rId886"/>
    <hyperlink xmlns:r="http://schemas.openxmlformats.org/officeDocument/2006/relationships" ref="F314" r:id="rId887"/>
    <hyperlink xmlns:r="http://schemas.openxmlformats.org/officeDocument/2006/relationships" ref="AA314" r:id="rId888"/>
    <hyperlink xmlns:r="http://schemas.openxmlformats.org/officeDocument/2006/relationships" ref="AB314" r:id="rId889"/>
    <hyperlink xmlns:r="http://schemas.openxmlformats.org/officeDocument/2006/relationships" ref="F315" r:id="rId890"/>
    <hyperlink xmlns:r="http://schemas.openxmlformats.org/officeDocument/2006/relationships" ref="AA315" r:id="rId891"/>
    <hyperlink xmlns:r="http://schemas.openxmlformats.org/officeDocument/2006/relationships" ref="AB315" r:id="rId892"/>
    <hyperlink xmlns:r="http://schemas.openxmlformats.org/officeDocument/2006/relationships" ref="F316" r:id="rId893"/>
    <hyperlink xmlns:r="http://schemas.openxmlformats.org/officeDocument/2006/relationships" ref="AA316" r:id="rId894"/>
    <hyperlink xmlns:r="http://schemas.openxmlformats.org/officeDocument/2006/relationships" ref="AB316" r:id="rId895"/>
    <hyperlink xmlns:r="http://schemas.openxmlformats.org/officeDocument/2006/relationships" ref="F317" r:id="rId896"/>
    <hyperlink xmlns:r="http://schemas.openxmlformats.org/officeDocument/2006/relationships" ref="AA317" r:id="rId897"/>
    <hyperlink xmlns:r="http://schemas.openxmlformats.org/officeDocument/2006/relationships" ref="AB317" r:id="rId898"/>
    <hyperlink xmlns:r="http://schemas.openxmlformats.org/officeDocument/2006/relationships" ref="F318" r:id="rId899"/>
    <hyperlink xmlns:r="http://schemas.openxmlformats.org/officeDocument/2006/relationships" ref="AA318" r:id="rId900"/>
    <hyperlink xmlns:r="http://schemas.openxmlformats.org/officeDocument/2006/relationships" ref="AB318" r:id="rId901"/>
    <hyperlink xmlns:r="http://schemas.openxmlformats.org/officeDocument/2006/relationships" ref="AA319" r:id="rId902"/>
    <hyperlink xmlns:r="http://schemas.openxmlformats.org/officeDocument/2006/relationships" ref="AB319" r:id="rId903"/>
    <hyperlink xmlns:r="http://schemas.openxmlformats.org/officeDocument/2006/relationships" ref="F320" r:id="rId904"/>
    <hyperlink xmlns:r="http://schemas.openxmlformats.org/officeDocument/2006/relationships" ref="AA320" r:id="rId905"/>
    <hyperlink xmlns:r="http://schemas.openxmlformats.org/officeDocument/2006/relationships" ref="AB320" r:id="rId906"/>
    <hyperlink xmlns:r="http://schemas.openxmlformats.org/officeDocument/2006/relationships" ref="AA321" r:id="rId907"/>
    <hyperlink xmlns:r="http://schemas.openxmlformats.org/officeDocument/2006/relationships" ref="AB321" r:id="rId908"/>
    <hyperlink xmlns:r="http://schemas.openxmlformats.org/officeDocument/2006/relationships" ref="F322" r:id="rId909"/>
    <hyperlink xmlns:r="http://schemas.openxmlformats.org/officeDocument/2006/relationships" ref="AA322" r:id="rId910"/>
    <hyperlink xmlns:r="http://schemas.openxmlformats.org/officeDocument/2006/relationships" ref="AB322" r:id="rId911"/>
    <hyperlink xmlns:r="http://schemas.openxmlformats.org/officeDocument/2006/relationships" ref="F323" r:id="rId912"/>
    <hyperlink xmlns:r="http://schemas.openxmlformats.org/officeDocument/2006/relationships" ref="AA323" r:id="rId913"/>
    <hyperlink xmlns:r="http://schemas.openxmlformats.org/officeDocument/2006/relationships" ref="AB323" r:id="rId914"/>
    <hyperlink xmlns:r="http://schemas.openxmlformats.org/officeDocument/2006/relationships" ref="F324" r:id="rId915"/>
    <hyperlink xmlns:r="http://schemas.openxmlformats.org/officeDocument/2006/relationships" ref="AA324" r:id="rId916"/>
    <hyperlink xmlns:r="http://schemas.openxmlformats.org/officeDocument/2006/relationships" ref="AB324" r:id="rId917"/>
    <hyperlink xmlns:r="http://schemas.openxmlformats.org/officeDocument/2006/relationships" ref="F325" r:id="rId918"/>
    <hyperlink xmlns:r="http://schemas.openxmlformats.org/officeDocument/2006/relationships" ref="AA325" r:id="rId919"/>
    <hyperlink xmlns:r="http://schemas.openxmlformats.org/officeDocument/2006/relationships" ref="AB325" r:id="rId920"/>
    <hyperlink xmlns:r="http://schemas.openxmlformats.org/officeDocument/2006/relationships" ref="F326" r:id="rId921"/>
    <hyperlink xmlns:r="http://schemas.openxmlformats.org/officeDocument/2006/relationships" ref="AA326" r:id="rId922"/>
    <hyperlink xmlns:r="http://schemas.openxmlformats.org/officeDocument/2006/relationships" ref="AB326" r:id="rId923"/>
    <hyperlink xmlns:r="http://schemas.openxmlformats.org/officeDocument/2006/relationships" ref="F327" r:id="rId924"/>
    <hyperlink xmlns:r="http://schemas.openxmlformats.org/officeDocument/2006/relationships" ref="AA327" r:id="rId925"/>
    <hyperlink xmlns:r="http://schemas.openxmlformats.org/officeDocument/2006/relationships" ref="AB327" r:id="rId926"/>
    <hyperlink xmlns:r="http://schemas.openxmlformats.org/officeDocument/2006/relationships" ref="F328" r:id="rId927"/>
    <hyperlink xmlns:r="http://schemas.openxmlformats.org/officeDocument/2006/relationships" ref="AA328" r:id="rId928"/>
    <hyperlink xmlns:r="http://schemas.openxmlformats.org/officeDocument/2006/relationships" ref="AB328" r:id="rId929"/>
    <hyperlink xmlns:r="http://schemas.openxmlformats.org/officeDocument/2006/relationships" ref="AA329" r:id="rId930"/>
    <hyperlink xmlns:r="http://schemas.openxmlformats.org/officeDocument/2006/relationships" ref="AB329" r:id="rId931"/>
    <hyperlink xmlns:r="http://schemas.openxmlformats.org/officeDocument/2006/relationships" ref="F330" r:id="rId932"/>
    <hyperlink xmlns:r="http://schemas.openxmlformats.org/officeDocument/2006/relationships" ref="AA330" r:id="rId933"/>
    <hyperlink xmlns:r="http://schemas.openxmlformats.org/officeDocument/2006/relationships" ref="AB330" r:id="rId934"/>
    <hyperlink xmlns:r="http://schemas.openxmlformats.org/officeDocument/2006/relationships" ref="F331" r:id="rId935"/>
    <hyperlink xmlns:r="http://schemas.openxmlformats.org/officeDocument/2006/relationships" ref="AA331" r:id="rId936"/>
    <hyperlink xmlns:r="http://schemas.openxmlformats.org/officeDocument/2006/relationships" ref="AB331" r:id="rId937"/>
    <hyperlink xmlns:r="http://schemas.openxmlformats.org/officeDocument/2006/relationships" ref="F332" r:id="rId938"/>
    <hyperlink xmlns:r="http://schemas.openxmlformats.org/officeDocument/2006/relationships" ref="AA332" r:id="rId939"/>
    <hyperlink xmlns:r="http://schemas.openxmlformats.org/officeDocument/2006/relationships" ref="AB332" r:id="rId940"/>
    <hyperlink xmlns:r="http://schemas.openxmlformats.org/officeDocument/2006/relationships" ref="F333" r:id="rId941"/>
    <hyperlink xmlns:r="http://schemas.openxmlformats.org/officeDocument/2006/relationships" ref="AA333" r:id="rId942"/>
    <hyperlink xmlns:r="http://schemas.openxmlformats.org/officeDocument/2006/relationships" ref="AB333" r:id="rId943"/>
    <hyperlink xmlns:r="http://schemas.openxmlformats.org/officeDocument/2006/relationships" ref="F334" r:id="rId944"/>
    <hyperlink xmlns:r="http://schemas.openxmlformats.org/officeDocument/2006/relationships" ref="AA334" r:id="rId945"/>
    <hyperlink xmlns:r="http://schemas.openxmlformats.org/officeDocument/2006/relationships" ref="AB334" r:id="rId946"/>
    <hyperlink xmlns:r="http://schemas.openxmlformats.org/officeDocument/2006/relationships" ref="F335" r:id="rId947"/>
    <hyperlink xmlns:r="http://schemas.openxmlformats.org/officeDocument/2006/relationships" ref="AA335" r:id="rId948"/>
    <hyperlink xmlns:r="http://schemas.openxmlformats.org/officeDocument/2006/relationships" ref="AB335" r:id="rId949"/>
    <hyperlink xmlns:r="http://schemas.openxmlformats.org/officeDocument/2006/relationships" ref="F336" r:id="rId950"/>
    <hyperlink xmlns:r="http://schemas.openxmlformats.org/officeDocument/2006/relationships" ref="AA336" r:id="rId951"/>
    <hyperlink xmlns:r="http://schemas.openxmlformats.org/officeDocument/2006/relationships" ref="AB336" r:id="rId952"/>
    <hyperlink xmlns:r="http://schemas.openxmlformats.org/officeDocument/2006/relationships" ref="F337" r:id="rId953"/>
    <hyperlink xmlns:r="http://schemas.openxmlformats.org/officeDocument/2006/relationships" ref="AA337" r:id="rId954"/>
    <hyperlink xmlns:r="http://schemas.openxmlformats.org/officeDocument/2006/relationships" ref="AB337" r:id="rId955"/>
    <hyperlink xmlns:r="http://schemas.openxmlformats.org/officeDocument/2006/relationships" ref="F338" r:id="rId956"/>
    <hyperlink xmlns:r="http://schemas.openxmlformats.org/officeDocument/2006/relationships" ref="AA338" r:id="rId957"/>
    <hyperlink xmlns:r="http://schemas.openxmlformats.org/officeDocument/2006/relationships" ref="AB338" r:id="rId958"/>
    <hyperlink xmlns:r="http://schemas.openxmlformats.org/officeDocument/2006/relationships" ref="F339" r:id="rId959"/>
    <hyperlink xmlns:r="http://schemas.openxmlformats.org/officeDocument/2006/relationships" ref="AA339" r:id="rId960"/>
    <hyperlink xmlns:r="http://schemas.openxmlformats.org/officeDocument/2006/relationships" ref="AB339" r:id="rId961"/>
    <hyperlink xmlns:r="http://schemas.openxmlformats.org/officeDocument/2006/relationships" ref="F340" r:id="rId962"/>
    <hyperlink xmlns:r="http://schemas.openxmlformats.org/officeDocument/2006/relationships" ref="AA340" r:id="rId963"/>
    <hyperlink xmlns:r="http://schemas.openxmlformats.org/officeDocument/2006/relationships" ref="AB340" r:id="rId964"/>
    <hyperlink xmlns:r="http://schemas.openxmlformats.org/officeDocument/2006/relationships" ref="F341" r:id="rId965"/>
    <hyperlink xmlns:r="http://schemas.openxmlformats.org/officeDocument/2006/relationships" ref="AA341" r:id="rId966"/>
    <hyperlink xmlns:r="http://schemas.openxmlformats.org/officeDocument/2006/relationships" ref="AB341" r:id="rId967"/>
    <hyperlink xmlns:r="http://schemas.openxmlformats.org/officeDocument/2006/relationships" ref="F342" r:id="rId968"/>
    <hyperlink xmlns:r="http://schemas.openxmlformats.org/officeDocument/2006/relationships" ref="AA342" r:id="rId969"/>
    <hyperlink xmlns:r="http://schemas.openxmlformats.org/officeDocument/2006/relationships" ref="AB342" r:id="rId970"/>
    <hyperlink xmlns:r="http://schemas.openxmlformats.org/officeDocument/2006/relationships" ref="F343" r:id="rId971"/>
    <hyperlink xmlns:r="http://schemas.openxmlformats.org/officeDocument/2006/relationships" ref="AA343" r:id="rId972"/>
    <hyperlink xmlns:r="http://schemas.openxmlformats.org/officeDocument/2006/relationships" ref="AB343" r:id="rId973"/>
    <hyperlink xmlns:r="http://schemas.openxmlformats.org/officeDocument/2006/relationships" ref="F344" r:id="rId974"/>
    <hyperlink xmlns:r="http://schemas.openxmlformats.org/officeDocument/2006/relationships" ref="AA344" r:id="rId975"/>
    <hyperlink xmlns:r="http://schemas.openxmlformats.org/officeDocument/2006/relationships" ref="AB344" r:id="rId976"/>
    <hyperlink xmlns:r="http://schemas.openxmlformats.org/officeDocument/2006/relationships" ref="AA345" r:id="rId977"/>
    <hyperlink xmlns:r="http://schemas.openxmlformats.org/officeDocument/2006/relationships" ref="AB345" r:id="rId978"/>
    <hyperlink xmlns:r="http://schemas.openxmlformats.org/officeDocument/2006/relationships" ref="F346" r:id="rId979"/>
    <hyperlink xmlns:r="http://schemas.openxmlformats.org/officeDocument/2006/relationships" ref="AA346" r:id="rId980"/>
    <hyperlink xmlns:r="http://schemas.openxmlformats.org/officeDocument/2006/relationships" ref="AB346" r:id="rId981"/>
    <hyperlink xmlns:r="http://schemas.openxmlformats.org/officeDocument/2006/relationships" ref="F347" r:id="rId982"/>
    <hyperlink xmlns:r="http://schemas.openxmlformats.org/officeDocument/2006/relationships" ref="AA347" r:id="rId983"/>
    <hyperlink xmlns:r="http://schemas.openxmlformats.org/officeDocument/2006/relationships" ref="AB347" r:id="rId984"/>
    <hyperlink xmlns:r="http://schemas.openxmlformats.org/officeDocument/2006/relationships" ref="F348" r:id="rId985"/>
    <hyperlink xmlns:r="http://schemas.openxmlformats.org/officeDocument/2006/relationships" ref="AA348" r:id="rId986"/>
    <hyperlink xmlns:r="http://schemas.openxmlformats.org/officeDocument/2006/relationships" ref="AB348" r:id="rId987"/>
    <hyperlink xmlns:r="http://schemas.openxmlformats.org/officeDocument/2006/relationships" ref="F349" r:id="rId988"/>
    <hyperlink xmlns:r="http://schemas.openxmlformats.org/officeDocument/2006/relationships" ref="AA349" r:id="rId989"/>
    <hyperlink xmlns:r="http://schemas.openxmlformats.org/officeDocument/2006/relationships" ref="AB349" r:id="rId990"/>
    <hyperlink xmlns:r="http://schemas.openxmlformats.org/officeDocument/2006/relationships" ref="F350" r:id="rId991"/>
    <hyperlink xmlns:r="http://schemas.openxmlformats.org/officeDocument/2006/relationships" ref="AA350" r:id="rId992"/>
    <hyperlink xmlns:r="http://schemas.openxmlformats.org/officeDocument/2006/relationships" ref="AB350" r:id="rId993"/>
    <hyperlink xmlns:r="http://schemas.openxmlformats.org/officeDocument/2006/relationships" ref="F351" r:id="rId994"/>
    <hyperlink xmlns:r="http://schemas.openxmlformats.org/officeDocument/2006/relationships" ref="AA351" r:id="rId995"/>
    <hyperlink xmlns:r="http://schemas.openxmlformats.org/officeDocument/2006/relationships" ref="AB351" r:id="rId996"/>
    <hyperlink xmlns:r="http://schemas.openxmlformats.org/officeDocument/2006/relationships" ref="F352" r:id="rId997"/>
    <hyperlink xmlns:r="http://schemas.openxmlformats.org/officeDocument/2006/relationships" ref="AA352" r:id="rId998"/>
    <hyperlink xmlns:r="http://schemas.openxmlformats.org/officeDocument/2006/relationships" ref="AB352" r:id="rId999"/>
    <hyperlink xmlns:r="http://schemas.openxmlformats.org/officeDocument/2006/relationships" ref="F353" r:id="rId1000"/>
    <hyperlink xmlns:r="http://schemas.openxmlformats.org/officeDocument/2006/relationships" ref="AA353" r:id="rId1001"/>
    <hyperlink xmlns:r="http://schemas.openxmlformats.org/officeDocument/2006/relationships" ref="AB353" r:id="rId1002"/>
    <hyperlink xmlns:r="http://schemas.openxmlformats.org/officeDocument/2006/relationships" ref="F354" r:id="rId1003"/>
    <hyperlink xmlns:r="http://schemas.openxmlformats.org/officeDocument/2006/relationships" ref="AA354" r:id="rId1004"/>
    <hyperlink xmlns:r="http://schemas.openxmlformats.org/officeDocument/2006/relationships" ref="AB354" r:id="rId1005"/>
    <hyperlink xmlns:r="http://schemas.openxmlformats.org/officeDocument/2006/relationships" ref="F355" r:id="rId1006"/>
    <hyperlink xmlns:r="http://schemas.openxmlformats.org/officeDocument/2006/relationships" ref="AA355" r:id="rId1007"/>
    <hyperlink xmlns:r="http://schemas.openxmlformats.org/officeDocument/2006/relationships" ref="AB355" r:id="rId1008"/>
    <hyperlink xmlns:r="http://schemas.openxmlformats.org/officeDocument/2006/relationships" ref="F356" r:id="rId1009"/>
    <hyperlink xmlns:r="http://schemas.openxmlformats.org/officeDocument/2006/relationships" ref="AA356" r:id="rId1010"/>
    <hyperlink xmlns:r="http://schemas.openxmlformats.org/officeDocument/2006/relationships" ref="AB356" r:id="rId1011"/>
    <hyperlink xmlns:r="http://schemas.openxmlformats.org/officeDocument/2006/relationships" ref="F357" r:id="rId1012"/>
    <hyperlink xmlns:r="http://schemas.openxmlformats.org/officeDocument/2006/relationships" ref="AA357" r:id="rId1013"/>
    <hyperlink xmlns:r="http://schemas.openxmlformats.org/officeDocument/2006/relationships" ref="AB357" r:id="rId1014"/>
    <hyperlink xmlns:r="http://schemas.openxmlformats.org/officeDocument/2006/relationships" ref="F358" r:id="rId1015"/>
    <hyperlink xmlns:r="http://schemas.openxmlformats.org/officeDocument/2006/relationships" ref="AA358" r:id="rId1016"/>
    <hyperlink xmlns:r="http://schemas.openxmlformats.org/officeDocument/2006/relationships" ref="AB358" r:id="rId1017"/>
    <hyperlink xmlns:r="http://schemas.openxmlformats.org/officeDocument/2006/relationships" ref="F359" r:id="rId1018"/>
    <hyperlink xmlns:r="http://schemas.openxmlformats.org/officeDocument/2006/relationships" ref="AA359" r:id="rId1019"/>
    <hyperlink xmlns:r="http://schemas.openxmlformats.org/officeDocument/2006/relationships" ref="AB359" r:id="rId1020"/>
    <hyperlink xmlns:r="http://schemas.openxmlformats.org/officeDocument/2006/relationships" ref="F360" r:id="rId1021"/>
    <hyperlink xmlns:r="http://schemas.openxmlformats.org/officeDocument/2006/relationships" ref="AA360" r:id="rId1022"/>
    <hyperlink xmlns:r="http://schemas.openxmlformats.org/officeDocument/2006/relationships" ref="AB360" r:id="rId1023"/>
    <hyperlink xmlns:r="http://schemas.openxmlformats.org/officeDocument/2006/relationships" ref="F361" r:id="rId1024"/>
    <hyperlink xmlns:r="http://schemas.openxmlformats.org/officeDocument/2006/relationships" ref="AA361" r:id="rId1025"/>
    <hyperlink xmlns:r="http://schemas.openxmlformats.org/officeDocument/2006/relationships" ref="AB361" r:id="rId1026"/>
    <hyperlink xmlns:r="http://schemas.openxmlformats.org/officeDocument/2006/relationships" ref="F362" r:id="rId1027"/>
    <hyperlink xmlns:r="http://schemas.openxmlformats.org/officeDocument/2006/relationships" ref="AA362" r:id="rId1028"/>
    <hyperlink xmlns:r="http://schemas.openxmlformats.org/officeDocument/2006/relationships" ref="AB362" r:id="rId1029"/>
    <hyperlink xmlns:r="http://schemas.openxmlformats.org/officeDocument/2006/relationships" ref="AA363" r:id="rId1030"/>
    <hyperlink xmlns:r="http://schemas.openxmlformats.org/officeDocument/2006/relationships" ref="AB363" r:id="rId1031"/>
    <hyperlink xmlns:r="http://schemas.openxmlformats.org/officeDocument/2006/relationships" ref="F364" r:id="rId1032"/>
    <hyperlink xmlns:r="http://schemas.openxmlformats.org/officeDocument/2006/relationships" ref="AA364" r:id="rId1033"/>
    <hyperlink xmlns:r="http://schemas.openxmlformats.org/officeDocument/2006/relationships" ref="AB364" r:id="rId1034"/>
    <hyperlink xmlns:r="http://schemas.openxmlformats.org/officeDocument/2006/relationships" ref="AA365" r:id="rId1035"/>
    <hyperlink xmlns:r="http://schemas.openxmlformats.org/officeDocument/2006/relationships" ref="AB365" r:id="rId1036"/>
    <hyperlink xmlns:r="http://schemas.openxmlformats.org/officeDocument/2006/relationships" ref="F366" r:id="rId1037"/>
    <hyperlink xmlns:r="http://schemas.openxmlformats.org/officeDocument/2006/relationships" ref="AA366" r:id="rId1038"/>
    <hyperlink xmlns:r="http://schemas.openxmlformats.org/officeDocument/2006/relationships" ref="AB366" r:id="rId1039"/>
    <hyperlink xmlns:r="http://schemas.openxmlformats.org/officeDocument/2006/relationships" ref="F367" r:id="rId1040"/>
    <hyperlink xmlns:r="http://schemas.openxmlformats.org/officeDocument/2006/relationships" ref="AA367" r:id="rId1041"/>
    <hyperlink xmlns:r="http://schemas.openxmlformats.org/officeDocument/2006/relationships" ref="AB367" r:id="rId1042"/>
    <hyperlink xmlns:r="http://schemas.openxmlformats.org/officeDocument/2006/relationships" ref="F368" r:id="rId1043"/>
    <hyperlink xmlns:r="http://schemas.openxmlformats.org/officeDocument/2006/relationships" ref="AA368" r:id="rId1044"/>
    <hyperlink xmlns:r="http://schemas.openxmlformats.org/officeDocument/2006/relationships" ref="AB368" r:id="rId1045"/>
    <hyperlink xmlns:r="http://schemas.openxmlformats.org/officeDocument/2006/relationships" ref="F369" r:id="rId1046"/>
    <hyperlink xmlns:r="http://schemas.openxmlformats.org/officeDocument/2006/relationships" ref="AA369" r:id="rId1047"/>
    <hyperlink xmlns:r="http://schemas.openxmlformats.org/officeDocument/2006/relationships" ref="AB369" r:id="rId1048"/>
    <hyperlink xmlns:r="http://schemas.openxmlformats.org/officeDocument/2006/relationships" ref="F370" r:id="rId1049"/>
    <hyperlink xmlns:r="http://schemas.openxmlformats.org/officeDocument/2006/relationships" ref="AA370" r:id="rId1050"/>
    <hyperlink xmlns:r="http://schemas.openxmlformats.org/officeDocument/2006/relationships" ref="AB370" r:id="rId1051"/>
    <hyperlink xmlns:r="http://schemas.openxmlformats.org/officeDocument/2006/relationships" ref="AA371" r:id="rId1052"/>
    <hyperlink xmlns:r="http://schemas.openxmlformats.org/officeDocument/2006/relationships" ref="AB371" r:id="rId1053"/>
    <hyperlink xmlns:r="http://schemas.openxmlformats.org/officeDocument/2006/relationships" ref="AA372" r:id="rId1054"/>
    <hyperlink xmlns:r="http://schemas.openxmlformats.org/officeDocument/2006/relationships" ref="AB372" r:id="rId1055"/>
    <hyperlink xmlns:r="http://schemas.openxmlformats.org/officeDocument/2006/relationships" ref="F373" r:id="rId1056"/>
    <hyperlink xmlns:r="http://schemas.openxmlformats.org/officeDocument/2006/relationships" ref="AA373" r:id="rId1057"/>
    <hyperlink xmlns:r="http://schemas.openxmlformats.org/officeDocument/2006/relationships" ref="AB373" r:id="rId1058"/>
    <hyperlink xmlns:r="http://schemas.openxmlformats.org/officeDocument/2006/relationships" ref="F374" r:id="rId1059"/>
    <hyperlink xmlns:r="http://schemas.openxmlformats.org/officeDocument/2006/relationships" ref="AA374" r:id="rId1060"/>
    <hyperlink xmlns:r="http://schemas.openxmlformats.org/officeDocument/2006/relationships" ref="AB374" r:id="rId1061"/>
    <hyperlink xmlns:r="http://schemas.openxmlformats.org/officeDocument/2006/relationships" ref="F375" r:id="rId1062"/>
    <hyperlink xmlns:r="http://schemas.openxmlformats.org/officeDocument/2006/relationships" ref="AA375" r:id="rId1063"/>
    <hyperlink xmlns:r="http://schemas.openxmlformats.org/officeDocument/2006/relationships" ref="AB375" r:id="rId1064"/>
    <hyperlink xmlns:r="http://schemas.openxmlformats.org/officeDocument/2006/relationships" ref="F376" r:id="rId1065"/>
    <hyperlink xmlns:r="http://schemas.openxmlformats.org/officeDocument/2006/relationships" ref="AA376" r:id="rId1066"/>
    <hyperlink xmlns:r="http://schemas.openxmlformats.org/officeDocument/2006/relationships" ref="AB376" r:id="rId1067"/>
    <hyperlink xmlns:r="http://schemas.openxmlformats.org/officeDocument/2006/relationships" ref="F377" r:id="rId1068"/>
    <hyperlink xmlns:r="http://schemas.openxmlformats.org/officeDocument/2006/relationships" ref="AA377" r:id="rId1069"/>
    <hyperlink xmlns:r="http://schemas.openxmlformats.org/officeDocument/2006/relationships" ref="AB377" r:id="rId1070"/>
    <hyperlink xmlns:r="http://schemas.openxmlformats.org/officeDocument/2006/relationships" ref="AA378" r:id="rId1071"/>
    <hyperlink xmlns:r="http://schemas.openxmlformats.org/officeDocument/2006/relationships" ref="AB378" r:id="rId1072"/>
    <hyperlink xmlns:r="http://schemas.openxmlformats.org/officeDocument/2006/relationships" ref="F379" r:id="rId1073"/>
    <hyperlink xmlns:r="http://schemas.openxmlformats.org/officeDocument/2006/relationships" ref="AA379" r:id="rId1074"/>
    <hyperlink xmlns:r="http://schemas.openxmlformats.org/officeDocument/2006/relationships" ref="AB379" r:id="rId1075"/>
    <hyperlink xmlns:r="http://schemas.openxmlformats.org/officeDocument/2006/relationships" ref="F380" r:id="rId1076"/>
    <hyperlink xmlns:r="http://schemas.openxmlformats.org/officeDocument/2006/relationships" ref="AA380" r:id="rId1077"/>
    <hyperlink xmlns:r="http://schemas.openxmlformats.org/officeDocument/2006/relationships" ref="AB380" r:id="rId1078"/>
    <hyperlink xmlns:r="http://schemas.openxmlformats.org/officeDocument/2006/relationships" ref="F381" r:id="rId1079"/>
    <hyperlink xmlns:r="http://schemas.openxmlformats.org/officeDocument/2006/relationships" ref="AA381" r:id="rId1080"/>
    <hyperlink xmlns:r="http://schemas.openxmlformats.org/officeDocument/2006/relationships" ref="AB381" r:id="rId1081"/>
    <hyperlink xmlns:r="http://schemas.openxmlformats.org/officeDocument/2006/relationships" ref="F382" r:id="rId1082"/>
    <hyperlink xmlns:r="http://schemas.openxmlformats.org/officeDocument/2006/relationships" ref="AA382" r:id="rId1083"/>
    <hyperlink xmlns:r="http://schemas.openxmlformats.org/officeDocument/2006/relationships" ref="AB382" r:id="rId1084"/>
    <hyperlink xmlns:r="http://schemas.openxmlformats.org/officeDocument/2006/relationships" ref="AA383" r:id="rId1085"/>
    <hyperlink xmlns:r="http://schemas.openxmlformats.org/officeDocument/2006/relationships" ref="AB383" r:id="rId1086"/>
    <hyperlink xmlns:r="http://schemas.openxmlformats.org/officeDocument/2006/relationships" ref="F384" r:id="rId1087"/>
    <hyperlink xmlns:r="http://schemas.openxmlformats.org/officeDocument/2006/relationships" ref="AA384" r:id="rId1088"/>
    <hyperlink xmlns:r="http://schemas.openxmlformats.org/officeDocument/2006/relationships" ref="AB384" r:id="rId1089"/>
    <hyperlink xmlns:r="http://schemas.openxmlformats.org/officeDocument/2006/relationships" ref="AA385" r:id="rId1090"/>
    <hyperlink xmlns:r="http://schemas.openxmlformats.org/officeDocument/2006/relationships" ref="AB385" r:id="rId1091"/>
    <hyperlink xmlns:r="http://schemas.openxmlformats.org/officeDocument/2006/relationships" ref="F386" r:id="rId1092"/>
    <hyperlink xmlns:r="http://schemas.openxmlformats.org/officeDocument/2006/relationships" ref="AA386" r:id="rId1093"/>
    <hyperlink xmlns:r="http://schemas.openxmlformats.org/officeDocument/2006/relationships" ref="AB386" r:id="rId1094"/>
    <hyperlink xmlns:r="http://schemas.openxmlformats.org/officeDocument/2006/relationships" ref="F387" r:id="rId1095"/>
    <hyperlink xmlns:r="http://schemas.openxmlformats.org/officeDocument/2006/relationships" ref="AA387" r:id="rId1096"/>
    <hyperlink xmlns:r="http://schemas.openxmlformats.org/officeDocument/2006/relationships" ref="AB387" r:id="rId1097"/>
    <hyperlink xmlns:r="http://schemas.openxmlformats.org/officeDocument/2006/relationships" ref="F388" r:id="rId1098"/>
    <hyperlink xmlns:r="http://schemas.openxmlformats.org/officeDocument/2006/relationships" ref="AA388" r:id="rId1099"/>
    <hyperlink xmlns:r="http://schemas.openxmlformats.org/officeDocument/2006/relationships" ref="AB388" r:id="rId1100"/>
    <hyperlink xmlns:r="http://schemas.openxmlformats.org/officeDocument/2006/relationships" ref="F389" r:id="rId1101"/>
    <hyperlink xmlns:r="http://schemas.openxmlformats.org/officeDocument/2006/relationships" ref="AA389" r:id="rId1102"/>
    <hyperlink xmlns:r="http://schemas.openxmlformats.org/officeDocument/2006/relationships" ref="AB389" r:id="rId1103"/>
    <hyperlink xmlns:r="http://schemas.openxmlformats.org/officeDocument/2006/relationships" ref="AA390" r:id="rId1104"/>
    <hyperlink xmlns:r="http://schemas.openxmlformats.org/officeDocument/2006/relationships" ref="AB390" r:id="rId1105"/>
    <hyperlink xmlns:r="http://schemas.openxmlformats.org/officeDocument/2006/relationships" ref="F391" r:id="rId1106"/>
    <hyperlink xmlns:r="http://schemas.openxmlformats.org/officeDocument/2006/relationships" ref="AA391" r:id="rId1107"/>
    <hyperlink xmlns:r="http://schemas.openxmlformats.org/officeDocument/2006/relationships" ref="AB391" r:id="rId1108"/>
    <hyperlink xmlns:r="http://schemas.openxmlformats.org/officeDocument/2006/relationships" ref="F392" r:id="rId1109"/>
    <hyperlink xmlns:r="http://schemas.openxmlformats.org/officeDocument/2006/relationships" ref="AA392" r:id="rId1110"/>
    <hyperlink xmlns:r="http://schemas.openxmlformats.org/officeDocument/2006/relationships" ref="AB392" r:id="rId1111"/>
    <hyperlink xmlns:r="http://schemas.openxmlformats.org/officeDocument/2006/relationships" ref="F393" r:id="rId1112"/>
    <hyperlink xmlns:r="http://schemas.openxmlformats.org/officeDocument/2006/relationships" ref="AA393" r:id="rId1113"/>
    <hyperlink xmlns:r="http://schemas.openxmlformats.org/officeDocument/2006/relationships" ref="AB393" r:id="rId1114"/>
    <hyperlink xmlns:r="http://schemas.openxmlformats.org/officeDocument/2006/relationships" ref="F394" r:id="rId1115"/>
    <hyperlink xmlns:r="http://schemas.openxmlformats.org/officeDocument/2006/relationships" ref="AA394" r:id="rId1116"/>
    <hyperlink xmlns:r="http://schemas.openxmlformats.org/officeDocument/2006/relationships" ref="AB394" r:id="rId1117"/>
    <hyperlink xmlns:r="http://schemas.openxmlformats.org/officeDocument/2006/relationships" ref="F395" r:id="rId1118"/>
    <hyperlink xmlns:r="http://schemas.openxmlformats.org/officeDocument/2006/relationships" ref="AA395" r:id="rId1119"/>
    <hyperlink xmlns:r="http://schemas.openxmlformats.org/officeDocument/2006/relationships" ref="AB395" r:id="rId1120"/>
    <hyperlink xmlns:r="http://schemas.openxmlformats.org/officeDocument/2006/relationships" ref="F396" r:id="rId1121"/>
    <hyperlink xmlns:r="http://schemas.openxmlformats.org/officeDocument/2006/relationships" ref="AA396" r:id="rId1122"/>
    <hyperlink xmlns:r="http://schemas.openxmlformats.org/officeDocument/2006/relationships" ref="AB396" r:id="rId1123"/>
    <hyperlink xmlns:r="http://schemas.openxmlformats.org/officeDocument/2006/relationships" ref="F397" r:id="rId1124"/>
    <hyperlink xmlns:r="http://schemas.openxmlformats.org/officeDocument/2006/relationships" ref="AA397" r:id="rId1125"/>
    <hyperlink xmlns:r="http://schemas.openxmlformats.org/officeDocument/2006/relationships" ref="AB397" r:id="rId1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32" customWidth="1" min="3" max="3"/>
    <col width="18" customWidth="1" min="4" max="4"/>
    <col width="16" customWidth="1" min="5" max="5"/>
    <col width="20" customWidth="1" min="6" max="6"/>
    <col width="20" customWidth="1" min="7" max="7"/>
    <col width="20" customWidth="1" min="8" max="8"/>
    <col width="28" customWidth="1" min="9" max="9"/>
    <col width="12" customWidth="1" min="10" max="10"/>
    <col width="10" customWidth="1" min="11" max="11"/>
    <col width="12" customWidth="1" min="12" max="12"/>
    <col width="10" customWidth="1" min="13" max="13"/>
    <col width="34" customWidth="1" min="14" max="14"/>
  </cols>
  <sheetData>
    <row r="1" ht="32" customHeight="1">
      <c r="A1" s="6" t="inlineStr">
        <is>
          <t>Country</t>
        </is>
      </c>
      <c r="B1" s="6" t="inlineStr">
        <is>
          <t>ID</t>
        </is>
      </c>
      <c r="C1" s="6" t="inlineStr">
        <is>
          <t>Company</t>
        </is>
      </c>
      <c r="D1" s="6" t="inlineStr">
        <is>
          <t>Category</t>
        </is>
      </c>
      <c r="E1" s="6" t="inlineStr">
        <is>
          <t>Company Page Search</t>
        </is>
      </c>
      <c r="F1" s="6" t="inlineStr">
        <is>
          <t>Find Sales / Account Managers</t>
        </is>
      </c>
      <c r="G1" s="7" t="inlineStr">
        <is>
          <t>Person Name</t>
        </is>
      </c>
      <c r="H1" s="7" t="inlineStr">
        <is>
          <t>Job Title</t>
        </is>
      </c>
      <c r="I1" s="7" t="inlineStr">
        <is>
          <t>Profile URL</t>
        </is>
      </c>
      <c r="J1" s="7" t="inlineStr">
        <is>
          <t>Connection Sent</t>
        </is>
      </c>
      <c r="K1" s="7" t="inlineStr">
        <is>
          <t>Accepted?</t>
        </is>
      </c>
      <c r="L1" s="7" t="inlineStr">
        <is>
          <t>Message Sent</t>
        </is>
      </c>
      <c r="M1" s="7" t="inlineStr">
        <is>
          <t>Reply?</t>
        </is>
      </c>
      <c r="N1" s="7" t="inlineStr">
        <is>
          <t>Notes</t>
        </is>
      </c>
    </row>
    <row r="2">
      <c r="A2" s="28">
        <f>Suppliers!A2</f>
        <v/>
      </c>
      <c r="B2" s="28">
        <f>Suppliers!B2</f>
        <v/>
      </c>
      <c r="C2" s="28">
        <f>Suppliers!E2</f>
        <v/>
      </c>
      <c r="D2" s="28">
        <f>Suppliers!D2</f>
        <v/>
      </c>
      <c r="E2" s="29" t="inlineStr">
        <is>
          <t>Company page</t>
        </is>
      </c>
      <c r="F2" s="29" t="inlineStr">
        <is>
          <t>Find people</t>
        </is>
      </c>
      <c r="G2" s="20" t="n"/>
      <c r="H2" s="20" t="n"/>
      <c r="I2" s="20" t="n"/>
      <c r="J2" s="21" t="n"/>
      <c r="K2" s="20" t="n"/>
      <c r="L2" s="21" t="n"/>
      <c r="M2" s="20" t="n"/>
      <c r="N2" s="20" t="n"/>
    </row>
    <row r="3">
      <c r="A3" s="28">
        <f>Suppliers!A3</f>
        <v/>
      </c>
      <c r="B3" s="28">
        <f>Suppliers!B3</f>
        <v/>
      </c>
      <c r="C3" s="28">
        <f>Suppliers!E3</f>
        <v/>
      </c>
      <c r="D3" s="28">
        <f>Suppliers!D3</f>
        <v/>
      </c>
      <c r="E3" s="29" t="inlineStr">
        <is>
          <t>Company page</t>
        </is>
      </c>
      <c r="F3" s="29" t="inlineStr">
        <is>
          <t>Find people</t>
        </is>
      </c>
      <c r="G3" s="20" t="n"/>
      <c r="H3" s="20" t="n"/>
      <c r="I3" s="20" t="n"/>
      <c r="J3" s="21" t="n"/>
      <c r="K3" s="20" t="n"/>
      <c r="L3" s="21" t="n"/>
      <c r="M3" s="20" t="n"/>
      <c r="N3" s="20" t="n"/>
    </row>
    <row r="4">
      <c r="A4" s="28">
        <f>Suppliers!A4</f>
        <v/>
      </c>
      <c r="B4" s="28">
        <f>Suppliers!B4</f>
        <v/>
      </c>
      <c r="C4" s="28">
        <f>Suppliers!E4</f>
        <v/>
      </c>
      <c r="D4" s="28">
        <f>Suppliers!D4</f>
        <v/>
      </c>
      <c r="E4" s="29" t="inlineStr">
        <is>
          <t>Company page</t>
        </is>
      </c>
      <c r="F4" s="29" t="inlineStr">
        <is>
          <t>Find people</t>
        </is>
      </c>
      <c r="G4" s="20" t="n"/>
      <c r="H4" s="20" t="n"/>
      <c r="I4" s="20" t="n"/>
      <c r="J4" s="21" t="n"/>
      <c r="K4" s="20" t="n"/>
      <c r="L4" s="21" t="n"/>
      <c r="M4" s="20" t="n"/>
      <c r="N4" s="20" t="n"/>
    </row>
    <row r="5">
      <c r="A5" s="28">
        <f>Suppliers!A5</f>
        <v/>
      </c>
      <c r="B5" s="28">
        <f>Suppliers!B5</f>
        <v/>
      </c>
      <c r="C5" s="28">
        <f>Suppliers!E5</f>
        <v/>
      </c>
      <c r="D5" s="28">
        <f>Suppliers!D5</f>
        <v/>
      </c>
      <c r="E5" s="29" t="inlineStr">
        <is>
          <t>Company page</t>
        </is>
      </c>
      <c r="F5" s="29" t="inlineStr">
        <is>
          <t>Find people</t>
        </is>
      </c>
      <c r="G5" s="20" t="n"/>
      <c r="H5" s="20" t="n"/>
      <c r="I5" s="20" t="n"/>
      <c r="J5" s="21" t="n"/>
      <c r="K5" s="20" t="n"/>
      <c r="L5" s="21" t="n"/>
      <c r="M5" s="20" t="n"/>
      <c r="N5" s="20" t="n"/>
    </row>
    <row r="6">
      <c r="A6" s="28">
        <f>Suppliers!A6</f>
        <v/>
      </c>
      <c r="B6" s="28">
        <f>Suppliers!B6</f>
        <v/>
      </c>
      <c r="C6" s="28">
        <f>Suppliers!E6</f>
        <v/>
      </c>
      <c r="D6" s="28">
        <f>Suppliers!D6</f>
        <v/>
      </c>
      <c r="E6" s="29" t="inlineStr">
        <is>
          <t>Company page</t>
        </is>
      </c>
      <c r="F6" s="29" t="inlineStr">
        <is>
          <t>Find people</t>
        </is>
      </c>
      <c r="G6" s="20" t="n"/>
      <c r="H6" s="20" t="n"/>
      <c r="I6" s="20" t="n"/>
      <c r="J6" s="21" t="n"/>
      <c r="K6" s="20" t="n"/>
      <c r="L6" s="21" t="n"/>
      <c r="M6" s="20" t="n"/>
      <c r="N6" s="20" t="n"/>
    </row>
    <row r="7">
      <c r="A7" s="28">
        <f>Suppliers!A7</f>
        <v/>
      </c>
      <c r="B7" s="28">
        <f>Suppliers!B7</f>
        <v/>
      </c>
      <c r="C7" s="28">
        <f>Suppliers!E7</f>
        <v/>
      </c>
      <c r="D7" s="28">
        <f>Suppliers!D7</f>
        <v/>
      </c>
      <c r="E7" s="29" t="inlineStr">
        <is>
          <t>Company page</t>
        </is>
      </c>
      <c r="F7" s="29" t="inlineStr">
        <is>
          <t>Find people</t>
        </is>
      </c>
      <c r="G7" s="20" t="n"/>
      <c r="H7" s="20" t="n"/>
      <c r="I7" s="20" t="n"/>
      <c r="J7" s="21" t="n"/>
      <c r="K7" s="20" t="n"/>
      <c r="L7" s="21" t="n"/>
      <c r="M7" s="20" t="n"/>
      <c r="N7" s="20" t="n"/>
    </row>
    <row r="8">
      <c r="A8" s="28">
        <f>Suppliers!A8</f>
        <v/>
      </c>
      <c r="B8" s="28">
        <f>Suppliers!B8</f>
        <v/>
      </c>
      <c r="C8" s="28">
        <f>Suppliers!E8</f>
        <v/>
      </c>
      <c r="D8" s="28">
        <f>Suppliers!D8</f>
        <v/>
      </c>
      <c r="E8" s="29" t="inlineStr">
        <is>
          <t>Company page</t>
        </is>
      </c>
      <c r="F8" s="29" t="inlineStr">
        <is>
          <t>Find people</t>
        </is>
      </c>
      <c r="G8" s="20" t="n"/>
      <c r="H8" s="20" t="n"/>
      <c r="I8" s="20" t="n"/>
      <c r="J8" s="21" t="n"/>
      <c r="K8" s="20" t="n"/>
      <c r="L8" s="21" t="n"/>
      <c r="M8" s="20" t="n"/>
      <c r="N8" s="20" t="n"/>
    </row>
    <row r="9">
      <c r="A9" s="28">
        <f>Suppliers!A9</f>
        <v/>
      </c>
      <c r="B9" s="28">
        <f>Suppliers!B9</f>
        <v/>
      </c>
      <c r="C9" s="28">
        <f>Suppliers!E9</f>
        <v/>
      </c>
      <c r="D9" s="28">
        <f>Suppliers!D9</f>
        <v/>
      </c>
      <c r="E9" s="29" t="inlineStr">
        <is>
          <t>Company page</t>
        </is>
      </c>
      <c r="F9" s="29" t="inlineStr">
        <is>
          <t>Find people</t>
        </is>
      </c>
      <c r="G9" s="20" t="n"/>
      <c r="H9" s="20" t="n"/>
      <c r="I9" s="20" t="n"/>
      <c r="J9" s="21" t="n"/>
      <c r="K9" s="20" t="n"/>
      <c r="L9" s="21" t="n"/>
      <c r="M9" s="20" t="n"/>
      <c r="N9" s="20" t="n"/>
    </row>
    <row r="10">
      <c r="A10" s="28">
        <f>Suppliers!A10</f>
        <v/>
      </c>
      <c r="B10" s="28">
        <f>Suppliers!B10</f>
        <v/>
      </c>
      <c r="C10" s="28">
        <f>Suppliers!E10</f>
        <v/>
      </c>
      <c r="D10" s="28">
        <f>Suppliers!D10</f>
        <v/>
      </c>
      <c r="E10" s="29" t="inlineStr">
        <is>
          <t>Company page</t>
        </is>
      </c>
      <c r="F10" s="29" t="inlineStr">
        <is>
          <t>Find people</t>
        </is>
      </c>
      <c r="G10" s="20" t="n"/>
      <c r="H10" s="20" t="n"/>
      <c r="I10" s="20" t="n"/>
      <c r="J10" s="21" t="n"/>
      <c r="K10" s="20" t="n"/>
      <c r="L10" s="21" t="n"/>
      <c r="M10" s="20" t="n"/>
      <c r="N10" s="20" t="n"/>
    </row>
    <row r="11">
      <c r="A11" s="28">
        <f>Suppliers!A11</f>
        <v/>
      </c>
      <c r="B11" s="28">
        <f>Suppliers!B11</f>
        <v/>
      </c>
      <c r="C11" s="28">
        <f>Suppliers!E11</f>
        <v/>
      </c>
      <c r="D11" s="28">
        <f>Suppliers!D11</f>
        <v/>
      </c>
      <c r="E11" s="29" t="inlineStr">
        <is>
          <t>Company page</t>
        </is>
      </c>
      <c r="F11" s="29" t="inlineStr">
        <is>
          <t>Find people</t>
        </is>
      </c>
      <c r="G11" s="20" t="n"/>
      <c r="H11" s="20" t="n"/>
      <c r="I11" s="20" t="n"/>
      <c r="J11" s="21" t="n"/>
      <c r="K11" s="20" t="n"/>
      <c r="L11" s="21" t="n"/>
      <c r="M11" s="20" t="n"/>
      <c r="N11" s="20" t="n"/>
    </row>
    <row r="12">
      <c r="A12" s="28">
        <f>Suppliers!A12</f>
        <v/>
      </c>
      <c r="B12" s="28">
        <f>Suppliers!B12</f>
        <v/>
      </c>
      <c r="C12" s="28">
        <f>Suppliers!E12</f>
        <v/>
      </c>
      <c r="D12" s="28">
        <f>Suppliers!D12</f>
        <v/>
      </c>
      <c r="E12" s="29" t="inlineStr">
        <is>
          <t>Company page</t>
        </is>
      </c>
      <c r="F12" s="29" t="inlineStr">
        <is>
          <t>Find people</t>
        </is>
      </c>
      <c r="G12" s="20" t="n"/>
      <c r="H12" s="20" t="n"/>
      <c r="I12" s="20" t="n"/>
      <c r="J12" s="21" t="n"/>
      <c r="K12" s="20" t="n"/>
      <c r="L12" s="21" t="n"/>
      <c r="M12" s="20" t="n"/>
      <c r="N12" s="20" t="n"/>
    </row>
    <row r="13">
      <c r="A13" s="28">
        <f>Suppliers!A13</f>
        <v/>
      </c>
      <c r="B13" s="28">
        <f>Suppliers!B13</f>
        <v/>
      </c>
      <c r="C13" s="28">
        <f>Suppliers!E13</f>
        <v/>
      </c>
      <c r="D13" s="28">
        <f>Suppliers!D13</f>
        <v/>
      </c>
      <c r="E13" s="29" t="inlineStr">
        <is>
          <t>Company page</t>
        </is>
      </c>
      <c r="F13" s="29" t="inlineStr">
        <is>
          <t>Find people</t>
        </is>
      </c>
      <c r="G13" s="20" t="n"/>
      <c r="H13" s="20" t="n"/>
      <c r="I13" s="20" t="n"/>
      <c r="J13" s="21" t="n"/>
      <c r="K13" s="20" t="n"/>
      <c r="L13" s="21" t="n"/>
      <c r="M13" s="20" t="n"/>
      <c r="N13" s="20" t="n"/>
    </row>
    <row r="14">
      <c r="A14" s="28">
        <f>Suppliers!A14</f>
        <v/>
      </c>
      <c r="B14" s="28">
        <f>Suppliers!B14</f>
        <v/>
      </c>
      <c r="C14" s="28">
        <f>Suppliers!E14</f>
        <v/>
      </c>
      <c r="D14" s="28">
        <f>Suppliers!D14</f>
        <v/>
      </c>
      <c r="E14" s="29" t="inlineStr">
        <is>
          <t>Company page</t>
        </is>
      </c>
      <c r="F14" s="29" t="inlineStr">
        <is>
          <t>Find people</t>
        </is>
      </c>
      <c r="G14" s="20" t="n"/>
      <c r="H14" s="20" t="n"/>
      <c r="I14" s="20" t="n"/>
      <c r="J14" s="21" t="n"/>
      <c r="K14" s="20" t="n"/>
      <c r="L14" s="21" t="n"/>
      <c r="M14" s="20" t="n"/>
      <c r="N14" s="20" t="n"/>
    </row>
    <row r="15">
      <c r="A15" s="28">
        <f>Suppliers!A15</f>
        <v/>
      </c>
      <c r="B15" s="28">
        <f>Suppliers!B15</f>
        <v/>
      </c>
      <c r="C15" s="28">
        <f>Suppliers!E15</f>
        <v/>
      </c>
      <c r="D15" s="28">
        <f>Suppliers!D15</f>
        <v/>
      </c>
      <c r="E15" s="29" t="inlineStr">
        <is>
          <t>Company page</t>
        </is>
      </c>
      <c r="F15" s="29" t="inlineStr">
        <is>
          <t>Find people</t>
        </is>
      </c>
      <c r="G15" s="20" t="n"/>
      <c r="H15" s="20" t="n"/>
      <c r="I15" s="20" t="n"/>
      <c r="J15" s="21" t="n"/>
      <c r="K15" s="20" t="n"/>
      <c r="L15" s="21" t="n"/>
      <c r="M15" s="20" t="n"/>
      <c r="N15" s="20" t="n"/>
    </row>
    <row r="16">
      <c r="A16" s="28">
        <f>Suppliers!A16</f>
        <v/>
      </c>
      <c r="B16" s="28">
        <f>Suppliers!B16</f>
        <v/>
      </c>
      <c r="C16" s="28">
        <f>Suppliers!E16</f>
        <v/>
      </c>
      <c r="D16" s="28">
        <f>Suppliers!D16</f>
        <v/>
      </c>
      <c r="E16" s="29" t="inlineStr">
        <is>
          <t>Company page</t>
        </is>
      </c>
      <c r="F16" s="29" t="inlineStr">
        <is>
          <t>Find people</t>
        </is>
      </c>
      <c r="G16" s="20" t="n"/>
      <c r="H16" s="20" t="n"/>
      <c r="I16" s="20" t="n"/>
      <c r="J16" s="21" t="n"/>
      <c r="K16" s="20" t="n"/>
      <c r="L16" s="21" t="n"/>
      <c r="M16" s="20" t="n"/>
      <c r="N16" s="20" t="n"/>
    </row>
    <row r="17">
      <c r="A17" s="28">
        <f>Suppliers!A17</f>
        <v/>
      </c>
      <c r="B17" s="28">
        <f>Suppliers!B17</f>
        <v/>
      </c>
      <c r="C17" s="28">
        <f>Suppliers!E17</f>
        <v/>
      </c>
      <c r="D17" s="28">
        <f>Suppliers!D17</f>
        <v/>
      </c>
      <c r="E17" s="29" t="inlineStr">
        <is>
          <t>Company page</t>
        </is>
      </c>
      <c r="F17" s="29" t="inlineStr">
        <is>
          <t>Find people</t>
        </is>
      </c>
      <c r="G17" s="20" t="n"/>
      <c r="H17" s="20" t="n"/>
      <c r="I17" s="20" t="n"/>
      <c r="J17" s="21" t="n"/>
      <c r="K17" s="20" t="n"/>
      <c r="L17" s="21" t="n"/>
      <c r="M17" s="20" t="n"/>
      <c r="N17" s="20" t="n"/>
    </row>
    <row r="18">
      <c r="A18" s="28">
        <f>Suppliers!A18</f>
        <v/>
      </c>
      <c r="B18" s="28">
        <f>Suppliers!B18</f>
        <v/>
      </c>
      <c r="C18" s="28">
        <f>Suppliers!E18</f>
        <v/>
      </c>
      <c r="D18" s="28">
        <f>Suppliers!D18</f>
        <v/>
      </c>
      <c r="E18" s="29" t="inlineStr">
        <is>
          <t>Company page</t>
        </is>
      </c>
      <c r="F18" s="29" t="inlineStr">
        <is>
          <t>Find people</t>
        </is>
      </c>
      <c r="G18" s="20" t="n"/>
      <c r="H18" s="20" t="n"/>
      <c r="I18" s="20" t="n"/>
      <c r="J18" s="21" t="n"/>
      <c r="K18" s="20" t="n"/>
      <c r="L18" s="21" t="n"/>
      <c r="M18" s="20" t="n"/>
      <c r="N18" s="20" t="n"/>
    </row>
    <row r="19">
      <c r="A19" s="28">
        <f>Suppliers!A19</f>
        <v/>
      </c>
      <c r="B19" s="28">
        <f>Suppliers!B19</f>
        <v/>
      </c>
      <c r="C19" s="28">
        <f>Suppliers!E19</f>
        <v/>
      </c>
      <c r="D19" s="28">
        <f>Suppliers!D19</f>
        <v/>
      </c>
      <c r="E19" s="29" t="inlineStr">
        <is>
          <t>Company page</t>
        </is>
      </c>
      <c r="F19" s="29" t="inlineStr">
        <is>
          <t>Find people</t>
        </is>
      </c>
      <c r="G19" s="20" t="n"/>
      <c r="H19" s="20" t="n"/>
      <c r="I19" s="20" t="n"/>
      <c r="J19" s="21" t="n"/>
      <c r="K19" s="20" t="n"/>
      <c r="L19" s="21" t="n"/>
      <c r="M19" s="20" t="n"/>
      <c r="N19" s="20" t="n"/>
    </row>
    <row r="20">
      <c r="A20" s="28">
        <f>Suppliers!A20</f>
        <v/>
      </c>
      <c r="B20" s="28">
        <f>Suppliers!B20</f>
        <v/>
      </c>
      <c r="C20" s="28">
        <f>Suppliers!E20</f>
        <v/>
      </c>
      <c r="D20" s="28">
        <f>Suppliers!D20</f>
        <v/>
      </c>
      <c r="E20" s="29" t="inlineStr">
        <is>
          <t>Company page</t>
        </is>
      </c>
      <c r="F20" s="29" t="inlineStr">
        <is>
          <t>Find people</t>
        </is>
      </c>
      <c r="G20" s="20" t="n"/>
      <c r="H20" s="20" t="n"/>
      <c r="I20" s="20" t="n"/>
      <c r="J20" s="21" t="n"/>
      <c r="K20" s="20" t="n"/>
      <c r="L20" s="21" t="n"/>
      <c r="M20" s="20" t="n"/>
      <c r="N20" s="20" t="n"/>
    </row>
    <row r="21">
      <c r="A21" s="28">
        <f>Suppliers!A21</f>
        <v/>
      </c>
      <c r="B21" s="28">
        <f>Suppliers!B21</f>
        <v/>
      </c>
      <c r="C21" s="28">
        <f>Suppliers!E21</f>
        <v/>
      </c>
      <c r="D21" s="28">
        <f>Suppliers!D21</f>
        <v/>
      </c>
      <c r="E21" s="29" t="inlineStr">
        <is>
          <t>Company page</t>
        </is>
      </c>
      <c r="F21" s="29" t="inlineStr">
        <is>
          <t>Find people</t>
        </is>
      </c>
      <c r="G21" s="20" t="n"/>
      <c r="H21" s="20" t="n"/>
      <c r="I21" s="20" t="n"/>
      <c r="J21" s="21" t="n"/>
      <c r="K21" s="20" t="n"/>
      <c r="L21" s="21" t="n"/>
      <c r="M21" s="20" t="n"/>
      <c r="N21" s="20" t="n"/>
    </row>
    <row r="22">
      <c r="A22" s="28">
        <f>Suppliers!A22</f>
        <v/>
      </c>
      <c r="B22" s="28">
        <f>Suppliers!B22</f>
        <v/>
      </c>
      <c r="C22" s="28">
        <f>Suppliers!E22</f>
        <v/>
      </c>
      <c r="D22" s="28">
        <f>Suppliers!D22</f>
        <v/>
      </c>
      <c r="E22" s="29" t="inlineStr">
        <is>
          <t>Company page</t>
        </is>
      </c>
      <c r="F22" s="29" t="inlineStr">
        <is>
          <t>Find people</t>
        </is>
      </c>
      <c r="G22" s="20" t="n"/>
      <c r="H22" s="20" t="n"/>
      <c r="I22" s="20" t="n"/>
      <c r="J22" s="21" t="n"/>
      <c r="K22" s="20" t="n"/>
      <c r="L22" s="21" t="n"/>
      <c r="M22" s="20" t="n"/>
      <c r="N22" s="20" t="n"/>
    </row>
    <row r="23">
      <c r="A23" s="28">
        <f>Suppliers!A23</f>
        <v/>
      </c>
      <c r="B23" s="28">
        <f>Suppliers!B23</f>
        <v/>
      </c>
      <c r="C23" s="28">
        <f>Suppliers!E23</f>
        <v/>
      </c>
      <c r="D23" s="28">
        <f>Suppliers!D23</f>
        <v/>
      </c>
      <c r="E23" s="29" t="inlineStr">
        <is>
          <t>Company page</t>
        </is>
      </c>
      <c r="F23" s="29" t="inlineStr">
        <is>
          <t>Find people</t>
        </is>
      </c>
      <c r="G23" s="20" t="n"/>
      <c r="H23" s="20" t="n"/>
      <c r="I23" s="20" t="n"/>
      <c r="J23" s="21" t="n"/>
      <c r="K23" s="20" t="n"/>
      <c r="L23" s="21" t="n"/>
      <c r="M23" s="20" t="n"/>
      <c r="N23" s="20" t="n"/>
    </row>
    <row r="24">
      <c r="A24" s="28">
        <f>Suppliers!A24</f>
        <v/>
      </c>
      <c r="B24" s="28">
        <f>Suppliers!B24</f>
        <v/>
      </c>
      <c r="C24" s="28">
        <f>Suppliers!E24</f>
        <v/>
      </c>
      <c r="D24" s="28">
        <f>Suppliers!D24</f>
        <v/>
      </c>
      <c r="E24" s="29" t="inlineStr">
        <is>
          <t>Company page</t>
        </is>
      </c>
      <c r="F24" s="29" t="inlineStr">
        <is>
          <t>Find people</t>
        </is>
      </c>
      <c r="G24" s="20" t="n"/>
      <c r="H24" s="20" t="n"/>
      <c r="I24" s="20" t="n"/>
      <c r="J24" s="21" t="n"/>
      <c r="K24" s="20" t="n"/>
      <c r="L24" s="21" t="n"/>
      <c r="M24" s="20" t="n"/>
      <c r="N24" s="20" t="n"/>
    </row>
    <row r="25">
      <c r="A25" s="28">
        <f>Suppliers!A25</f>
        <v/>
      </c>
      <c r="B25" s="28">
        <f>Suppliers!B25</f>
        <v/>
      </c>
      <c r="C25" s="28">
        <f>Suppliers!E25</f>
        <v/>
      </c>
      <c r="D25" s="28">
        <f>Suppliers!D25</f>
        <v/>
      </c>
      <c r="E25" s="29" t="inlineStr">
        <is>
          <t>Company page</t>
        </is>
      </c>
      <c r="F25" s="29" t="inlineStr">
        <is>
          <t>Find people</t>
        </is>
      </c>
      <c r="G25" s="20" t="n"/>
      <c r="H25" s="20" t="n"/>
      <c r="I25" s="20" t="n"/>
      <c r="J25" s="21" t="n"/>
      <c r="K25" s="20" t="n"/>
      <c r="L25" s="21" t="n"/>
      <c r="M25" s="20" t="n"/>
      <c r="N25" s="20" t="n"/>
    </row>
    <row r="26">
      <c r="A26" s="28">
        <f>Suppliers!A26</f>
        <v/>
      </c>
      <c r="B26" s="28">
        <f>Suppliers!B26</f>
        <v/>
      </c>
      <c r="C26" s="28">
        <f>Suppliers!E26</f>
        <v/>
      </c>
      <c r="D26" s="28">
        <f>Suppliers!D26</f>
        <v/>
      </c>
      <c r="E26" s="29" t="inlineStr">
        <is>
          <t>Company page</t>
        </is>
      </c>
      <c r="F26" s="29" t="inlineStr">
        <is>
          <t>Find people</t>
        </is>
      </c>
      <c r="G26" s="20" t="n"/>
      <c r="H26" s="20" t="n"/>
      <c r="I26" s="20" t="n"/>
      <c r="J26" s="21" t="n"/>
      <c r="K26" s="20" t="n"/>
      <c r="L26" s="21" t="n"/>
      <c r="M26" s="20" t="n"/>
      <c r="N26" s="20" t="n"/>
    </row>
    <row r="27">
      <c r="A27" s="28">
        <f>Suppliers!A27</f>
        <v/>
      </c>
      <c r="B27" s="28">
        <f>Suppliers!B27</f>
        <v/>
      </c>
      <c r="C27" s="28">
        <f>Suppliers!E27</f>
        <v/>
      </c>
      <c r="D27" s="28">
        <f>Suppliers!D27</f>
        <v/>
      </c>
      <c r="E27" s="29" t="inlineStr">
        <is>
          <t>Company page</t>
        </is>
      </c>
      <c r="F27" s="29" t="inlineStr">
        <is>
          <t>Find people</t>
        </is>
      </c>
      <c r="G27" s="20" t="n"/>
      <c r="H27" s="20" t="n"/>
      <c r="I27" s="20" t="n"/>
      <c r="J27" s="21" t="n"/>
      <c r="K27" s="20" t="n"/>
      <c r="L27" s="21" t="n"/>
      <c r="M27" s="20" t="n"/>
      <c r="N27" s="20" t="n"/>
    </row>
    <row r="28">
      <c r="A28" s="28">
        <f>Suppliers!A28</f>
        <v/>
      </c>
      <c r="B28" s="28">
        <f>Suppliers!B28</f>
        <v/>
      </c>
      <c r="C28" s="28">
        <f>Suppliers!E28</f>
        <v/>
      </c>
      <c r="D28" s="28">
        <f>Suppliers!D28</f>
        <v/>
      </c>
      <c r="E28" s="29" t="inlineStr">
        <is>
          <t>Company page</t>
        </is>
      </c>
      <c r="F28" s="29" t="inlineStr">
        <is>
          <t>Find people</t>
        </is>
      </c>
      <c r="G28" s="20" t="n"/>
      <c r="H28" s="20" t="n"/>
      <c r="I28" s="20" t="n"/>
      <c r="J28" s="21" t="n"/>
      <c r="K28" s="20" t="n"/>
      <c r="L28" s="21" t="n"/>
      <c r="M28" s="20" t="n"/>
      <c r="N28" s="20" t="n"/>
    </row>
    <row r="29">
      <c r="A29" s="28">
        <f>Suppliers!A29</f>
        <v/>
      </c>
      <c r="B29" s="28">
        <f>Suppliers!B29</f>
        <v/>
      </c>
      <c r="C29" s="28">
        <f>Suppliers!E29</f>
        <v/>
      </c>
      <c r="D29" s="28">
        <f>Suppliers!D29</f>
        <v/>
      </c>
      <c r="E29" s="29" t="inlineStr">
        <is>
          <t>Company page</t>
        </is>
      </c>
      <c r="F29" s="29" t="inlineStr">
        <is>
          <t>Find people</t>
        </is>
      </c>
      <c r="G29" s="20" t="n"/>
      <c r="H29" s="20" t="n"/>
      <c r="I29" s="20" t="n"/>
      <c r="J29" s="21" t="n"/>
      <c r="K29" s="20" t="n"/>
      <c r="L29" s="21" t="n"/>
      <c r="M29" s="20" t="n"/>
      <c r="N29" s="20" t="n"/>
    </row>
    <row r="30">
      <c r="A30" s="28">
        <f>Suppliers!A30</f>
        <v/>
      </c>
      <c r="B30" s="28">
        <f>Suppliers!B30</f>
        <v/>
      </c>
      <c r="C30" s="28">
        <f>Suppliers!E30</f>
        <v/>
      </c>
      <c r="D30" s="28">
        <f>Suppliers!D30</f>
        <v/>
      </c>
      <c r="E30" s="29" t="inlineStr">
        <is>
          <t>Company page</t>
        </is>
      </c>
      <c r="F30" s="29" t="inlineStr">
        <is>
          <t>Find people</t>
        </is>
      </c>
      <c r="G30" s="20" t="n"/>
      <c r="H30" s="20" t="n"/>
      <c r="I30" s="20" t="n"/>
      <c r="J30" s="21" t="n"/>
      <c r="K30" s="20" t="n"/>
      <c r="L30" s="21" t="n"/>
      <c r="M30" s="20" t="n"/>
      <c r="N30" s="20" t="n"/>
    </row>
    <row r="31">
      <c r="A31" s="28">
        <f>Suppliers!A31</f>
        <v/>
      </c>
      <c r="B31" s="28">
        <f>Suppliers!B31</f>
        <v/>
      </c>
      <c r="C31" s="28">
        <f>Suppliers!E31</f>
        <v/>
      </c>
      <c r="D31" s="28">
        <f>Suppliers!D31</f>
        <v/>
      </c>
      <c r="E31" s="29" t="inlineStr">
        <is>
          <t>Company page</t>
        </is>
      </c>
      <c r="F31" s="29" t="inlineStr">
        <is>
          <t>Find people</t>
        </is>
      </c>
      <c r="G31" s="20" t="n"/>
      <c r="H31" s="20" t="n"/>
      <c r="I31" s="20" t="n"/>
      <c r="J31" s="21" t="n"/>
      <c r="K31" s="20" t="n"/>
      <c r="L31" s="21" t="n"/>
      <c r="M31" s="20" t="n"/>
      <c r="N31" s="20" t="n"/>
    </row>
    <row r="32">
      <c r="A32" s="28">
        <f>Suppliers!A32</f>
        <v/>
      </c>
      <c r="B32" s="28">
        <f>Suppliers!B32</f>
        <v/>
      </c>
      <c r="C32" s="28">
        <f>Suppliers!E32</f>
        <v/>
      </c>
      <c r="D32" s="28">
        <f>Suppliers!D32</f>
        <v/>
      </c>
      <c r="E32" s="29" t="inlineStr">
        <is>
          <t>Company page</t>
        </is>
      </c>
      <c r="F32" s="29" t="inlineStr">
        <is>
          <t>Find people</t>
        </is>
      </c>
      <c r="G32" s="20" t="n"/>
      <c r="H32" s="20" t="n"/>
      <c r="I32" s="20" t="n"/>
      <c r="J32" s="21" t="n"/>
      <c r="K32" s="20" t="n"/>
      <c r="L32" s="21" t="n"/>
      <c r="M32" s="20" t="n"/>
      <c r="N32" s="20" t="n"/>
    </row>
    <row r="33">
      <c r="A33" s="28">
        <f>Suppliers!A33</f>
        <v/>
      </c>
      <c r="B33" s="28">
        <f>Suppliers!B33</f>
        <v/>
      </c>
      <c r="C33" s="28">
        <f>Suppliers!E33</f>
        <v/>
      </c>
      <c r="D33" s="28">
        <f>Suppliers!D33</f>
        <v/>
      </c>
      <c r="E33" s="29" t="inlineStr">
        <is>
          <t>Company page</t>
        </is>
      </c>
      <c r="F33" s="29" t="inlineStr">
        <is>
          <t>Find people</t>
        </is>
      </c>
      <c r="G33" s="20" t="n"/>
      <c r="H33" s="20" t="n"/>
      <c r="I33" s="20" t="n"/>
      <c r="J33" s="21" t="n"/>
      <c r="K33" s="20" t="n"/>
      <c r="L33" s="21" t="n"/>
      <c r="M33" s="20" t="n"/>
      <c r="N33" s="20" t="n"/>
    </row>
    <row r="34">
      <c r="A34" s="28">
        <f>Suppliers!A34</f>
        <v/>
      </c>
      <c r="B34" s="28">
        <f>Suppliers!B34</f>
        <v/>
      </c>
      <c r="C34" s="28">
        <f>Suppliers!E34</f>
        <v/>
      </c>
      <c r="D34" s="28">
        <f>Suppliers!D34</f>
        <v/>
      </c>
      <c r="E34" s="29" t="inlineStr">
        <is>
          <t>Company page</t>
        </is>
      </c>
      <c r="F34" s="29" t="inlineStr">
        <is>
          <t>Find people</t>
        </is>
      </c>
      <c r="G34" s="20" t="n"/>
      <c r="H34" s="20" t="n"/>
      <c r="I34" s="20" t="n"/>
      <c r="J34" s="21" t="n"/>
      <c r="K34" s="20" t="n"/>
      <c r="L34" s="21" t="n"/>
      <c r="M34" s="20" t="n"/>
      <c r="N34" s="20" t="n"/>
    </row>
    <row r="35">
      <c r="A35" s="28">
        <f>Suppliers!A35</f>
        <v/>
      </c>
      <c r="B35" s="28">
        <f>Suppliers!B35</f>
        <v/>
      </c>
      <c r="C35" s="28">
        <f>Suppliers!E35</f>
        <v/>
      </c>
      <c r="D35" s="28">
        <f>Suppliers!D35</f>
        <v/>
      </c>
      <c r="E35" s="29" t="inlineStr">
        <is>
          <t>Company page</t>
        </is>
      </c>
      <c r="F35" s="29" t="inlineStr">
        <is>
          <t>Find people</t>
        </is>
      </c>
      <c r="G35" s="20" t="n"/>
      <c r="H35" s="20" t="n"/>
      <c r="I35" s="20" t="n"/>
      <c r="J35" s="21" t="n"/>
      <c r="K35" s="20" t="n"/>
      <c r="L35" s="21" t="n"/>
      <c r="M35" s="20" t="n"/>
      <c r="N35" s="20" t="n"/>
    </row>
    <row r="36">
      <c r="A36" s="28">
        <f>Suppliers!A36</f>
        <v/>
      </c>
      <c r="B36" s="28">
        <f>Suppliers!B36</f>
        <v/>
      </c>
      <c r="C36" s="28">
        <f>Suppliers!E36</f>
        <v/>
      </c>
      <c r="D36" s="28">
        <f>Suppliers!D36</f>
        <v/>
      </c>
      <c r="E36" s="29" t="inlineStr">
        <is>
          <t>Company page</t>
        </is>
      </c>
      <c r="F36" s="29" t="inlineStr">
        <is>
          <t>Find people</t>
        </is>
      </c>
      <c r="G36" s="20" t="n"/>
      <c r="H36" s="20" t="n"/>
      <c r="I36" s="20" t="n"/>
      <c r="J36" s="21" t="n"/>
      <c r="K36" s="20" t="n"/>
      <c r="L36" s="21" t="n"/>
      <c r="M36" s="20" t="n"/>
      <c r="N36" s="20" t="n"/>
    </row>
    <row r="37">
      <c r="A37" s="28">
        <f>Suppliers!A37</f>
        <v/>
      </c>
      <c r="B37" s="28">
        <f>Suppliers!B37</f>
        <v/>
      </c>
      <c r="C37" s="28">
        <f>Suppliers!E37</f>
        <v/>
      </c>
      <c r="D37" s="28">
        <f>Suppliers!D37</f>
        <v/>
      </c>
      <c r="E37" s="29" t="inlineStr">
        <is>
          <t>Company page</t>
        </is>
      </c>
      <c r="F37" s="29" t="inlineStr">
        <is>
          <t>Find people</t>
        </is>
      </c>
      <c r="G37" s="20" t="n"/>
      <c r="H37" s="20" t="n"/>
      <c r="I37" s="20" t="n"/>
      <c r="J37" s="21" t="n"/>
      <c r="K37" s="20" t="n"/>
      <c r="L37" s="21" t="n"/>
      <c r="M37" s="20" t="n"/>
      <c r="N37" s="20" t="n"/>
    </row>
    <row r="38">
      <c r="A38" s="28">
        <f>Suppliers!A38</f>
        <v/>
      </c>
      <c r="B38" s="28">
        <f>Suppliers!B38</f>
        <v/>
      </c>
      <c r="C38" s="28">
        <f>Suppliers!E38</f>
        <v/>
      </c>
      <c r="D38" s="28">
        <f>Suppliers!D38</f>
        <v/>
      </c>
      <c r="E38" s="29" t="inlineStr">
        <is>
          <t>Company page</t>
        </is>
      </c>
      <c r="F38" s="29" t="inlineStr">
        <is>
          <t>Find people</t>
        </is>
      </c>
      <c r="G38" s="20" t="n"/>
      <c r="H38" s="20" t="n"/>
      <c r="I38" s="20" t="n"/>
      <c r="J38" s="21" t="n"/>
      <c r="K38" s="20" t="n"/>
      <c r="L38" s="21" t="n"/>
      <c r="M38" s="20" t="n"/>
      <c r="N38" s="20" t="n"/>
    </row>
    <row r="39">
      <c r="A39" s="28">
        <f>Suppliers!A39</f>
        <v/>
      </c>
      <c r="B39" s="28">
        <f>Suppliers!B39</f>
        <v/>
      </c>
      <c r="C39" s="28">
        <f>Suppliers!E39</f>
        <v/>
      </c>
      <c r="D39" s="28">
        <f>Suppliers!D39</f>
        <v/>
      </c>
      <c r="E39" s="29" t="inlineStr">
        <is>
          <t>Company page</t>
        </is>
      </c>
      <c r="F39" s="29" t="inlineStr">
        <is>
          <t>Find people</t>
        </is>
      </c>
      <c r="G39" s="20" t="n"/>
      <c r="H39" s="20" t="n"/>
      <c r="I39" s="20" t="n"/>
      <c r="J39" s="21" t="n"/>
      <c r="K39" s="20" t="n"/>
      <c r="L39" s="21" t="n"/>
      <c r="M39" s="20" t="n"/>
      <c r="N39" s="20" t="n"/>
    </row>
    <row r="40">
      <c r="A40" s="28">
        <f>Suppliers!A40</f>
        <v/>
      </c>
      <c r="B40" s="28">
        <f>Suppliers!B40</f>
        <v/>
      </c>
      <c r="C40" s="28">
        <f>Suppliers!E40</f>
        <v/>
      </c>
      <c r="D40" s="28">
        <f>Suppliers!D40</f>
        <v/>
      </c>
      <c r="E40" s="29" t="inlineStr">
        <is>
          <t>Company page</t>
        </is>
      </c>
      <c r="F40" s="29" t="inlineStr">
        <is>
          <t>Find people</t>
        </is>
      </c>
      <c r="G40" s="20" t="n"/>
      <c r="H40" s="20" t="n"/>
      <c r="I40" s="20" t="n"/>
      <c r="J40" s="21" t="n"/>
      <c r="K40" s="20" t="n"/>
      <c r="L40" s="21" t="n"/>
      <c r="M40" s="20" t="n"/>
      <c r="N40" s="20" t="n"/>
    </row>
    <row r="41">
      <c r="A41" s="28">
        <f>Suppliers!A41</f>
        <v/>
      </c>
      <c r="B41" s="28">
        <f>Suppliers!B41</f>
        <v/>
      </c>
      <c r="C41" s="28">
        <f>Suppliers!E41</f>
        <v/>
      </c>
      <c r="D41" s="28">
        <f>Suppliers!D41</f>
        <v/>
      </c>
      <c r="E41" s="29" t="inlineStr">
        <is>
          <t>Company page</t>
        </is>
      </c>
      <c r="F41" s="29" t="inlineStr">
        <is>
          <t>Find people</t>
        </is>
      </c>
      <c r="G41" s="20" t="n"/>
      <c r="H41" s="20" t="n"/>
      <c r="I41" s="20" t="n"/>
      <c r="J41" s="21" t="n"/>
      <c r="K41" s="20" t="n"/>
      <c r="L41" s="21" t="n"/>
      <c r="M41" s="20" t="n"/>
      <c r="N41" s="20" t="n"/>
    </row>
    <row r="42">
      <c r="A42" s="28">
        <f>Suppliers!A42</f>
        <v/>
      </c>
      <c r="B42" s="28">
        <f>Suppliers!B42</f>
        <v/>
      </c>
      <c r="C42" s="28">
        <f>Suppliers!E42</f>
        <v/>
      </c>
      <c r="D42" s="28">
        <f>Suppliers!D42</f>
        <v/>
      </c>
      <c r="E42" s="29" t="inlineStr">
        <is>
          <t>Company page</t>
        </is>
      </c>
      <c r="F42" s="29" t="inlineStr">
        <is>
          <t>Find people</t>
        </is>
      </c>
      <c r="G42" s="20" t="n"/>
      <c r="H42" s="20" t="n"/>
      <c r="I42" s="20" t="n"/>
      <c r="J42" s="21" t="n"/>
      <c r="K42" s="20" t="n"/>
      <c r="L42" s="21" t="n"/>
      <c r="M42" s="20" t="n"/>
      <c r="N42" s="20" t="n"/>
    </row>
    <row r="43">
      <c r="A43" s="28">
        <f>Suppliers!A43</f>
        <v/>
      </c>
      <c r="B43" s="28">
        <f>Suppliers!B43</f>
        <v/>
      </c>
      <c r="C43" s="28">
        <f>Suppliers!E43</f>
        <v/>
      </c>
      <c r="D43" s="28">
        <f>Suppliers!D43</f>
        <v/>
      </c>
      <c r="E43" s="29" t="inlineStr">
        <is>
          <t>Company page</t>
        </is>
      </c>
      <c r="F43" s="29" t="inlineStr">
        <is>
          <t>Find people</t>
        </is>
      </c>
      <c r="G43" s="20" t="n"/>
      <c r="H43" s="20" t="n"/>
      <c r="I43" s="20" t="n"/>
      <c r="J43" s="21" t="n"/>
      <c r="K43" s="20" t="n"/>
      <c r="L43" s="21" t="n"/>
      <c r="M43" s="20" t="n"/>
      <c r="N43" s="20" t="n"/>
    </row>
    <row r="44">
      <c r="A44" s="28">
        <f>Suppliers!A44</f>
        <v/>
      </c>
      <c r="B44" s="28">
        <f>Suppliers!B44</f>
        <v/>
      </c>
      <c r="C44" s="28">
        <f>Suppliers!E44</f>
        <v/>
      </c>
      <c r="D44" s="28">
        <f>Suppliers!D44</f>
        <v/>
      </c>
      <c r="E44" s="29" t="inlineStr">
        <is>
          <t>Company page</t>
        </is>
      </c>
      <c r="F44" s="29" t="inlineStr">
        <is>
          <t>Find people</t>
        </is>
      </c>
      <c r="G44" s="20" t="n"/>
      <c r="H44" s="20" t="n"/>
      <c r="I44" s="20" t="n"/>
      <c r="J44" s="21" t="n"/>
      <c r="K44" s="20" t="n"/>
      <c r="L44" s="21" t="n"/>
      <c r="M44" s="20" t="n"/>
      <c r="N44" s="20" t="n"/>
    </row>
    <row r="45">
      <c r="A45" s="28">
        <f>Suppliers!A45</f>
        <v/>
      </c>
      <c r="B45" s="28">
        <f>Suppliers!B45</f>
        <v/>
      </c>
      <c r="C45" s="28">
        <f>Suppliers!E45</f>
        <v/>
      </c>
      <c r="D45" s="28">
        <f>Suppliers!D45</f>
        <v/>
      </c>
      <c r="E45" s="29" t="inlineStr">
        <is>
          <t>Company page</t>
        </is>
      </c>
      <c r="F45" s="29" t="inlineStr">
        <is>
          <t>Find people</t>
        </is>
      </c>
      <c r="G45" s="20" t="n"/>
      <c r="H45" s="20" t="n"/>
      <c r="I45" s="20" t="n"/>
      <c r="J45" s="21" t="n"/>
      <c r="K45" s="20" t="n"/>
      <c r="L45" s="21" t="n"/>
      <c r="M45" s="20" t="n"/>
      <c r="N45" s="20" t="n"/>
    </row>
    <row r="46">
      <c r="A46" s="28">
        <f>Suppliers!A46</f>
        <v/>
      </c>
      <c r="B46" s="28">
        <f>Suppliers!B46</f>
        <v/>
      </c>
      <c r="C46" s="28">
        <f>Suppliers!E46</f>
        <v/>
      </c>
      <c r="D46" s="28">
        <f>Suppliers!D46</f>
        <v/>
      </c>
      <c r="E46" s="29" t="inlineStr">
        <is>
          <t>Company page</t>
        </is>
      </c>
      <c r="F46" s="29" t="inlineStr">
        <is>
          <t>Find people</t>
        </is>
      </c>
      <c r="G46" s="20" t="n"/>
      <c r="H46" s="20" t="n"/>
      <c r="I46" s="20" t="n"/>
      <c r="J46" s="21" t="n"/>
      <c r="K46" s="20" t="n"/>
      <c r="L46" s="21" t="n"/>
      <c r="M46" s="20" t="n"/>
      <c r="N46" s="20" t="n"/>
    </row>
    <row r="47">
      <c r="A47" s="28">
        <f>Suppliers!A47</f>
        <v/>
      </c>
      <c r="B47" s="28">
        <f>Suppliers!B47</f>
        <v/>
      </c>
      <c r="C47" s="28">
        <f>Suppliers!E47</f>
        <v/>
      </c>
      <c r="D47" s="28">
        <f>Suppliers!D47</f>
        <v/>
      </c>
      <c r="E47" s="29" t="inlineStr">
        <is>
          <t>Company page</t>
        </is>
      </c>
      <c r="F47" s="29" t="inlineStr">
        <is>
          <t>Find people</t>
        </is>
      </c>
      <c r="G47" s="20" t="n"/>
      <c r="H47" s="20" t="n"/>
      <c r="I47" s="20" t="n"/>
      <c r="J47" s="21" t="n"/>
      <c r="K47" s="20" t="n"/>
      <c r="L47" s="21" t="n"/>
      <c r="M47" s="20" t="n"/>
      <c r="N47" s="20" t="n"/>
    </row>
    <row r="48">
      <c r="A48" s="28">
        <f>Suppliers!A48</f>
        <v/>
      </c>
      <c r="B48" s="28">
        <f>Suppliers!B48</f>
        <v/>
      </c>
      <c r="C48" s="28">
        <f>Suppliers!E48</f>
        <v/>
      </c>
      <c r="D48" s="28">
        <f>Suppliers!D48</f>
        <v/>
      </c>
      <c r="E48" s="29" t="inlineStr">
        <is>
          <t>Company page</t>
        </is>
      </c>
      <c r="F48" s="29" t="inlineStr">
        <is>
          <t>Find people</t>
        </is>
      </c>
      <c r="G48" s="20" t="n"/>
      <c r="H48" s="20" t="n"/>
      <c r="I48" s="20" t="n"/>
      <c r="J48" s="21" t="n"/>
      <c r="K48" s="20" t="n"/>
      <c r="L48" s="21" t="n"/>
      <c r="M48" s="20" t="n"/>
      <c r="N48" s="20" t="n"/>
    </row>
    <row r="49">
      <c r="A49" s="28">
        <f>Suppliers!A49</f>
        <v/>
      </c>
      <c r="B49" s="28">
        <f>Suppliers!B49</f>
        <v/>
      </c>
      <c r="C49" s="28">
        <f>Suppliers!E49</f>
        <v/>
      </c>
      <c r="D49" s="28">
        <f>Suppliers!D49</f>
        <v/>
      </c>
      <c r="E49" s="29" t="inlineStr">
        <is>
          <t>Company page</t>
        </is>
      </c>
      <c r="F49" s="29" t="inlineStr">
        <is>
          <t>Find people</t>
        </is>
      </c>
      <c r="G49" s="20" t="n"/>
      <c r="H49" s="20" t="n"/>
      <c r="I49" s="20" t="n"/>
      <c r="J49" s="21" t="n"/>
      <c r="K49" s="20" t="n"/>
      <c r="L49" s="21" t="n"/>
      <c r="M49" s="20" t="n"/>
      <c r="N49" s="20" t="n"/>
    </row>
    <row r="50">
      <c r="A50" s="28">
        <f>Suppliers!A50</f>
        <v/>
      </c>
      <c r="B50" s="28">
        <f>Suppliers!B50</f>
        <v/>
      </c>
      <c r="C50" s="28">
        <f>Suppliers!E50</f>
        <v/>
      </c>
      <c r="D50" s="28">
        <f>Suppliers!D50</f>
        <v/>
      </c>
      <c r="E50" s="29" t="inlineStr">
        <is>
          <t>Company page</t>
        </is>
      </c>
      <c r="F50" s="29" t="inlineStr">
        <is>
          <t>Find people</t>
        </is>
      </c>
      <c r="G50" s="20" t="n"/>
      <c r="H50" s="20" t="n"/>
      <c r="I50" s="20" t="n"/>
      <c r="J50" s="21" t="n"/>
      <c r="K50" s="20" t="n"/>
      <c r="L50" s="21" t="n"/>
      <c r="M50" s="20" t="n"/>
      <c r="N50" s="20" t="n"/>
    </row>
    <row r="51">
      <c r="A51" s="28">
        <f>Suppliers!A51</f>
        <v/>
      </c>
      <c r="B51" s="28">
        <f>Suppliers!B51</f>
        <v/>
      </c>
      <c r="C51" s="28">
        <f>Suppliers!E51</f>
        <v/>
      </c>
      <c r="D51" s="28">
        <f>Suppliers!D51</f>
        <v/>
      </c>
      <c r="E51" s="29" t="inlineStr">
        <is>
          <t>Company page</t>
        </is>
      </c>
      <c r="F51" s="29" t="inlineStr">
        <is>
          <t>Find people</t>
        </is>
      </c>
      <c r="G51" s="20" t="n"/>
      <c r="H51" s="20" t="n"/>
      <c r="I51" s="20" t="n"/>
      <c r="J51" s="21" t="n"/>
      <c r="K51" s="20" t="n"/>
      <c r="L51" s="21" t="n"/>
      <c r="M51" s="20" t="n"/>
      <c r="N51" s="20" t="n"/>
    </row>
    <row r="52">
      <c r="A52" s="28">
        <f>Suppliers!A52</f>
        <v/>
      </c>
      <c r="B52" s="28">
        <f>Suppliers!B52</f>
        <v/>
      </c>
      <c r="C52" s="28">
        <f>Suppliers!E52</f>
        <v/>
      </c>
      <c r="D52" s="28">
        <f>Suppliers!D52</f>
        <v/>
      </c>
      <c r="E52" s="29" t="inlineStr">
        <is>
          <t>Company page</t>
        </is>
      </c>
      <c r="F52" s="29" t="inlineStr">
        <is>
          <t>Find people</t>
        </is>
      </c>
      <c r="G52" s="20" t="n"/>
      <c r="H52" s="20" t="n"/>
      <c r="I52" s="20" t="n"/>
      <c r="J52" s="21" t="n"/>
      <c r="K52" s="20" t="n"/>
      <c r="L52" s="21" t="n"/>
      <c r="M52" s="20" t="n"/>
      <c r="N52" s="20" t="n"/>
    </row>
    <row r="53">
      <c r="A53" s="28">
        <f>Suppliers!A53</f>
        <v/>
      </c>
      <c r="B53" s="28">
        <f>Suppliers!B53</f>
        <v/>
      </c>
      <c r="C53" s="28">
        <f>Suppliers!E53</f>
        <v/>
      </c>
      <c r="D53" s="28">
        <f>Suppliers!D53</f>
        <v/>
      </c>
      <c r="E53" s="29" t="inlineStr">
        <is>
          <t>Company page</t>
        </is>
      </c>
      <c r="F53" s="29" t="inlineStr">
        <is>
          <t>Find people</t>
        </is>
      </c>
      <c r="G53" s="20" t="n"/>
      <c r="H53" s="20" t="n"/>
      <c r="I53" s="20" t="n"/>
      <c r="J53" s="21" t="n"/>
      <c r="K53" s="20" t="n"/>
      <c r="L53" s="21" t="n"/>
      <c r="M53" s="20" t="n"/>
      <c r="N53" s="20" t="n"/>
    </row>
    <row r="54">
      <c r="A54" s="28">
        <f>Suppliers!A54</f>
        <v/>
      </c>
      <c r="B54" s="28">
        <f>Suppliers!B54</f>
        <v/>
      </c>
      <c r="C54" s="28">
        <f>Suppliers!E54</f>
        <v/>
      </c>
      <c r="D54" s="28">
        <f>Suppliers!D54</f>
        <v/>
      </c>
      <c r="E54" s="29" t="inlineStr">
        <is>
          <t>Company page</t>
        </is>
      </c>
      <c r="F54" s="29" t="inlineStr">
        <is>
          <t>Find people</t>
        </is>
      </c>
      <c r="G54" s="20" t="n"/>
      <c r="H54" s="20" t="n"/>
      <c r="I54" s="20" t="n"/>
      <c r="J54" s="21" t="n"/>
      <c r="K54" s="20" t="n"/>
      <c r="L54" s="21" t="n"/>
      <c r="M54" s="20" t="n"/>
      <c r="N54" s="20" t="n"/>
    </row>
    <row r="55">
      <c r="A55" s="28">
        <f>Suppliers!A55</f>
        <v/>
      </c>
      <c r="B55" s="28">
        <f>Suppliers!B55</f>
        <v/>
      </c>
      <c r="C55" s="28">
        <f>Suppliers!E55</f>
        <v/>
      </c>
      <c r="D55" s="28">
        <f>Suppliers!D55</f>
        <v/>
      </c>
      <c r="E55" s="29" t="inlineStr">
        <is>
          <t>Company page</t>
        </is>
      </c>
      <c r="F55" s="29" t="inlineStr">
        <is>
          <t>Find people</t>
        </is>
      </c>
      <c r="G55" s="20" t="n"/>
      <c r="H55" s="20" t="n"/>
      <c r="I55" s="20" t="n"/>
      <c r="J55" s="21" t="n"/>
      <c r="K55" s="20" t="n"/>
      <c r="L55" s="21" t="n"/>
      <c r="M55" s="20" t="n"/>
      <c r="N55" s="20" t="n"/>
    </row>
    <row r="56">
      <c r="A56" s="28">
        <f>Suppliers!A56</f>
        <v/>
      </c>
      <c r="B56" s="28">
        <f>Suppliers!B56</f>
        <v/>
      </c>
      <c r="C56" s="28">
        <f>Suppliers!E56</f>
        <v/>
      </c>
      <c r="D56" s="28">
        <f>Suppliers!D56</f>
        <v/>
      </c>
      <c r="E56" s="29" t="inlineStr">
        <is>
          <t>Company page</t>
        </is>
      </c>
      <c r="F56" s="29" t="inlineStr">
        <is>
          <t>Find people</t>
        </is>
      </c>
      <c r="G56" s="20" t="n"/>
      <c r="H56" s="20" t="n"/>
      <c r="I56" s="20" t="n"/>
      <c r="J56" s="21" t="n"/>
      <c r="K56" s="20" t="n"/>
      <c r="L56" s="21" t="n"/>
      <c r="M56" s="20" t="n"/>
      <c r="N56" s="20" t="n"/>
    </row>
    <row r="57">
      <c r="A57" s="28">
        <f>Suppliers!A57</f>
        <v/>
      </c>
      <c r="B57" s="28">
        <f>Suppliers!B57</f>
        <v/>
      </c>
      <c r="C57" s="28">
        <f>Suppliers!E57</f>
        <v/>
      </c>
      <c r="D57" s="28">
        <f>Suppliers!D57</f>
        <v/>
      </c>
      <c r="E57" s="29" t="inlineStr">
        <is>
          <t>Company page</t>
        </is>
      </c>
      <c r="F57" s="29" t="inlineStr">
        <is>
          <t>Find people</t>
        </is>
      </c>
      <c r="G57" s="20" t="n"/>
      <c r="H57" s="20" t="n"/>
      <c r="I57" s="20" t="n"/>
      <c r="J57" s="21" t="n"/>
      <c r="K57" s="20" t="n"/>
      <c r="L57" s="21" t="n"/>
      <c r="M57" s="20" t="n"/>
      <c r="N57" s="20" t="n"/>
    </row>
    <row r="58">
      <c r="A58" s="28">
        <f>Suppliers!A58</f>
        <v/>
      </c>
      <c r="B58" s="28">
        <f>Suppliers!B58</f>
        <v/>
      </c>
      <c r="C58" s="28">
        <f>Suppliers!E58</f>
        <v/>
      </c>
      <c r="D58" s="28">
        <f>Suppliers!D58</f>
        <v/>
      </c>
      <c r="E58" s="29" t="inlineStr">
        <is>
          <t>Company page</t>
        </is>
      </c>
      <c r="F58" s="29" t="inlineStr">
        <is>
          <t>Find people</t>
        </is>
      </c>
      <c r="G58" s="20" t="n"/>
      <c r="H58" s="20" t="n"/>
      <c r="I58" s="20" t="n"/>
      <c r="J58" s="21" t="n"/>
      <c r="K58" s="20" t="n"/>
      <c r="L58" s="21" t="n"/>
      <c r="M58" s="20" t="n"/>
      <c r="N58" s="20" t="n"/>
    </row>
    <row r="59">
      <c r="A59" s="28">
        <f>Suppliers!A59</f>
        <v/>
      </c>
      <c r="B59" s="28">
        <f>Suppliers!B59</f>
        <v/>
      </c>
      <c r="C59" s="28">
        <f>Suppliers!E59</f>
        <v/>
      </c>
      <c r="D59" s="28">
        <f>Suppliers!D59</f>
        <v/>
      </c>
      <c r="E59" s="29" t="inlineStr">
        <is>
          <t>Company page</t>
        </is>
      </c>
      <c r="F59" s="29" t="inlineStr">
        <is>
          <t>Find people</t>
        </is>
      </c>
      <c r="G59" s="20" t="n"/>
      <c r="H59" s="20" t="n"/>
      <c r="I59" s="20" t="n"/>
      <c r="J59" s="21" t="n"/>
      <c r="K59" s="20" t="n"/>
      <c r="L59" s="21" t="n"/>
      <c r="M59" s="20" t="n"/>
      <c r="N59" s="20" t="n"/>
    </row>
    <row r="60">
      <c r="A60" s="28">
        <f>Suppliers!A60</f>
        <v/>
      </c>
      <c r="B60" s="28">
        <f>Suppliers!B60</f>
        <v/>
      </c>
      <c r="C60" s="28">
        <f>Suppliers!E60</f>
        <v/>
      </c>
      <c r="D60" s="28">
        <f>Suppliers!D60</f>
        <v/>
      </c>
      <c r="E60" s="29" t="inlineStr">
        <is>
          <t>Company page</t>
        </is>
      </c>
      <c r="F60" s="29" t="inlineStr">
        <is>
          <t>Find people</t>
        </is>
      </c>
      <c r="G60" s="20" t="n"/>
      <c r="H60" s="20" t="n"/>
      <c r="I60" s="20" t="n"/>
      <c r="J60" s="21" t="n"/>
      <c r="K60" s="20" t="n"/>
      <c r="L60" s="21" t="n"/>
      <c r="M60" s="20" t="n"/>
      <c r="N60" s="20" t="n"/>
    </row>
    <row r="61">
      <c r="A61" s="28">
        <f>Suppliers!A61</f>
        <v/>
      </c>
      <c r="B61" s="28">
        <f>Suppliers!B61</f>
        <v/>
      </c>
      <c r="C61" s="28">
        <f>Suppliers!E61</f>
        <v/>
      </c>
      <c r="D61" s="28">
        <f>Suppliers!D61</f>
        <v/>
      </c>
      <c r="E61" s="29" t="inlineStr">
        <is>
          <t>Company page</t>
        </is>
      </c>
      <c r="F61" s="29" t="inlineStr">
        <is>
          <t>Find people</t>
        </is>
      </c>
      <c r="G61" s="20" t="n"/>
      <c r="H61" s="20" t="n"/>
      <c r="I61" s="20" t="n"/>
      <c r="J61" s="21" t="n"/>
      <c r="K61" s="20" t="n"/>
      <c r="L61" s="21" t="n"/>
      <c r="M61" s="20" t="n"/>
      <c r="N61" s="20" t="n"/>
    </row>
    <row r="62">
      <c r="A62" s="28">
        <f>Suppliers!A62</f>
        <v/>
      </c>
      <c r="B62" s="28">
        <f>Suppliers!B62</f>
        <v/>
      </c>
      <c r="C62" s="28">
        <f>Suppliers!E62</f>
        <v/>
      </c>
      <c r="D62" s="28">
        <f>Suppliers!D62</f>
        <v/>
      </c>
      <c r="E62" s="29" t="inlineStr">
        <is>
          <t>Company page</t>
        </is>
      </c>
      <c r="F62" s="29" t="inlineStr">
        <is>
          <t>Find people</t>
        </is>
      </c>
      <c r="G62" s="20" t="n"/>
      <c r="H62" s="20" t="n"/>
      <c r="I62" s="20" t="n"/>
      <c r="J62" s="21" t="n"/>
      <c r="K62" s="20" t="n"/>
      <c r="L62" s="21" t="n"/>
      <c r="M62" s="20" t="n"/>
      <c r="N62" s="20" t="n"/>
    </row>
    <row r="63">
      <c r="A63" s="28">
        <f>Suppliers!A63</f>
        <v/>
      </c>
      <c r="B63" s="28">
        <f>Suppliers!B63</f>
        <v/>
      </c>
      <c r="C63" s="28">
        <f>Suppliers!E63</f>
        <v/>
      </c>
      <c r="D63" s="28">
        <f>Suppliers!D63</f>
        <v/>
      </c>
      <c r="E63" s="29" t="inlineStr">
        <is>
          <t>Company page</t>
        </is>
      </c>
      <c r="F63" s="29" t="inlineStr">
        <is>
          <t>Find people</t>
        </is>
      </c>
      <c r="G63" s="20" t="n"/>
      <c r="H63" s="20" t="n"/>
      <c r="I63" s="20" t="n"/>
      <c r="J63" s="21" t="n"/>
      <c r="K63" s="20" t="n"/>
      <c r="L63" s="21" t="n"/>
      <c r="M63" s="20" t="n"/>
      <c r="N63" s="20" t="n"/>
    </row>
    <row r="64">
      <c r="A64" s="28">
        <f>Suppliers!A64</f>
        <v/>
      </c>
      <c r="B64" s="28">
        <f>Suppliers!B64</f>
        <v/>
      </c>
      <c r="C64" s="28">
        <f>Suppliers!E64</f>
        <v/>
      </c>
      <c r="D64" s="28">
        <f>Suppliers!D64</f>
        <v/>
      </c>
      <c r="E64" s="29" t="inlineStr">
        <is>
          <t>Company page</t>
        </is>
      </c>
      <c r="F64" s="29" t="inlineStr">
        <is>
          <t>Find people</t>
        </is>
      </c>
      <c r="G64" s="20" t="n"/>
      <c r="H64" s="20" t="n"/>
      <c r="I64" s="20" t="n"/>
      <c r="J64" s="21" t="n"/>
      <c r="K64" s="20" t="n"/>
      <c r="L64" s="21" t="n"/>
      <c r="M64" s="20" t="n"/>
      <c r="N64" s="20" t="n"/>
    </row>
    <row r="65">
      <c r="A65" s="28">
        <f>Suppliers!A65</f>
        <v/>
      </c>
      <c r="B65" s="28">
        <f>Suppliers!B65</f>
        <v/>
      </c>
      <c r="C65" s="28">
        <f>Suppliers!E65</f>
        <v/>
      </c>
      <c r="D65" s="28">
        <f>Suppliers!D65</f>
        <v/>
      </c>
      <c r="E65" s="29" t="inlineStr">
        <is>
          <t>Company page</t>
        </is>
      </c>
      <c r="F65" s="29" t="inlineStr">
        <is>
          <t>Find people</t>
        </is>
      </c>
      <c r="G65" s="20" t="n"/>
      <c r="H65" s="20" t="n"/>
      <c r="I65" s="20" t="n"/>
      <c r="J65" s="21" t="n"/>
      <c r="K65" s="20" t="n"/>
      <c r="L65" s="21" t="n"/>
      <c r="M65" s="20" t="n"/>
      <c r="N65" s="20" t="n"/>
    </row>
    <row r="66">
      <c r="A66" s="28">
        <f>Suppliers!A66</f>
        <v/>
      </c>
      <c r="B66" s="28">
        <f>Suppliers!B66</f>
        <v/>
      </c>
      <c r="C66" s="28">
        <f>Suppliers!E66</f>
        <v/>
      </c>
      <c r="D66" s="28">
        <f>Suppliers!D66</f>
        <v/>
      </c>
      <c r="E66" s="29" t="inlineStr">
        <is>
          <t>Company page</t>
        </is>
      </c>
      <c r="F66" s="29" t="inlineStr">
        <is>
          <t>Find people</t>
        </is>
      </c>
      <c r="G66" s="20" t="n"/>
      <c r="H66" s="20" t="n"/>
      <c r="I66" s="20" t="n"/>
      <c r="J66" s="21" t="n"/>
      <c r="K66" s="20" t="n"/>
      <c r="L66" s="21" t="n"/>
      <c r="M66" s="20" t="n"/>
      <c r="N66" s="20" t="n"/>
    </row>
    <row r="67">
      <c r="A67" s="28">
        <f>Suppliers!A67</f>
        <v/>
      </c>
      <c r="B67" s="28">
        <f>Suppliers!B67</f>
        <v/>
      </c>
      <c r="C67" s="28">
        <f>Suppliers!E67</f>
        <v/>
      </c>
      <c r="D67" s="28">
        <f>Suppliers!D67</f>
        <v/>
      </c>
      <c r="E67" s="29" t="inlineStr">
        <is>
          <t>Company page</t>
        </is>
      </c>
      <c r="F67" s="29" t="inlineStr">
        <is>
          <t>Find people</t>
        </is>
      </c>
      <c r="G67" s="20" t="n"/>
      <c r="H67" s="20" t="n"/>
      <c r="I67" s="20" t="n"/>
      <c r="J67" s="21" t="n"/>
      <c r="K67" s="20" t="n"/>
      <c r="L67" s="21" t="n"/>
      <c r="M67" s="20" t="n"/>
      <c r="N67" s="20" t="n"/>
    </row>
    <row r="68">
      <c r="A68" s="28">
        <f>Suppliers!A68</f>
        <v/>
      </c>
      <c r="B68" s="28">
        <f>Suppliers!B68</f>
        <v/>
      </c>
      <c r="C68" s="28">
        <f>Suppliers!E68</f>
        <v/>
      </c>
      <c r="D68" s="28">
        <f>Suppliers!D68</f>
        <v/>
      </c>
      <c r="E68" s="29" t="inlineStr">
        <is>
          <t>Company page</t>
        </is>
      </c>
      <c r="F68" s="29" t="inlineStr">
        <is>
          <t>Find people</t>
        </is>
      </c>
      <c r="G68" s="20" t="n"/>
      <c r="H68" s="20" t="n"/>
      <c r="I68" s="20" t="n"/>
      <c r="J68" s="21" t="n"/>
      <c r="K68" s="20" t="n"/>
      <c r="L68" s="21" t="n"/>
      <c r="M68" s="20" t="n"/>
      <c r="N68" s="20" t="n"/>
    </row>
    <row r="69">
      <c r="A69" s="28">
        <f>Suppliers!A69</f>
        <v/>
      </c>
      <c r="B69" s="28">
        <f>Suppliers!B69</f>
        <v/>
      </c>
      <c r="C69" s="28">
        <f>Suppliers!E69</f>
        <v/>
      </c>
      <c r="D69" s="28">
        <f>Suppliers!D69</f>
        <v/>
      </c>
      <c r="E69" s="29" t="inlineStr">
        <is>
          <t>Company page</t>
        </is>
      </c>
      <c r="F69" s="29" t="inlineStr">
        <is>
          <t>Find people</t>
        </is>
      </c>
      <c r="G69" s="20" t="n"/>
      <c r="H69" s="20" t="n"/>
      <c r="I69" s="20" t="n"/>
      <c r="J69" s="21" t="n"/>
      <c r="K69" s="20" t="n"/>
      <c r="L69" s="21" t="n"/>
      <c r="M69" s="20" t="n"/>
      <c r="N69" s="20" t="n"/>
    </row>
    <row r="70">
      <c r="A70" s="28">
        <f>Suppliers!A70</f>
        <v/>
      </c>
      <c r="B70" s="28">
        <f>Suppliers!B70</f>
        <v/>
      </c>
      <c r="C70" s="28">
        <f>Suppliers!E70</f>
        <v/>
      </c>
      <c r="D70" s="28">
        <f>Suppliers!D70</f>
        <v/>
      </c>
      <c r="E70" s="29" t="inlineStr">
        <is>
          <t>Company page</t>
        </is>
      </c>
      <c r="F70" s="29" t="inlineStr">
        <is>
          <t>Find people</t>
        </is>
      </c>
      <c r="G70" s="20" t="n"/>
      <c r="H70" s="20" t="n"/>
      <c r="I70" s="20" t="n"/>
      <c r="J70" s="21" t="n"/>
      <c r="K70" s="20" t="n"/>
      <c r="L70" s="21" t="n"/>
      <c r="M70" s="20" t="n"/>
      <c r="N70" s="20" t="n"/>
    </row>
    <row r="71">
      <c r="A71" s="28">
        <f>Suppliers!A71</f>
        <v/>
      </c>
      <c r="B71" s="28">
        <f>Suppliers!B71</f>
        <v/>
      </c>
      <c r="C71" s="28">
        <f>Suppliers!E71</f>
        <v/>
      </c>
      <c r="D71" s="28">
        <f>Suppliers!D71</f>
        <v/>
      </c>
      <c r="E71" s="29" t="inlineStr">
        <is>
          <t>Company page</t>
        </is>
      </c>
      <c r="F71" s="29" t="inlineStr">
        <is>
          <t>Find people</t>
        </is>
      </c>
      <c r="G71" s="20" t="n"/>
      <c r="H71" s="20" t="n"/>
      <c r="I71" s="20" t="n"/>
      <c r="J71" s="21" t="n"/>
      <c r="K71" s="20" t="n"/>
      <c r="L71" s="21" t="n"/>
      <c r="M71" s="20" t="n"/>
      <c r="N71" s="20" t="n"/>
    </row>
    <row r="72">
      <c r="A72" s="28">
        <f>Suppliers!A72</f>
        <v/>
      </c>
      <c r="B72" s="28">
        <f>Suppliers!B72</f>
        <v/>
      </c>
      <c r="C72" s="28">
        <f>Suppliers!E72</f>
        <v/>
      </c>
      <c r="D72" s="28">
        <f>Suppliers!D72</f>
        <v/>
      </c>
      <c r="E72" s="29" t="inlineStr">
        <is>
          <t>Company page</t>
        </is>
      </c>
      <c r="F72" s="29" t="inlineStr">
        <is>
          <t>Find people</t>
        </is>
      </c>
      <c r="G72" s="20" t="n"/>
      <c r="H72" s="20" t="n"/>
      <c r="I72" s="20" t="n"/>
      <c r="J72" s="21" t="n"/>
      <c r="K72" s="20" t="n"/>
      <c r="L72" s="21" t="n"/>
      <c r="M72" s="20" t="n"/>
      <c r="N72" s="20" t="n"/>
    </row>
    <row r="73">
      <c r="A73" s="28">
        <f>Suppliers!A73</f>
        <v/>
      </c>
      <c r="B73" s="28">
        <f>Suppliers!B73</f>
        <v/>
      </c>
      <c r="C73" s="28">
        <f>Suppliers!E73</f>
        <v/>
      </c>
      <c r="D73" s="28">
        <f>Suppliers!D73</f>
        <v/>
      </c>
      <c r="E73" s="29" t="inlineStr">
        <is>
          <t>Company page</t>
        </is>
      </c>
      <c r="F73" s="29" t="inlineStr">
        <is>
          <t>Find people</t>
        </is>
      </c>
      <c r="G73" s="20" t="n"/>
      <c r="H73" s="20" t="n"/>
      <c r="I73" s="20" t="n"/>
      <c r="J73" s="21" t="n"/>
      <c r="K73" s="20" t="n"/>
      <c r="L73" s="21" t="n"/>
      <c r="M73" s="20" t="n"/>
      <c r="N73" s="20" t="n"/>
    </row>
    <row r="74">
      <c r="A74" s="28">
        <f>Suppliers!A74</f>
        <v/>
      </c>
      <c r="B74" s="28">
        <f>Suppliers!B74</f>
        <v/>
      </c>
      <c r="C74" s="28">
        <f>Suppliers!E74</f>
        <v/>
      </c>
      <c r="D74" s="28">
        <f>Suppliers!D74</f>
        <v/>
      </c>
      <c r="E74" s="29" t="inlineStr">
        <is>
          <t>Company page</t>
        </is>
      </c>
      <c r="F74" s="29" t="inlineStr">
        <is>
          <t>Find people</t>
        </is>
      </c>
      <c r="G74" s="20" t="n"/>
      <c r="H74" s="20" t="n"/>
      <c r="I74" s="20" t="n"/>
      <c r="J74" s="21" t="n"/>
      <c r="K74" s="20" t="n"/>
      <c r="L74" s="21" t="n"/>
      <c r="M74" s="20" t="n"/>
      <c r="N74" s="20" t="n"/>
    </row>
    <row r="75">
      <c r="A75" s="28">
        <f>Suppliers!A75</f>
        <v/>
      </c>
      <c r="B75" s="28">
        <f>Suppliers!B75</f>
        <v/>
      </c>
      <c r="C75" s="28">
        <f>Suppliers!E75</f>
        <v/>
      </c>
      <c r="D75" s="28">
        <f>Suppliers!D75</f>
        <v/>
      </c>
      <c r="E75" s="29" t="inlineStr">
        <is>
          <t>Company page</t>
        </is>
      </c>
      <c r="F75" s="29" t="inlineStr">
        <is>
          <t>Find people</t>
        </is>
      </c>
      <c r="G75" s="20" t="n"/>
      <c r="H75" s="20" t="n"/>
      <c r="I75" s="20" t="n"/>
      <c r="J75" s="21" t="n"/>
      <c r="K75" s="20" t="n"/>
      <c r="L75" s="21" t="n"/>
      <c r="M75" s="20" t="n"/>
      <c r="N75" s="20" t="n"/>
    </row>
    <row r="76">
      <c r="A76" s="28">
        <f>Suppliers!A76</f>
        <v/>
      </c>
      <c r="B76" s="28">
        <f>Suppliers!B76</f>
        <v/>
      </c>
      <c r="C76" s="28">
        <f>Suppliers!E76</f>
        <v/>
      </c>
      <c r="D76" s="28">
        <f>Suppliers!D76</f>
        <v/>
      </c>
      <c r="E76" s="29" t="inlineStr">
        <is>
          <t>Company page</t>
        </is>
      </c>
      <c r="F76" s="29" t="inlineStr">
        <is>
          <t>Find people</t>
        </is>
      </c>
      <c r="G76" s="20" t="n"/>
      <c r="H76" s="20" t="n"/>
      <c r="I76" s="20" t="n"/>
      <c r="J76" s="21" t="n"/>
      <c r="K76" s="20" t="n"/>
      <c r="L76" s="21" t="n"/>
      <c r="M76" s="20" t="n"/>
      <c r="N76" s="20" t="n"/>
    </row>
    <row r="77">
      <c r="A77" s="28">
        <f>Suppliers!A77</f>
        <v/>
      </c>
      <c r="B77" s="28">
        <f>Suppliers!B77</f>
        <v/>
      </c>
      <c r="C77" s="28">
        <f>Suppliers!E77</f>
        <v/>
      </c>
      <c r="D77" s="28">
        <f>Suppliers!D77</f>
        <v/>
      </c>
      <c r="E77" s="29" t="inlineStr">
        <is>
          <t>Company page</t>
        </is>
      </c>
      <c r="F77" s="29" t="inlineStr">
        <is>
          <t>Find people</t>
        </is>
      </c>
      <c r="G77" s="20" t="n"/>
      <c r="H77" s="20" t="n"/>
      <c r="I77" s="20" t="n"/>
      <c r="J77" s="21" t="n"/>
      <c r="K77" s="20" t="n"/>
      <c r="L77" s="21" t="n"/>
      <c r="M77" s="20" t="n"/>
      <c r="N77" s="20" t="n"/>
    </row>
    <row r="78">
      <c r="A78" s="28">
        <f>Suppliers!A78</f>
        <v/>
      </c>
      <c r="B78" s="28">
        <f>Suppliers!B78</f>
        <v/>
      </c>
      <c r="C78" s="28">
        <f>Suppliers!E78</f>
        <v/>
      </c>
      <c r="D78" s="28">
        <f>Suppliers!D78</f>
        <v/>
      </c>
      <c r="E78" s="29" t="inlineStr">
        <is>
          <t>Company page</t>
        </is>
      </c>
      <c r="F78" s="29" t="inlineStr">
        <is>
          <t>Find people</t>
        </is>
      </c>
      <c r="G78" s="20" t="n"/>
      <c r="H78" s="20" t="n"/>
      <c r="I78" s="20" t="n"/>
      <c r="J78" s="21" t="n"/>
      <c r="K78" s="20" t="n"/>
      <c r="L78" s="21" t="n"/>
      <c r="M78" s="20" t="n"/>
      <c r="N78" s="20" t="n"/>
    </row>
    <row r="79">
      <c r="A79" s="28">
        <f>Suppliers!A79</f>
        <v/>
      </c>
      <c r="B79" s="28">
        <f>Suppliers!B79</f>
        <v/>
      </c>
      <c r="C79" s="28">
        <f>Suppliers!E79</f>
        <v/>
      </c>
      <c r="D79" s="28">
        <f>Suppliers!D79</f>
        <v/>
      </c>
      <c r="E79" s="29" t="inlineStr">
        <is>
          <t>Company page</t>
        </is>
      </c>
      <c r="F79" s="29" t="inlineStr">
        <is>
          <t>Find people</t>
        </is>
      </c>
      <c r="G79" s="20" t="n"/>
      <c r="H79" s="20" t="n"/>
      <c r="I79" s="20" t="n"/>
      <c r="J79" s="21" t="n"/>
      <c r="K79" s="20" t="n"/>
      <c r="L79" s="21" t="n"/>
      <c r="M79" s="20" t="n"/>
      <c r="N79" s="20" t="n"/>
    </row>
    <row r="80">
      <c r="A80" s="28">
        <f>Suppliers!A80</f>
        <v/>
      </c>
      <c r="B80" s="28">
        <f>Suppliers!B80</f>
        <v/>
      </c>
      <c r="C80" s="28">
        <f>Suppliers!E80</f>
        <v/>
      </c>
      <c r="D80" s="28">
        <f>Suppliers!D80</f>
        <v/>
      </c>
      <c r="E80" s="29" t="inlineStr">
        <is>
          <t>Company page</t>
        </is>
      </c>
      <c r="F80" s="29" t="inlineStr">
        <is>
          <t>Find people</t>
        </is>
      </c>
      <c r="G80" s="20" t="n"/>
      <c r="H80" s="20" t="n"/>
      <c r="I80" s="20" t="n"/>
      <c r="J80" s="21" t="n"/>
      <c r="K80" s="20" t="n"/>
      <c r="L80" s="21" t="n"/>
      <c r="M80" s="20" t="n"/>
      <c r="N80" s="20" t="n"/>
    </row>
    <row r="81">
      <c r="A81" s="28">
        <f>Suppliers!A81</f>
        <v/>
      </c>
      <c r="B81" s="28">
        <f>Suppliers!B81</f>
        <v/>
      </c>
      <c r="C81" s="28">
        <f>Suppliers!E81</f>
        <v/>
      </c>
      <c r="D81" s="28">
        <f>Suppliers!D81</f>
        <v/>
      </c>
      <c r="E81" s="29" t="inlineStr">
        <is>
          <t>Company page</t>
        </is>
      </c>
      <c r="F81" s="29" t="inlineStr">
        <is>
          <t>Find people</t>
        </is>
      </c>
      <c r="G81" s="20" t="n"/>
      <c r="H81" s="20" t="n"/>
      <c r="I81" s="20" t="n"/>
      <c r="J81" s="21" t="n"/>
      <c r="K81" s="20" t="n"/>
      <c r="L81" s="21" t="n"/>
      <c r="M81" s="20" t="n"/>
      <c r="N81" s="20" t="n"/>
    </row>
    <row r="82">
      <c r="A82" s="28">
        <f>Suppliers!A82</f>
        <v/>
      </c>
      <c r="B82" s="28">
        <f>Suppliers!B82</f>
        <v/>
      </c>
      <c r="C82" s="28">
        <f>Suppliers!E82</f>
        <v/>
      </c>
      <c r="D82" s="28">
        <f>Suppliers!D82</f>
        <v/>
      </c>
      <c r="E82" s="29" t="inlineStr">
        <is>
          <t>Company page</t>
        </is>
      </c>
      <c r="F82" s="29" t="inlineStr">
        <is>
          <t>Find people</t>
        </is>
      </c>
      <c r="G82" s="20" t="n"/>
      <c r="H82" s="20" t="n"/>
      <c r="I82" s="20" t="n"/>
      <c r="J82" s="21" t="n"/>
      <c r="K82" s="20" t="n"/>
      <c r="L82" s="21" t="n"/>
      <c r="M82" s="20" t="n"/>
      <c r="N82" s="20" t="n"/>
    </row>
    <row r="83">
      <c r="A83" s="28">
        <f>Suppliers!A83</f>
        <v/>
      </c>
      <c r="B83" s="28">
        <f>Suppliers!B83</f>
        <v/>
      </c>
      <c r="C83" s="28">
        <f>Suppliers!E83</f>
        <v/>
      </c>
      <c r="D83" s="28">
        <f>Suppliers!D83</f>
        <v/>
      </c>
      <c r="E83" s="29" t="inlineStr">
        <is>
          <t>Company page</t>
        </is>
      </c>
      <c r="F83" s="29" t="inlineStr">
        <is>
          <t>Find people</t>
        </is>
      </c>
      <c r="G83" s="20" t="n"/>
      <c r="H83" s="20" t="n"/>
      <c r="I83" s="20" t="n"/>
      <c r="J83" s="21" t="n"/>
      <c r="K83" s="20" t="n"/>
      <c r="L83" s="21" t="n"/>
      <c r="M83" s="20" t="n"/>
      <c r="N83" s="20" t="n"/>
    </row>
    <row r="84">
      <c r="A84" s="28">
        <f>Suppliers!A84</f>
        <v/>
      </c>
      <c r="B84" s="28">
        <f>Suppliers!B84</f>
        <v/>
      </c>
      <c r="C84" s="28">
        <f>Suppliers!E84</f>
        <v/>
      </c>
      <c r="D84" s="28">
        <f>Suppliers!D84</f>
        <v/>
      </c>
      <c r="E84" s="29" t="inlineStr">
        <is>
          <t>Company page</t>
        </is>
      </c>
      <c r="F84" s="29" t="inlineStr">
        <is>
          <t>Find people</t>
        </is>
      </c>
      <c r="G84" s="20" t="n"/>
      <c r="H84" s="20" t="n"/>
      <c r="I84" s="20" t="n"/>
      <c r="J84" s="21" t="n"/>
      <c r="K84" s="20" t="n"/>
      <c r="L84" s="21" t="n"/>
      <c r="M84" s="20" t="n"/>
      <c r="N84" s="20" t="n"/>
    </row>
    <row r="85">
      <c r="A85" s="28">
        <f>Suppliers!A85</f>
        <v/>
      </c>
      <c r="B85" s="28">
        <f>Suppliers!B85</f>
        <v/>
      </c>
      <c r="C85" s="28">
        <f>Suppliers!E85</f>
        <v/>
      </c>
      <c r="D85" s="28">
        <f>Suppliers!D85</f>
        <v/>
      </c>
      <c r="E85" s="29" t="inlineStr">
        <is>
          <t>Company page</t>
        </is>
      </c>
      <c r="F85" s="29" t="inlineStr">
        <is>
          <t>Find people</t>
        </is>
      </c>
      <c r="G85" s="20" t="n"/>
      <c r="H85" s="20" t="n"/>
      <c r="I85" s="20" t="n"/>
      <c r="J85" s="21" t="n"/>
      <c r="K85" s="20" t="n"/>
      <c r="L85" s="21" t="n"/>
      <c r="M85" s="20" t="n"/>
      <c r="N85" s="20" t="n"/>
    </row>
    <row r="86">
      <c r="A86" s="28">
        <f>Suppliers!A86</f>
        <v/>
      </c>
      <c r="B86" s="28">
        <f>Suppliers!B86</f>
        <v/>
      </c>
      <c r="C86" s="28">
        <f>Suppliers!E86</f>
        <v/>
      </c>
      <c r="D86" s="28">
        <f>Suppliers!D86</f>
        <v/>
      </c>
      <c r="E86" s="29" t="inlineStr">
        <is>
          <t>Company page</t>
        </is>
      </c>
      <c r="F86" s="29" t="inlineStr">
        <is>
          <t>Find people</t>
        </is>
      </c>
      <c r="G86" s="20" t="n"/>
      <c r="H86" s="20" t="n"/>
      <c r="I86" s="20" t="n"/>
      <c r="J86" s="21" t="n"/>
      <c r="K86" s="20" t="n"/>
      <c r="L86" s="21" t="n"/>
      <c r="M86" s="20" t="n"/>
      <c r="N86" s="20" t="n"/>
    </row>
    <row r="87">
      <c r="A87" s="28">
        <f>Suppliers!A87</f>
        <v/>
      </c>
      <c r="B87" s="28">
        <f>Suppliers!B87</f>
        <v/>
      </c>
      <c r="C87" s="28">
        <f>Suppliers!E87</f>
        <v/>
      </c>
      <c r="D87" s="28">
        <f>Suppliers!D87</f>
        <v/>
      </c>
      <c r="E87" s="29" t="inlineStr">
        <is>
          <t>Company page</t>
        </is>
      </c>
      <c r="F87" s="29" t="inlineStr">
        <is>
          <t>Find people</t>
        </is>
      </c>
      <c r="G87" s="20" t="n"/>
      <c r="H87" s="20" t="n"/>
      <c r="I87" s="20" t="n"/>
      <c r="J87" s="21" t="n"/>
      <c r="K87" s="20" t="n"/>
      <c r="L87" s="21" t="n"/>
      <c r="M87" s="20" t="n"/>
      <c r="N87" s="20" t="n"/>
    </row>
    <row r="88">
      <c r="A88" s="28">
        <f>Suppliers!A88</f>
        <v/>
      </c>
      <c r="B88" s="28">
        <f>Suppliers!B88</f>
        <v/>
      </c>
      <c r="C88" s="28">
        <f>Suppliers!E88</f>
        <v/>
      </c>
      <c r="D88" s="28">
        <f>Suppliers!D88</f>
        <v/>
      </c>
      <c r="E88" s="29" t="inlineStr">
        <is>
          <t>Company page</t>
        </is>
      </c>
      <c r="F88" s="29" t="inlineStr">
        <is>
          <t>Find people</t>
        </is>
      </c>
      <c r="G88" s="20" t="n"/>
      <c r="H88" s="20" t="n"/>
      <c r="I88" s="20" t="n"/>
      <c r="J88" s="21" t="n"/>
      <c r="K88" s="20" t="n"/>
      <c r="L88" s="21" t="n"/>
      <c r="M88" s="20" t="n"/>
      <c r="N88" s="20" t="n"/>
    </row>
    <row r="89">
      <c r="A89" s="28">
        <f>Suppliers!A89</f>
        <v/>
      </c>
      <c r="B89" s="28">
        <f>Suppliers!B89</f>
        <v/>
      </c>
      <c r="C89" s="28">
        <f>Suppliers!E89</f>
        <v/>
      </c>
      <c r="D89" s="28">
        <f>Suppliers!D89</f>
        <v/>
      </c>
      <c r="E89" s="29" t="inlineStr">
        <is>
          <t>Company page</t>
        </is>
      </c>
      <c r="F89" s="29" t="inlineStr">
        <is>
          <t>Find people</t>
        </is>
      </c>
      <c r="G89" s="20" t="n"/>
      <c r="H89" s="20" t="n"/>
      <c r="I89" s="20" t="n"/>
      <c r="J89" s="21" t="n"/>
      <c r="K89" s="20" t="n"/>
      <c r="L89" s="21" t="n"/>
      <c r="M89" s="20" t="n"/>
      <c r="N89" s="20" t="n"/>
    </row>
    <row r="90">
      <c r="A90" s="28">
        <f>Suppliers!A90</f>
        <v/>
      </c>
      <c r="B90" s="28">
        <f>Suppliers!B90</f>
        <v/>
      </c>
      <c r="C90" s="28">
        <f>Suppliers!E90</f>
        <v/>
      </c>
      <c r="D90" s="28">
        <f>Suppliers!D90</f>
        <v/>
      </c>
      <c r="E90" s="29" t="inlineStr">
        <is>
          <t>Company page</t>
        </is>
      </c>
      <c r="F90" s="29" t="inlineStr">
        <is>
          <t>Find people</t>
        </is>
      </c>
      <c r="G90" s="20" t="n"/>
      <c r="H90" s="20" t="n"/>
      <c r="I90" s="20" t="n"/>
      <c r="J90" s="21" t="n"/>
      <c r="K90" s="20" t="n"/>
      <c r="L90" s="21" t="n"/>
      <c r="M90" s="20" t="n"/>
      <c r="N90" s="20" t="n"/>
    </row>
    <row r="91">
      <c r="A91" s="28">
        <f>Suppliers!A91</f>
        <v/>
      </c>
      <c r="B91" s="28">
        <f>Suppliers!B91</f>
        <v/>
      </c>
      <c r="C91" s="28">
        <f>Suppliers!E91</f>
        <v/>
      </c>
      <c r="D91" s="28">
        <f>Suppliers!D91</f>
        <v/>
      </c>
      <c r="E91" s="29" t="inlineStr">
        <is>
          <t>Company page</t>
        </is>
      </c>
      <c r="F91" s="29" t="inlineStr">
        <is>
          <t>Find people</t>
        </is>
      </c>
      <c r="G91" s="20" t="n"/>
      <c r="H91" s="20" t="n"/>
      <c r="I91" s="20" t="n"/>
      <c r="J91" s="21" t="n"/>
      <c r="K91" s="20" t="n"/>
      <c r="L91" s="21" t="n"/>
      <c r="M91" s="20" t="n"/>
      <c r="N91" s="20" t="n"/>
    </row>
    <row r="92">
      <c r="A92" s="28">
        <f>Suppliers!A92</f>
        <v/>
      </c>
      <c r="B92" s="28">
        <f>Suppliers!B92</f>
        <v/>
      </c>
      <c r="C92" s="28">
        <f>Suppliers!E92</f>
        <v/>
      </c>
      <c r="D92" s="28">
        <f>Suppliers!D92</f>
        <v/>
      </c>
      <c r="E92" s="29" t="inlineStr">
        <is>
          <t>Company page</t>
        </is>
      </c>
      <c r="F92" s="29" t="inlineStr">
        <is>
          <t>Find people</t>
        </is>
      </c>
      <c r="G92" s="20" t="n"/>
      <c r="H92" s="20" t="n"/>
      <c r="I92" s="20" t="n"/>
      <c r="J92" s="21" t="n"/>
      <c r="K92" s="20" t="n"/>
      <c r="L92" s="21" t="n"/>
      <c r="M92" s="20" t="n"/>
      <c r="N92" s="20" t="n"/>
    </row>
    <row r="93">
      <c r="A93" s="28">
        <f>Suppliers!A93</f>
        <v/>
      </c>
      <c r="B93" s="28">
        <f>Suppliers!B93</f>
        <v/>
      </c>
      <c r="C93" s="28">
        <f>Suppliers!E93</f>
        <v/>
      </c>
      <c r="D93" s="28">
        <f>Suppliers!D93</f>
        <v/>
      </c>
      <c r="E93" s="29" t="inlineStr">
        <is>
          <t>Company page</t>
        </is>
      </c>
      <c r="F93" s="29" t="inlineStr">
        <is>
          <t>Find people</t>
        </is>
      </c>
      <c r="G93" s="20" t="n"/>
      <c r="H93" s="20" t="n"/>
      <c r="I93" s="20" t="n"/>
      <c r="J93" s="21" t="n"/>
      <c r="K93" s="20" t="n"/>
      <c r="L93" s="21" t="n"/>
      <c r="M93" s="20" t="n"/>
      <c r="N93" s="20" t="n"/>
    </row>
    <row r="94">
      <c r="A94" s="28">
        <f>Suppliers!A94</f>
        <v/>
      </c>
      <c r="B94" s="28">
        <f>Suppliers!B94</f>
        <v/>
      </c>
      <c r="C94" s="28">
        <f>Suppliers!E94</f>
        <v/>
      </c>
      <c r="D94" s="28">
        <f>Suppliers!D94</f>
        <v/>
      </c>
      <c r="E94" s="29" t="inlineStr">
        <is>
          <t>Company page</t>
        </is>
      </c>
      <c r="F94" s="29" t="inlineStr">
        <is>
          <t>Find people</t>
        </is>
      </c>
      <c r="G94" s="20" t="n"/>
      <c r="H94" s="20" t="n"/>
      <c r="I94" s="20" t="n"/>
      <c r="J94" s="21" t="n"/>
      <c r="K94" s="20" t="n"/>
      <c r="L94" s="21" t="n"/>
      <c r="M94" s="20" t="n"/>
      <c r="N94" s="20" t="n"/>
    </row>
    <row r="95">
      <c r="A95" s="28">
        <f>Suppliers!A95</f>
        <v/>
      </c>
      <c r="B95" s="28">
        <f>Suppliers!B95</f>
        <v/>
      </c>
      <c r="C95" s="28">
        <f>Suppliers!E95</f>
        <v/>
      </c>
      <c r="D95" s="28">
        <f>Suppliers!D95</f>
        <v/>
      </c>
      <c r="E95" s="29" t="inlineStr">
        <is>
          <t>Company page</t>
        </is>
      </c>
      <c r="F95" s="29" t="inlineStr">
        <is>
          <t>Find people</t>
        </is>
      </c>
      <c r="G95" s="20" t="n"/>
      <c r="H95" s="20" t="n"/>
      <c r="I95" s="20" t="n"/>
      <c r="J95" s="21" t="n"/>
      <c r="K95" s="20" t="n"/>
      <c r="L95" s="21" t="n"/>
      <c r="M95" s="20" t="n"/>
      <c r="N95" s="20" t="n"/>
    </row>
    <row r="96">
      <c r="A96" s="28">
        <f>Suppliers!A96</f>
        <v/>
      </c>
      <c r="B96" s="28">
        <f>Suppliers!B96</f>
        <v/>
      </c>
      <c r="C96" s="28">
        <f>Suppliers!E96</f>
        <v/>
      </c>
      <c r="D96" s="28">
        <f>Suppliers!D96</f>
        <v/>
      </c>
      <c r="E96" s="29" t="inlineStr">
        <is>
          <t>Company page</t>
        </is>
      </c>
      <c r="F96" s="29" t="inlineStr">
        <is>
          <t>Find people</t>
        </is>
      </c>
      <c r="G96" s="20" t="n"/>
      <c r="H96" s="20" t="n"/>
      <c r="I96" s="20" t="n"/>
      <c r="J96" s="21" t="n"/>
      <c r="K96" s="20" t="n"/>
      <c r="L96" s="21" t="n"/>
      <c r="M96" s="20" t="n"/>
      <c r="N96" s="20" t="n"/>
    </row>
    <row r="97">
      <c r="A97" s="28">
        <f>Suppliers!A97</f>
        <v/>
      </c>
      <c r="B97" s="28">
        <f>Suppliers!B97</f>
        <v/>
      </c>
      <c r="C97" s="28">
        <f>Suppliers!E97</f>
        <v/>
      </c>
      <c r="D97" s="28">
        <f>Suppliers!D97</f>
        <v/>
      </c>
      <c r="E97" s="29" t="inlineStr">
        <is>
          <t>Company page</t>
        </is>
      </c>
      <c r="F97" s="29" t="inlineStr">
        <is>
          <t>Find people</t>
        </is>
      </c>
      <c r="G97" s="20" t="n"/>
      <c r="H97" s="20" t="n"/>
      <c r="I97" s="20" t="n"/>
      <c r="J97" s="21" t="n"/>
      <c r="K97" s="20" t="n"/>
      <c r="L97" s="21" t="n"/>
      <c r="M97" s="20" t="n"/>
      <c r="N97" s="20" t="n"/>
    </row>
    <row r="98">
      <c r="A98" s="28">
        <f>Suppliers!A98</f>
        <v/>
      </c>
      <c r="B98" s="28">
        <f>Suppliers!B98</f>
        <v/>
      </c>
      <c r="C98" s="28">
        <f>Suppliers!E98</f>
        <v/>
      </c>
      <c r="D98" s="28">
        <f>Suppliers!D98</f>
        <v/>
      </c>
      <c r="E98" s="29" t="inlineStr">
        <is>
          <t>Company page</t>
        </is>
      </c>
      <c r="F98" s="29" t="inlineStr">
        <is>
          <t>Find people</t>
        </is>
      </c>
      <c r="G98" s="20" t="n"/>
      <c r="H98" s="20" t="n"/>
      <c r="I98" s="20" t="n"/>
      <c r="J98" s="21" t="n"/>
      <c r="K98" s="20" t="n"/>
      <c r="L98" s="21" t="n"/>
      <c r="M98" s="20" t="n"/>
      <c r="N98" s="20" t="n"/>
    </row>
    <row r="99">
      <c r="A99" s="28">
        <f>Suppliers!A99</f>
        <v/>
      </c>
      <c r="B99" s="28">
        <f>Suppliers!B99</f>
        <v/>
      </c>
      <c r="C99" s="28">
        <f>Suppliers!E99</f>
        <v/>
      </c>
      <c r="D99" s="28">
        <f>Suppliers!D99</f>
        <v/>
      </c>
      <c r="E99" s="29" t="inlineStr">
        <is>
          <t>Company page</t>
        </is>
      </c>
      <c r="F99" s="29" t="inlineStr">
        <is>
          <t>Find people</t>
        </is>
      </c>
      <c r="G99" s="20" t="n"/>
      <c r="H99" s="20" t="n"/>
      <c r="I99" s="20" t="n"/>
      <c r="J99" s="21" t="n"/>
      <c r="K99" s="20" t="n"/>
      <c r="L99" s="21" t="n"/>
      <c r="M99" s="20" t="n"/>
      <c r="N99" s="20" t="n"/>
    </row>
    <row r="100">
      <c r="A100" s="28">
        <f>Suppliers!A100</f>
        <v/>
      </c>
      <c r="B100" s="28">
        <f>Suppliers!B100</f>
        <v/>
      </c>
      <c r="C100" s="28">
        <f>Suppliers!E100</f>
        <v/>
      </c>
      <c r="D100" s="28">
        <f>Suppliers!D100</f>
        <v/>
      </c>
      <c r="E100" s="29" t="inlineStr">
        <is>
          <t>Company page</t>
        </is>
      </c>
      <c r="F100" s="29" t="inlineStr">
        <is>
          <t>Find people</t>
        </is>
      </c>
      <c r="G100" s="20" t="n"/>
      <c r="H100" s="20" t="n"/>
      <c r="I100" s="20" t="n"/>
      <c r="J100" s="21" t="n"/>
      <c r="K100" s="20" t="n"/>
      <c r="L100" s="21" t="n"/>
      <c r="M100" s="20" t="n"/>
      <c r="N100" s="20" t="n"/>
    </row>
    <row r="101">
      <c r="A101" s="28">
        <f>Suppliers!A101</f>
        <v/>
      </c>
      <c r="B101" s="28">
        <f>Suppliers!B101</f>
        <v/>
      </c>
      <c r="C101" s="28">
        <f>Suppliers!E101</f>
        <v/>
      </c>
      <c r="D101" s="28">
        <f>Suppliers!D101</f>
        <v/>
      </c>
      <c r="E101" s="29" t="inlineStr">
        <is>
          <t>Company page</t>
        </is>
      </c>
      <c r="F101" s="29" t="inlineStr">
        <is>
          <t>Find people</t>
        </is>
      </c>
      <c r="G101" s="20" t="n"/>
      <c r="H101" s="20" t="n"/>
      <c r="I101" s="20" t="n"/>
      <c r="J101" s="21" t="n"/>
      <c r="K101" s="20" t="n"/>
      <c r="L101" s="21" t="n"/>
      <c r="M101" s="20" t="n"/>
      <c r="N101" s="20" t="n"/>
    </row>
    <row r="102">
      <c r="A102" s="28">
        <f>Suppliers!A102</f>
        <v/>
      </c>
      <c r="B102" s="28">
        <f>Suppliers!B102</f>
        <v/>
      </c>
      <c r="C102" s="28">
        <f>Suppliers!E102</f>
        <v/>
      </c>
      <c r="D102" s="28">
        <f>Suppliers!D102</f>
        <v/>
      </c>
      <c r="E102" s="29" t="inlineStr">
        <is>
          <t>Company page</t>
        </is>
      </c>
      <c r="F102" s="29" t="inlineStr">
        <is>
          <t>Find people</t>
        </is>
      </c>
      <c r="G102" s="20" t="n"/>
      <c r="H102" s="20" t="n"/>
      <c r="I102" s="20" t="n"/>
      <c r="J102" s="21" t="n"/>
      <c r="K102" s="20" t="n"/>
      <c r="L102" s="21" t="n"/>
      <c r="M102" s="20" t="n"/>
      <c r="N102" s="20" t="n"/>
    </row>
    <row r="103">
      <c r="A103" s="28">
        <f>Suppliers!A103</f>
        <v/>
      </c>
      <c r="B103" s="28">
        <f>Suppliers!B103</f>
        <v/>
      </c>
      <c r="C103" s="28">
        <f>Suppliers!E103</f>
        <v/>
      </c>
      <c r="D103" s="28">
        <f>Suppliers!D103</f>
        <v/>
      </c>
      <c r="E103" s="29" t="inlineStr">
        <is>
          <t>Company page</t>
        </is>
      </c>
      <c r="F103" s="29" t="inlineStr">
        <is>
          <t>Find people</t>
        </is>
      </c>
      <c r="G103" s="20" t="n"/>
      <c r="H103" s="20" t="n"/>
      <c r="I103" s="20" t="n"/>
      <c r="J103" s="21" t="n"/>
      <c r="K103" s="20" t="n"/>
      <c r="L103" s="21" t="n"/>
      <c r="M103" s="20" t="n"/>
      <c r="N103" s="20" t="n"/>
    </row>
    <row r="104">
      <c r="A104" s="28">
        <f>Suppliers!A104</f>
        <v/>
      </c>
      <c r="B104" s="28">
        <f>Suppliers!B104</f>
        <v/>
      </c>
      <c r="C104" s="28">
        <f>Suppliers!E104</f>
        <v/>
      </c>
      <c r="D104" s="28">
        <f>Suppliers!D104</f>
        <v/>
      </c>
      <c r="E104" s="29" t="inlineStr">
        <is>
          <t>Company page</t>
        </is>
      </c>
      <c r="F104" s="29" t="inlineStr">
        <is>
          <t>Find people</t>
        </is>
      </c>
      <c r="G104" s="20" t="n"/>
      <c r="H104" s="20" t="n"/>
      <c r="I104" s="20" t="n"/>
      <c r="J104" s="21" t="n"/>
      <c r="K104" s="20" t="n"/>
      <c r="L104" s="21" t="n"/>
      <c r="M104" s="20" t="n"/>
      <c r="N104" s="20" t="n"/>
    </row>
    <row r="105">
      <c r="A105" s="28">
        <f>Suppliers!A105</f>
        <v/>
      </c>
      <c r="B105" s="28">
        <f>Suppliers!B105</f>
        <v/>
      </c>
      <c r="C105" s="28">
        <f>Suppliers!E105</f>
        <v/>
      </c>
      <c r="D105" s="28">
        <f>Suppliers!D105</f>
        <v/>
      </c>
      <c r="E105" s="29" t="inlineStr">
        <is>
          <t>Company page</t>
        </is>
      </c>
      <c r="F105" s="29" t="inlineStr">
        <is>
          <t>Find people</t>
        </is>
      </c>
      <c r="G105" s="20" t="n"/>
      <c r="H105" s="20" t="n"/>
      <c r="I105" s="20" t="n"/>
      <c r="J105" s="21" t="n"/>
      <c r="K105" s="20" t="n"/>
      <c r="L105" s="21" t="n"/>
      <c r="M105" s="20" t="n"/>
      <c r="N105" s="20" t="n"/>
    </row>
    <row r="106">
      <c r="A106" s="28">
        <f>Suppliers!A106</f>
        <v/>
      </c>
      <c r="B106" s="28">
        <f>Suppliers!B106</f>
        <v/>
      </c>
      <c r="C106" s="28">
        <f>Suppliers!E106</f>
        <v/>
      </c>
      <c r="D106" s="28">
        <f>Suppliers!D106</f>
        <v/>
      </c>
      <c r="E106" s="29" t="inlineStr">
        <is>
          <t>Company page</t>
        </is>
      </c>
      <c r="F106" s="29" t="inlineStr">
        <is>
          <t>Find people</t>
        </is>
      </c>
      <c r="G106" s="20" t="n"/>
      <c r="H106" s="20" t="n"/>
      <c r="I106" s="20" t="n"/>
      <c r="J106" s="21" t="n"/>
      <c r="K106" s="20" t="n"/>
      <c r="L106" s="21" t="n"/>
      <c r="M106" s="20" t="n"/>
      <c r="N106" s="20" t="n"/>
    </row>
    <row r="107">
      <c r="A107" s="28">
        <f>Suppliers!A107</f>
        <v/>
      </c>
      <c r="B107" s="28">
        <f>Suppliers!B107</f>
        <v/>
      </c>
      <c r="C107" s="28">
        <f>Suppliers!E107</f>
        <v/>
      </c>
      <c r="D107" s="28">
        <f>Suppliers!D107</f>
        <v/>
      </c>
      <c r="E107" s="29" t="inlineStr">
        <is>
          <t>Company page</t>
        </is>
      </c>
      <c r="F107" s="29" t="inlineStr">
        <is>
          <t>Find people</t>
        </is>
      </c>
      <c r="G107" s="20" t="n"/>
      <c r="H107" s="20" t="n"/>
      <c r="I107" s="20" t="n"/>
      <c r="J107" s="21" t="n"/>
      <c r="K107" s="20" t="n"/>
      <c r="L107" s="21" t="n"/>
      <c r="M107" s="20" t="n"/>
      <c r="N107" s="20" t="n"/>
    </row>
    <row r="108">
      <c r="A108" s="28">
        <f>Suppliers!A108</f>
        <v/>
      </c>
      <c r="B108" s="28">
        <f>Suppliers!B108</f>
        <v/>
      </c>
      <c r="C108" s="28">
        <f>Suppliers!E108</f>
        <v/>
      </c>
      <c r="D108" s="28">
        <f>Suppliers!D108</f>
        <v/>
      </c>
      <c r="E108" s="29" t="inlineStr">
        <is>
          <t>Company page</t>
        </is>
      </c>
      <c r="F108" s="29" t="inlineStr">
        <is>
          <t>Find people</t>
        </is>
      </c>
      <c r="G108" s="20" t="n"/>
      <c r="H108" s="20" t="n"/>
      <c r="I108" s="20" t="n"/>
      <c r="J108" s="21" t="n"/>
      <c r="K108" s="20" t="n"/>
      <c r="L108" s="21" t="n"/>
      <c r="M108" s="20" t="n"/>
      <c r="N108" s="20" t="n"/>
    </row>
    <row r="109">
      <c r="A109" s="28">
        <f>Suppliers!A109</f>
        <v/>
      </c>
      <c r="B109" s="28">
        <f>Suppliers!B109</f>
        <v/>
      </c>
      <c r="C109" s="28">
        <f>Suppliers!E109</f>
        <v/>
      </c>
      <c r="D109" s="28">
        <f>Suppliers!D109</f>
        <v/>
      </c>
      <c r="E109" s="29" t="inlineStr">
        <is>
          <t>Company page</t>
        </is>
      </c>
      <c r="F109" s="29" t="inlineStr">
        <is>
          <t>Find people</t>
        </is>
      </c>
      <c r="G109" s="20" t="n"/>
      <c r="H109" s="20" t="n"/>
      <c r="I109" s="20" t="n"/>
      <c r="J109" s="21" t="n"/>
      <c r="K109" s="20" t="n"/>
      <c r="L109" s="21" t="n"/>
      <c r="M109" s="20" t="n"/>
      <c r="N109" s="20" t="n"/>
    </row>
    <row r="110">
      <c r="A110" s="28">
        <f>Suppliers!A110</f>
        <v/>
      </c>
      <c r="B110" s="28">
        <f>Suppliers!B110</f>
        <v/>
      </c>
      <c r="C110" s="28">
        <f>Suppliers!E110</f>
        <v/>
      </c>
      <c r="D110" s="28">
        <f>Suppliers!D110</f>
        <v/>
      </c>
      <c r="E110" s="29" t="inlineStr">
        <is>
          <t>Company page</t>
        </is>
      </c>
      <c r="F110" s="29" t="inlineStr">
        <is>
          <t>Find people</t>
        </is>
      </c>
      <c r="G110" s="20" t="n"/>
      <c r="H110" s="20" t="n"/>
      <c r="I110" s="20" t="n"/>
      <c r="J110" s="21" t="n"/>
      <c r="K110" s="20" t="n"/>
      <c r="L110" s="21" t="n"/>
      <c r="M110" s="20" t="n"/>
      <c r="N110" s="20" t="n"/>
    </row>
    <row r="111">
      <c r="A111" s="28">
        <f>Suppliers!A111</f>
        <v/>
      </c>
      <c r="B111" s="28">
        <f>Suppliers!B111</f>
        <v/>
      </c>
      <c r="C111" s="28">
        <f>Suppliers!E111</f>
        <v/>
      </c>
      <c r="D111" s="28">
        <f>Suppliers!D111</f>
        <v/>
      </c>
      <c r="E111" s="29" t="inlineStr">
        <is>
          <t>Company page</t>
        </is>
      </c>
      <c r="F111" s="29" t="inlineStr">
        <is>
          <t>Find people</t>
        </is>
      </c>
      <c r="G111" s="20" t="n"/>
      <c r="H111" s="20" t="n"/>
      <c r="I111" s="20" t="n"/>
      <c r="J111" s="21" t="n"/>
      <c r="K111" s="20" t="n"/>
      <c r="L111" s="21" t="n"/>
      <c r="M111" s="20" t="n"/>
      <c r="N111" s="20" t="n"/>
    </row>
    <row r="112">
      <c r="A112" s="28">
        <f>Suppliers!A112</f>
        <v/>
      </c>
      <c r="B112" s="28">
        <f>Suppliers!B112</f>
        <v/>
      </c>
      <c r="C112" s="28">
        <f>Suppliers!E112</f>
        <v/>
      </c>
      <c r="D112" s="28">
        <f>Suppliers!D112</f>
        <v/>
      </c>
      <c r="E112" s="29" t="inlineStr">
        <is>
          <t>Company page</t>
        </is>
      </c>
      <c r="F112" s="29" t="inlineStr">
        <is>
          <t>Find people</t>
        </is>
      </c>
      <c r="G112" s="20" t="n"/>
      <c r="H112" s="20" t="n"/>
      <c r="I112" s="20" t="n"/>
      <c r="J112" s="21" t="n"/>
      <c r="K112" s="20" t="n"/>
      <c r="L112" s="21" t="n"/>
      <c r="M112" s="20" t="n"/>
      <c r="N112" s="20" t="n"/>
    </row>
    <row r="113">
      <c r="A113" s="28">
        <f>Suppliers!A113</f>
        <v/>
      </c>
      <c r="B113" s="28">
        <f>Suppliers!B113</f>
        <v/>
      </c>
      <c r="C113" s="28">
        <f>Suppliers!E113</f>
        <v/>
      </c>
      <c r="D113" s="28">
        <f>Suppliers!D113</f>
        <v/>
      </c>
      <c r="E113" s="29" t="inlineStr">
        <is>
          <t>Company page</t>
        </is>
      </c>
      <c r="F113" s="29" t="inlineStr">
        <is>
          <t>Find people</t>
        </is>
      </c>
      <c r="G113" s="20" t="n"/>
      <c r="H113" s="20" t="n"/>
      <c r="I113" s="20" t="n"/>
      <c r="J113" s="21" t="n"/>
      <c r="K113" s="20" t="n"/>
      <c r="L113" s="21" t="n"/>
      <c r="M113" s="20" t="n"/>
      <c r="N113" s="20" t="n"/>
    </row>
    <row r="114">
      <c r="A114" s="28">
        <f>Suppliers!A114</f>
        <v/>
      </c>
      <c r="B114" s="28">
        <f>Suppliers!B114</f>
        <v/>
      </c>
      <c r="C114" s="28">
        <f>Suppliers!E114</f>
        <v/>
      </c>
      <c r="D114" s="28">
        <f>Suppliers!D114</f>
        <v/>
      </c>
      <c r="E114" s="29" t="inlineStr">
        <is>
          <t>Company page</t>
        </is>
      </c>
      <c r="F114" s="29" t="inlineStr">
        <is>
          <t>Find people</t>
        </is>
      </c>
      <c r="G114" s="20" t="n"/>
      <c r="H114" s="20" t="n"/>
      <c r="I114" s="20" t="n"/>
      <c r="J114" s="21" t="n"/>
      <c r="K114" s="20" t="n"/>
      <c r="L114" s="21" t="n"/>
      <c r="M114" s="20" t="n"/>
      <c r="N114" s="20" t="n"/>
    </row>
    <row r="115">
      <c r="A115" s="28">
        <f>Suppliers!A115</f>
        <v/>
      </c>
      <c r="B115" s="28">
        <f>Suppliers!B115</f>
        <v/>
      </c>
      <c r="C115" s="28">
        <f>Suppliers!E115</f>
        <v/>
      </c>
      <c r="D115" s="28">
        <f>Suppliers!D115</f>
        <v/>
      </c>
      <c r="E115" s="29" t="inlineStr">
        <is>
          <t>Company page</t>
        </is>
      </c>
      <c r="F115" s="29" t="inlineStr">
        <is>
          <t>Find people</t>
        </is>
      </c>
      <c r="G115" s="20" t="n"/>
      <c r="H115" s="20" t="n"/>
      <c r="I115" s="20" t="n"/>
      <c r="J115" s="21" t="n"/>
      <c r="K115" s="20" t="n"/>
      <c r="L115" s="21" t="n"/>
      <c r="M115" s="20" t="n"/>
      <c r="N115" s="20" t="n"/>
    </row>
    <row r="116">
      <c r="A116" s="28">
        <f>Suppliers!A116</f>
        <v/>
      </c>
      <c r="B116" s="28">
        <f>Suppliers!B116</f>
        <v/>
      </c>
      <c r="C116" s="28">
        <f>Suppliers!E116</f>
        <v/>
      </c>
      <c r="D116" s="28">
        <f>Suppliers!D116</f>
        <v/>
      </c>
      <c r="E116" s="29" t="inlineStr">
        <is>
          <t>Company page</t>
        </is>
      </c>
      <c r="F116" s="29" t="inlineStr">
        <is>
          <t>Find people</t>
        </is>
      </c>
      <c r="G116" s="20" t="n"/>
      <c r="H116" s="20" t="n"/>
      <c r="I116" s="20" t="n"/>
      <c r="J116" s="21" t="n"/>
      <c r="K116" s="20" t="n"/>
      <c r="L116" s="21" t="n"/>
      <c r="M116" s="20" t="n"/>
      <c r="N116" s="20" t="n"/>
    </row>
    <row r="117">
      <c r="A117" s="28">
        <f>Suppliers!A117</f>
        <v/>
      </c>
      <c r="B117" s="28">
        <f>Suppliers!B117</f>
        <v/>
      </c>
      <c r="C117" s="28">
        <f>Suppliers!E117</f>
        <v/>
      </c>
      <c r="D117" s="28">
        <f>Suppliers!D117</f>
        <v/>
      </c>
      <c r="E117" s="29" t="inlineStr">
        <is>
          <t>Company page</t>
        </is>
      </c>
      <c r="F117" s="29" t="inlineStr">
        <is>
          <t>Find people</t>
        </is>
      </c>
      <c r="G117" s="20" t="n"/>
      <c r="H117" s="20" t="n"/>
      <c r="I117" s="20" t="n"/>
      <c r="J117" s="21" t="n"/>
      <c r="K117" s="20" t="n"/>
      <c r="L117" s="21" t="n"/>
      <c r="M117" s="20" t="n"/>
      <c r="N117" s="20" t="n"/>
    </row>
    <row r="118">
      <c r="A118" s="28">
        <f>Suppliers!A118</f>
        <v/>
      </c>
      <c r="B118" s="28">
        <f>Suppliers!B118</f>
        <v/>
      </c>
      <c r="C118" s="28">
        <f>Suppliers!E118</f>
        <v/>
      </c>
      <c r="D118" s="28">
        <f>Suppliers!D118</f>
        <v/>
      </c>
      <c r="E118" s="29" t="inlineStr">
        <is>
          <t>Company page</t>
        </is>
      </c>
      <c r="F118" s="29" t="inlineStr">
        <is>
          <t>Find people</t>
        </is>
      </c>
      <c r="G118" s="20" t="n"/>
      <c r="H118" s="20" t="n"/>
      <c r="I118" s="20" t="n"/>
      <c r="J118" s="21" t="n"/>
      <c r="K118" s="20" t="n"/>
      <c r="L118" s="21" t="n"/>
      <c r="M118" s="20" t="n"/>
      <c r="N118" s="20" t="n"/>
    </row>
    <row r="119">
      <c r="A119" s="28">
        <f>Suppliers!A119</f>
        <v/>
      </c>
      <c r="B119" s="28">
        <f>Suppliers!B119</f>
        <v/>
      </c>
      <c r="C119" s="28">
        <f>Suppliers!E119</f>
        <v/>
      </c>
      <c r="D119" s="28">
        <f>Suppliers!D119</f>
        <v/>
      </c>
      <c r="E119" s="29" t="inlineStr">
        <is>
          <t>Company page</t>
        </is>
      </c>
      <c r="F119" s="29" t="inlineStr">
        <is>
          <t>Find people</t>
        </is>
      </c>
      <c r="G119" s="20" t="n"/>
      <c r="H119" s="20" t="n"/>
      <c r="I119" s="20" t="n"/>
      <c r="J119" s="21" t="n"/>
      <c r="K119" s="20" t="n"/>
      <c r="L119" s="21" t="n"/>
      <c r="M119" s="20" t="n"/>
      <c r="N119" s="20" t="n"/>
    </row>
    <row r="120">
      <c r="A120" s="28">
        <f>Suppliers!A120</f>
        <v/>
      </c>
      <c r="B120" s="28">
        <f>Suppliers!B120</f>
        <v/>
      </c>
      <c r="C120" s="28">
        <f>Suppliers!E120</f>
        <v/>
      </c>
      <c r="D120" s="28">
        <f>Suppliers!D120</f>
        <v/>
      </c>
      <c r="E120" s="29" t="inlineStr">
        <is>
          <t>Company page</t>
        </is>
      </c>
      <c r="F120" s="29" t="inlineStr">
        <is>
          <t>Find people</t>
        </is>
      </c>
      <c r="G120" s="20" t="n"/>
      <c r="H120" s="20" t="n"/>
      <c r="I120" s="20" t="n"/>
      <c r="J120" s="21" t="n"/>
      <c r="K120" s="20" t="n"/>
      <c r="L120" s="21" t="n"/>
      <c r="M120" s="20" t="n"/>
      <c r="N120" s="20" t="n"/>
    </row>
    <row r="121">
      <c r="A121" s="28">
        <f>Suppliers!A121</f>
        <v/>
      </c>
      <c r="B121" s="28">
        <f>Suppliers!B121</f>
        <v/>
      </c>
      <c r="C121" s="28">
        <f>Suppliers!E121</f>
        <v/>
      </c>
      <c r="D121" s="28">
        <f>Suppliers!D121</f>
        <v/>
      </c>
      <c r="E121" s="29" t="inlineStr">
        <is>
          <t>Company page</t>
        </is>
      </c>
      <c r="F121" s="29" t="inlineStr">
        <is>
          <t>Find people</t>
        </is>
      </c>
      <c r="G121" s="20" t="n"/>
      <c r="H121" s="20" t="n"/>
      <c r="I121" s="20" t="n"/>
      <c r="J121" s="21" t="n"/>
      <c r="K121" s="20" t="n"/>
      <c r="L121" s="21" t="n"/>
      <c r="M121" s="20" t="n"/>
      <c r="N121" s="20" t="n"/>
    </row>
    <row r="122">
      <c r="A122" s="28">
        <f>Suppliers!A122</f>
        <v/>
      </c>
      <c r="B122" s="28">
        <f>Suppliers!B122</f>
        <v/>
      </c>
      <c r="C122" s="28">
        <f>Suppliers!E122</f>
        <v/>
      </c>
      <c r="D122" s="28">
        <f>Suppliers!D122</f>
        <v/>
      </c>
      <c r="E122" s="29" t="inlineStr">
        <is>
          <t>Company page</t>
        </is>
      </c>
      <c r="F122" s="29" t="inlineStr">
        <is>
          <t>Find people</t>
        </is>
      </c>
      <c r="G122" s="20" t="n"/>
      <c r="H122" s="20" t="n"/>
      <c r="I122" s="20" t="n"/>
      <c r="J122" s="21" t="n"/>
      <c r="K122" s="20" t="n"/>
      <c r="L122" s="21" t="n"/>
      <c r="M122" s="20" t="n"/>
      <c r="N122" s="20" t="n"/>
    </row>
    <row r="123">
      <c r="A123" s="28">
        <f>Suppliers!A123</f>
        <v/>
      </c>
      <c r="B123" s="28">
        <f>Suppliers!B123</f>
        <v/>
      </c>
      <c r="C123" s="28">
        <f>Suppliers!E123</f>
        <v/>
      </c>
      <c r="D123" s="28">
        <f>Suppliers!D123</f>
        <v/>
      </c>
      <c r="E123" s="29" t="inlineStr">
        <is>
          <t>Company page</t>
        </is>
      </c>
      <c r="F123" s="29" t="inlineStr">
        <is>
          <t>Find people</t>
        </is>
      </c>
      <c r="G123" s="20" t="n"/>
      <c r="H123" s="20" t="n"/>
      <c r="I123" s="20" t="n"/>
      <c r="J123" s="21" t="n"/>
      <c r="K123" s="20" t="n"/>
      <c r="L123" s="21" t="n"/>
      <c r="M123" s="20" t="n"/>
      <c r="N123" s="20" t="n"/>
    </row>
    <row r="124">
      <c r="A124" s="28">
        <f>Suppliers!A124</f>
        <v/>
      </c>
      <c r="B124" s="28">
        <f>Suppliers!B124</f>
        <v/>
      </c>
      <c r="C124" s="28">
        <f>Suppliers!E124</f>
        <v/>
      </c>
      <c r="D124" s="28">
        <f>Suppliers!D124</f>
        <v/>
      </c>
      <c r="E124" s="29" t="inlineStr">
        <is>
          <t>Company page</t>
        </is>
      </c>
      <c r="F124" s="29" t="inlineStr">
        <is>
          <t>Find people</t>
        </is>
      </c>
      <c r="G124" s="20" t="n"/>
      <c r="H124" s="20" t="n"/>
      <c r="I124" s="20" t="n"/>
      <c r="J124" s="21" t="n"/>
      <c r="K124" s="20" t="n"/>
      <c r="L124" s="21" t="n"/>
      <c r="M124" s="20" t="n"/>
      <c r="N124" s="20" t="n"/>
    </row>
    <row r="125">
      <c r="A125" s="28">
        <f>Suppliers!A125</f>
        <v/>
      </c>
      <c r="B125" s="28">
        <f>Suppliers!B125</f>
        <v/>
      </c>
      <c r="C125" s="28">
        <f>Suppliers!E125</f>
        <v/>
      </c>
      <c r="D125" s="28">
        <f>Suppliers!D125</f>
        <v/>
      </c>
      <c r="E125" s="29" t="inlineStr">
        <is>
          <t>Company page</t>
        </is>
      </c>
      <c r="F125" s="29" t="inlineStr">
        <is>
          <t>Find people</t>
        </is>
      </c>
      <c r="G125" s="20" t="n"/>
      <c r="H125" s="20" t="n"/>
      <c r="I125" s="20" t="n"/>
      <c r="J125" s="21" t="n"/>
      <c r="K125" s="20" t="n"/>
      <c r="L125" s="21" t="n"/>
      <c r="M125" s="20" t="n"/>
      <c r="N125" s="20" t="n"/>
    </row>
    <row r="126">
      <c r="A126" s="28">
        <f>Suppliers!A126</f>
        <v/>
      </c>
      <c r="B126" s="28">
        <f>Suppliers!B126</f>
        <v/>
      </c>
      <c r="C126" s="28">
        <f>Suppliers!E126</f>
        <v/>
      </c>
      <c r="D126" s="28">
        <f>Suppliers!D126</f>
        <v/>
      </c>
      <c r="E126" s="29" t="inlineStr">
        <is>
          <t>Company page</t>
        </is>
      </c>
      <c r="F126" s="29" t="inlineStr">
        <is>
          <t>Find people</t>
        </is>
      </c>
      <c r="G126" s="20" t="n"/>
      <c r="H126" s="20" t="n"/>
      <c r="I126" s="20" t="n"/>
      <c r="J126" s="21" t="n"/>
      <c r="K126" s="20" t="n"/>
      <c r="L126" s="21" t="n"/>
      <c r="M126" s="20" t="n"/>
      <c r="N126" s="20" t="n"/>
    </row>
    <row r="127">
      <c r="A127" s="28">
        <f>Suppliers!A127</f>
        <v/>
      </c>
      <c r="B127" s="28">
        <f>Suppliers!B127</f>
        <v/>
      </c>
      <c r="C127" s="28">
        <f>Suppliers!E127</f>
        <v/>
      </c>
      <c r="D127" s="28">
        <f>Suppliers!D127</f>
        <v/>
      </c>
      <c r="E127" s="29" t="inlineStr">
        <is>
          <t>Company page</t>
        </is>
      </c>
      <c r="F127" s="29" t="inlineStr">
        <is>
          <t>Find people</t>
        </is>
      </c>
      <c r="G127" s="20" t="n"/>
      <c r="H127" s="20" t="n"/>
      <c r="I127" s="20" t="n"/>
      <c r="J127" s="21" t="n"/>
      <c r="K127" s="20" t="n"/>
      <c r="L127" s="21" t="n"/>
      <c r="M127" s="20" t="n"/>
      <c r="N127" s="20" t="n"/>
    </row>
    <row r="128">
      <c r="A128" s="28">
        <f>Suppliers!A128</f>
        <v/>
      </c>
      <c r="B128" s="28">
        <f>Suppliers!B128</f>
        <v/>
      </c>
      <c r="C128" s="28">
        <f>Suppliers!E128</f>
        <v/>
      </c>
      <c r="D128" s="28">
        <f>Suppliers!D128</f>
        <v/>
      </c>
      <c r="E128" s="29" t="inlineStr">
        <is>
          <t>Company page</t>
        </is>
      </c>
      <c r="F128" s="29" t="inlineStr">
        <is>
          <t>Find people</t>
        </is>
      </c>
      <c r="G128" s="20" t="n"/>
      <c r="H128" s="20" t="n"/>
      <c r="I128" s="20" t="n"/>
      <c r="J128" s="21" t="n"/>
      <c r="K128" s="20" t="n"/>
      <c r="L128" s="21" t="n"/>
      <c r="M128" s="20" t="n"/>
      <c r="N128" s="20" t="n"/>
    </row>
    <row r="129">
      <c r="A129" s="28">
        <f>Suppliers!A129</f>
        <v/>
      </c>
      <c r="B129" s="28">
        <f>Suppliers!B129</f>
        <v/>
      </c>
      <c r="C129" s="28">
        <f>Suppliers!E129</f>
        <v/>
      </c>
      <c r="D129" s="28">
        <f>Suppliers!D129</f>
        <v/>
      </c>
      <c r="E129" s="29" t="inlineStr">
        <is>
          <t>Company page</t>
        </is>
      </c>
      <c r="F129" s="29" t="inlineStr">
        <is>
          <t>Find people</t>
        </is>
      </c>
      <c r="G129" s="20" t="n"/>
      <c r="H129" s="20" t="n"/>
      <c r="I129" s="20" t="n"/>
      <c r="J129" s="21" t="n"/>
      <c r="K129" s="20" t="n"/>
      <c r="L129" s="21" t="n"/>
      <c r="M129" s="20" t="n"/>
      <c r="N129" s="20" t="n"/>
    </row>
    <row r="130">
      <c r="A130" s="28">
        <f>Suppliers!A130</f>
        <v/>
      </c>
      <c r="B130" s="28">
        <f>Suppliers!B130</f>
        <v/>
      </c>
      <c r="C130" s="28">
        <f>Suppliers!E130</f>
        <v/>
      </c>
      <c r="D130" s="28">
        <f>Suppliers!D130</f>
        <v/>
      </c>
      <c r="E130" s="29" t="inlineStr">
        <is>
          <t>Company page</t>
        </is>
      </c>
      <c r="F130" s="29" t="inlineStr">
        <is>
          <t>Find people</t>
        </is>
      </c>
      <c r="G130" s="20" t="n"/>
      <c r="H130" s="20" t="n"/>
      <c r="I130" s="20" t="n"/>
      <c r="J130" s="21" t="n"/>
      <c r="K130" s="20" t="n"/>
      <c r="L130" s="21" t="n"/>
      <c r="M130" s="20" t="n"/>
      <c r="N130" s="20" t="n"/>
    </row>
    <row r="131">
      <c r="A131" s="28">
        <f>Suppliers!A131</f>
        <v/>
      </c>
      <c r="B131" s="28">
        <f>Suppliers!B131</f>
        <v/>
      </c>
      <c r="C131" s="28">
        <f>Suppliers!E131</f>
        <v/>
      </c>
      <c r="D131" s="28">
        <f>Suppliers!D131</f>
        <v/>
      </c>
      <c r="E131" s="29" t="inlineStr">
        <is>
          <t>Company page</t>
        </is>
      </c>
      <c r="F131" s="29" t="inlineStr">
        <is>
          <t>Find people</t>
        </is>
      </c>
      <c r="G131" s="20" t="n"/>
      <c r="H131" s="20" t="n"/>
      <c r="I131" s="20" t="n"/>
      <c r="J131" s="21" t="n"/>
      <c r="K131" s="20" t="n"/>
      <c r="L131" s="21" t="n"/>
      <c r="M131" s="20" t="n"/>
      <c r="N131" s="20" t="n"/>
    </row>
    <row r="132">
      <c r="A132" s="28">
        <f>Suppliers!A132</f>
        <v/>
      </c>
      <c r="B132" s="28">
        <f>Suppliers!B132</f>
        <v/>
      </c>
      <c r="C132" s="28">
        <f>Suppliers!E132</f>
        <v/>
      </c>
      <c r="D132" s="28">
        <f>Suppliers!D132</f>
        <v/>
      </c>
      <c r="E132" s="29" t="inlineStr">
        <is>
          <t>Company page</t>
        </is>
      </c>
      <c r="F132" s="29" t="inlineStr">
        <is>
          <t>Find people</t>
        </is>
      </c>
      <c r="G132" s="20" t="n"/>
      <c r="H132" s="20" t="n"/>
      <c r="I132" s="20" t="n"/>
      <c r="J132" s="21" t="n"/>
      <c r="K132" s="20" t="n"/>
      <c r="L132" s="21" t="n"/>
      <c r="M132" s="20" t="n"/>
      <c r="N132" s="20" t="n"/>
    </row>
    <row r="133">
      <c r="A133" s="28">
        <f>Suppliers!A133</f>
        <v/>
      </c>
      <c r="B133" s="28">
        <f>Suppliers!B133</f>
        <v/>
      </c>
      <c r="C133" s="28">
        <f>Suppliers!E133</f>
        <v/>
      </c>
      <c r="D133" s="28">
        <f>Suppliers!D133</f>
        <v/>
      </c>
      <c r="E133" s="29" t="inlineStr">
        <is>
          <t>Company page</t>
        </is>
      </c>
      <c r="F133" s="29" t="inlineStr">
        <is>
          <t>Find people</t>
        </is>
      </c>
      <c r="G133" s="20" t="n"/>
      <c r="H133" s="20" t="n"/>
      <c r="I133" s="20" t="n"/>
      <c r="J133" s="21" t="n"/>
      <c r="K133" s="20" t="n"/>
      <c r="L133" s="21" t="n"/>
      <c r="M133" s="20" t="n"/>
      <c r="N133" s="20" t="n"/>
    </row>
    <row r="134">
      <c r="A134" s="28">
        <f>Suppliers!A134</f>
        <v/>
      </c>
      <c r="B134" s="28">
        <f>Suppliers!B134</f>
        <v/>
      </c>
      <c r="C134" s="28">
        <f>Suppliers!E134</f>
        <v/>
      </c>
      <c r="D134" s="28">
        <f>Suppliers!D134</f>
        <v/>
      </c>
      <c r="E134" s="29" t="inlineStr">
        <is>
          <t>Company page</t>
        </is>
      </c>
      <c r="F134" s="29" t="inlineStr">
        <is>
          <t>Find people</t>
        </is>
      </c>
      <c r="G134" s="20" t="n"/>
      <c r="H134" s="20" t="n"/>
      <c r="I134" s="20" t="n"/>
      <c r="J134" s="21" t="n"/>
      <c r="K134" s="20" t="n"/>
      <c r="L134" s="21" t="n"/>
      <c r="M134" s="20" t="n"/>
      <c r="N134" s="20" t="n"/>
    </row>
    <row r="135">
      <c r="A135" s="28">
        <f>Suppliers!A135</f>
        <v/>
      </c>
      <c r="B135" s="28">
        <f>Suppliers!B135</f>
        <v/>
      </c>
      <c r="C135" s="28">
        <f>Suppliers!E135</f>
        <v/>
      </c>
      <c r="D135" s="28">
        <f>Suppliers!D135</f>
        <v/>
      </c>
      <c r="E135" s="29" t="inlineStr">
        <is>
          <t>Company page</t>
        </is>
      </c>
      <c r="F135" s="29" t="inlineStr">
        <is>
          <t>Find people</t>
        </is>
      </c>
      <c r="G135" s="20" t="n"/>
      <c r="H135" s="20" t="n"/>
      <c r="I135" s="20" t="n"/>
      <c r="J135" s="21" t="n"/>
      <c r="K135" s="20" t="n"/>
      <c r="L135" s="21" t="n"/>
      <c r="M135" s="20" t="n"/>
      <c r="N135" s="20" t="n"/>
    </row>
    <row r="136">
      <c r="A136" s="28">
        <f>Suppliers!A136</f>
        <v/>
      </c>
      <c r="B136" s="28">
        <f>Suppliers!B136</f>
        <v/>
      </c>
      <c r="C136" s="28">
        <f>Suppliers!E136</f>
        <v/>
      </c>
      <c r="D136" s="28">
        <f>Suppliers!D136</f>
        <v/>
      </c>
      <c r="E136" s="29" t="inlineStr">
        <is>
          <t>Company page</t>
        </is>
      </c>
      <c r="F136" s="29" t="inlineStr">
        <is>
          <t>Find people</t>
        </is>
      </c>
      <c r="G136" s="20" t="n"/>
      <c r="H136" s="20" t="n"/>
      <c r="I136" s="20" t="n"/>
      <c r="J136" s="21" t="n"/>
      <c r="K136" s="20" t="n"/>
      <c r="L136" s="21" t="n"/>
      <c r="M136" s="20" t="n"/>
      <c r="N136" s="20" t="n"/>
    </row>
    <row r="137">
      <c r="A137" s="28">
        <f>Suppliers!A137</f>
        <v/>
      </c>
      <c r="B137" s="28">
        <f>Suppliers!B137</f>
        <v/>
      </c>
      <c r="C137" s="28">
        <f>Suppliers!E137</f>
        <v/>
      </c>
      <c r="D137" s="28">
        <f>Suppliers!D137</f>
        <v/>
      </c>
      <c r="E137" s="29" t="inlineStr">
        <is>
          <t>Company page</t>
        </is>
      </c>
      <c r="F137" s="29" t="inlineStr">
        <is>
          <t>Find people</t>
        </is>
      </c>
      <c r="G137" s="20" t="n"/>
      <c r="H137" s="20" t="n"/>
      <c r="I137" s="20" t="n"/>
      <c r="J137" s="21" t="n"/>
      <c r="K137" s="20" t="n"/>
      <c r="L137" s="21" t="n"/>
      <c r="M137" s="20" t="n"/>
      <c r="N137" s="20" t="n"/>
    </row>
    <row r="138">
      <c r="A138" s="28">
        <f>Suppliers!A138</f>
        <v/>
      </c>
      <c r="B138" s="28">
        <f>Suppliers!B138</f>
        <v/>
      </c>
      <c r="C138" s="28">
        <f>Suppliers!E138</f>
        <v/>
      </c>
      <c r="D138" s="28">
        <f>Suppliers!D138</f>
        <v/>
      </c>
      <c r="E138" s="29" t="inlineStr">
        <is>
          <t>Company page</t>
        </is>
      </c>
      <c r="F138" s="29" t="inlineStr">
        <is>
          <t>Find people</t>
        </is>
      </c>
      <c r="G138" s="20" t="n"/>
      <c r="H138" s="20" t="n"/>
      <c r="I138" s="20" t="n"/>
      <c r="J138" s="21" t="n"/>
      <c r="K138" s="20" t="n"/>
      <c r="L138" s="21" t="n"/>
      <c r="M138" s="20" t="n"/>
      <c r="N138" s="20" t="n"/>
    </row>
    <row r="139">
      <c r="A139" s="28">
        <f>Suppliers!A139</f>
        <v/>
      </c>
      <c r="B139" s="28">
        <f>Suppliers!B139</f>
        <v/>
      </c>
      <c r="C139" s="28">
        <f>Suppliers!E139</f>
        <v/>
      </c>
      <c r="D139" s="28">
        <f>Suppliers!D139</f>
        <v/>
      </c>
      <c r="E139" s="29" t="inlineStr">
        <is>
          <t>Company page</t>
        </is>
      </c>
      <c r="F139" s="29" t="inlineStr">
        <is>
          <t>Find people</t>
        </is>
      </c>
      <c r="G139" s="20" t="n"/>
      <c r="H139" s="20" t="n"/>
      <c r="I139" s="20" t="n"/>
      <c r="J139" s="21" t="n"/>
      <c r="K139" s="20" t="n"/>
      <c r="L139" s="21" t="n"/>
      <c r="M139" s="20" t="n"/>
      <c r="N139" s="20" t="n"/>
    </row>
    <row r="140">
      <c r="A140" s="28">
        <f>Suppliers!A140</f>
        <v/>
      </c>
      <c r="B140" s="28">
        <f>Suppliers!B140</f>
        <v/>
      </c>
      <c r="C140" s="28">
        <f>Suppliers!E140</f>
        <v/>
      </c>
      <c r="D140" s="28">
        <f>Suppliers!D140</f>
        <v/>
      </c>
      <c r="E140" s="29" t="inlineStr">
        <is>
          <t>Company page</t>
        </is>
      </c>
      <c r="F140" s="29" t="inlineStr">
        <is>
          <t>Find people</t>
        </is>
      </c>
      <c r="G140" s="20" t="n"/>
      <c r="H140" s="20" t="n"/>
      <c r="I140" s="20" t="n"/>
      <c r="J140" s="21" t="n"/>
      <c r="K140" s="20" t="n"/>
      <c r="L140" s="21" t="n"/>
      <c r="M140" s="20" t="n"/>
      <c r="N140" s="20" t="n"/>
    </row>
    <row r="141">
      <c r="A141" s="28">
        <f>Suppliers!A141</f>
        <v/>
      </c>
      <c r="B141" s="28">
        <f>Suppliers!B141</f>
        <v/>
      </c>
      <c r="C141" s="28">
        <f>Suppliers!E141</f>
        <v/>
      </c>
      <c r="D141" s="28">
        <f>Suppliers!D141</f>
        <v/>
      </c>
      <c r="E141" s="29" t="inlineStr">
        <is>
          <t>Company page</t>
        </is>
      </c>
      <c r="F141" s="29" t="inlineStr">
        <is>
          <t>Find people</t>
        </is>
      </c>
      <c r="G141" s="20" t="n"/>
      <c r="H141" s="20" t="n"/>
      <c r="I141" s="20" t="n"/>
      <c r="J141" s="21" t="n"/>
      <c r="K141" s="20" t="n"/>
      <c r="L141" s="21" t="n"/>
      <c r="M141" s="20" t="n"/>
      <c r="N141" s="20" t="n"/>
    </row>
    <row r="142">
      <c r="A142" s="28">
        <f>Suppliers!A142</f>
        <v/>
      </c>
      <c r="B142" s="28">
        <f>Suppliers!B142</f>
        <v/>
      </c>
      <c r="C142" s="28">
        <f>Suppliers!E142</f>
        <v/>
      </c>
      <c r="D142" s="28">
        <f>Suppliers!D142</f>
        <v/>
      </c>
      <c r="E142" s="29" t="inlineStr">
        <is>
          <t>Company page</t>
        </is>
      </c>
      <c r="F142" s="29" t="inlineStr">
        <is>
          <t>Find people</t>
        </is>
      </c>
      <c r="G142" s="20" t="n"/>
      <c r="H142" s="20" t="n"/>
      <c r="I142" s="20" t="n"/>
      <c r="J142" s="21" t="n"/>
      <c r="K142" s="20" t="n"/>
      <c r="L142" s="21" t="n"/>
      <c r="M142" s="20" t="n"/>
      <c r="N142" s="20" t="n"/>
    </row>
    <row r="143">
      <c r="A143" s="28">
        <f>Suppliers!A143</f>
        <v/>
      </c>
      <c r="B143" s="28">
        <f>Suppliers!B143</f>
        <v/>
      </c>
      <c r="C143" s="28">
        <f>Suppliers!E143</f>
        <v/>
      </c>
      <c r="D143" s="28">
        <f>Suppliers!D143</f>
        <v/>
      </c>
      <c r="E143" s="29" t="inlineStr">
        <is>
          <t>Company page</t>
        </is>
      </c>
      <c r="F143" s="29" t="inlineStr">
        <is>
          <t>Find people</t>
        </is>
      </c>
      <c r="G143" s="20" t="n"/>
      <c r="H143" s="20" t="n"/>
      <c r="I143" s="20" t="n"/>
      <c r="J143" s="21" t="n"/>
      <c r="K143" s="20" t="n"/>
      <c r="L143" s="21" t="n"/>
      <c r="M143" s="20" t="n"/>
      <c r="N143" s="20" t="n"/>
    </row>
    <row r="144">
      <c r="A144" s="28">
        <f>Suppliers!A144</f>
        <v/>
      </c>
      <c r="B144" s="28">
        <f>Suppliers!B144</f>
        <v/>
      </c>
      <c r="C144" s="28">
        <f>Suppliers!E144</f>
        <v/>
      </c>
      <c r="D144" s="28">
        <f>Suppliers!D144</f>
        <v/>
      </c>
      <c r="E144" s="29" t="inlineStr">
        <is>
          <t>Company page</t>
        </is>
      </c>
      <c r="F144" s="29" t="inlineStr">
        <is>
          <t>Find people</t>
        </is>
      </c>
      <c r="G144" s="20" t="n"/>
      <c r="H144" s="20" t="n"/>
      <c r="I144" s="20" t="n"/>
      <c r="J144" s="21" t="n"/>
      <c r="K144" s="20" t="n"/>
      <c r="L144" s="21" t="n"/>
      <c r="M144" s="20" t="n"/>
      <c r="N144" s="20" t="n"/>
    </row>
    <row r="145">
      <c r="A145" s="28">
        <f>Suppliers!A145</f>
        <v/>
      </c>
      <c r="B145" s="28">
        <f>Suppliers!B145</f>
        <v/>
      </c>
      <c r="C145" s="28">
        <f>Suppliers!E145</f>
        <v/>
      </c>
      <c r="D145" s="28">
        <f>Suppliers!D145</f>
        <v/>
      </c>
      <c r="E145" s="29" t="inlineStr">
        <is>
          <t>Company page</t>
        </is>
      </c>
      <c r="F145" s="29" t="inlineStr">
        <is>
          <t>Find people</t>
        </is>
      </c>
      <c r="G145" s="20" t="n"/>
      <c r="H145" s="20" t="n"/>
      <c r="I145" s="20" t="n"/>
      <c r="J145" s="21" t="n"/>
      <c r="K145" s="20" t="n"/>
      <c r="L145" s="21" t="n"/>
      <c r="M145" s="20" t="n"/>
      <c r="N145" s="20" t="n"/>
    </row>
    <row r="146">
      <c r="A146" s="28">
        <f>Suppliers!A146</f>
        <v/>
      </c>
      <c r="B146" s="28">
        <f>Suppliers!B146</f>
        <v/>
      </c>
      <c r="C146" s="28">
        <f>Suppliers!E146</f>
        <v/>
      </c>
      <c r="D146" s="28">
        <f>Suppliers!D146</f>
        <v/>
      </c>
      <c r="E146" s="29" t="inlineStr">
        <is>
          <t>Company page</t>
        </is>
      </c>
      <c r="F146" s="29" t="inlineStr">
        <is>
          <t>Find people</t>
        </is>
      </c>
      <c r="G146" s="20" t="n"/>
      <c r="H146" s="20" t="n"/>
      <c r="I146" s="20" t="n"/>
      <c r="J146" s="21" t="n"/>
      <c r="K146" s="20" t="n"/>
      <c r="L146" s="21" t="n"/>
      <c r="M146" s="20" t="n"/>
      <c r="N146" s="20" t="n"/>
    </row>
    <row r="147">
      <c r="A147" s="28">
        <f>Suppliers!A147</f>
        <v/>
      </c>
      <c r="B147" s="28">
        <f>Suppliers!B147</f>
        <v/>
      </c>
      <c r="C147" s="28">
        <f>Suppliers!E147</f>
        <v/>
      </c>
      <c r="D147" s="28">
        <f>Suppliers!D147</f>
        <v/>
      </c>
      <c r="E147" s="29" t="inlineStr">
        <is>
          <t>Company page</t>
        </is>
      </c>
      <c r="F147" s="29" t="inlineStr">
        <is>
          <t>Find people</t>
        </is>
      </c>
      <c r="G147" s="20" t="n"/>
      <c r="H147" s="20" t="n"/>
      <c r="I147" s="20" t="n"/>
      <c r="J147" s="21" t="n"/>
      <c r="K147" s="20" t="n"/>
      <c r="L147" s="21" t="n"/>
      <c r="M147" s="20" t="n"/>
      <c r="N147" s="20" t="n"/>
    </row>
    <row r="148">
      <c r="A148" s="28">
        <f>Suppliers!A148</f>
        <v/>
      </c>
      <c r="B148" s="28">
        <f>Suppliers!B148</f>
        <v/>
      </c>
      <c r="C148" s="28">
        <f>Suppliers!E148</f>
        <v/>
      </c>
      <c r="D148" s="28">
        <f>Suppliers!D148</f>
        <v/>
      </c>
      <c r="E148" s="29" t="inlineStr">
        <is>
          <t>Company page</t>
        </is>
      </c>
      <c r="F148" s="29" t="inlineStr">
        <is>
          <t>Find people</t>
        </is>
      </c>
      <c r="G148" s="20" t="n"/>
      <c r="H148" s="20" t="n"/>
      <c r="I148" s="20" t="n"/>
      <c r="J148" s="21" t="n"/>
      <c r="K148" s="20" t="n"/>
      <c r="L148" s="21" t="n"/>
      <c r="M148" s="20" t="n"/>
      <c r="N148" s="20" t="n"/>
    </row>
    <row r="149">
      <c r="A149" s="28">
        <f>Suppliers!A149</f>
        <v/>
      </c>
      <c r="B149" s="28">
        <f>Suppliers!B149</f>
        <v/>
      </c>
      <c r="C149" s="28">
        <f>Suppliers!E149</f>
        <v/>
      </c>
      <c r="D149" s="28">
        <f>Suppliers!D149</f>
        <v/>
      </c>
      <c r="E149" s="29" t="inlineStr">
        <is>
          <t>Company page</t>
        </is>
      </c>
      <c r="F149" s="29" t="inlineStr">
        <is>
          <t>Find people</t>
        </is>
      </c>
      <c r="G149" s="20" t="n"/>
      <c r="H149" s="20" t="n"/>
      <c r="I149" s="20" t="n"/>
      <c r="J149" s="21" t="n"/>
      <c r="K149" s="20" t="n"/>
      <c r="L149" s="21" t="n"/>
      <c r="M149" s="20" t="n"/>
      <c r="N149" s="20" t="n"/>
    </row>
    <row r="150">
      <c r="A150" s="28">
        <f>Suppliers!A150</f>
        <v/>
      </c>
      <c r="B150" s="28">
        <f>Suppliers!B150</f>
        <v/>
      </c>
      <c r="C150" s="28">
        <f>Suppliers!E150</f>
        <v/>
      </c>
      <c r="D150" s="28">
        <f>Suppliers!D150</f>
        <v/>
      </c>
      <c r="E150" s="29" t="inlineStr">
        <is>
          <t>Company page</t>
        </is>
      </c>
      <c r="F150" s="29" t="inlineStr">
        <is>
          <t>Find people</t>
        </is>
      </c>
      <c r="G150" s="20" t="n"/>
      <c r="H150" s="20" t="n"/>
      <c r="I150" s="20" t="n"/>
      <c r="J150" s="21" t="n"/>
      <c r="K150" s="20" t="n"/>
      <c r="L150" s="21" t="n"/>
      <c r="M150" s="20" t="n"/>
      <c r="N150" s="20" t="n"/>
    </row>
    <row r="151">
      <c r="A151" s="28">
        <f>Suppliers!A151</f>
        <v/>
      </c>
      <c r="B151" s="28">
        <f>Suppliers!B151</f>
        <v/>
      </c>
      <c r="C151" s="28">
        <f>Suppliers!E151</f>
        <v/>
      </c>
      <c r="D151" s="28">
        <f>Suppliers!D151</f>
        <v/>
      </c>
      <c r="E151" s="29" t="inlineStr">
        <is>
          <t>Company page</t>
        </is>
      </c>
      <c r="F151" s="29" t="inlineStr">
        <is>
          <t>Find people</t>
        </is>
      </c>
      <c r="G151" s="20" t="n"/>
      <c r="H151" s="20" t="n"/>
      <c r="I151" s="20" t="n"/>
      <c r="J151" s="21" t="n"/>
      <c r="K151" s="20" t="n"/>
      <c r="L151" s="21" t="n"/>
      <c r="M151" s="20" t="n"/>
      <c r="N151" s="20" t="n"/>
    </row>
    <row r="152">
      <c r="A152" s="28">
        <f>Suppliers!A152</f>
        <v/>
      </c>
      <c r="B152" s="28">
        <f>Suppliers!B152</f>
        <v/>
      </c>
      <c r="C152" s="28">
        <f>Suppliers!E152</f>
        <v/>
      </c>
      <c r="D152" s="28">
        <f>Suppliers!D152</f>
        <v/>
      </c>
      <c r="E152" s="29" t="inlineStr">
        <is>
          <t>Company page</t>
        </is>
      </c>
      <c r="F152" s="29" t="inlineStr">
        <is>
          <t>Find people</t>
        </is>
      </c>
      <c r="G152" s="20" t="n"/>
      <c r="H152" s="20" t="n"/>
      <c r="I152" s="20" t="n"/>
      <c r="J152" s="21" t="n"/>
      <c r="K152" s="20" t="n"/>
      <c r="L152" s="21" t="n"/>
      <c r="M152" s="20" t="n"/>
      <c r="N152" s="20" t="n"/>
    </row>
    <row r="153">
      <c r="A153" s="28">
        <f>Suppliers!A153</f>
        <v/>
      </c>
      <c r="B153" s="28">
        <f>Suppliers!B153</f>
        <v/>
      </c>
      <c r="C153" s="28">
        <f>Suppliers!E153</f>
        <v/>
      </c>
      <c r="D153" s="28">
        <f>Suppliers!D153</f>
        <v/>
      </c>
      <c r="E153" s="29" t="inlineStr">
        <is>
          <t>Company page</t>
        </is>
      </c>
      <c r="F153" s="29" t="inlineStr">
        <is>
          <t>Find people</t>
        </is>
      </c>
      <c r="G153" s="20" t="n"/>
      <c r="H153" s="20" t="n"/>
      <c r="I153" s="20" t="n"/>
      <c r="J153" s="21" t="n"/>
      <c r="K153" s="20" t="n"/>
      <c r="L153" s="21" t="n"/>
      <c r="M153" s="20" t="n"/>
      <c r="N153" s="20" t="n"/>
    </row>
    <row r="154">
      <c r="A154" s="28">
        <f>Suppliers!A154</f>
        <v/>
      </c>
      <c r="B154" s="28">
        <f>Suppliers!B154</f>
        <v/>
      </c>
      <c r="C154" s="28">
        <f>Suppliers!E154</f>
        <v/>
      </c>
      <c r="D154" s="28">
        <f>Suppliers!D154</f>
        <v/>
      </c>
      <c r="E154" s="29" t="inlineStr">
        <is>
          <t>Company page</t>
        </is>
      </c>
      <c r="F154" s="29" t="inlineStr">
        <is>
          <t>Find people</t>
        </is>
      </c>
      <c r="G154" s="20" t="n"/>
      <c r="H154" s="20" t="n"/>
      <c r="I154" s="20" t="n"/>
      <c r="J154" s="21" t="n"/>
      <c r="K154" s="20" t="n"/>
      <c r="L154" s="21" t="n"/>
      <c r="M154" s="20" t="n"/>
      <c r="N154" s="20" t="n"/>
    </row>
    <row r="155">
      <c r="A155" s="28">
        <f>Suppliers!A155</f>
        <v/>
      </c>
      <c r="B155" s="28">
        <f>Suppliers!B155</f>
        <v/>
      </c>
      <c r="C155" s="28">
        <f>Suppliers!E155</f>
        <v/>
      </c>
      <c r="D155" s="28">
        <f>Suppliers!D155</f>
        <v/>
      </c>
      <c r="E155" s="29" t="inlineStr">
        <is>
          <t>Company page</t>
        </is>
      </c>
      <c r="F155" s="29" t="inlineStr">
        <is>
          <t>Find people</t>
        </is>
      </c>
      <c r="G155" s="20" t="n"/>
      <c r="H155" s="20" t="n"/>
      <c r="I155" s="20" t="n"/>
      <c r="J155" s="21" t="n"/>
      <c r="K155" s="20" t="n"/>
      <c r="L155" s="21" t="n"/>
      <c r="M155" s="20" t="n"/>
      <c r="N155" s="20" t="n"/>
    </row>
    <row r="156">
      <c r="A156" s="28">
        <f>Suppliers!A156</f>
        <v/>
      </c>
      <c r="B156" s="28">
        <f>Suppliers!B156</f>
        <v/>
      </c>
      <c r="C156" s="28">
        <f>Suppliers!E156</f>
        <v/>
      </c>
      <c r="D156" s="28">
        <f>Suppliers!D156</f>
        <v/>
      </c>
      <c r="E156" s="29" t="inlineStr">
        <is>
          <t>Company page</t>
        </is>
      </c>
      <c r="F156" s="29" t="inlineStr">
        <is>
          <t>Find people</t>
        </is>
      </c>
      <c r="G156" s="20" t="n"/>
      <c r="H156" s="20" t="n"/>
      <c r="I156" s="20" t="n"/>
      <c r="J156" s="21" t="n"/>
      <c r="K156" s="20" t="n"/>
      <c r="L156" s="21" t="n"/>
      <c r="M156" s="20" t="n"/>
      <c r="N156" s="20" t="n"/>
    </row>
    <row r="157">
      <c r="A157" s="28">
        <f>Suppliers!A157</f>
        <v/>
      </c>
      <c r="B157" s="28">
        <f>Suppliers!B157</f>
        <v/>
      </c>
      <c r="C157" s="28">
        <f>Suppliers!E157</f>
        <v/>
      </c>
      <c r="D157" s="28">
        <f>Suppliers!D157</f>
        <v/>
      </c>
      <c r="E157" s="29" t="inlineStr">
        <is>
          <t>Company page</t>
        </is>
      </c>
      <c r="F157" s="29" t="inlineStr">
        <is>
          <t>Find people</t>
        </is>
      </c>
      <c r="G157" s="20" t="n"/>
      <c r="H157" s="20" t="n"/>
      <c r="I157" s="20" t="n"/>
      <c r="J157" s="21" t="n"/>
      <c r="K157" s="20" t="n"/>
      <c r="L157" s="21" t="n"/>
      <c r="M157" s="20" t="n"/>
      <c r="N157" s="20" t="n"/>
    </row>
    <row r="158">
      <c r="A158" s="28">
        <f>Suppliers!A158</f>
        <v/>
      </c>
      <c r="B158" s="28">
        <f>Suppliers!B158</f>
        <v/>
      </c>
      <c r="C158" s="28">
        <f>Suppliers!E158</f>
        <v/>
      </c>
      <c r="D158" s="28">
        <f>Suppliers!D158</f>
        <v/>
      </c>
      <c r="E158" s="29" t="inlineStr">
        <is>
          <t>Company page</t>
        </is>
      </c>
      <c r="F158" s="29" t="inlineStr">
        <is>
          <t>Find people</t>
        </is>
      </c>
      <c r="G158" s="20" t="n"/>
      <c r="H158" s="20" t="n"/>
      <c r="I158" s="20" t="n"/>
      <c r="J158" s="21" t="n"/>
      <c r="K158" s="20" t="n"/>
      <c r="L158" s="21" t="n"/>
      <c r="M158" s="20" t="n"/>
      <c r="N158" s="20" t="n"/>
    </row>
    <row r="159">
      <c r="A159" s="28">
        <f>Suppliers!A159</f>
        <v/>
      </c>
      <c r="B159" s="28">
        <f>Suppliers!B159</f>
        <v/>
      </c>
      <c r="C159" s="28">
        <f>Suppliers!E159</f>
        <v/>
      </c>
      <c r="D159" s="28">
        <f>Suppliers!D159</f>
        <v/>
      </c>
      <c r="E159" s="29" t="inlineStr">
        <is>
          <t>Company page</t>
        </is>
      </c>
      <c r="F159" s="29" t="inlineStr">
        <is>
          <t>Find people</t>
        </is>
      </c>
      <c r="G159" s="20" t="n"/>
      <c r="H159" s="20" t="n"/>
      <c r="I159" s="20" t="n"/>
      <c r="J159" s="21" t="n"/>
      <c r="K159" s="20" t="n"/>
      <c r="L159" s="21" t="n"/>
      <c r="M159" s="20" t="n"/>
      <c r="N159" s="20" t="n"/>
    </row>
    <row r="160">
      <c r="A160" s="28">
        <f>Suppliers!A160</f>
        <v/>
      </c>
      <c r="B160" s="28">
        <f>Suppliers!B160</f>
        <v/>
      </c>
      <c r="C160" s="28">
        <f>Suppliers!E160</f>
        <v/>
      </c>
      <c r="D160" s="28">
        <f>Suppliers!D160</f>
        <v/>
      </c>
      <c r="E160" s="29" t="inlineStr">
        <is>
          <t>Company page</t>
        </is>
      </c>
      <c r="F160" s="29" t="inlineStr">
        <is>
          <t>Find people</t>
        </is>
      </c>
      <c r="G160" s="20" t="n"/>
      <c r="H160" s="20" t="n"/>
      <c r="I160" s="20" t="n"/>
      <c r="J160" s="21" t="n"/>
      <c r="K160" s="20" t="n"/>
      <c r="L160" s="21" t="n"/>
      <c r="M160" s="20" t="n"/>
      <c r="N160" s="20" t="n"/>
    </row>
    <row r="161">
      <c r="A161" s="28">
        <f>Suppliers!A161</f>
        <v/>
      </c>
      <c r="B161" s="28">
        <f>Suppliers!B161</f>
        <v/>
      </c>
      <c r="C161" s="28">
        <f>Suppliers!E161</f>
        <v/>
      </c>
      <c r="D161" s="28">
        <f>Suppliers!D161</f>
        <v/>
      </c>
      <c r="E161" s="29" t="inlineStr">
        <is>
          <t>Company page</t>
        </is>
      </c>
      <c r="F161" s="29" t="inlineStr">
        <is>
          <t>Find people</t>
        </is>
      </c>
      <c r="G161" s="20" t="n"/>
      <c r="H161" s="20" t="n"/>
      <c r="I161" s="20" t="n"/>
      <c r="J161" s="21" t="n"/>
      <c r="K161" s="20" t="n"/>
      <c r="L161" s="21" t="n"/>
      <c r="M161" s="20" t="n"/>
      <c r="N161" s="20" t="n"/>
    </row>
    <row r="162">
      <c r="A162" s="28">
        <f>Suppliers!A162</f>
        <v/>
      </c>
      <c r="B162" s="28">
        <f>Suppliers!B162</f>
        <v/>
      </c>
      <c r="C162" s="28">
        <f>Suppliers!E162</f>
        <v/>
      </c>
      <c r="D162" s="28">
        <f>Suppliers!D162</f>
        <v/>
      </c>
      <c r="E162" s="29" t="inlineStr">
        <is>
          <t>Company page</t>
        </is>
      </c>
      <c r="F162" s="29" t="inlineStr">
        <is>
          <t>Find people</t>
        </is>
      </c>
      <c r="G162" s="20" t="n"/>
      <c r="H162" s="20" t="n"/>
      <c r="I162" s="20" t="n"/>
      <c r="J162" s="21" t="n"/>
      <c r="K162" s="20" t="n"/>
      <c r="L162" s="21" t="n"/>
      <c r="M162" s="20" t="n"/>
      <c r="N162" s="20" t="n"/>
    </row>
    <row r="163">
      <c r="A163" s="28">
        <f>Suppliers!A163</f>
        <v/>
      </c>
      <c r="B163" s="28">
        <f>Suppliers!B163</f>
        <v/>
      </c>
      <c r="C163" s="28">
        <f>Suppliers!E163</f>
        <v/>
      </c>
      <c r="D163" s="28">
        <f>Suppliers!D163</f>
        <v/>
      </c>
      <c r="E163" s="29" t="inlineStr">
        <is>
          <t>Company page</t>
        </is>
      </c>
      <c r="F163" s="29" t="inlineStr">
        <is>
          <t>Find people</t>
        </is>
      </c>
      <c r="G163" s="20" t="n"/>
      <c r="H163" s="20" t="n"/>
      <c r="I163" s="20" t="n"/>
      <c r="J163" s="21" t="n"/>
      <c r="K163" s="20" t="n"/>
      <c r="L163" s="21" t="n"/>
      <c r="M163" s="20" t="n"/>
      <c r="N163" s="20" t="n"/>
    </row>
    <row r="164">
      <c r="A164" s="28">
        <f>Suppliers!A164</f>
        <v/>
      </c>
      <c r="B164" s="28">
        <f>Suppliers!B164</f>
        <v/>
      </c>
      <c r="C164" s="28">
        <f>Suppliers!E164</f>
        <v/>
      </c>
      <c r="D164" s="28">
        <f>Suppliers!D164</f>
        <v/>
      </c>
      <c r="E164" s="29" t="inlineStr">
        <is>
          <t>Company page</t>
        </is>
      </c>
      <c r="F164" s="29" t="inlineStr">
        <is>
          <t>Find people</t>
        </is>
      </c>
      <c r="G164" s="20" t="n"/>
      <c r="H164" s="20" t="n"/>
      <c r="I164" s="20" t="n"/>
      <c r="J164" s="21" t="n"/>
      <c r="K164" s="20" t="n"/>
      <c r="L164" s="21" t="n"/>
      <c r="M164" s="20" t="n"/>
      <c r="N164" s="20" t="n"/>
    </row>
    <row r="165">
      <c r="A165" s="28">
        <f>Suppliers!A165</f>
        <v/>
      </c>
      <c r="B165" s="28">
        <f>Suppliers!B165</f>
        <v/>
      </c>
      <c r="C165" s="28">
        <f>Suppliers!E165</f>
        <v/>
      </c>
      <c r="D165" s="28">
        <f>Suppliers!D165</f>
        <v/>
      </c>
      <c r="E165" s="29" t="inlineStr">
        <is>
          <t>Company page</t>
        </is>
      </c>
      <c r="F165" s="29" t="inlineStr">
        <is>
          <t>Find people</t>
        </is>
      </c>
      <c r="G165" s="20" t="n"/>
      <c r="H165" s="20" t="n"/>
      <c r="I165" s="20" t="n"/>
      <c r="J165" s="21" t="n"/>
      <c r="K165" s="20" t="n"/>
      <c r="L165" s="21" t="n"/>
      <c r="M165" s="20" t="n"/>
      <c r="N165" s="20" t="n"/>
    </row>
    <row r="166">
      <c r="A166" s="28">
        <f>Suppliers!A166</f>
        <v/>
      </c>
      <c r="B166" s="28">
        <f>Suppliers!B166</f>
        <v/>
      </c>
      <c r="C166" s="28">
        <f>Suppliers!E166</f>
        <v/>
      </c>
      <c r="D166" s="28">
        <f>Suppliers!D166</f>
        <v/>
      </c>
      <c r="E166" s="29" t="inlineStr">
        <is>
          <t>Company page</t>
        </is>
      </c>
      <c r="F166" s="29" t="inlineStr">
        <is>
          <t>Find people</t>
        </is>
      </c>
      <c r="G166" s="20" t="n"/>
      <c r="H166" s="20" t="n"/>
      <c r="I166" s="20" t="n"/>
      <c r="J166" s="21" t="n"/>
      <c r="K166" s="20" t="n"/>
      <c r="L166" s="21" t="n"/>
      <c r="M166" s="20" t="n"/>
      <c r="N166" s="20" t="n"/>
    </row>
    <row r="167">
      <c r="A167" s="28">
        <f>Suppliers!A167</f>
        <v/>
      </c>
      <c r="B167" s="28">
        <f>Suppliers!B167</f>
        <v/>
      </c>
      <c r="C167" s="28">
        <f>Suppliers!E167</f>
        <v/>
      </c>
      <c r="D167" s="28">
        <f>Suppliers!D167</f>
        <v/>
      </c>
      <c r="E167" s="29" t="inlineStr">
        <is>
          <t>Company page</t>
        </is>
      </c>
      <c r="F167" s="29" t="inlineStr">
        <is>
          <t>Find people</t>
        </is>
      </c>
      <c r="G167" s="20" t="n"/>
      <c r="H167" s="20" t="n"/>
      <c r="I167" s="20" t="n"/>
      <c r="J167" s="21" t="n"/>
      <c r="K167" s="20" t="n"/>
      <c r="L167" s="21" t="n"/>
      <c r="M167" s="20" t="n"/>
      <c r="N167" s="20" t="n"/>
    </row>
    <row r="168">
      <c r="A168" s="28">
        <f>Suppliers!A168</f>
        <v/>
      </c>
      <c r="B168" s="28">
        <f>Suppliers!B168</f>
        <v/>
      </c>
      <c r="C168" s="28">
        <f>Suppliers!E168</f>
        <v/>
      </c>
      <c r="D168" s="28">
        <f>Suppliers!D168</f>
        <v/>
      </c>
      <c r="E168" s="29" t="inlineStr">
        <is>
          <t>Company page</t>
        </is>
      </c>
      <c r="F168" s="29" t="inlineStr">
        <is>
          <t>Find people</t>
        </is>
      </c>
      <c r="G168" s="20" t="n"/>
      <c r="H168" s="20" t="n"/>
      <c r="I168" s="20" t="n"/>
      <c r="J168" s="21" t="n"/>
      <c r="K168" s="20" t="n"/>
      <c r="L168" s="21" t="n"/>
      <c r="M168" s="20" t="n"/>
      <c r="N168" s="20" t="n"/>
    </row>
    <row r="169">
      <c r="A169" s="28">
        <f>Suppliers!A169</f>
        <v/>
      </c>
      <c r="B169" s="28">
        <f>Suppliers!B169</f>
        <v/>
      </c>
      <c r="C169" s="28">
        <f>Suppliers!E169</f>
        <v/>
      </c>
      <c r="D169" s="28">
        <f>Suppliers!D169</f>
        <v/>
      </c>
      <c r="E169" s="29" t="inlineStr">
        <is>
          <t>Company page</t>
        </is>
      </c>
      <c r="F169" s="29" t="inlineStr">
        <is>
          <t>Find people</t>
        </is>
      </c>
      <c r="G169" s="20" t="n"/>
      <c r="H169" s="20" t="n"/>
      <c r="I169" s="20" t="n"/>
      <c r="J169" s="21" t="n"/>
      <c r="K169" s="20" t="n"/>
      <c r="L169" s="21" t="n"/>
      <c r="M169" s="20" t="n"/>
      <c r="N169" s="20" t="n"/>
    </row>
    <row r="170">
      <c r="A170" s="28">
        <f>Suppliers!A170</f>
        <v/>
      </c>
      <c r="B170" s="28">
        <f>Suppliers!B170</f>
        <v/>
      </c>
      <c r="C170" s="28">
        <f>Suppliers!E170</f>
        <v/>
      </c>
      <c r="D170" s="28">
        <f>Suppliers!D170</f>
        <v/>
      </c>
      <c r="E170" s="29" t="inlineStr">
        <is>
          <t>Company page</t>
        </is>
      </c>
      <c r="F170" s="29" t="inlineStr">
        <is>
          <t>Find people</t>
        </is>
      </c>
      <c r="G170" s="20" t="n"/>
      <c r="H170" s="20" t="n"/>
      <c r="I170" s="20" t="n"/>
      <c r="J170" s="21" t="n"/>
      <c r="K170" s="20" t="n"/>
      <c r="L170" s="21" t="n"/>
      <c r="M170" s="20" t="n"/>
      <c r="N170" s="20" t="n"/>
    </row>
    <row r="171">
      <c r="A171" s="28">
        <f>Suppliers!A171</f>
        <v/>
      </c>
      <c r="B171" s="28">
        <f>Suppliers!B171</f>
        <v/>
      </c>
      <c r="C171" s="28">
        <f>Suppliers!E171</f>
        <v/>
      </c>
      <c r="D171" s="28">
        <f>Suppliers!D171</f>
        <v/>
      </c>
      <c r="E171" s="29" t="inlineStr">
        <is>
          <t>Company page</t>
        </is>
      </c>
      <c r="F171" s="29" t="inlineStr">
        <is>
          <t>Find people</t>
        </is>
      </c>
      <c r="G171" s="20" t="n"/>
      <c r="H171" s="20" t="n"/>
      <c r="I171" s="20" t="n"/>
      <c r="J171" s="21" t="n"/>
      <c r="K171" s="20" t="n"/>
      <c r="L171" s="21" t="n"/>
      <c r="M171" s="20" t="n"/>
      <c r="N171" s="20" t="n"/>
    </row>
    <row r="172">
      <c r="A172" s="28">
        <f>Suppliers!A172</f>
        <v/>
      </c>
      <c r="B172" s="28">
        <f>Suppliers!B172</f>
        <v/>
      </c>
      <c r="C172" s="28">
        <f>Suppliers!E172</f>
        <v/>
      </c>
      <c r="D172" s="28">
        <f>Suppliers!D172</f>
        <v/>
      </c>
      <c r="E172" s="29" t="inlineStr">
        <is>
          <t>Company page</t>
        </is>
      </c>
      <c r="F172" s="29" t="inlineStr">
        <is>
          <t>Find people</t>
        </is>
      </c>
      <c r="G172" s="20" t="n"/>
      <c r="H172" s="20" t="n"/>
      <c r="I172" s="20" t="n"/>
      <c r="J172" s="21" t="n"/>
      <c r="K172" s="20" t="n"/>
      <c r="L172" s="21" t="n"/>
      <c r="M172" s="20" t="n"/>
      <c r="N172" s="20" t="n"/>
    </row>
    <row r="173">
      <c r="A173" s="28">
        <f>Suppliers!A173</f>
        <v/>
      </c>
      <c r="B173" s="28">
        <f>Suppliers!B173</f>
        <v/>
      </c>
      <c r="C173" s="28">
        <f>Suppliers!E173</f>
        <v/>
      </c>
      <c r="D173" s="28">
        <f>Suppliers!D173</f>
        <v/>
      </c>
      <c r="E173" s="29" t="inlineStr">
        <is>
          <t>Company page</t>
        </is>
      </c>
      <c r="F173" s="29" t="inlineStr">
        <is>
          <t>Find people</t>
        </is>
      </c>
      <c r="G173" s="20" t="n"/>
      <c r="H173" s="20" t="n"/>
      <c r="I173" s="20" t="n"/>
      <c r="J173" s="21" t="n"/>
      <c r="K173" s="20" t="n"/>
      <c r="L173" s="21" t="n"/>
      <c r="M173" s="20" t="n"/>
      <c r="N173" s="20" t="n"/>
    </row>
    <row r="174">
      <c r="A174" s="28">
        <f>Suppliers!A174</f>
        <v/>
      </c>
      <c r="B174" s="28">
        <f>Suppliers!B174</f>
        <v/>
      </c>
      <c r="C174" s="28">
        <f>Suppliers!E174</f>
        <v/>
      </c>
      <c r="D174" s="28">
        <f>Suppliers!D174</f>
        <v/>
      </c>
      <c r="E174" s="29" t="inlineStr">
        <is>
          <t>Company page</t>
        </is>
      </c>
      <c r="F174" s="29" t="inlineStr">
        <is>
          <t>Find people</t>
        </is>
      </c>
      <c r="G174" s="20" t="n"/>
      <c r="H174" s="20" t="n"/>
      <c r="I174" s="20" t="n"/>
      <c r="J174" s="21" t="n"/>
      <c r="K174" s="20" t="n"/>
      <c r="L174" s="21" t="n"/>
      <c r="M174" s="20" t="n"/>
      <c r="N174" s="20" t="n"/>
    </row>
    <row r="175">
      <c r="A175" s="28">
        <f>Suppliers!A175</f>
        <v/>
      </c>
      <c r="B175" s="28">
        <f>Suppliers!B175</f>
        <v/>
      </c>
      <c r="C175" s="28">
        <f>Suppliers!E175</f>
        <v/>
      </c>
      <c r="D175" s="28">
        <f>Suppliers!D175</f>
        <v/>
      </c>
      <c r="E175" s="29" t="inlineStr">
        <is>
          <t>Company page</t>
        </is>
      </c>
      <c r="F175" s="29" t="inlineStr">
        <is>
          <t>Find people</t>
        </is>
      </c>
      <c r="G175" s="20" t="n"/>
      <c r="H175" s="20" t="n"/>
      <c r="I175" s="20" t="n"/>
      <c r="J175" s="21" t="n"/>
      <c r="K175" s="20" t="n"/>
      <c r="L175" s="21" t="n"/>
      <c r="M175" s="20" t="n"/>
      <c r="N175" s="20" t="n"/>
    </row>
    <row r="176">
      <c r="A176" s="28">
        <f>Suppliers!A176</f>
        <v/>
      </c>
      <c r="B176" s="28">
        <f>Suppliers!B176</f>
        <v/>
      </c>
      <c r="C176" s="28">
        <f>Suppliers!E176</f>
        <v/>
      </c>
      <c r="D176" s="28">
        <f>Suppliers!D176</f>
        <v/>
      </c>
      <c r="E176" s="29" t="inlineStr">
        <is>
          <t>Company page</t>
        </is>
      </c>
      <c r="F176" s="29" t="inlineStr">
        <is>
          <t>Find people</t>
        </is>
      </c>
      <c r="G176" s="20" t="n"/>
      <c r="H176" s="20" t="n"/>
      <c r="I176" s="20" t="n"/>
      <c r="J176" s="21" t="n"/>
      <c r="K176" s="20" t="n"/>
      <c r="L176" s="21" t="n"/>
      <c r="M176" s="20" t="n"/>
      <c r="N176" s="20" t="n"/>
    </row>
    <row r="177">
      <c r="A177" s="28">
        <f>Suppliers!A177</f>
        <v/>
      </c>
      <c r="B177" s="28">
        <f>Suppliers!B177</f>
        <v/>
      </c>
      <c r="C177" s="28">
        <f>Suppliers!E177</f>
        <v/>
      </c>
      <c r="D177" s="28">
        <f>Suppliers!D177</f>
        <v/>
      </c>
      <c r="E177" s="29" t="inlineStr">
        <is>
          <t>Company page</t>
        </is>
      </c>
      <c r="F177" s="29" t="inlineStr">
        <is>
          <t>Find people</t>
        </is>
      </c>
      <c r="G177" s="20" t="n"/>
      <c r="H177" s="20" t="n"/>
      <c r="I177" s="20" t="n"/>
      <c r="J177" s="21" t="n"/>
      <c r="K177" s="20" t="n"/>
      <c r="L177" s="21" t="n"/>
      <c r="M177" s="20" t="n"/>
      <c r="N177" s="20" t="n"/>
    </row>
    <row r="178">
      <c r="A178" s="28">
        <f>Suppliers!A178</f>
        <v/>
      </c>
      <c r="B178" s="28">
        <f>Suppliers!B178</f>
        <v/>
      </c>
      <c r="C178" s="28">
        <f>Suppliers!E178</f>
        <v/>
      </c>
      <c r="D178" s="28">
        <f>Suppliers!D178</f>
        <v/>
      </c>
      <c r="E178" s="29" t="inlineStr">
        <is>
          <t>Company page</t>
        </is>
      </c>
      <c r="F178" s="29" t="inlineStr">
        <is>
          <t>Find people</t>
        </is>
      </c>
      <c r="G178" s="20" t="n"/>
      <c r="H178" s="20" t="n"/>
      <c r="I178" s="20" t="n"/>
      <c r="J178" s="21" t="n"/>
      <c r="K178" s="20" t="n"/>
      <c r="L178" s="21" t="n"/>
      <c r="M178" s="20" t="n"/>
      <c r="N178" s="20" t="n"/>
    </row>
    <row r="179">
      <c r="A179" s="28">
        <f>Suppliers!A179</f>
        <v/>
      </c>
      <c r="B179" s="28">
        <f>Suppliers!B179</f>
        <v/>
      </c>
      <c r="C179" s="28">
        <f>Suppliers!E179</f>
        <v/>
      </c>
      <c r="D179" s="28">
        <f>Suppliers!D179</f>
        <v/>
      </c>
      <c r="E179" s="29" t="inlineStr">
        <is>
          <t>Company page</t>
        </is>
      </c>
      <c r="F179" s="29" t="inlineStr">
        <is>
          <t>Find people</t>
        </is>
      </c>
      <c r="G179" s="20" t="n"/>
      <c r="H179" s="20" t="n"/>
      <c r="I179" s="20" t="n"/>
      <c r="J179" s="21" t="n"/>
      <c r="K179" s="20" t="n"/>
      <c r="L179" s="21" t="n"/>
      <c r="M179" s="20" t="n"/>
      <c r="N179" s="20" t="n"/>
    </row>
    <row r="180">
      <c r="A180" s="28">
        <f>Suppliers!A180</f>
        <v/>
      </c>
      <c r="B180" s="28">
        <f>Suppliers!B180</f>
        <v/>
      </c>
      <c r="C180" s="28">
        <f>Suppliers!E180</f>
        <v/>
      </c>
      <c r="D180" s="28">
        <f>Suppliers!D180</f>
        <v/>
      </c>
      <c r="E180" s="29" t="inlineStr">
        <is>
          <t>Company page</t>
        </is>
      </c>
      <c r="F180" s="29" t="inlineStr">
        <is>
          <t>Find people</t>
        </is>
      </c>
      <c r="G180" s="20" t="n"/>
      <c r="H180" s="20" t="n"/>
      <c r="I180" s="20" t="n"/>
      <c r="J180" s="21" t="n"/>
      <c r="K180" s="20" t="n"/>
      <c r="L180" s="21" t="n"/>
      <c r="M180" s="20" t="n"/>
      <c r="N180" s="20" t="n"/>
    </row>
    <row r="181">
      <c r="A181" s="28">
        <f>Suppliers!A181</f>
        <v/>
      </c>
      <c r="B181" s="28">
        <f>Suppliers!B181</f>
        <v/>
      </c>
      <c r="C181" s="28">
        <f>Suppliers!E181</f>
        <v/>
      </c>
      <c r="D181" s="28">
        <f>Suppliers!D181</f>
        <v/>
      </c>
      <c r="E181" s="29" t="inlineStr">
        <is>
          <t>Company page</t>
        </is>
      </c>
      <c r="F181" s="29" t="inlineStr">
        <is>
          <t>Find people</t>
        </is>
      </c>
      <c r="G181" s="20" t="n"/>
      <c r="H181" s="20" t="n"/>
      <c r="I181" s="20" t="n"/>
      <c r="J181" s="21" t="n"/>
      <c r="K181" s="20" t="n"/>
      <c r="L181" s="21" t="n"/>
      <c r="M181" s="20" t="n"/>
      <c r="N181" s="20" t="n"/>
    </row>
    <row r="182">
      <c r="A182" s="28">
        <f>Suppliers!A182</f>
        <v/>
      </c>
      <c r="B182" s="28">
        <f>Suppliers!B182</f>
        <v/>
      </c>
      <c r="C182" s="28">
        <f>Suppliers!E182</f>
        <v/>
      </c>
      <c r="D182" s="28">
        <f>Suppliers!D182</f>
        <v/>
      </c>
      <c r="E182" s="29" t="inlineStr">
        <is>
          <t>Company page</t>
        </is>
      </c>
      <c r="F182" s="29" t="inlineStr">
        <is>
          <t>Find people</t>
        </is>
      </c>
      <c r="G182" s="20" t="n"/>
      <c r="H182" s="20" t="n"/>
      <c r="I182" s="20" t="n"/>
      <c r="J182" s="21" t="n"/>
      <c r="K182" s="20" t="n"/>
      <c r="L182" s="21" t="n"/>
      <c r="M182" s="20" t="n"/>
      <c r="N182" s="20" t="n"/>
    </row>
    <row r="183">
      <c r="A183" s="28">
        <f>Suppliers!A183</f>
        <v/>
      </c>
      <c r="B183" s="28">
        <f>Suppliers!B183</f>
        <v/>
      </c>
      <c r="C183" s="28">
        <f>Suppliers!E183</f>
        <v/>
      </c>
      <c r="D183" s="28">
        <f>Suppliers!D183</f>
        <v/>
      </c>
      <c r="E183" s="29" t="inlineStr">
        <is>
          <t>Company page</t>
        </is>
      </c>
      <c r="F183" s="29" t="inlineStr">
        <is>
          <t>Find people</t>
        </is>
      </c>
      <c r="G183" s="20" t="n"/>
      <c r="H183" s="20" t="n"/>
      <c r="I183" s="20" t="n"/>
      <c r="J183" s="21" t="n"/>
      <c r="K183" s="20" t="n"/>
      <c r="L183" s="21" t="n"/>
      <c r="M183" s="20" t="n"/>
      <c r="N183" s="20" t="n"/>
    </row>
    <row r="184">
      <c r="A184" s="28">
        <f>Suppliers!A184</f>
        <v/>
      </c>
      <c r="B184" s="28">
        <f>Suppliers!B184</f>
        <v/>
      </c>
      <c r="C184" s="28">
        <f>Suppliers!E184</f>
        <v/>
      </c>
      <c r="D184" s="28">
        <f>Suppliers!D184</f>
        <v/>
      </c>
      <c r="E184" s="29" t="inlineStr">
        <is>
          <t>Company page</t>
        </is>
      </c>
      <c r="F184" s="29" t="inlineStr">
        <is>
          <t>Find people</t>
        </is>
      </c>
      <c r="G184" s="20" t="n"/>
      <c r="H184" s="20" t="n"/>
      <c r="I184" s="20" t="n"/>
      <c r="J184" s="21" t="n"/>
      <c r="K184" s="20" t="n"/>
      <c r="L184" s="21" t="n"/>
      <c r="M184" s="20" t="n"/>
      <c r="N184" s="20" t="n"/>
    </row>
    <row r="185">
      <c r="A185" s="28">
        <f>Suppliers!A185</f>
        <v/>
      </c>
      <c r="B185" s="28">
        <f>Suppliers!B185</f>
        <v/>
      </c>
      <c r="C185" s="28">
        <f>Suppliers!E185</f>
        <v/>
      </c>
      <c r="D185" s="28">
        <f>Suppliers!D185</f>
        <v/>
      </c>
      <c r="E185" s="29" t="inlineStr">
        <is>
          <t>Company page</t>
        </is>
      </c>
      <c r="F185" s="29" t="inlineStr">
        <is>
          <t>Find people</t>
        </is>
      </c>
      <c r="G185" s="20" t="n"/>
      <c r="H185" s="20" t="n"/>
      <c r="I185" s="20" t="n"/>
      <c r="J185" s="21" t="n"/>
      <c r="K185" s="20" t="n"/>
      <c r="L185" s="21" t="n"/>
      <c r="M185" s="20" t="n"/>
      <c r="N185" s="20" t="n"/>
    </row>
    <row r="186">
      <c r="A186" s="28">
        <f>Suppliers!A186</f>
        <v/>
      </c>
      <c r="B186" s="28">
        <f>Suppliers!B186</f>
        <v/>
      </c>
      <c r="C186" s="28">
        <f>Suppliers!E186</f>
        <v/>
      </c>
      <c r="D186" s="28">
        <f>Suppliers!D186</f>
        <v/>
      </c>
      <c r="E186" s="29" t="inlineStr">
        <is>
          <t>Company page</t>
        </is>
      </c>
      <c r="F186" s="29" t="inlineStr">
        <is>
          <t>Find people</t>
        </is>
      </c>
      <c r="G186" s="20" t="n"/>
      <c r="H186" s="20" t="n"/>
      <c r="I186" s="20" t="n"/>
      <c r="J186" s="21" t="n"/>
      <c r="K186" s="20" t="n"/>
      <c r="L186" s="21" t="n"/>
      <c r="M186" s="20" t="n"/>
      <c r="N186" s="20" t="n"/>
    </row>
    <row r="187">
      <c r="A187" s="28">
        <f>Suppliers!A187</f>
        <v/>
      </c>
      <c r="B187" s="28">
        <f>Suppliers!B187</f>
        <v/>
      </c>
      <c r="C187" s="28">
        <f>Suppliers!E187</f>
        <v/>
      </c>
      <c r="D187" s="28">
        <f>Suppliers!D187</f>
        <v/>
      </c>
      <c r="E187" s="29" t="inlineStr">
        <is>
          <t>Company page</t>
        </is>
      </c>
      <c r="F187" s="29" t="inlineStr">
        <is>
          <t>Find people</t>
        </is>
      </c>
      <c r="G187" s="20" t="n"/>
      <c r="H187" s="20" t="n"/>
      <c r="I187" s="20" t="n"/>
      <c r="J187" s="21" t="n"/>
      <c r="K187" s="20" t="n"/>
      <c r="L187" s="21" t="n"/>
      <c r="M187" s="20" t="n"/>
      <c r="N187" s="20" t="n"/>
    </row>
    <row r="188">
      <c r="A188" s="28">
        <f>Suppliers!A188</f>
        <v/>
      </c>
      <c r="B188" s="28">
        <f>Suppliers!B188</f>
        <v/>
      </c>
      <c r="C188" s="28">
        <f>Suppliers!E188</f>
        <v/>
      </c>
      <c r="D188" s="28">
        <f>Suppliers!D188</f>
        <v/>
      </c>
      <c r="E188" s="29" t="inlineStr">
        <is>
          <t>Company page</t>
        </is>
      </c>
      <c r="F188" s="29" t="inlineStr">
        <is>
          <t>Find people</t>
        </is>
      </c>
      <c r="G188" s="20" t="n"/>
      <c r="H188" s="20" t="n"/>
      <c r="I188" s="20" t="n"/>
      <c r="J188" s="21" t="n"/>
      <c r="K188" s="20" t="n"/>
      <c r="L188" s="21" t="n"/>
      <c r="M188" s="20" t="n"/>
      <c r="N188" s="20" t="n"/>
    </row>
    <row r="189">
      <c r="A189" s="28">
        <f>Suppliers!A189</f>
        <v/>
      </c>
      <c r="B189" s="28">
        <f>Suppliers!B189</f>
        <v/>
      </c>
      <c r="C189" s="28">
        <f>Suppliers!E189</f>
        <v/>
      </c>
      <c r="D189" s="28">
        <f>Suppliers!D189</f>
        <v/>
      </c>
      <c r="E189" s="29" t="inlineStr">
        <is>
          <t>Company page</t>
        </is>
      </c>
      <c r="F189" s="29" t="inlineStr">
        <is>
          <t>Find people</t>
        </is>
      </c>
      <c r="G189" s="20" t="n"/>
      <c r="H189" s="20" t="n"/>
      <c r="I189" s="20" t="n"/>
      <c r="J189" s="21" t="n"/>
      <c r="K189" s="20" t="n"/>
      <c r="L189" s="21" t="n"/>
      <c r="M189" s="20" t="n"/>
      <c r="N189" s="20" t="n"/>
    </row>
    <row r="190">
      <c r="A190" s="28">
        <f>Suppliers!A190</f>
        <v/>
      </c>
      <c r="B190" s="28">
        <f>Suppliers!B190</f>
        <v/>
      </c>
      <c r="C190" s="28">
        <f>Suppliers!E190</f>
        <v/>
      </c>
      <c r="D190" s="28">
        <f>Suppliers!D190</f>
        <v/>
      </c>
      <c r="E190" s="29" t="inlineStr">
        <is>
          <t>Company page</t>
        </is>
      </c>
      <c r="F190" s="29" t="inlineStr">
        <is>
          <t>Find people</t>
        </is>
      </c>
      <c r="G190" s="20" t="n"/>
      <c r="H190" s="20" t="n"/>
      <c r="I190" s="20" t="n"/>
      <c r="J190" s="21" t="n"/>
      <c r="K190" s="20" t="n"/>
      <c r="L190" s="21" t="n"/>
      <c r="M190" s="20" t="n"/>
      <c r="N190" s="20" t="n"/>
    </row>
    <row r="191">
      <c r="A191" s="28">
        <f>Suppliers!A191</f>
        <v/>
      </c>
      <c r="B191" s="28">
        <f>Suppliers!B191</f>
        <v/>
      </c>
      <c r="C191" s="28">
        <f>Suppliers!E191</f>
        <v/>
      </c>
      <c r="D191" s="28">
        <f>Suppliers!D191</f>
        <v/>
      </c>
      <c r="E191" s="29" t="inlineStr">
        <is>
          <t>Company page</t>
        </is>
      </c>
      <c r="F191" s="29" t="inlineStr">
        <is>
          <t>Find people</t>
        </is>
      </c>
      <c r="G191" s="20" t="n"/>
      <c r="H191" s="20" t="n"/>
      <c r="I191" s="20" t="n"/>
      <c r="J191" s="21" t="n"/>
      <c r="K191" s="20" t="n"/>
      <c r="L191" s="21" t="n"/>
      <c r="M191" s="20" t="n"/>
      <c r="N191" s="20" t="n"/>
    </row>
    <row r="192">
      <c r="A192" s="28">
        <f>Suppliers!A192</f>
        <v/>
      </c>
      <c r="B192" s="28">
        <f>Suppliers!B192</f>
        <v/>
      </c>
      <c r="C192" s="28">
        <f>Suppliers!E192</f>
        <v/>
      </c>
      <c r="D192" s="28">
        <f>Suppliers!D192</f>
        <v/>
      </c>
      <c r="E192" s="29" t="inlineStr">
        <is>
          <t>Company page</t>
        </is>
      </c>
      <c r="F192" s="29" t="inlineStr">
        <is>
          <t>Find people</t>
        </is>
      </c>
      <c r="G192" s="20" t="n"/>
      <c r="H192" s="20" t="n"/>
      <c r="I192" s="20" t="n"/>
      <c r="J192" s="21" t="n"/>
      <c r="K192" s="20" t="n"/>
      <c r="L192" s="21" t="n"/>
      <c r="M192" s="20" t="n"/>
      <c r="N192" s="20" t="n"/>
    </row>
    <row r="193">
      <c r="A193" s="28">
        <f>Suppliers!A193</f>
        <v/>
      </c>
      <c r="B193" s="28">
        <f>Suppliers!B193</f>
        <v/>
      </c>
      <c r="C193" s="28">
        <f>Suppliers!E193</f>
        <v/>
      </c>
      <c r="D193" s="28">
        <f>Suppliers!D193</f>
        <v/>
      </c>
      <c r="E193" s="29" t="inlineStr">
        <is>
          <t>Company page</t>
        </is>
      </c>
      <c r="F193" s="29" t="inlineStr">
        <is>
          <t>Find people</t>
        </is>
      </c>
      <c r="G193" s="20" t="n"/>
      <c r="H193" s="20" t="n"/>
      <c r="I193" s="20" t="n"/>
      <c r="J193" s="21" t="n"/>
      <c r="K193" s="20" t="n"/>
      <c r="L193" s="21" t="n"/>
      <c r="M193" s="20" t="n"/>
      <c r="N193" s="20" t="n"/>
    </row>
    <row r="194">
      <c r="A194" s="28">
        <f>Suppliers!A194</f>
        <v/>
      </c>
      <c r="B194" s="28">
        <f>Suppliers!B194</f>
        <v/>
      </c>
      <c r="C194" s="28">
        <f>Suppliers!E194</f>
        <v/>
      </c>
      <c r="D194" s="28">
        <f>Suppliers!D194</f>
        <v/>
      </c>
      <c r="E194" s="29" t="inlineStr">
        <is>
          <t>Company page</t>
        </is>
      </c>
      <c r="F194" s="29" t="inlineStr">
        <is>
          <t>Find people</t>
        </is>
      </c>
      <c r="G194" s="20" t="n"/>
      <c r="H194" s="20" t="n"/>
      <c r="I194" s="20" t="n"/>
      <c r="J194" s="21" t="n"/>
      <c r="K194" s="20" t="n"/>
      <c r="L194" s="21" t="n"/>
      <c r="M194" s="20" t="n"/>
      <c r="N194" s="20" t="n"/>
    </row>
    <row r="195">
      <c r="A195" s="28">
        <f>Suppliers!A195</f>
        <v/>
      </c>
      <c r="B195" s="28">
        <f>Suppliers!B195</f>
        <v/>
      </c>
      <c r="C195" s="28">
        <f>Suppliers!E195</f>
        <v/>
      </c>
      <c r="D195" s="28">
        <f>Suppliers!D195</f>
        <v/>
      </c>
      <c r="E195" s="29" t="inlineStr">
        <is>
          <t>Company page</t>
        </is>
      </c>
      <c r="F195" s="29" t="inlineStr">
        <is>
          <t>Find people</t>
        </is>
      </c>
      <c r="G195" s="20" t="n"/>
      <c r="H195" s="20" t="n"/>
      <c r="I195" s="20" t="n"/>
      <c r="J195" s="21" t="n"/>
      <c r="K195" s="20" t="n"/>
      <c r="L195" s="21" t="n"/>
      <c r="M195" s="20" t="n"/>
      <c r="N195" s="20" t="n"/>
    </row>
    <row r="196">
      <c r="A196" s="28">
        <f>Suppliers!A196</f>
        <v/>
      </c>
      <c r="B196" s="28">
        <f>Suppliers!B196</f>
        <v/>
      </c>
      <c r="C196" s="28">
        <f>Suppliers!E196</f>
        <v/>
      </c>
      <c r="D196" s="28">
        <f>Suppliers!D196</f>
        <v/>
      </c>
      <c r="E196" s="29" t="inlineStr">
        <is>
          <t>Company page</t>
        </is>
      </c>
      <c r="F196" s="29" t="inlineStr">
        <is>
          <t>Find people</t>
        </is>
      </c>
      <c r="G196" s="20" t="n"/>
      <c r="H196" s="20" t="n"/>
      <c r="I196" s="20" t="n"/>
      <c r="J196" s="21" t="n"/>
      <c r="K196" s="20" t="n"/>
      <c r="L196" s="21" t="n"/>
      <c r="M196" s="20" t="n"/>
      <c r="N196" s="20" t="n"/>
    </row>
    <row r="197">
      <c r="A197" s="28">
        <f>Suppliers!A197</f>
        <v/>
      </c>
      <c r="B197" s="28">
        <f>Suppliers!B197</f>
        <v/>
      </c>
      <c r="C197" s="28">
        <f>Suppliers!E197</f>
        <v/>
      </c>
      <c r="D197" s="28">
        <f>Suppliers!D197</f>
        <v/>
      </c>
      <c r="E197" s="29" t="inlineStr">
        <is>
          <t>Company page</t>
        </is>
      </c>
      <c r="F197" s="29" t="inlineStr">
        <is>
          <t>Find people</t>
        </is>
      </c>
      <c r="G197" s="20" t="n"/>
      <c r="H197" s="20" t="n"/>
      <c r="I197" s="20" t="n"/>
      <c r="J197" s="21" t="n"/>
      <c r="K197" s="20" t="n"/>
      <c r="L197" s="21" t="n"/>
      <c r="M197" s="20" t="n"/>
      <c r="N197" s="20" t="n"/>
    </row>
    <row r="198">
      <c r="A198" s="28">
        <f>Suppliers!A198</f>
        <v/>
      </c>
      <c r="B198" s="28">
        <f>Suppliers!B198</f>
        <v/>
      </c>
      <c r="C198" s="28">
        <f>Suppliers!E198</f>
        <v/>
      </c>
      <c r="D198" s="28">
        <f>Suppliers!D198</f>
        <v/>
      </c>
      <c r="E198" s="29" t="inlineStr">
        <is>
          <t>Company page</t>
        </is>
      </c>
      <c r="F198" s="29" t="inlineStr">
        <is>
          <t>Find people</t>
        </is>
      </c>
      <c r="G198" s="20" t="n"/>
      <c r="H198" s="20" t="n"/>
      <c r="I198" s="20" t="n"/>
      <c r="J198" s="21" t="n"/>
      <c r="K198" s="20" t="n"/>
      <c r="L198" s="21" t="n"/>
      <c r="M198" s="20" t="n"/>
      <c r="N198" s="20" t="n"/>
    </row>
    <row r="199">
      <c r="A199" s="28">
        <f>Suppliers!A199</f>
        <v/>
      </c>
      <c r="B199" s="28">
        <f>Suppliers!B199</f>
        <v/>
      </c>
      <c r="C199" s="28">
        <f>Suppliers!E199</f>
        <v/>
      </c>
      <c r="D199" s="28">
        <f>Suppliers!D199</f>
        <v/>
      </c>
      <c r="E199" s="29" t="inlineStr">
        <is>
          <t>Company page</t>
        </is>
      </c>
      <c r="F199" s="29" t="inlineStr">
        <is>
          <t>Find people</t>
        </is>
      </c>
      <c r="G199" s="20" t="n"/>
      <c r="H199" s="20" t="n"/>
      <c r="I199" s="20" t="n"/>
      <c r="J199" s="21" t="n"/>
      <c r="K199" s="20" t="n"/>
      <c r="L199" s="21" t="n"/>
      <c r="M199" s="20" t="n"/>
      <c r="N199" s="20" t="n"/>
    </row>
    <row r="200">
      <c r="A200" s="28">
        <f>Suppliers!A200</f>
        <v/>
      </c>
      <c r="B200" s="28">
        <f>Suppliers!B200</f>
        <v/>
      </c>
      <c r="C200" s="28">
        <f>Suppliers!E200</f>
        <v/>
      </c>
      <c r="D200" s="28">
        <f>Suppliers!D200</f>
        <v/>
      </c>
      <c r="E200" s="29" t="inlineStr">
        <is>
          <t>Company page</t>
        </is>
      </c>
      <c r="F200" s="29" t="inlineStr">
        <is>
          <t>Find people</t>
        </is>
      </c>
      <c r="G200" s="20" t="n"/>
      <c r="H200" s="20" t="n"/>
      <c r="I200" s="20" t="n"/>
      <c r="J200" s="21" t="n"/>
      <c r="K200" s="20" t="n"/>
      <c r="L200" s="21" t="n"/>
      <c r="M200" s="20" t="n"/>
      <c r="N200" s="20" t="n"/>
    </row>
    <row r="201">
      <c r="A201" s="28">
        <f>Suppliers!A201</f>
        <v/>
      </c>
      <c r="B201" s="28">
        <f>Suppliers!B201</f>
        <v/>
      </c>
      <c r="C201" s="28">
        <f>Suppliers!E201</f>
        <v/>
      </c>
      <c r="D201" s="28">
        <f>Suppliers!D201</f>
        <v/>
      </c>
      <c r="E201" s="29" t="inlineStr">
        <is>
          <t>Company page</t>
        </is>
      </c>
      <c r="F201" s="29" t="inlineStr">
        <is>
          <t>Find people</t>
        </is>
      </c>
      <c r="G201" s="20" t="n"/>
      <c r="H201" s="20" t="n"/>
      <c r="I201" s="20" t="n"/>
      <c r="J201" s="21" t="n"/>
      <c r="K201" s="20" t="n"/>
      <c r="L201" s="21" t="n"/>
      <c r="M201" s="20" t="n"/>
      <c r="N201" s="20" t="n"/>
    </row>
    <row r="202">
      <c r="A202" s="28">
        <f>Suppliers!A202</f>
        <v/>
      </c>
      <c r="B202" s="28">
        <f>Suppliers!B202</f>
        <v/>
      </c>
      <c r="C202" s="28">
        <f>Suppliers!E202</f>
        <v/>
      </c>
      <c r="D202" s="28">
        <f>Suppliers!D202</f>
        <v/>
      </c>
      <c r="E202" s="29" t="inlineStr">
        <is>
          <t>Company page</t>
        </is>
      </c>
      <c r="F202" s="29" t="inlineStr">
        <is>
          <t>Find people</t>
        </is>
      </c>
      <c r="G202" s="20" t="n"/>
      <c r="H202" s="20" t="n"/>
      <c r="I202" s="20" t="n"/>
      <c r="J202" s="21" t="n"/>
      <c r="K202" s="20" t="n"/>
      <c r="L202" s="21" t="n"/>
      <c r="M202" s="20" t="n"/>
      <c r="N202" s="20" t="n"/>
    </row>
    <row r="203">
      <c r="A203" s="28">
        <f>Suppliers!A203</f>
        <v/>
      </c>
      <c r="B203" s="28">
        <f>Suppliers!B203</f>
        <v/>
      </c>
      <c r="C203" s="28">
        <f>Suppliers!E203</f>
        <v/>
      </c>
      <c r="D203" s="28">
        <f>Suppliers!D203</f>
        <v/>
      </c>
      <c r="E203" s="29" t="inlineStr">
        <is>
          <t>Company page</t>
        </is>
      </c>
      <c r="F203" s="29" t="inlineStr">
        <is>
          <t>Find people</t>
        </is>
      </c>
      <c r="G203" s="20" t="n"/>
      <c r="H203" s="20" t="n"/>
      <c r="I203" s="20" t="n"/>
      <c r="J203" s="21" t="n"/>
      <c r="K203" s="20" t="n"/>
      <c r="L203" s="21" t="n"/>
      <c r="M203" s="20" t="n"/>
      <c r="N203" s="20" t="n"/>
    </row>
    <row r="204">
      <c r="A204" s="28">
        <f>Suppliers!A204</f>
        <v/>
      </c>
      <c r="B204" s="28">
        <f>Suppliers!B204</f>
        <v/>
      </c>
      <c r="C204" s="28">
        <f>Suppliers!E204</f>
        <v/>
      </c>
      <c r="D204" s="28">
        <f>Suppliers!D204</f>
        <v/>
      </c>
      <c r="E204" s="29" t="inlineStr">
        <is>
          <t>Company page</t>
        </is>
      </c>
      <c r="F204" s="29" t="inlineStr">
        <is>
          <t>Find people</t>
        </is>
      </c>
      <c r="G204" s="20" t="n"/>
      <c r="H204" s="20" t="n"/>
      <c r="I204" s="20" t="n"/>
      <c r="J204" s="21" t="n"/>
      <c r="K204" s="20" t="n"/>
      <c r="L204" s="21" t="n"/>
      <c r="M204" s="20" t="n"/>
      <c r="N204" s="20" t="n"/>
    </row>
    <row r="205">
      <c r="A205" s="28">
        <f>Suppliers!A205</f>
        <v/>
      </c>
      <c r="B205" s="28">
        <f>Suppliers!B205</f>
        <v/>
      </c>
      <c r="C205" s="28">
        <f>Suppliers!E205</f>
        <v/>
      </c>
      <c r="D205" s="28">
        <f>Suppliers!D205</f>
        <v/>
      </c>
      <c r="E205" s="29" t="inlineStr">
        <is>
          <t>Company page</t>
        </is>
      </c>
      <c r="F205" s="29" t="inlineStr">
        <is>
          <t>Find people</t>
        </is>
      </c>
      <c r="G205" s="20" t="n"/>
      <c r="H205" s="20" t="n"/>
      <c r="I205" s="20" t="n"/>
      <c r="J205" s="21" t="n"/>
      <c r="K205" s="20" t="n"/>
      <c r="L205" s="21" t="n"/>
      <c r="M205" s="20" t="n"/>
      <c r="N205" s="20" t="n"/>
    </row>
    <row r="206">
      <c r="A206" s="28">
        <f>Suppliers!A206</f>
        <v/>
      </c>
      <c r="B206" s="28">
        <f>Suppliers!B206</f>
        <v/>
      </c>
      <c r="C206" s="28">
        <f>Suppliers!E206</f>
        <v/>
      </c>
      <c r="D206" s="28">
        <f>Suppliers!D206</f>
        <v/>
      </c>
      <c r="E206" s="29" t="inlineStr">
        <is>
          <t>Company page</t>
        </is>
      </c>
      <c r="F206" s="29" t="inlineStr">
        <is>
          <t>Find people</t>
        </is>
      </c>
      <c r="G206" s="20" t="n"/>
      <c r="H206" s="20" t="n"/>
      <c r="I206" s="20" t="n"/>
      <c r="J206" s="21" t="n"/>
      <c r="K206" s="20" t="n"/>
      <c r="L206" s="21" t="n"/>
      <c r="M206" s="20" t="n"/>
      <c r="N206" s="20" t="n"/>
    </row>
    <row r="207">
      <c r="A207" s="28">
        <f>Suppliers!A207</f>
        <v/>
      </c>
      <c r="B207" s="28">
        <f>Suppliers!B207</f>
        <v/>
      </c>
      <c r="C207" s="28">
        <f>Suppliers!E207</f>
        <v/>
      </c>
      <c r="D207" s="28">
        <f>Suppliers!D207</f>
        <v/>
      </c>
      <c r="E207" s="29" t="inlineStr">
        <is>
          <t>Company page</t>
        </is>
      </c>
      <c r="F207" s="29" t="inlineStr">
        <is>
          <t>Find people</t>
        </is>
      </c>
      <c r="G207" s="20" t="n"/>
      <c r="H207" s="20" t="n"/>
      <c r="I207" s="20" t="n"/>
      <c r="J207" s="21" t="n"/>
      <c r="K207" s="20" t="n"/>
      <c r="L207" s="21" t="n"/>
      <c r="M207" s="20" t="n"/>
      <c r="N207" s="20" t="n"/>
    </row>
    <row r="208">
      <c r="A208" s="28">
        <f>Suppliers!A208</f>
        <v/>
      </c>
      <c r="B208" s="28">
        <f>Suppliers!B208</f>
        <v/>
      </c>
      <c r="C208" s="28">
        <f>Suppliers!E208</f>
        <v/>
      </c>
      <c r="D208" s="28">
        <f>Suppliers!D208</f>
        <v/>
      </c>
      <c r="E208" s="29" t="inlineStr">
        <is>
          <t>Company page</t>
        </is>
      </c>
      <c r="F208" s="29" t="inlineStr">
        <is>
          <t>Find people</t>
        </is>
      </c>
      <c r="G208" s="20" t="n"/>
      <c r="H208" s="20" t="n"/>
      <c r="I208" s="20" t="n"/>
      <c r="J208" s="21" t="n"/>
      <c r="K208" s="20" t="n"/>
      <c r="L208" s="21" t="n"/>
      <c r="M208" s="20" t="n"/>
      <c r="N208" s="20" t="n"/>
    </row>
    <row r="209">
      <c r="A209" s="28">
        <f>Suppliers!A209</f>
        <v/>
      </c>
      <c r="B209" s="28">
        <f>Suppliers!B209</f>
        <v/>
      </c>
      <c r="C209" s="28">
        <f>Suppliers!E209</f>
        <v/>
      </c>
      <c r="D209" s="28">
        <f>Suppliers!D209</f>
        <v/>
      </c>
      <c r="E209" s="29" t="inlineStr">
        <is>
          <t>Company page</t>
        </is>
      </c>
      <c r="F209" s="29" t="inlineStr">
        <is>
          <t>Find people</t>
        </is>
      </c>
      <c r="G209" s="20" t="n"/>
      <c r="H209" s="20" t="n"/>
      <c r="I209" s="20" t="n"/>
      <c r="J209" s="21" t="n"/>
      <c r="K209" s="20" t="n"/>
      <c r="L209" s="21" t="n"/>
      <c r="M209" s="20" t="n"/>
      <c r="N209" s="20" t="n"/>
    </row>
    <row r="210">
      <c r="A210" s="28">
        <f>Suppliers!A210</f>
        <v/>
      </c>
      <c r="B210" s="28">
        <f>Suppliers!B210</f>
        <v/>
      </c>
      <c r="C210" s="28">
        <f>Suppliers!E210</f>
        <v/>
      </c>
      <c r="D210" s="28">
        <f>Suppliers!D210</f>
        <v/>
      </c>
      <c r="E210" s="29" t="inlineStr">
        <is>
          <t>Company page</t>
        </is>
      </c>
      <c r="F210" s="29" t="inlineStr">
        <is>
          <t>Find people</t>
        </is>
      </c>
      <c r="G210" s="20" t="n"/>
      <c r="H210" s="20" t="n"/>
      <c r="I210" s="20" t="n"/>
      <c r="J210" s="21" t="n"/>
      <c r="K210" s="20" t="n"/>
      <c r="L210" s="21" t="n"/>
      <c r="M210" s="20" t="n"/>
      <c r="N210" s="20" t="n"/>
    </row>
    <row r="211">
      <c r="A211" s="28">
        <f>Suppliers!A211</f>
        <v/>
      </c>
      <c r="B211" s="28">
        <f>Suppliers!B211</f>
        <v/>
      </c>
      <c r="C211" s="28">
        <f>Suppliers!E211</f>
        <v/>
      </c>
      <c r="D211" s="28">
        <f>Suppliers!D211</f>
        <v/>
      </c>
      <c r="E211" s="29" t="inlineStr">
        <is>
          <t>Company page</t>
        </is>
      </c>
      <c r="F211" s="29" t="inlineStr">
        <is>
          <t>Find people</t>
        </is>
      </c>
      <c r="G211" s="20" t="n"/>
      <c r="H211" s="20" t="n"/>
      <c r="I211" s="20" t="n"/>
      <c r="J211" s="21" t="n"/>
      <c r="K211" s="20" t="n"/>
      <c r="L211" s="21" t="n"/>
      <c r="M211" s="20" t="n"/>
      <c r="N211" s="20" t="n"/>
    </row>
    <row r="212">
      <c r="A212" s="28">
        <f>Suppliers!A212</f>
        <v/>
      </c>
      <c r="B212" s="28">
        <f>Suppliers!B212</f>
        <v/>
      </c>
      <c r="C212" s="28">
        <f>Suppliers!E212</f>
        <v/>
      </c>
      <c r="D212" s="28">
        <f>Suppliers!D212</f>
        <v/>
      </c>
      <c r="E212" s="29" t="inlineStr">
        <is>
          <t>Company page</t>
        </is>
      </c>
      <c r="F212" s="29" t="inlineStr">
        <is>
          <t>Find people</t>
        </is>
      </c>
      <c r="G212" s="20" t="n"/>
      <c r="H212" s="20" t="n"/>
      <c r="I212" s="20" t="n"/>
      <c r="J212" s="21" t="n"/>
      <c r="K212" s="20" t="n"/>
      <c r="L212" s="21" t="n"/>
      <c r="M212" s="20" t="n"/>
      <c r="N212" s="20" t="n"/>
    </row>
    <row r="213">
      <c r="A213" s="28">
        <f>Suppliers!A213</f>
        <v/>
      </c>
      <c r="B213" s="28">
        <f>Suppliers!B213</f>
        <v/>
      </c>
      <c r="C213" s="28">
        <f>Suppliers!E213</f>
        <v/>
      </c>
      <c r="D213" s="28">
        <f>Suppliers!D213</f>
        <v/>
      </c>
      <c r="E213" s="29" t="inlineStr">
        <is>
          <t>Company page</t>
        </is>
      </c>
      <c r="F213" s="29" t="inlineStr">
        <is>
          <t>Find people</t>
        </is>
      </c>
      <c r="G213" s="20" t="n"/>
      <c r="H213" s="20" t="n"/>
      <c r="I213" s="20" t="n"/>
      <c r="J213" s="21" t="n"/>
      <c r="K213" s="20" t="n"/>
      <c r="L213" s="21" t="n"/>
      <c r="M213" s="20" t="n"/>
      <c r="N213" s="20" t="n"/>
    </row>
    <row r="214">
      <c r="A214" s="28">
        <f>Suppliers!A214</f>
        <v/>
      </c>
      <c r="B214" s="28">
        <f>Suppliers!B214</f>
        <v/>
      </c>
      <c r="C214" s="28">
        <f>Suppliers!E214</f>
        <v/>
      </c>
      <c r="D214" s="28">
        <f>Suppliers!D214</f>
        <v/>
      </c>
      <c r="E214" s="29" t="inlineStr">
        <is>
          <t>Company page</t>
        </is>
      </c>
      <c r="F214" s="29" t="inlineStr">
        <is>
          <t>Find people</t>
        </is>
      </c>
      <c r="G214" s="20" t="n"/>
      <c r="H214" s="20" t="n"/>
      <c r="I214" s="20" t="n"/>
      <c r="J214" s="21" t="n"/>
      <c r="K214" s="20" t="n"/>
      <c r="L214" s="21" t="n"/>
      <c r="M214" s="20" t="n"/>
      <c r="N214" s="20" t="n"/>
    </row>
    <row r="215">
      <c r="A215" s="28">
        <f>Suppliers!A215</f>
        <v/>
      </c>
      <c r="B215" s="28">
        <f>Suppliers!B215</f>
        <v/>
      </c>
      <c r="C215" s="28">
        <f>Suppliers!E215</f>
        <v/>
      </c>
      <c r="D215" s="28">
        <f>Suppliers!D215</f>
        <v/>
      </c>
      <c r="E215" s="29" t="inlineStr">
        <is>
          <t>Company page</t>
        </is>
      </c>
      <c r="F215" s="29" t="inlineStr">
        <is>
          <t>Find people</t>
        </is>
      </c>
      <c r="G215" s="20" t="n"/>
      <c r="H215" s="20" t="n"/>
      <c r="I215" s="20" t="n"/>
      <c r="J215" s="21" t="n"/>
      <c r="K215" s="20" t="n"/>
      <c r="L215" s="21" t="n"/>
      <c r="M215" s="20" t="n"/>
      <c r="N215" s="20" t="n"/>
    </row>
    <row r="216">
      <c r="A216" s="28">
        <f>Suppliers!A216</f>
        <v/>
      </c>
      <c r="B216" s="28">
        <f>Suppliers!B216</f>
        <v/>
      </c>
      <c r="C216" s="28">
        <f>Suppliers!E216</f>
        <v/>
      </c>
      <c r="D216" s="28">
        <f>Suppliers!D216</f>
        <v/>
      </c>
      <c r="E216" s="29" t="inlineStr">
        <is>
          <t>Company page</t>
        </is>
      </c>
      <c r="F216" s="29" t="inlineStr">
        <is>
          <t>Find people</t>
        </is>
      </c>
      <c r="G216" s="20" t="n"/>
      <c r="H216" s="20" t="n"/>
      <c r="I216" s="20" t="n"/>
      <c r="J216" s="21" t="n"/>
      <c r="K216" s="20" t="n"/>
      <c r="L216" s="21" t="n"/>
      <c r="M216" s="20" t="n"/>
      <c r="N216" s="20" t="n"/>
    </row>
    <row r="217">
      <c r="A217" s="28">
        <f>Suppliers!A217</f>
        <v/>
      </c>
      <c r="B217" s="28">
        <f>Suppliers!B217</f>
        <v/>
      </c>
      <c r="C217" s="28">
        <f>Suppliers!E217</f>
        <v/>
      </c>
      <c r="D217" s="28">
        <f>Suppliers!D217</f>
        <v/>
      </c>
      <c r="E217" s="29" t="inlineStr">
        <is>
          <t>Company page</t>
        </is>
      </c>
      <c r="F217" s="29" t="inlineStr">
        <is>
          <t>Find people</t>
        </is>
      </c>
      <c r="G217" s="20" t="n"/>
      <c r="H217" s="20" t="n"/>
      <c r="I217" s="20" t="n"/>
      <c r="J217" s="21" t="n"/>
      <c r="K217" s="20" t="n"/>
      <c r="L217" s="21" t="n"/>
      <c r="M217" s="20" t="n"/>
      <c r="N217" s="20" t="n"/>
    </row>
    <row r="218">
      <c r="A218" s="28">
        <f>Suppliers!A218</f>
        <v/>
      </c>
      <c r="B218" s="28">
        <f>Suppliers!B218</f>
        <v/>
      </c>
      <c r="C218" s="28">
        <f>Suppliers!E218</f>
        <v/>
      </c>
      <c r="D218" s="28">
        <f>Suppliers!D218</f>
        <v/>
      </c>
      <c r="E218" s="29" t="inlineStr">
        <is>
          <t>Company page</t>
        </is>
      </c>
      <c r="F218" s="29" t="inlineStr">
        <is>
          <t>Find people</t>
        </is>
      </c>
      <c r="G218" s="20" t="n"/>
      <c r="H218" s="20" t="n"/>
      <c r="I218" s="20" t="n"/>
      <c r="J218" s="21" t="n"/>
      <c r="K218" s="20" t="n"/>
      <c r="L218" s="21" t="n"/>
      <c r="M218" s="20" t="n"/>
      <c r="N218" s="20" t="n"/>
    </row>
    <row r="219">
      <c r="A219" s="28">
        <f>Suppliers!A219</f>
        <v/>
      </c>
      <c r="B219" s="28">
        <f>Suppliers!B219</f>
        <v/>
      </c>
      <c r="C219" s="28">
        <f>Suppliers!E219</f>
        <v/>
      </c>
      <c r="D219" s="28">
        <f>Suppliers!D219</f>
        <v/>
      </c>
      <c r="E219" s="29" t="inlineStr">
        <is>
          <t>Company page</t>
        </is>
      </c>
      <c r="F219" s="29" t="inlineStr">
        <is>
          <t>Find people</t>
        </is>
      </c>
      <c r="G219" s="20" t="n"/>
      <c r="H219" s="20" t="n"/>
      <c r="I219" s="20" t="n"/>
      <c r="J219" s="21" t="n"/>
      <c r="K219" s="20" t="n"/>
      <c r="L219" s="21" t="n"/>
      <c r="M219" s="20" t="n"/>
      <c r="N219" s="20" t="n"/>
    </row>
    <row r="220">
      <c r="A220" s="28">
        <f>Suppliers!A220</f>
        <v/>
      </c>
      <c r="B220" s="28">
        <f>Suppliers!B220</f>
        <v/>
      </c>
      <c r="C220" s="28">
        <f>Suppliers!E220</f>
        <v/>
      </c>
      <c r="D220" s="28">
        <f>Suppliers!D220</f>
        <v/>
      </c>
      <c r="E220" s="29" t="inlineStr">
        <is>
          <t>Company page</t>
        </is>
      </c>
      <c r="F220" s="29" t="inlineStr">
        <is>
          <t>Find people</t>
        </is>
      </c>
      <c r="G220" s="20" t="n"/>
      <c r="H220" s="20" t="n"/>
      <c r="I220" s="20" t="n"/>
      <c r="J220" s="21" t="n"/>
      <c r="K220" s="20" t="n"/>
      <c r="L220" s="21" t="n"/>
      <c r="M220" s="20" t="n"/>
      <c r="N220" s="20" t="n"/>
    </row>
    <row r="221">
      <c r="A221" s="28">
        <f>Suppliers!A221</f>
        <v/>
      </c>
      <c r="B221" s="28">
        <f>Suppliers!B221</f>
        <v/>
      </c>
      <c r="C221" s="28">
        <f>Suppliers!E221</f>
        <v/>
      </c>
      <c r="D221" s="28">
        <f>Suppliers!D221</f>
        <v/>
      </c>
      <c r="E221" s="29" t="inlineStr">
        <is>
          <t>Company page</t>
        </is>
      </c>
      <c r="F221" s="29" t="inlineStr">
        <is>
          <t>Find people</t>
        </is>
      </c>
      <c r="G221" s="20" t="n"/>
      <c r="H221" s="20" t="n"/>
      <c r="I221" s="20" t="n"/>
      <c r="J221" s="21" t="n"/>
      <c r="K221" s="20" t="n"/>
      <c r="L221" s="21" t="n"/>
      <c r="M221" s="20" t="n"/>
      <c r="N221" s="20" t="n"/>
    </row>
    <row r="222">
      <c r="A222" s="28">
        <f>Suppliers!A222</f>
        <v/>
      </c>
      <c r="B222" s="28">
        <f>Suppliers!B222</f>
        <v/>
      </c>
      <c r="C222" s="28">
        <f>Suppliers!E222</f>
        <v/>
      </c>
      <c r="D222" s="28">
        <f>Suppliers!D222</f>
        <v/>
      </c>
      <c r="E222" s="29" t="inlineStr">
        <is>
          <t>Company page</t>
        </is>
      </c>
      <c r="F222" s="29" t="inlineStr">
        <is>
          <t>Find people</t>
        </is>
      </c>
      <c r="G222" s="20" t="n"/>
      <c r="H222" s="20" t="n"/>
      <c r="I222" s="20" t="n"/>
      <c r="J222" s="21" t="n"/>
      <c r="K222" s="20" t="n"/>
      <c r="L222" s="21" t="n"/>
      <c r="M222" s="20" t="n"/>
      <c r="N222" s="20" t="n"/>
    </row>
    <row r="223">
      <c r="A223" s="28">
        <f>Suppliers!A223</f>
        <v/>
      </c>
      <c r="B223" s="28">
        <f>Suppliers!B223</f>
        <v/>
      </c>
      <c r="C223" s="28">
        <f>Suppliers!E223</f>
        <v/>
      </c>
      <c r="D223" s="28">
        <f>Suppliers!D223</f>
        <v/>
      </c>
      <c r="E223" s="29" t="inlineStr">
        <is>
          <t>Company page</t>
        </is>
      </c>
      <c r="F223" s="29" t="inlineStr">
        <is>
          <t>Find people</t>
        </is>
      </c>
      <c r="G223" s="20" t="n"/>
      <c r="H223" s="20" t="n"/>
      <c r="I223" s="20" t="n"/>
      <c r="J223" s="21" t="n"/>
      <c r="K223" s="20" t="n"/>
      <c r="L223" s="21" t="n"/>
      <c r="M223" s="20" t="n"/>
      <c r="N223" s="20" t="n"/>
    </row>
    <row r="224">
      <c r="A224" s="28">
        <f>Suppliers!A224</f>
        <v/>
      </c>
      <c r="B224" s="28">
        <f>Suppliers!B224</f>
        <v/>
      </c>
      <c r="C224" s="28">
        <f>Suppliers!E224</f>
        <v/>
      </c>
      <c r="D224" s="28">
        <f>Suppliers!D224</f>
        <v/>
      </c>
      <c r="E224" s="29" t="inlineStr">
        <is>
          <t>Company page</t>
        </is>
      </c>
      <c r="F224" s="29" t="inlineStr">
        <is>
          <t>Find people</t>
        </is>
      </c>
      <c r="G224" s="20" t="n"/>
      <c r="H224" s="20" t="n"/>
      <c r="I224" s="20" t="n"/>
      <c r="J224" s="21" t="n"/>
      <c r="K224" s="20" t="n"/>
      <c r="L224" s="21" t="n"/>
      <c r="M224" s="20" t="n"/>
      <c r="N224" s="20" t="n"/>
    </row>
    <row r="225">
      <c r="A225" s="28">
        <f>Suppliers!A225</f>
        <v/>
      </c>
      <c r="B225" s="28">
        <f>Suppliers!B225</f>
        <v/>
      </c>
      <c r="C225" s="28">
        <f>Suppliers!E225</f>
        <v/>
      </c>
      <c r="D225" s="28">
        <f>Suppliers!D225</f>
        <v/>
      </c>
      <c r="E225" s="29" t="inlineStr">
        <is>
          <t>Company page</t>
        </is>
      </c>
      <c r="F225" s="29" t="inlineStr">
        <is>
          <t>Find people</t>
        </is>
      </c>
      <c r="G225" s="20" t="n"/>
      <c r="H225" s="20" t="n"/>
      <c r="I225" s="20" t="n"/>
      <c r="J225" s="21" t="n"/>
      <c r="K225" s="20" t="n"/>
      <c r="L225" s="21" t="n"/>
      <c r="M225" s="20" t="n"/>
      <c r="N225" s="20" t="n"/>
    </row>
    <row r="226">
      <c r="A226" s="28">
        <f>Suppliers!A226</f>
        <v/>
      </c>
      <c r="B226" s="28">
        <f>Suppliers!B226</f>
        <v/>
      </c>
      <c r="C226" s="28">
        <f>Suppliers!E226</f>
        <v/>
      </c>
      <c r="D226" s="28">
        <f>Suppliers!D226</f>
        <v/>
      </c>
      <c r="E226" s="29" t="inlineStr">
        <is>
          <t>Company page</t>
        </is>
      </c>
      <c r="F226" s="29" t="inlineStr">
        <is>
          <t>Find people</t>
        </is>
      </c>
      <c r="G226" s="20" t="n"/>
      <c r="H226" s="20" t="n"/>
      <c r="I226" s="20" t="n"/>
      <c r="J226" s="21" t="n"/>
      <c r="K226" s="20" t="n"/>
      <c r="L226" s="21" t="n"/>
      <c r="M226" s="20" t="n"/>
      <c r="N226" s="20" t="n"/>
    </row>
    <row r="227">
      <c r="A227" s="28">
        <f>Suppliers!A227</f>
        <v/>
      </c>
      <c r="B227" s="28">
        <f>Suppliers!B227</f>
        <v/>
      </c>
      <c r="C227" s="28">
        <f>Suppliers!E227</f>
        <v/>
      </c>
      <c r="D227" s="28">
        <f>Suppliers!D227</f>
        <v/>
      </c>
      <c r="E227" s="29" t="inlineStr">
        <is>
          <t>Company page</t>
        </is>
      </c>
      <c r="F227" s="29" t="inlineStr">
        <is>
          <t>Find people</t>
        </is>
      </c>
      <c r="G227" s="20" t="n"/>
      <c r="H227" s="20" t="n"/>
      <c r="I227" s="20" t="n"/>
      <c r="J227" s="21" t="n"/>
      <c r="K227" s="20" t="n"/>
      <c r="L227" s="21" t="n"/>
      <c r="M227" s="20" t="n"/>
      <c r="N227" s="20" t="n"/>
    </row>
    <row r="228">
      <c r="A228" s="28">
        <f>Suppliers!A228</f>
        <v/>
      </c>
      <c r="B228" s="28">
        <f>Suppliers!B228</f>
        <v/>
      </c>
      <c r="C228" s="28">
        <f>Suppliers!E228</f>
        <v/>
      </c>
      <c r="D228" s="28">
        <f>Suppliers!D228</f>
        <v/>
      </c>
      <c r="E228" s="29" t="inlineStr">
        <is>
          <t>Company page</t>
        </is>
      </c>
      <c r="F228" s="29" t="inlineStr">
        <is>
          <t>Find people</t>
        </is>
      </c>
      <c r="G228" s="20" t="n"/>
      <c r="H228" s="20" t="n"/>
      <c r="I228" s="20" t="n"/>
      <c r="J228" s="21" t="n"/>
      <c r="K228" s="20" t="n"/>
      <c r="L228" s="21" t="n"/>
      <c r="M228" s="20" t="n"/>
      <c r="N228" s="20" t="n"/>
    </row>
    <row r="229">
      <c r="A229" s="28">
        <f>Suppliers!A229</f>
        <v/>
      </c>
      <c r="B229" s="28">
        <f>Suppliers!B229</f>
        <v/>
      </c>
      <c r="C229" s="28">
        <f>Suppliers!E229</f>
        <v/>
      </c>
      <c r="D229" s="28">
        <f>Suppliers!D229</f>
        <v/>
      </c>
      <c r="E229" s="29" t="inlineStr">
        <is>
          <t>Company page</t>
        </is>
      </c>
      <c r="F229" s="29" t="inlineStr">
        <is>
          <t>Find people</t>
        </is>
      </c>
      <c r="G229" s="20" t="n"/>
      <c r="H229" s="20" t="n"/>
      <c r="I229" s="20" t="n"/>
      <c r="J229" s="21" t="n"/>
      <c r="K229" s="20" t="n"/>
      <c r="L229" s="21" t="n"/>
      <c r="M229" s="20" t="n"/>
      <c r="N229" s="20" t="n"/>
    </row>
    <row r="230">
      <c r="A230" s="28">
        <f>Suppliers!A230</f>
        <v/>
      </c>
      <c r="B230" s="28">
        <f>Suppliers!B230</f>
        <v/>
      </c>
      <c r="C230" s="28">
        <f>Suppliers!E230</f>
        <v/>
      </c>
      <c r="D230" s="28">
        <f>Suppliers!D230</f>
        <v/>
      </c>
      <c r="E230" s="29" t="inlineStr">
        <is>
          <t>Company page</t>
        </is>
      </c>
      <c r="F230" s="29" t="inlineStr">
        <is>
          <t>Find people</t>
        </is>
      </c>
      <c r="G230" s="20" t="n"/>
      <c r="H230" s="20" t="n"/>
      <c r="I230" s="20" t="n"/>
      <c r="J230" s="21" t="n"/>
      <c r="K230" s="20" t="n"/>
      <c r="L230" s="21" t="n"/>
      <c r="M230" s="20" t="n"/>
      <c r="N230" s="20" t="n"/>
    </row>
    <row r="231">
      <c r="A231" s="28">
        <f>Suppliers!A231</f>
        <v/>
      </c>
      <c r="B231" s="28">
        <f>Suppliers!B231</f>
        <v/>
      </c>
      <c r="C231" s="28">
        <f>Suppliers!E231</f>
        <v/>
      </c>
      <c r="D231" s="28">
        <f>Suppliers!D231</f>
        <v/>
      </c>
      <c r="E231" s="29" t="inlineStr">
        <is>
          <t>Company page</t>
        </is>
      </c>
      <c r="F231" s="29" t="inlineStr">
        <is>
          <t>Find people</t>
        </is>
      </c>
      <c r="G231" s="20" t="n"/>
      <c r="H231" s="20" t="n"/>
      <c r="I231" s="20" t="n"/>
      <c r="J231" s="21" t="n"/>
      <c r="K231" s="20" t="n"/>
      <c r="L231" s="21" t="n"/>
      <c r="M231" s="20" t="n"/>
      <c r="N231" s="20" t="n"/>
    </row>
    <row r="232">
      <c r="A232" s="28">
        <f>Suppliers!A232</f>
        <v/>
      </c>
      <c r="B232" s="28">
        <f>Suppliers!B232</f>
        <v/>
      </c>
      <c r="C232" s="28">
        <f>Suppliers!E232</f>
        <v/>
      </c>
      <c r="D232" s="28">
        <f>Suppliers!D232</f>
        <v/>
      </c>
      <c r="E232" s="29" t="inlineStr">
        <is>
          <t>Company page</t>
        </is>
      </c>
      <c r="F232" s="29" t="inlineStr">
        <is>
          <t>Find people</t>
        </is>
      </c>
      <c r="G232" s="20" t="n"/>
      <c r="H232" s="20" t="n"/>
      <c r="I232" s="20" t="n"/>
      <c r="J232" s="21" t="n"/>
      <c r="K232" s="20" t="n"/>
      <c r="L232" s="21" t="n"/>
      <c r="M232" s="20" t="n"/>
      <c r="N232" s="20" t="n"/>
    </row>
    <row r="233">
      <c r="A233" s="28">
        <f>Suppliers!A233</f>
        <v/>
      </c>
      <c r="B233" s="28">
        <f>Suppliers!B233</f>
        <v/>
      </c>
      <c r="C233" s="28">
        <f>Suppliers!E233</f>
        <v/>
      </c>
      <c r="D233" s="28">
        <f>Suppliers!D233</f>
        <v/>
      </c>
      <c r="E233" s="29" t="inlineStr">
        <is>
          <t>Company page</t>
        </is>
      </c>
      <c r="F233" s="29" t="inlineStr">
        <is>
          <t>Find people</t>
        </is>
      </c>
      <c r="G233" s="20" t="n"/>
      <c r="H233" s="20" t="n"/>
      <c r="I233" s="20" t="n"/>
      <c r="J233" s="21" t="n"/>
      <c r="K233" s="20" t="n"/>
      <c r="L233" s="21" t="n"/>
      <c r="M233" s="20" t="n"/>
      <c r="N233" s="20" t="n"/>
    </row>
    <row r="234">
      <c r="A234" s="28">
        <f>Suppliers!A234</f>
        <v/>
      </c>
      <c r="B234" s="28">
        <f>Suppliers!B234</f>
        <v/>
      </c>
      <c r="C234" s="28">
        <f>Suppliers!E234</f>
        <v/>
      </c>
      <c r="D234" s="28">
        <f>Suppliers!D234</f>
        <v/>
      </c>
      <c r="E234" s="29" t="inlineStr">
        <is>
          <t>Company page</t>
        </is>
      </c>
      <c r="F234" s="29" t="inlineStr">
        <is>
          <t>Find people</t>
        </is>
      </c>
      <c r="G234" s="20" t="n"/>
      <c r="H234" s="20" t="n"/>
      <c r="I234" s="20" t="n"/>
      <c r="J234" s="21" t="n"/>
      <c r="K234" s="20" t="n"/>
      <c r="L234" s="21" t="n"/>
      <c r="M234" s="20" t="n"/>
      <c r="N234" s="20" t="n"/>
    </row>
    <row r="235">
      <c r="A235" s="28">
        <f>Suppliers!A235</f>
        <v/>
      </c>
      <c r="B235" s="28">
        <f>Suppliers!B235</f>
        <v/>
      </c>
      <c r="C235" s="28">
        <f>Suppliers!E235</f>
        <v/>
      </c>
      <c r="D235" s="28">
        <f>Suppliers!D235</f>
        <v/>
      </c>
      <c r="E235" s="29" t="inlineStr">
        <is>
          <t>Company page</t>
        </is>
      </c>
      <c r="F235" s="29" t="inlineStr">
        <is>
          <t>Find people</t>
        </is>
      </c>
      <c r="G235" s="20" t="n"/>
      <c r="H235" s="20" t="n"/>
      <c r="I235" s="20" t="n"/>
      <c r="J235" s="21" t="n"/>
      <c r="K235" s="20" t="n"/>
      <c r="L235" s="21" t="n"/>
      <c r="M235" s="20" t="n"/>
      <c r="N235" s="20" t="n"/>
    </row>
    <row r="236">
      <c r="A236" s="28">
        <f>Suppliers!A236</f>
        <v/>
      </c>
      <c r="B236" s="28">
        <f>Suppliers!B236</f>
        <v/>
      </c>
      <c r="C236" s="28">
        <f>Suppliers!E236</f>
        <v/>
      </c>
      <c r="D236" s="28">
        <f>Suppliers!D236</f>
        <v/>
      </c>
      <c r="E236" s="29" t="inlineStr">
        <is>
          <t>Company page</t>
        </is>
      </c>
      <c r="F236" s="29" t="inlineStr">
        <is>
          <t>Find people</t>
        </is>
      </c>
      <c r="G236" s="20" t="n"/>
      <c r="H236" s="20" t="n"/>
      <c r="I236" s="20" t="n"/>
      <c r="J236" s="21" t="n"/>
      <c r="K236" s="20" t="n"/>
      <c r="L236" s="21" t="n"/>
      <c r="M236" s="20" t="n"/>
      <c r="N236" s="20" t="n"/>
    </row>
    <row r="237">
      <c r="A237" s="28">
        <f>Suppliers!A237</f>
        <v/>
      </c>
      <c r="B237" s="28">
        <f>Suppliers!B237</f>
        <v/>
      </c>
      <c r="C237" s="28">
        <f>Suppliers!E237</f>
        <v/>
      </c>
      <c r="D237" s="28">
        <f>Suppliers!D237</f>
        <v/>
      </c>
      <c r="E237" s="29" t="inlineStr">
        <is>
          <t>Company page</t>
        </is>
      </c>
      <c r="F237" s="29" t="inlineStr">
        <is>
          <t>Find people</t>
        </is>
      </c>
      <c r="G237" s="20" t="n"/>
      <c r="H237" s="20" t="n"/>
      <c r="I237" s="20" t="n"/>
      <c r="J237" s="21" t="n"/>
      <c r="K237" s="20" t="n"/>
      <c r="L237" s="21" t="n"/>
      <c r="M237" s="20" t="n"/>
      <c r="N237" s="20" t="n"/>
    </row>
    <row r="238">
      <c r="A238" s="28">
        <f>Suppliers!A238</f>
        <v/>
      </c>
      <c r="B238" s="28">
        <f>Suppliers!B238</f>
        <v/>
      </c>
      <c r="C238" s="28">
        <f>Suppliers!E238</f>
        <v/>
      </c>
      <c r="D238" s="28">
        <f>Suppliers!D238</f>
        <v/>
      </c>
      <c r="E238" s="29" t="inlineStr">
        <is>
          <t>Company page</t>
        </is>
      </c>
      <c r="F238" s="29" t="inlineStr">
        <is>
          <t>Find people</t>
        </is>
      </c>
      <c r="G238" s="20" t="n"/>
      <c r="H238" s="20" t="n"/>
      <c r="I238" s="20" t="n"/>
      <c r="J238" s="21" t="n"/>
      <c r="K238" s="20" t="n"/>
      <c r="L238" s="21" t="n"/>
      <c r="M238" s="20" t="n"/>
      <c r="N238" s="20" t="n"/>
    </row>
    <row r="239">
      <c r="A239" s="28">
        <f>Suppliers!A239</f>
        <v/>
      </c>
      <c r="B239" s="28">
        <f>Suppliers!B239</f>
        <v/>
      </c>
      <c r="C239" s="28">
        <f>Suppliers!E239</f>
        <v/>
      </c>
      <c r="D239" s="28">
        <f>Suppliers!D239</f>
        <v/>
      </c>
      <c r="E239" s="29" t="inlineStr">
        <is>
          <t>Company page</t>
        </is>
      </c>
      <c r="F239" s="29" t="inlineStr">
        <is>
          <t>Find people</t>
        </is>
      </c>
      <c r="G239" s="20" t="n"/>
      <c r="H239" s="20" t="n"/>
      <c r="I239" s="20" t="n"/>
      <c r="J239" s="21" t="n"/>
      <c r="K239" s="20" t="n"/>
      <c r="L239" s="21" t="n"/>
      <c r="M239" s="20" t="n"/>
      <c r="N239" s="20" t="n"/>
    </row>
    <row r="240">
      <c r="A240" s="28">
        <f>Suppliers!A240</f>
        <v/>
      </c>
      <c r="B240" s="28">
        <f>Suppliers!B240</f>
        <v/>
      </c>
      <c r="C240" s="28">
        <f>Suppliers!E240</f>
        <v/>
      </c>
      <c r="D240" s="28">
        <f>Suppliers!D240</f>
        <v/>
      </c>
      <c r="E240" s="29" t="inlineStr">
        <is>
          <t>Company page</t>
        </is>
      </c>
      <c r="F240" s="29" t="inlineStr">
        <is>
          <t>Find people</t>
        </is>
      </c>
      <c r="G240" s="20" t="n"/>
      <c r="H240" s="20" t="n"/>
      <c r="I240" s="20" t="n"/>
      <c r="J240" s="21" t="n"/>
      <c r="K240" s="20" t="n"/>
      <c r="L240" s="21" t="n"/>
      <c r="M240" s="20" t="n"/>
      <c r="N240" s="20" t="n"/>
    </row>
    <row r="241">
      <c r="A241" s="28">
        <f>Suppliers!A241</f>
        <v/>
      </c>
      <c r="B241" s="28">
        <f>Suppliers!B241</f>
        <v/>
      </c>
      <c r="C241" s="28">
        <f>Suppliers!E241</f>
        <v/>
      </c>
      <c r="D241" s="28">
        <f>Suppliers!D241</f>
        <v/>
      </c>
      <c r="E241" s="29" t="inlineStr">
        <is>
          <t>Company page</t>
        </is>
      </c>
      <c r="F241" s="29" t="inlineStr">
        <is>
          <t>Find people</t>
        </is>
      </c>
      <c r="G241" s="20" t="n"/>
      <c r="H241" s="20" t="n"/>
      <c r="I241" s="20" t="n"/>
      <c r="J241" s="21" t="n"/>
      <c r="K241" s="20" t="n"/>
      <c r="L241" s="21" t="n"/>
      <c r="M241" s="20" t="n"/>
      <c r="N241" s="20" t="n"/>
    </row>
    <row r="242">
      <c r="A242" s="28">
        <f>Suppliers!A242</f>
        <v/>
      </c>
      <c r="B242" s="28">
        <f>Suppliers!B242</f>
        <v/>
      </c>
      <c r="C242" s="28">
        <f>Suppliers!E242</f>
        <v/>
      </c>
      <c r="D242" s="28">
        <f>Suppliers!D242</f>
        <v/>
      </c>
      <c r="E242" s="29" t="inlineStr">
        <is>
          <t>Company page</t>
        </is>
      </c>
      <c r="F242" s="29" t="inlineStr">
        <is>
          <t>Find people</t>
        </is>
      </c>
      <c r="G242" s="20" t="n"/>
      <c r="H242" s="20" t="n"/>
      <c r="I242" s="20" t="n"/>
      <c r="J242" s="21" t="n"/>
      <c r="K242" s="20" t="n"/>
      <c r="L242" s="21" t="n"/>
      <c r="M242" s="20" t="n"/>
      <c r="N242" s="20" t="n"/>
    </row>
    <row r="243">
      <c r="A243" s="28">
        <f>Suppliers!A243</f>
        <v/>
      </c>
      <c r="B243" s="28">
        <f>Suppliers!B243</f>
        <v/>
      </c>
      <c r="C243" s="28">
        <f>Suppliers!E243</f>
        <v/>
      </c>
      <c r="D243" s="28">
        <f>Suppliers!D243</f>
        <v/>
      </c>
      <c r="E243" s="29" t="inlineStr">
        <is>
          <t>Company page</t>
        </is>
      </c>
      <c r="F243" s="29" t="inlineStr">
        <is>
          <t>Find people</t>
        </is>
      </c>
      <c r="G243" s="20" t="n"/>
      <c r="H243" s="20" t="n"/>
      <c r="I243" s="20" t="n"/>
      <c r="J243" s="21" t="n"/>
      <c r="K243" s="20" t="n"/>
      <c r="L243" s="21" t="n"/>
      <c r="M243" s="20" t="n"/>
      <c r="N243" s="20" t="n"/>
    </row>
    <row r="244">
      <c r="A244" s="28">
        <f>Suppliers!A244</f>
        <v/>
      </c>
      <c r="B244" s="28">
        <f>Suppliers!B244</f>
        <v/>
      </c>
      <c r="C244" s="28">
        <f>Suppliers!E244</f>
        <v/>
      </c>
      <c r="D244" s="28">
        <f>Suppliers!D244</f>
        <v/>
      </c>
      <c r="E244" s="29" t="inlineStr">
        <is>
          <t>Company page</t>
        </is>
      </c>
      <c r="F244" s="29" t="inlineStr">
        <is>
          <t>Find people</t>
        </is>
      </c>
      <c r="G244" s="20" t="n"/>
      <c r="H244" s="20" t="n"/>
      <c r="I244" s="20" t="n"/>
      <c r="J244" s="21" t="n"/>
      <c r="K244" s="20" t="n"/>
      <c r="L244" s="21" t="n"/>
      <c r="M244" s="20" t="n"/>
      <c r="N244" s="20" t="n"/>
    </row>
    <row r="245">
      <c r="A245" s="28">
        <f>Suppliers!A245</f>
        <v/>
      </c>
      <c r="B245" s="28">
        <f>Suppliers!B245</f>
        <v/>
      </c>
      <c r="C245" s="28">
        <f>Suppliers!E245</f>
        <v/>
      </c>
      <c r="D245" s="28">
        <f>Suppliers!D245</f>
        <v/>
      </c>
      <c r="E245" s="29" t="inlineStr">
        <is>
          <t>Company page</t>
        </is>
      </c>
      <c r="F245" s="29" t="inlineStr">
        <is>
          <t>Find people</t>
        </is>
      </c>
      <c r="G245" s="20" t="n"/>
      <c r="H245" s="20" t="n"/>
      <c r="I245" s="20" t="n"/>
      <c r="J245" s="21" t="n"/>
      <c r="K245" s="20" t="n"/>
      <c r="L245" s="21" t="n"/>
      <c r="M245" s="20" t="n"/>
      <c r="N245" s="20" t="n"/>
    </row>
    <row r="246">
      <c r="A246" s="28">
        <f>Suppliers!A246</f>
        <v/>
      </c>
      <c r="B246" s="28">
        <f>Suppliers!B246</f>
        <v/>
      </c>
      <c r="C246" s="28">
        <f>Suppliers!E246</f>
        <v/>
      </c>
      <c r="D246" s="28">
        <f>Suppliers!D246</f>
        <v/>
      </c>
      <c r="E246" s="29" t="inlineStr">
        <is>
          <t>Company page</t>
        </is>
      </c>
      <c r="F246" s="29" t="inlineStr">
        <is>
          <t>Find people</t>
        </is>
      </c>
      <c r="G246" s="20" t="n"/>
      <c r="H246" s="20" t="n"/>
      <c r="I246" s="20" t="n"/>
      <c r="J246" s="21" t="n"/>
      <c r="K246" s="20" t="n"/>
      <c r="L246" s="21" t="n"/>
      <c r="M246" s="20" t="n"/>
      <c r="N246" s="20" t="n"/>
    </row>
    <row r="247">
      <c r="A247" s="28">
        <f>Suppliers!A247</f>
        <v/>
      </c>
      <c r="B247" s="28">
        <f>Suppliers!B247</f>
        <v/>
      </c>
      <c r="C247" s="28">
        <f>Suppliers!E247</f>
        <v/>
      </c>
      <c r="D247" s="28">
        <f>Suppliers!D247</f>
        <v/>
      </c>
      <c r="E247" s="29" t="inlineStr">
        <is>
          <t>Company page</t>
        </is>
      </c>
      <c r="F247" s="29" t="inlineStr">
        <is>
          <t>Find people</t>
        </is>
      </c>
      <c r="G247" s="20" t="n"/>
      <c r="H247" s="20" t="n"/>
      <c r="I247" s="20" t="n"/>
      <c r="J247" s="21" t="n"/>
      <c r="K247" s="20" t="n"/>
      <c r="L247" s="21" t="n"/>
      <c r="M247" s="20" t="n"/>
      <c r="N247" s="20" t="n"/>
    </row>
    <row r="248">
      <c r="A248" s="28">
        <f>Suppliers!A248</f>
        <v/>
      </c>
      <c r="B248" s="28">
        <f>Suppliers!B248</f>
        <v/>
      </c>
      <c r="C248" s="28">
        <f>Suppliers!E248</f>
        <v/>
      </c>
      <c r="D248" s="28">
        <f>Suppliers!D248</f>
        <v/>
      </c>
      <c r="E248" s="29" t="inlineStr">
        <is>
          <t>Company page</t>
        </is>
      </c>
      <c r="F248" s="29" t="inlineStr">
        <is>
          <t>Find people</t>
        </is>
      </c>
      <c r="G248" s="20" t="n"/>
      <c r="H248" s="20" t="n"/>
      <c r="I248" s="20" t="n"/>
      <c r="J248" s="21" t="n"/>
      <c r="K248" s="20" t="n"/>
      <c r="L248" s="21" t="n"/>
      <c r="M248" s="20" t="n"/>
      <c r="N248" s="20" t="n"/>
    </row>
    <row r="249">
      <c r="A249" s="28">
        <f>Suppliers!A249</f>
        <v/>
      </c>
      <c r="B249" s="28">
        <f>Suppliers!B249</f>
        <v/>
      </c>
      <c r="C249" s="28">
        <f>Suppliers!E249</f>
        <v/>
      </c>
      <c r="D249" s="28">
        <f>Suppliers!D249</f>
        <v/>
      </c>
      <c r="E249" s="29" t="inlineStr">
        <is>
          <t>Company page</t>
        </is>
      </c>
      <c r="F249" s="29" t="inlineStr">
        <is>
          <t>Find people</t>
        </is>
      </c>
      <c r="G249" s="20" t="n"/>
      <c r="H249" s="20" t="n"/>
      <c r="I249" s="20" t="n"/>
      <c r="J249" s="21" t="n"/>
      <c r="K249" s="20" t="n"/>
      <c r="L249" s="21" t="n"/>
      <c r="M249" s="20" t="n"/>
      <c r="N249" s="20" t="n"/>
    </row>
    <row r="250">
      <c r="A250" s="28">
        <f>Suppliers!A250</f>
        <v/>
      </c>
      <c r="B250" s="28">
        <f>Suppliers!B250</f>
        <v/>
      </c>
      <c r="C250" s="28">
        <f>Suppliers!E250</f>
        <v/>
      </c>
      <c r="D250" s="28">
        <f>Suppliers!D250</f>
        <v/>
      </c>
      <c r="E250" s="29" t="inlineStr">
        <is>
          <t>Company page</t>
        </is>
      </c>
      <c r="F250" s="29" t="inlineStr">
        <is>
          <t>Find people</t>
        </is>
      </c>
      <c r="G250" s="20" t="n"/>
      <c r="H250" s="20" t="n"/>
      <c r="I250" s="20" t="n"/>
      <c r="J250" s="21" t="n"/>
      <c r="K250" s="20" t="n"/>
      <c r="L250" s="21" t="n"/>
      <c r="M250" s="20" t="n"/>
      <c r="N250" s="20" t="n"/>
    </row>
    <row r="251">
      <c r="A251" s="28">
        <f>Suppliers!A251</f>
        <v/>
      </c>
      <c r="B251" s="28">
        <f>Suppliers!B251</f>
        <v/>
      </c>
      <c r="C251" s="28">
        <f>Suppliers!E251</f>
        <v/>
      </c>
      <c r="D251" s="28">
        <f>Suppliers!D251</f>
        <v/>
      </c>
      <c r="E251" s="29" t="inlineStr">
        <is>
          <t>Company page</t>
        </is>
      </c>
      <c r="F251" s="29" t="inlineStr">
        <is>
          <t>Find people</t>
        </is>
      </c>
      <c r="G251" s="20" t="n"/>
      <c r="H251" s="20" t="n"/>
      <c r="I251" s="20" t="n"/>
      <c r="J251" s="21" t="n"/>
      <c r="K251" s="20" t="n"/>
      <c r="L251" s="21" t="n"/>
      <c r="M251" s="20" t="n"/>
      <c r="N251" s="20" t="n"/>
    </row>
    <row r="252">
      <c r="A252" s="28">
        <f>Suppliers!A252</f>
        <v/>
      </c>
      <c r="B252" s="28">
        <f>Suppliers!B252</f>
        <v/>
      </c>
      <c r="C252" s="28">
        <f>Suppliers!E252</f>
        <v/>
      </c>
      <c r="D252" s="28">
        <f>Suppliers!D252</f>
        <v/>
      </c>
      <c r="E252" s="29" t="inlineStr">
        <is>
          <t>Company page</t>
        </is>
      </c>
      <c r="F252" s="29" t="inlineStr">
        <is>
          <t>Find people</t>
        </is>
      </c>
      <c r="G252" s="20" t="n"/>
      <c r="H252" s="20" t="n"/>
      <c r="I252" s="20" t="n"/>
      <c r="J252" s="21" t="n"/>
      <c r="K252" s="20" t="n"/>
      <c r="L252" s="21" t="n"/>
      <c r="M252" s="20" t="n"/>
      <c r="N252" s="20" t="n"/>
    </row>
    <row r="253">
      <c r="A253" s="28">
        <f>Suppliers!A253</f>
        <v/>
      </c>
      <c r="B253" s="28">
        <f>Suppliers!B253</f>
        <v/>
      </c>
      <c r="C253" s="28">
        <f>Suppliers!E253</f>
        <v/>
      </c>
      <c r="D253" s="28">
        <f>Suppliers!D253</f>
        <v/>
      </c>
      <c r="E253" s="29" t="inlineStr">
        <is>
          <t>Company page</t>
        </is>
      </c>
      <c r="F253" s="29" t="inlineStr">
        <is>
          <t>Find people</t>
        </is>
      </c>
      <c r="G253" s="20" t="n"/>
      <c r="H253" s="20" t="n"/>
      <c r="I253" s="20" t="n"/>
      <c r="J253" s="21" t="n"/>
      <c r="K253" s="20" t="n"/>
      <c r="L253" s="21" t="n"/>
      <c r="M253" s="20" t="n"/>
      <c r="N253" s="20" t="n"/>
    </row>
    <row r="254">
      <c r="A254" s="28">
        <f>Suppliers!A254</f>
        <v/>
      </c>
      <c r="B254" s="28">
        <f>Suppliers!B254</f>
        <v/>
      </c>
      <c r="C254" s="28">
        <f>Suppliers!E254</f>
        <v/>
      </c>
      <c r="D254" s="28">
        <f>Suppliers!D254</f>
        <v/>
      </c>
      <c r="E254" s="29" t="inlineStr">
        <is>
          <t>Company page</t>
        </is>
      </c>
      <c r="F254" s="29" t="inlineStr">
        <is>
          <t>Find people</t>
        </is>
      </c>
      <c r="G254" s="20" t="n"/>
      <c r="H254" s="20" t="n"/>
      <c r="I254" s="20" t="n"/>
      <c r="J254" s="21" t="n"/>
      <c r="K254" s="20" t="n"/>
      <c r="L254" s="21" t="n"/>
      <c r="M254" s="20" t="n"/>
      <c r="N254" s="20" t="n"/>
    </row>
    <row r="255">
      <c r="A255" s="28">
        <f>Suppliers!A255</f>
        <v/>
      </c>
      <c r="B255" s="28">
        <f>Suppliers!B255</f>
        <v/>
      </c>
      <c r="C255" s="28">
        <f>Suppliers!E255</f>
        <v/>
      </c>
      <c r="D255" s="28">
        <f>Suppliers!D255</f>
        <v/>
      </c>
      <c r="E255" s="29" t="inlineStr">
        <is>
          <t>Company page</t>
        </is>
      </c>
      <c r="F255" s="29" t="inlineStr">
        <is>
          <t>Find people</t>
        </is>
      </c>
      <c r="G255" s="20" t="n"/>
      <c r="H255" s="20" t="n"/>
      <c r="I255" s="20" t="n"/>
      <c r="J255" s="21" t="n"/>
      <c r="K255" s="20" t="n"/>
      <c r="L255" s="21" t="n"/>
      <c r="M255" s="20" t="n"/>
      <c r="N255" s="20" t="n"/>
    </row>
    <row r="256">
      <c r="A256" s="28">
        <f>Suppliers!A256</f>
        <v/>
      </c>
      <c r="B256" s="28">
        <f>Suppliers!B256</f>
        <v/>
      </c>
      <c r="C256" s="28">
        <f>Suppliers!E256</f>
        <v/>
      </c>
      <c r="D256" s="28">
        <f>Suppliers!D256</f>
        <v/>
      </c>
      <c r="E256" s="29" t="inlineStr">
        <is>
          <t>Company page</t>
        </is>
      </c>
      <c r="F256" s="29" t="inlineStr">
        <is>
          <t>Find people</t>
        </is>
      </c>
      <c r="G256" s="20" t="n"/>
      <c r="H256" s="20" t="n"/>
      <c r="I256" s="20" t="n"/>
      <c r="J256" s="21" t="n"/>
      <c r="K256" s="20" t="n"/>
      <c r="L256" s="21" t="n"/>
      <c r="M256" s="20" t="n"/>
      <c r="N256" s="20" t="n"/>
    </row>
    <row r="257">
      <c r="A257" s="28">
        <f>Suppliers!A257</f>
        <v/>
      </c>
      <c r="B257" s="28">
        <f>Suppliers!B257</f>
        <v/>
      </c>
      <c r="C257" s="28">
        <f>Suppliers!E257</f>
        <v/>
      </c>
      <c r="D257" s="28">
        <f>Suppliers!D257</f>
        <v/>
      </c>
      <c r="E257" s="29" t="inlineStr">
        <is>
          <t>Company page</t>
        </is>
      </c>
      <c r="F257" s="29" t="inlineStr">
        <is>
          <t>Find people</t>
        </is>
      </c>
      <c r="G257" s="20" t="n"/>
      <c r="H257" s="20" t="n"/>
      <c r="I257" s="20" t="n"/>
      <c r="J257" s="21" t="n"/>
      <c r="K257" s="20" t="n"/>
      <c r="L257" s="21" t="n"/>
      <c r="M257" s="20" t="n"/>
      <c r="N257" s="20" t="n"/>
    </row>
    <row r="258">
      <c r="A258" s="28">
        <f>Suppliers!A258</f>
        <v/>
      </c>
      <c r="B258" s="28">
        <f>Suppliers!B258</f>
        <v/>
      </c>
      <c r="C258" s="28">
        <f>Suppliers!E258</f>
        <v/>
      </c>
      <c r="D258" s="28">
        <f>Suppliers!D258</f>
        <v/>
      </c>
      <c r="E258" s="29" t="inlineStr">
        <is>
          <t>Company page</t>
        </is>
      </c>
      <c r="F258" s="29" t="inlineStr">
        <is>
          <t>Find people</t>
        </is>
      </c>
      <c r="G258" s="20" t="n"/>
      <c r="H258" s="20" t="n"/>
      <c r="I258" s="20" t="n"/>
      <c r="J258" s="21" t="n"/>
      <c r="K258" s="20" t="n"/>
      <c r="L258" s="21" t="n"/>
      <c r="M258" s="20" t="n"/>
      <c r="N258" s="20" t="n"/>
    </row>
    <row r="259">
      <c r="A259" s="28">
        <f>Suppliers!A259</f>
        <v/>
      </c>
      <c r="B259" s="28">
        <f>Suppliers!B259</f>
        <v/>
      </c>
      <c r="C259" s="28">
        <f>Suppliers!E259</f>
        <v/>
      </c>
      <c r="D259" s="28">
        <f>Suppliers!D259</f>
        <v/>
      </c>
      <c r="E259" s="29" t="inlineStr">
        <is>
          <t>Company page</t>
        </is>
      </c>
      <c r="F259" s="29" t="inlineStr">
        <is>
          <t>Find people</t>
        </is>
      </c>
      <c r="G259" s="20" t="n"/>
      <c r="H259" s="20" t="n"/>
      <c r="I259" s="20" t="n"/>
      <c r="J259" s="21" t="n"/>
      <c r="K259" s="20" t="n"/>
      <c r="L259" s="21" t="n"/>
      <c r="M259" s="20" t="n"/>
      <c r="N259" s="20" t="n"/>
    </row>
    <row r="260">
      <c r="A260" s="28">
        <f>Suppliers!A260</f>
        <v/>
      </c>
      <c r="B260" s="28">
        <f>Suppliers!B260</f>
        <v/>
      </c>
      <c r="C260" s="28">
        <f>Suppliers!E260</f>
        <v/>
      </c>
      <c r="D260" s="28">
        <f>Suppliers!D260</f>
        <v/>
      </c>
      <c r="E260" s="29" t="inlineStr">
        <is>
          <t>Company page</t>
        </is>
      </c>
      <c r="F260" s="29" t="inlineStr">
        <is>
          <t>Find people</t>
        </is>
      </c>
      <c r="G260" s="20" t="n"/>
      <c r="H260" s="20" t="n"/>
      <c r="I260" s="20" t="n"/>
      <c r="J260" s="21" t="n"/>
      <c r="K260" s="20" t="n"/>
      <c r="L260" s="21" t="n"/>
      <c r="M260" s="20" t="n"/>
      <c r="N260" s="20" t="n"/>
    </row>
    <row r="261">
      <c r="A261" s="28">
        <f>Suppliers!A261</f>
        <v/>
      </c>
      <c r="B261" s="28">
        <f>Suppliers!B261</f>
        <v/>
      </c>
      <c r="C261" s="28">
        <f>Suppliers!E261</f>
        <v/>
      </c>
      <c r="D261" s="28">
        <f>Suppliers!D261</f>
        <v/>
      </c>
      <c r="E261" s="29" t="inlineStr">
        <is>
          <t>Company page</t>
        </is>
      </c>
      <c r="F261" s="29" t="inlineStr">
        <is>
          <t>Find people</t>
        </is>
      </c>
      <c r="G261" s="20" t="n"/>
      <c r="H261" s="20" t="n"/>
      <c r="I261" s="20" t="n"/>
      <c r="J261" s="21" t="n"/>
      <c r="K261" s="20" t="n"/>
      <c r="L261" s="21" t="n"/>
      <c r="M261" s="20" t="n"/>
      <c r="N261" s="20" t="n"/>
    </row>
    <row r="262">
      <c r="A262" s="28">
        <f>Suppliers!A262</f>
        <v/>
      </c>
      <c r="B262" s="28">
        <f>Suppliers!B262</f>
        <v/>
      </c>
      <c r="C262" s="28">
        <f>Suppliers!E262</f>
        <v/>
      </c>
      <c r="D262" s="28">
        <f>Suppliers!D262</f>
        <v/>
      </c>
      <c r="E262" s="29" t="inlineStr">
        <is>
          <t>Company page</t>
        </is>
      </c>
      <c r="F262" s="29" t="inlineStr">
        <is>
          <t>Find people</t>
        </is>
      </c>
      <c r="G262" s="20" t="n"/>
      <c r="H262" s="20" t="n"/>
      <c r="I262" s="20" t="n"/>
      <c r="J262" s="21" t="n"/>
      <c r="K262" s="20" t="n"/>
      <c r="L262" s="21" t="n"/>
      <c r="M262" s="20" t="n"/>
      <c r="N262" s="20" t="n"/>
    </row>
    <row r="263">
      <c r="A263" s="28">
        <f>Suppliers!A263</f>
        <v/>
      </c>
      <c r="B263" s="28">
        <f>Suppliers!B263</f>
        <v/>
      </c>
      <c r="C263" s="28">
        <f>Suppliers!E263</f>
        <v/>
      </c>
      <c r="D263" s="28">
        <f>Suppliers!D263</f>
        <v/>
      </c>
      <c r="E263" s="29" t="inlineStr">
        <is>
          <t>Company page</t>
        </is>
      </c>
      <c r="F263" s="29" t="inlineStr">
        <is>
          <t>Find people</t>
        </is>
      </c>
      <c r="G263" s="20" t="n"/>
      <c r="H263" s="20" t="n"/>
      <c r="I263" s="20" t="n"/>
      <c r="J263" s="21" t="n"/>
      <c r="K263" s="20" t="n"/>
      <c r="L263" s="21" t="n"/>
      <c r="M263" s="20" t="n"/>
      <c r="N263" s="20" t="n"/>
    </row>
    <row r="264">
      <c r="A264" s="28">
        <f>Suppliers!A264</f>
        <v/>
      </c>
      <c r="B264" s="28">
        <f>Suppliers!B264</f>
        <v/>
      </c>
      <c r="C264" s="28">
        <f>Suppliers!E264</f>
        <v/>
      </c>
      <c r="D264" s="28">
        <f>Suppliers!D264</f>
        <v/>
      </c>
      <c r="E264" s="29" t="inlineStr">
        <is>
          <t>Company page</t>
        </is>
      </c>
      <c r="F264" s="29" t="inlineStr">
        <is>
          <t>Find people</t>
        </is>
      </c>
      <c r="G264" s="20" t="n"/>
      <c r="H264" s="20" t="n"/>
      <c r="I264" s="20" t="n"/>
      <c r="J264" s="21" t="n"/>
      <c r="K264" s="20" t="n"/>
      <c r="L264" s="21" t="n"/>
      <c r="M264" s="20" t="n"/>
      <c r="N264" s="20" t="n"/>
    </row>
    <row r="265">
      <c r="A265" s="28">
        <f>Suppliers!A265</f>
        <v/>
      </c>
      <c r="B265" s="28">
        <f>Suppliers!B265</f>
        <v/>
      </c>
      <c r="C265" s="28">
        <f>Suppliers!E265</f>
        <v/>
      </c>
      <c r="D265" s="28">
        <f>Suppliers!D265</f>
        <v/>
      </c>
      <c r="E265" s="29" t="inlineStr">
        <is>
          <t>Company page</t>
        </is>
      </c>
      <c r="F265" s="29" t="inlineStr">
        <is>
          <t>Find people</t>
        </is>
      </c>
      <c r="G265" s="20" t="n"/>
      <c r="H265" s="20" t="n"/>
      <c r="I265" s="20" t="n"/>
      <c r="J265" s="21" t="n"/>
      <c r="K265" s="20" t="n"/>
      <c r="L265" s="21" t="n"/>
      <c r="M265" s="20" t="n"/>
      <c r="N265" s="20" t="n"/>
    </row>
    <row r="266">
      <c r="A266" s="28">
        <f>Suppliers!A266</f>
        <v/>
      </c>
      <c r="B266" s="28">
        <f>Suppliers!B266</f>
        <v/>
      </c>
      <c r="C266" s="28">
        <f>Suppliers!E266</f>
        <v/>
      </c>
      <c r="D266" s="28">
        <f>Suppliers!D266</f>
        <v/>
      </c>
      <c r="E266" s="29" t="inlineStr">
        <is>
          <t>Company page</t>
        </is>
      </c>
      <c r="F266" s="29" t="inlineStr">
        <is>
          <t>Find people</t>
        </is>
      </c>
      <c r="G266" s="20" t="n"/>
      <c r="H266" s="20" t="n"/>
      <c r="I266" s="20" t="n"/>
      <c r="J266" s="21" t="n"/>
      <c r="K266" s="20" t="n"/>
      <c r="L266" s="21" t="n"/>
      <c r="M266" s="20" t="n"/>
      <c r="N266" s="20" t="n"/>
    </row>
    <row r="267">
      <c r="A267" s="28">
        <f>Suppliers!A267</f>
        <v/>
      </c>
      <c r="B267" s="28">
        <f>Suppliers!B267</f>
        <v/>
      </c>
      <c r="C267" s="28">
        <f>Suppliers!E267</f>
        <v/>
      </c>
      <c r="D267" s="28">
        <f>Suppliers!D267</f>
        <v/>
      </c>
      <c r="E267" s="29" t="inlineStr">
        <is>
          <t>Company page</t>
        </is>
      </c>
      <c r="F267" s="29" t="inlineStr">
        <is>
          <t>Find people</t>
        </is>
      </c>
      <c r="G267" s="20" t="n"/>
      <c r="H267" s="20" t="n"/>
      <c r="I267" s="20" t="n"/>
      <c r="J267" s="21" t="n"/>
      <c r="K267" s="20" t="n"/>
      <c r="L267" s="21" t="n"/>
      <c r="M267" s="20" t="n"/>
      <c r="N267" s="20" t="n"/>
    </row>
    <row r="268">
      <c r="A268" s="28">
        <f>Suppliers!A268</f>
        <v/>
      </c>
      <c r="B268" s="28">
        <f>Suppliers!B268</f>
        <v/>
      </c>
      <c r="C268" s="28">
        <f>Suppliers!E268</f>
        <v/>
      </c>
      <c r="D268" s="28">
        <f>Suppliers!D268</f>
        <v/>
      </c>
      <c r="E268" s="29" t="inlineStr">
        <is>
          <t>Company page</t>
        </is>
      </c>
      <c r="F268" s="29" t="inlineStr">
        <is>
          <t>Find people</t>
        </is>
      </c>
      <c r="G268" s="20" t="n"/>
      <c r="H268" s="20" t="n"/>
      <c r="I268" s="20" t="n"/>
      <c r="J268" s="21" t="n"/>
      <c r="K268" s="20" t="n"/>
      <c r="L268" s="21" t="n"/>
      <c r="M268" s="20" t="n"/>
      <c r="N268" s="20" t="n"/>
    </row>
    <row r="269">
      <c r="A269" s="28">
        <f>Suppliers!A269</f>
        <v/>
      </c>
      <c r="B269" s="28">
        <f>Suppliers!B269</f>
        <v/>
      </c>
      <c r="C269" s="28">
        <f>Suppliers!E269</f>
        <v/>
      </c>
      <c r="D269" s="28">
        <f>Suppliers!D269</f>
        <v/>
      </c>
      <c r="E269" s="29" t="inlineStr">
        <is>
          <t>Company page</t>
        </is>
      </c>
      <c r="F269" s="29" t="inlineStr">
        <is>
          <t>Find people</t>
        </is>
      </c>
      <c r="G269" s="20" t="n"/>
      <c r="H269" s="20" t="n"/>
      <c r="I269" s="20" t="n"/>
      <c r="J269" s="21" t="n"/>
      <c r="K269" s="20" t="n"/>
      <c r="L269" s="21" t="n"/>
      <c r="M269" s="20" t="n"/>
      <c r="N269" s="20" t="n"/>
    </row>
    <row r="270">
      <c r="A270" s="28">
        <f>Suppliers!A270</f>
        <v/>
      </c>
      <c r="B270" s="28">
        <f>Suppliers!B270</f>
        <v/>
      </c>
      <c r="C270" s="28">
        <f>Suppliers!E270</f>
        <v/>
      </c>
      <c r="D270" s="28">
        <f>Suppliers!D270</f>
        <v/>
      </c>
      <c r="E270" s="29" t="inlineStr">
        <is>
          <t>Company page</t>
        </is>
      </c>
      <c r="F270" s="29" t="inlineStr">
        <is>
          <t>Find people</t>
        </is>
      </c>
      <c r="G270" s="20" t="n"/>
      <c r="H270" s="20" t="n"/>
      <c r="I270" s="20" t="n"/>
      <c r="J270" s="21" t="n"/>
      <c r="K270" s="20" t="n"/>
      <c r="L270" s="21" t="n"/>
      <c r="M270" s="20" t="n"/>
      <c r="N270" s="20" t="n"/>
    </row>
    <row r="271">
      <c r="A271" s="28">
        <f>Suppliers!A271</f>
        <v/>
      </c>
      <c r="B271" s="28">
        <f>Suppliers!B271</f>
        <v/>
      </c>
      <c r="C271" s="28">
        <f>Suppliers!E271</f>
        <v/>
      </c>
      <c r="D271" s="28">
        <f>Suppliers!D271</f>
        <v/>
      </c>
      <c r="E271" s="29" t="inlineStr">
        <is>
          <t>Company page</t>
        </is>
      </c>
      <c r="F271" s="29" t="inlineStr">
        <is>
          <t>Find people</t>
        </is>
      </c>
      <c r="G271" s="20" t="n"/>
      <c r="H271" s="20" t="n"/>
      <c r="I271" s="20" t="n"/>
      <c r="J271" s="21" t="n"/>
      <c r="K271" s="20" t="n"/>
      <c r="L271" s="21" t="n"/>
      <c r="M271" s="20" t="n"/>
      <c r="N271" s="20" t="n"/>
    </row>
    <row r="272">
      <c r="A272" s="28">
        <f>Suppliers!A272</f>
        <v/>
      </c>
      <c r="B272" s="28">
        <f>Suppliers!B272</f>
        <v/>
      </c>
      <c r="C272" s="28">
        <f>Suppliers!E272</f>
        <v/>
      </c>
      <c r="D272" s="28">
        <f>Suppliers!D272</f>
        <v/>
      </c>
      <c r="E272" s="29" t="inlineStr">
        <is>
          <t>Company page</t>
        </is>
      </c>
      <c r="F272" s="29" t="inlineStr">
        <is>
          <t>Find people</t>
        </is>
      </c>
      <c r="G272" s="20" t="n"/>
      <c r="H272" s="20" t="n"/>
      <c r="I272" s="20" t="n"/>
      <c r="J272" s="21" t="n"/>
      <c r="K272" s="20" t="n"/>
      <c r="L272" s="21" t="n"/>
      <c r="M272" s="20" t="n"/>
      <c r="N272" s="20" t="n"/>
    </row>
    <row r="273">
      <c r="A273" s="28">
        <f>Suppliers!A273</f>
        <v/>
      </c>
      <c r="B273" s="28">
        <f>Suppliers!B273</f>
        <v/>
      </c>
      <c r="C273" s="28">
        <f>Suppliers!E273</f>
        <v/>
      </c>
      <c r="D273" s="28">
        <f>Suppliers!D273</f>
        <v/>
      </c>
      <c r="E273" s="29" t="inlineStr">
        <is>
          <t>Company page</t>
        </is>
      </c>
      <c r="F273" s="29" t="inlineStr">
        <is>
          <t>Find people</t>
        </is>
      </c>
      <c r="G273" s="20" t="n"/>
      <c r="H273" s="20" t="n"/>
      <c r="I273" s="20" t="n"/>
      <c r="J273" s="21" t="n"/>
      <c r="K273" s="20" t="n"/>
      <c r="L273" s="21" t="n"/>
      <c r="M273" s="20" t="n"/>
      <c r="N273" s="20" t="n"/>
    </row>
    <row r="274">
      <c r="A274" s="28">
        <f>Suppliers!A274</f>
        <v/>
      </c>
      <c r="B274" s="28">
        <f>Suppliers!B274</f>
        <v/>
      </c>
      <c r="C274" s="28">
        <f>Suppliers!E274</f>
        <v/>
      </c>
      <c r="D274" s="28">
        <f>Suppliers!D274</f>
        <v/>
      </c>
      <c r="E274" s="29" t="inlineStr">
        <is>
          <t>Company page</t>
        </is>
      </c>
      <c r="F274" s="29" t="inlineStr">
        <is>
          <t>Find people</t>
        </is>
      </c>
      <c r="G274" s="20" t="n"/>
      <c r="H274" s="20" t="n"/>
      <c r="I274" s="20" t="n"/>
      <c r="J274" s="21" t="n"/>
      <c r="K274" s="20" t="n"/>
      <c r="L274" s="21" t="n"/>
      <c r="M274" s="20" t="n"/>
      <c r="N274" s="20" t="n"/>
    </row>
    <row r="275">
      <c r="A275" s="28">
        <f>Suppliers!A275</f>
        <v/>
      </c>
      <c r="B275" s="28">
        <f>Suppliers!B275</f>
        <v/>
      </c>
      <c r="C275" s="28">
        <f>Suppliers!E275</f>
        <v/>
      </c>
      <c r="D275" s="28">
        <f>Suppliers!D275</f>
        <v/>
      </c>
      <c r="E275" s="29" t="inlineStr">
        <is>
          <t>Company page</t>
        </is>
      </c>
      <c r="F275" s="29" t="inlineStr">
        <is>
          <t>Find people</t>
        </is>
      </c>
      <c r="G275" s="20" t="n"/>
      <c r="H275" s="20" t="n"/>
      <c r="I275" s="20" t="n"/>
      <c r="J275" s="21" t="n"/>
      <c r="K275" s="20" t="n"/>
      <c r="L275" s="21" t="n"/>
      <c r="M275" s="20" t="n"/>
      <c r="N275" s="20" t="n"/>
    </row>
    <row r="276">
      <c r="A276" s="28">
        <f>Suppliers!A276</f>
        <v/>
      </c>
      <c r="B276" s="28">
        <f>Suppliers!B276</f>
        <v/>
      </c>
      <c r="C276" s="28">
        <f>Suppliers!E276</f>
        <v/>
      </c>
      <c r="D276" s="28">
        <f>Suppliers!D276</f>
        <v/>
      </c>
      <c r="E276" s="29" t="inlineStr">
        <is>
          <t>Company page</t>
        </is>
      </c>
      <c r="F276" s="29" t="inlineStr">
        <is>
          <t>Find people</t>
        </is>
      </c>
      <c r="G276" s="20" t="n"/>
      <c r="H276" s="20" t="n"/>
      <c r="I276" s="20" t="n"/>
      <c r="J276" s="21" t="n"/>
      <c r="K276" s="20" t="n"/>
      <c r="L276" s="21" t="n"/>
      <c r="M276" s="20" t="n"/>
      <c r="N276" s="20" t="n"/>
    </row>
    <row r="277">
      <c r="A277" s="28">
        <f>Suppliers!A277</f>
        <v/>
      </c>
      <c r="B277" s="28">
        <f>Suppliers!B277</f>
        <v/>
      </c>
      <c r="C277" s="28">
        <f>Suppliers!E277</f>
        <v/>
      </c>
      <c r="D277" s="28">
        <f>Suppliers!D277</f>
        <v/>
      </c>
      <c r="E277" s="29" t="inlineStr">
        <is>
          <t>Company page</t>
        </is>
      </c>
      <c r="F277" s="29" t="inlineStr">
        <is>
          <t>Find people</t>
        </is>
      </c>
      <c r="G277" s="20" t="n"/>
      <c r="H277" s="20" t="n"/>
      <c r="I277" s="20" t="n"/>
      <c r="J277" s="21" t="n"/>
      <c r="K277" s="20" t="n"/>
      <c r="L277" s="21" t="n"/>
      <c r="M277" s="20" t="n"/>
      <c r="N277" s="20" t="n"/>
    </row>
    <row r="278">
      <c r="A278" s="28">
        <f>Suppliers!A278</f>
        <v/>
      </c>
      <c r="B278" s="28">
        <f>Suppliers!B278</f>
        <v/>
      </c>
      <c r="C278" s="28">
        <f>Suppliers!E278</f>
        <v/>
      </c>
      <c r="D278" s="28">
        <f>Suppliers!D278</f>
        <v/>
      </c>
      <c r="E278" s="29" t="inlineStr">
        <is>
          <t>Company page</t>
        </is>
      </c>
      <c r="F278" s="29" t="inlineStr">
        <is>
          <t>Find people</t>
        </is>
      </c>
      <c r="G278" s="20" t="n"/>
      <c r="H278" s="20" t="n"/>
      <c r="I278" s="20" t="n"/>
      <c r="J278" s="21" t="n"/>
      <c r="K278" s="20" t="n"/>
      <c r="L278" s="21" t="n"/>
      <c r="M278" s="20" t="n"/>
      <c r="N278" s="20" t="n"/>
    </row>
    <row r="279">
      <c r="A279" s="28">
        <f>Suppliers!A279</f>
        <v/>
      </c>
      <c r="B279" s="28">
        <f>Suppliers!B279</f>
        <v/>
      </c>
      <c r="C279" s="28">
        <f>Suppliers!E279</f>
        <v/>
      </c>
      <c r="D279" s="28">
        <f>Suppliers!D279</f>
        <v/>
      </c>
      <c r="E279" s="29" t="inlineStr">
        <is>
          <t>Company page</t>
        </is>
      </c>
      <c r="F279" s="29" t="inlineStr">
        <is>
          <t>Find people</t>
        </is>
      </c>
      <c r="G279" s="20" t="n"/>
      <c r="H279" s="20" t="n"/>
      <c r="I279" s="20" t="n"/>
      <c r="J279" s="21" t="n"/>
      <c r="K279" s="20" t="n"/>
      <c r="L279" s="21" t="n"/>
      <c r="M279" s="20" t="n"/>
      <c r="N279" s="20" t="n"/>
    </row>
    <row r="280">
      <c r="A280" s="28">
        <f>Suppliers!A280</f>
        <v/>
      </c>
      <c r="B280" s="28">
        <f>Suppliers!B280</f>
        <v/>
      </c>
      <c r="C280" s="28">
        <f>Suppliers!E280</f>
        <v/>
      </c>
      <c r="D280" s="28">
        <f>Suppliers!D280</f>
        <v/>
      </c>
      <c r="E280" s="29" t="inlineStr">
        <is>
          <t>Company page</t>
        </is>
      </c>
      <c r="F280" s="29" t="inlineStr">
        <is>
          <t>Find people</t>
        </is>
      </c>
      <c r="G280" s="20" t="n"/>
      <c r="H280" s="20" t="n"/>
      <c r="I280" s="20" t="n"/>
      <c r="J280" s="21" t="n"/>
      <c r="K280" s="20" t="n"/>
      <c r="L280" s="21" t="n"/>
      <c r="M280" s="20" t="n"/>
      <c r="N280" s="20" t="n"/>
    </row>
    <row r="281">
      <c r="A281" s="28">
        <f>Suppliers!A281</f>
        <v/>
      </c>
      <c r="B281" s="28">
        <f>Suppliers!B281</f>
        <v/>
      </c>
      <c r="C281" s="28">
        <f>Suppliers!E281</f>
        <v/>
      </c>
      <c r="D281" s="28">
        <f>Suppliers!D281</f>
        <v/>
      </c>
      <c r="E281" s="29" t="inlineStr">
        <is>
          <t>Company page</t>
        </is>
      </c>
      <c r="F281" s="29" t="inlineStr">
        <is>
          <t>Find people</t>
        </is>
      </c>
      <c r="G281" s="20" t="n"/>
      <c r="H281" s="20" t="n"/>
      <c r="I281" s="20" t="n"/>
      <c r="J281" s="21" t="n"/>
      <c r="K281" s="20" t="n"/>
      <c r="L281" s="21" t="n"/>
      <c r="M281" s="20" t="n"/>
      <c r="N281" s="20" t="n"/>
    </row>
    <row r="282">
      <c r="A282" s="28">
        <f>Suppliers!A282</f>
        <v/>
      </c>
      <c r="B282" s="28">
        <f>Suppliers!B282</f>
        <v/>
      </c>
      <c r="C282" s="28">
        <f>Suppliers!E282</f>
        <v/>
      </c>
      <c r="D282" s="28">
        <f>Suppliers!D282</f>
        <v/>
      </c>
      <c r="E282" s="29" t="inlineStr">
        <is>
          <t>Company page</t>
        </is>
      </c>
      <c r="F282" s="29" t="inlineStr">
        <is>
          <t>Find people</t>
        </is>
      </c>
      <c r="G282" s="20" t="n"/>
      <c r="H282" s="20" t="n"/>
      <c r="I282" s="20" t="n"/>
      <c r="J282" s="21" t="n"/>
      <c r="K282" s="20" t="n"/>
      <c r="L282" s="21" t="n"/>
      <c r="M282" s="20" t="n"/>
      <c r="N282" s="20" t="n"/>
    </row>
    <row r="283">
      <c r="A283" s="28">
        <f>Suppliers!A283</f>
        <v/>
      </c>
      <c r="B283" s="28">
        <f>Suppliers!B283</f>
        <v/>
      </c>
      <c r="C283" s="28">
        <f>Suppliers!E283</f>
        <v/>
      </c>
      <c r="D283" s="28">
        <f>Suppliers!D283</f>
        <v/>
      </c>
      <c r="E283" s="29" t="inlineStr">
        <is>
          <t>Company page</t>
        </is>
      </c>
      <c r="F283" s="29" t="inlineStr">
        <is>
          <t>Find people</t>
        </is>
      </c>
      <c r="G283" s="20" t="n"/>
      <c r="H283" s="20" t="n"/>
      <c r="I283" s="20" t="n"/>
      <c r="J283" s="21" t="n"/>
      <c r="K283" s="20" t="n"/>
      <c r="L283" s="21" t="n"/>
      <c r="M283" s="20" t="n"/>
      <c r="N283" s="20" t="n"/>
    </row>
    <row r="284">
      <c r="A284" s="28">
        <f>Suppliers!A284</f>
        <v/>
      </c>
      <c r="B284" s="28">
        <f>Suppliers!B284</f>
        <v/>
      </c>
      <c r="C284" s="28">
        <f>Suppliers!E284</f>
        <v/>
      </c>
      <c r="D284" s="28">
        <f>Suppliers!D284</f>
        <v/>
      </c>
      <c r="E284" s="29" t="inlineStr">
        <is>
          <t>Company page</t>
        </is>
      </c>
      <c r="F284" s="29" t="inlineStr">
        <is>
          <t>Find people</t>
        </is>
      </c>
      <c r="G284" s="20" t="n"/>
      <c r="H284" s="20" t="n"/>
      <c r="I284" s="20" t="n"/>
      <c r="J284" s="21" t="n"/>
      <c r="K284" s="20" t="n"/>
      <c r="L284" s="21" t="n"/>
      <c r="M284" s="20" t="n"/>
      <c r="N284" s="20" t="n"/>
    </row>
    <row r="285">
      <c r="A285" s="28">
        <f>Suppliers!A285</f>
        <v/>
      </c>
      <c r="B285" s="28">
        <f>Suppliers!B285</f>
        <v/>
      </c>
      <c r="C285" s="28">
        <f>Suppliers!E285</f>
        <v/>
      </c>
      <c r="D285" s="28">
        <f>Suppliers!D285</f>
        <v/>
      </c>
      <c r="E285" s="29" t="inlineStr">
        <is>
          <t>Company page</t>
        </is>
      </c>
      <c r="F285" s="29" t="inlineStr">
        <is>
          <t>Find people</t>
        </is>
      </c>
      <c r="G285" s="20" t="n"/>
      <c r="H285" s="20" t="n"/>
      <c r="I285" s="20" t="n"/>
      <c r="J285" s="21" t="n"/>
      <c r="K285" s="20" t="n"/>
      <c r="L285" s="21" t="n"/>
      <c r="M285" s="20" t="n"/>
      <c r="N285" s="20" t="n"/>
    </row>
    <row r="286">
      <c r="A286" s="28">
        <f>Suppliers!A286</f>
        <v/>
      </c>
      <c r="B286" s="28">
        <f>Suppliers!B286</f>
        <v/>
      </c>
      <c r="C286" s="28">
        <f>Suppliers!E286</f>
        <v/>
      </c>
      <c r="D286" s="28">
        <f>Suppliers!D286</f>
        <v/>
      </c>
      <c r="E286" s="29" t="inlineStr">
        <is>
          <t>Company page</t>
        </is>
      </c>
      <c r="F286" s="29" t="inlineStr">
        <is>
          <t>Find people</t>
        </is>
      </c>
      <c r="G286" s="20" t="n"/>
      <c r="H286" s="20" t="n"/>
      <c r="I286" s="20" t="n"/>
      <c r="J286" s="21" t="n"/>
      <c r="K286" s="20" t="n"/>
      <c r="L286" s="21" t="n"/>
      <c r="M286" s="20" t="n"/>
      <c r="N286" s="20" t="n"/>
    </row>
    <row r="287">
      <c r="A287" s="28">
        <f>Suppliers!A287</f>
        <v/>
      </c>
      <c r="B287" s="28">
        <f>Suppliers!B287</f>
        <v/>
      </c>
      <c r="C287" s="28">
        <f>Suppliers!E287</f>
        <v/>
      </c>
      <c r="D287" s="28">
        <f>Suppliers!D287</f>
        <v/>
      </c>
      <c r="E287" s="29" t="inlineStr">
        <is>
          <t>Company page</t>
        </is>
      </c>
      <c r="F287" s="29" t="inlineStr">
        <is>
          <t>Find people</t>
        </is>
      </c>
      <c r="G287" s="20" t="n"/>
      <c r="H287" s="20" t="n"/>
      <c r="I287" s="20" t="n"/>
      <c r="J287" s="21" t="n"/>
      <c r="K287" s="20" t="n"/>
      <c r="L287" s="21" t="n"/>
      <c r="M287" s="20" t="n"/>
      <c r="N287" s="20" t="n"/>
    </row>
    <row r="288">
      <c r="A288" s="28">
        <f>Suppliers!A288</f>
        <v/>
      </c>
      <c r="B288" s="28">
        <f>Suppliers!B288</f>
        <v/>
      </c>
      <c r="C288" s="28">
        <f>Suppliers!E288</f>
        <v/>
      </c>
      <c r="D288" s="28">
        <f>Suppliers!D288</f>
        <v/>
      </c>
      <c r="E288" s="29" t="inlineStr">
        <is>
          <t>Company page</t>
        </is>
      </c>
      <c r="F288" s="29" t="inlineStr">
        <is>
          <t>Find people</t>
        </is>
      </c>
      <c r="G288" s="20" t="n"/>
      <c r="H288" s="20" t="n"/>
      <c r="I288" s="20" t="n"/>
      <c r="J288" s="21" t="n"/>
      <c r="K288" s="20" t="n"/>
      <c r="L288" s="21" t="n"/>
      <c r="M288" s="20" t="n"/>
      <c r="N288" s="20" t="n"/>
    </row>
    <row r="289">
      <c r="A289" s="28">
        <f>Suppliers!A289</f>
        <v/>
      </c>
      <c r="B289" s="28">
        <f>Suppliers!B289</f>
        <v/>
      </c>
      <c r="C289" s="28">
        <f>Suppliers!E289</f>
        <v/>
      </c>
      <c r="D289" s="28">
        <f>Suppliers!D289</f>
        <v/>
      </c>
      <c r="E289" s="29" t="inlineStr">
        <is>
          <t>Company page</t>
        </is>
      </c>
      <c r="F289" s="29" t="inlineStr">
        <is>
          <t>Find people</t>
        </is>
      </c>
      <c r="G289" s="20" t="n"/>
      <c r="H289" s="20" t="n"/>
      <c r="I289" s="20" t="n"/>
      <c r="J289" s="21" t="n"/>
      <c r="K289" s="20" t="n"/>
      <c r="L289" s="21" t="n"/>
      <c r="M289" s="20" t="n"/>
      <c r="N289" s="20" t="n"/>
    </row>
    <row r="290">
      <c r="A290" s="28">
        <f>Suppliers!A290</f>
        <v/>
      </c>
      <c r="B290" s="28">
        <f>Suppliers!B290</f>
        <v/>
      </c>
      <c r="C290" s="28">
        <f>Suppliers!E290</f>
        <v/>
      </c>
      <c r="D290" s="28">
        <f>Suppliers!D290</f>
        <v/>
      </c>
      <c r="E290" s="29" t="inlineStr">
        <is>
          <t>Company page</t>
        </is>
      </c>
      <c r="F290" s="29" t="inlineStr">
        <is>
          <t>Find people</t>
        </is>
      </c>
      <c r="G290" s="20" t="n"/>
      <c r="H290" s="20" t="n"/>
      <c r="I290" s="20" t="n"/>
      <c r="J290" s="21" t="n"/>
      <c r="K290" s="20" t="n"/>
      <c r="L290" s="21" t="n"/>
      <c r="M290" s="20" t="n"/>
      <c r="N290" s="20" t="n"/>
    </row>
    <row r="291">
      <c r="A291" s="28">
        <f>Suppliers!A291</f>
        <v/>
      </c>
      <c r="B291" s="28">
        <f>Suppliers!B291</f>
        <v/>
      </c>
      <c r="C291" s="28">
        <f>Suppliers!E291</f>
        <v/>
      </c>
      <c r="D291" s="28">
        <f>Suppliers!D291</f>
        <v/>
      </c>
      <c r="E291" s="29" t="inlineStr">
        <is>
          <t>Company page</t>
        </is>
      </c>
      <c r="F291" s="29" t="inlineStr">
        <is>
          <t>Find people</t>
        </is>
      </c>
      <c r="G291" s="20" t="n"/>
      <c r="H291" s="20" t="n"/>
      <c r="I291" s="20" t="n"/>
      <c r="J291" s="21" t="n"/>
      <c r="K291" s="20" t="n"/>
      <c r="L291" s="21" t="n"/>
      <c r="M291" s="20" t="n"/>
      <c r="N291" s="20" t="n"/>
    </row>
    <row r="292">
      <c r="A292" s="28">
        <f>Suppliers!A292</f>
        <v/>
      </c>
      <c r="B292" s="28">
        <f>Suppliers!B292</f>
        <v/>
      </c>
      <c r="C292" s="28">
        <f>Suppliers!E292</f>
        <v/>
      </c>
      <c r="D292" s="28">
        <f>Suppliers!D292</f>
        <v/>
      </c>
      <c r="E292" s="29" t="inlineStr">
        <is>
          <t>Company page</t>
        </is>
      </c>
      <c r="F292" s="29" t="inlineStr">
        <is>
          <t>Find people</t>
        </is>
      </c>
      <c r="G292" s="20" t="n"/>
      <c r="H292" s="20" t="n"/>
      <c r="I292" s="20" t="n"/>
      <c r="J292" s="21" t="n"/>
      <c r="K292" s="20" t="n"/>
      <c r="L292" s="21" t="n"/>
      <c r="M292" s="20" t="n"/>
      <c r="N292" s="20" t="n"/>
    </row>
    <row r="293">
      <c r="A293" s="28">
        <f>Suppliers!A293</f>
        <v/>
      </c>
      <c r="B293" s="28">
        <f>Suppliers!B293</f>
        <v/>
      </c>
      <c r="C293" s="28">
        <f>Suppliers!E293</f>
        <v/>
      </c>
      <c r="D293" s="28">
        <f>Suppliers!D293</f>
        <v/>
      </c>
      <c r="E293" s="29" t="inlineStr">
        <is>
          <t>Company page</t>
        </is>
      </c>
      <c r="F293" s="29" t="inlineStr">
        <is>
          <t>Find people</t>
        </is>
      </c>
      <c r="G293" s="20" t="n"/>
      <c r="H293" s="20" t="n"/>
      <c r="I293" s="20" t="n"/>
      <c r="J293" s="21" t="n"/>
      <c r="K293" s="20" t="n"/>
      <c r="L293" s="21" t="n"/>
      <c r="M293" s="20" t="n"/>
      <c r="N293" s="20" t="n"/>
    </row>
    <row r="294">
      <c r="A294" s="28">
        <f>Suppliers!A294</f>
        <v/>
      </c>
      <c r="B294" s="28">
        <f>Suppliers!B294</f>
        <v/>
      </c>
      <c r="C294" s="28">
        <f>Suppliers!E294</f>
        <v/>
      </c>
      <c r="D294" s="28">
        <f>Suppliers!D294</f>
        <v/>
      </c>
      <c r="E294" s="29" t="inlineStr">
        <is>
          <t>Company page</t>
        </is>
      </c>
      <c r="F294" s="29" t="inlineStr">
        <is>
          <t>Find people</t>
        </is>
      </c>
      <c r="G294" s="20" t="n"/>
      <c r="H294" s="20" t="n"/>
      <c r="I294" s="20" t="n"/>
      <c r="J294" s="21" t="n"/>
      <c r="K294" s="20" t="n"/>
      <c r="L294" s="21" t="n"/>
      <c r="M294" s="20" t="n"/>
      <c r="N294" s="20" t="n"/>
    </row>
    <row r="295">
      <c r="A295" s="28">
        <f>Suppliers!A295</f>
        <v/>
      </c>
      <c r="B295" s="28">
        <f>Suppliers!B295</f>
        <v/>
      </c>
      <c r="C295" s="28">
        <f>Suppliers!E295</f>
        <v/>
      </c>
      <c r="D295" s="28">
        <f>Suppliers!D295</f>
        <v/>
      </c>
      <c r="E295" s="29" t="inlineStr">
        <is>
          <t>Company page</t>
        </is>
      </c>
      <c r="F295" s="29" t="inlineStr">
        <is>
          <t>Find people</t>
        </is>
      </c>
      <c r="G295" s="20" t="n"/>
      <c r="H295" s="20" t="n"/>
      <c r="I295" s="20" t="n"/>
      <c r="J295" s="21" t="n"/>
      <c r="K295" s="20" t="n"/>
      <c r="L295" s="21" t="n"/>
      <c r="M295" s="20" t="n"/>
      <c r="N295" s="20" t="n"/>
    </row>
    <row r="296">
      <c r="A296" s="28">
        <f>Suppliers!A296</f>
        <v/>
      </c>
      <c r="B296" s="28">
        <f>Suppliers!B296</f>
        <v/>
      </c>
      <c r="C296" s="28">
        <f>Suppliers!E296</f>
        <v/>
      </c>
      <c r="D296" s="28">
        <f>Suppliers!D296</f>
        <v/>
      </c>
      <c r="E296" s="29" t="inlineStr">
        <is>
          <t>Company page</t>
        </is>
      </c>
      <c r="F296" s="29" t="inlineStr">
        <is>
          <t>Find people</t>
        </is>
      </c>
      <c r="G296" s="20" t="n"/>
      <c r="H296" s="20" t="n"/>
      <c r="I296" s="20" t="n"/>
      <c r="J296" s="21" t="n"/>
      <c r="K296" s="20" t="n"/>
      <c r="L296" s="21" t="n"/>
      <c r="M296" s="20" t="n"/>
      <c r="N296" s="20" t="n"/>
    </row>
    <row r="297">
      <c r="A297" s="28">
        <f>Suppliers!A297</f>
        <v/>
      </c>
      <c r="B297" s="28">
        <f>Suppliers!B297</f>
        <v/>
      </c>
      <c r="C297" s="28">
        <f>Suppliers!E297</f>
        <v/>
      </c>
      <c r="D297" s="28">
        <f>Suppliers!D297</f>
        <v/>
      </c>
      <c r="E297" s="29" t="inlineStr">
        <is>
          <t>Company page</t>
        </is>
      </c>
      <c r="F297" s="29" t="inlineStr">
        <is>
          <t>Find people</t>
        </is>
      </c>
      <c r="G297" s="20" t="n"/>
      <c r="H297" s="20" t="n"/>
      <c r="I297" s="20" t="n"/>
      <c r="J297" s="21" t="n"/>
      <c r="K297" s="20" t="n"/>
      <c r="L297" s="21" t="n"/>
      <c r="M297" s="20" t="n"/>
      <c r="N297" s="20" t="n"/>
    </row>
    <row r="298">
      <c r="A298" s="28">
        <f>Suppliers!A298</f>
        <v/>
      </c>
      <c r="B298" s="28">
        <f>Suppliers!B298</f>
        <v/>
      </c>
      <c r="C298" s="28">
        <f>Suppliers!E298</f>
        <v/>
      </c>
      <c r="D298" s="28">
        <f>Suppliers!D298</f>
        <v/>
      </c>
      <c r="E298" s="29" t="inlineStr">
        <is>
          <t>Company page</t>
        </is>
      </c>
      <c r="F298" s="29" t="inlineStr">
        <is>
          <t>Find people</t>
        </is>
      </c>
      <c r="G298" s="20" t="n"/>
      <c r="H298" s="20" t="n"/>
      <c r="I298" s="20" t="n"/>
      <c r="J298" s="21" t="n"/>
      <c r="K298" s="20" t="n"/>
      <c r="L298" s="21" t="n"/>
      <c r="M298" s="20" t="n"/>
      <c r="N298" s="20" t="n"/>
    </row>
    <row r="299">
      <c r="A299" s="28">
        <f>Suppliers!A299</f>
        <v/>
      </c>
      <c r="B299" s="28">
        <f>Suppliers!B299</f>
        <v/>
      </c>
      <c r="C299" s="28">
        <f>Suppliers!E299</f>
        <v/>
      </c>
      <c r="D299" s="28">
        <f>Suppliers!D299</f>
        <v/>
      </c>
      <c r="E299" s="29" t="inlineStr">
        <is>
          <t>Company page</t>
        </is>
      </c>
      <c r="F299" s="29" t="inlineStr">
        <is>
          <t>Find people</t>
        </is>
      </c>
      <c r="G299" s="20" t="n"/>
      <c r="H299" s="20" t="n"/>
      <c r="I299" s="20" t="n"/>
      <c r="J299" s="21" t="n"/>
      <c r="K299" s="20" t="n"/>
      <c r="L299" s="21" t="n"/>
      <c r="M299" s="20" t="n"/>
      <c r="N299" s="20" t="n"/>
    </row>
    <row r="300">
      <c r="A300" s="28">
        <f>Suppliers!A300</f>
        <v/>
      </c>
      <c r="B300" s="28">
        <f>Suppliers!B300</f>
        <v/>
      </c>
      <c r="C300" s="28">
        <f>Suppliers!E300</f>
        <v/>
      </c>
      <c r="D300" s="28">
        <f>Suppliers!D300</f>
        <v/>
      </c>
      <c r="E300" s="29" t="inlineStr">
        <is>
          <t>Company page</t>
        </is>
      </c>
      <c r="F300" s="29" t="inlineStr">
        <is>
          <t>Find people</t>
        </is>
      </c>
      <c r="G300" s="20" t="n"/>
      <c r="H300" s="20" t="n"/>
      <c r="I300" s="20" t="n"/>
      <c r="J300" s="21" t="n"/>
      <c r="K300" s="20" t="n"/>
      <c r="L300" s="21" t="n"/>
      <c r="M300" s="20" t="n"/>
      <c r="N300" s="20" t="n"/>
    </row>
    <row r="301">
      <c r="A301" s="28">
        <f>Suppliers!A301</f>
        <v/>
      </c>
      <c r="B301" s="28">
        <f>Suppliers!B301</f>
        <v/>
      </c>
      <c r="C301" s="28">
        <f>Suppliers!E301</f>
        <v/>
      </c>
      <c r="D301" s="28">
        <f>Suppliers!D301</f>
        <v/>
      </c>
      <c r="E301" s="29" t="inlineStr">
        <is>
          <t>Company page</t>
        </is>
      </c>
      <c r="F301" s="29" t="inlineStr">
        <is>
          <t>Find people</t>
        </is>
      </c>
      <c r="G301" s="20" t="n"/>
      <c r="H301" s="20" t="n"/>
      <c r="I301" s="20" t="n"/>
      <c r="J301" s="21" t="n"/>
      <c r="K301" s="20" t="n"/>
      <c r="L301" s="21" t="n"/>
      <c r="M301" s="20" t="n"/>
      <c r="N301" s="20" t="n"/>
    </row>
    <row r="302">
      <c r="A302" s="28">
        <f>Suppliers!A302</f>
        <v/>
      </c>
      <c r="B302" s="28">
        <f>Suppliers!B302</f>
        <v/>
      </c>
      <c r="C302" s="28">
        <f>Suppliers!E302</f>
        <v/>
      </c>
      <c r="D302" s="28">
        <f>Suppliers!D302</f>
        <v/>
      </c>
      <c r="E302" s="29" t="inlineStr">
        <is>
          <t>Company page</t>
        </is>
      </c>
      <c r="F302" s="29" t="inlineStr">
        <is>
          <t>Find people</t>
        </is>
      </c>
      <c r="G302" s="20" t="n"/>
      <c r="H302" s="20" t="n"/>
      <c r="I302" s="20" t="n"/>
      <c r="J302" s="21" t="n"/>
      <c r="K302" s="20" t="n"/>
      <c r="L302" s="21" t="n"/>
      <c r="M302" s="20" t="n"/>
      <c r="N302" s="20" t="n"/>
    </row>
    <row r="303">
      <c r="A303" s="28">
        <f>Suppliers!A303</f>
        <v/>
      </c>
      <c r="B303" s="28">
        <f>Suppliers!B303</f>
        <v/>
      </c>
      <c r="C303" s="28">
        <f>Suppliers!E303</f>
        <v/>
      </c>
      <c r="D303" s="28">
        <f>Suppliers!D303</f>
        <v/>
      </c>
      <c r="E303" s="29" t="inlineStr">
        <is>
          <t>Company page</t>
        </is>
      </c>
      <c r="F303" s="29" t="inlineStr">
        <is>
          <t>Find people</t>
        </is>
      </c>
      <c r="G303" s="20" t="n"/>
      <c r="H303" s="20" t="n"/>
      <c r="I303" s="20" t="n"/>
      <c r="J303" s="21" t="n"/>
      <c r="K303" s="20" t="n"/>
      <c r="L303" s="21" t="n"/>
      <c r="M303" s="20" t="n"/>
      <c r="N303" s="20" t="n"/>
    </row>
    <row r="304">
      <c r="A304" s="28">
        <f>Suppliers!A304</f>
        <v/>
      </c>
      <c r="B304" s="28">
        <f>Suppliers!B304</f>
        <v/>
      </c>
      <c r="C304" s="28">
        <f>Suppliers!E304</f>
        <v/>
      </c>
      <c r="D304" s="28">
        <f>Suppliers!D304</f>
        <v/>
      </c>
      <c r="E304" s="29" t="inlineStr">
        <is>
          <t>Company page</t>
        </is>
      </c>
      <c r="F304" s="29" t="inlineStr">
        <is>
          <t>Find people</t>
        </is>
      </c>
      <c r="G304" s="20" t="n"/>
      <c r="H304" s="20" t="n"/>
      <c r="I304" s="20" t="n"/>
      <c r="J304" s="21" t="n"/>
      <c r="K304" s="20" t="n"/>
      <c r="L304" s="21" t="n"/>
      <c r="M304" s="20" t="n"/>
      <c r="N304" s="20" t="n"/>
    </row>
    <row r="305">
      <c r="A305" s="28">
        <f>Suppliers!A305</f>
        <v/>
      </c>
      <c r="B305" s="28">
        <f>Suppliers!B305</f>
        <v/>
      </c>
      <c r="C305" s="28">
        <f>Suppliers!E305</f>
        <v/>
      </c>
      <c r="D305" s="28">
        <f>Suppliers!D305</f>
        <v/>
      </c>
      <c r="E305" s="29" t="inlineStr">
        <is>
          <t>Company page</t>
        </is>
      </c>
      <c r="F305" s="29" t="inlineStr">
        <is>
          <t>Find people</t>
        </is>
      </c>
      <c r="G305" s="20" t="n"/>
      <c r="H305" s="20" t="n"/>
      <c r="I305" s="20" t="n"/>
      <c r="J305" s="21" t="n"/>
      <c r="K305" s="20" t="n"/>
      <c r="L305" s="21" t="n"/>
      <c r="M305" s="20" t="n"/>
      <c r="N305" s="20" t="n"/>
    </row>
    <row r="306">
      <c r="A306" s="28">
        <f>Suppliers!A306</f>
        <v/>
      </c>
      <c r="B306" s="28">
        <f>Suppliers!B306</f>
        <v/>
      </c>
      <c r="C306" s="28">
        <f>Suppliers!E306</f>
        <v/>
      </c>
      <c r="D306" s="28">
        <f>Suppliers!D306</f>
        <v/>
      </c>
      <c r="E306" s="29" t="inlineStr">
        <is>
          <t>Company page</t>
        </is>
      </c>
      <c r="F306" s="29" t="inlineStr">
        <is>
          <t>Find people</t>
        </is>
      </c>
      <c r="G306" s="20" t="n"/>
      <c r="H306" s="20" t="n"/>
      <c r="I306" s="20" t="n"/>
      <c r="J306" s="21" t="n"/>
      <c r="K306" s="20" t="n"/>
      <c r="L306" s="21" t="n"/>
      <c r="M306" s="20" t="n"/>
      <c r="N306" s="20" t="n"/>
    </row>
    <row r="307">
      <c r="A307" s="28">
        <f>Suppliers!A307</f>
        <v/>
      </c>
      <c r="B307" s="28">
        <f>Suppliers!B307</f>
        <v/>
      </c>
      <c r="C307" s="28">
        <f>Suppliers!E307</f>
        <v/>
      </c>
      <c r="D307" s="28">
        <f>Suppliers!D307</f>
        <v/>
      </c>
      <c r="E307" s="29" t="inlineStr">
        <is>
          <t>Company page</t>
        </is>
      </c>
      <c r="F307" s="29" t="inlineStr">
        <is>
          <t>Find people</t>
        </is>
      </c>
      <c r="G307" s="20" t="n"/>
      <c r="H307" s="20" t="n"/>
      <c r="I307" s="20" t="n"/>
      <c r="J307" s="21" t="n"/>
      <c r="K307" s="20" t="n"/>
      <c r="L307" s="21" t="n"/>
      <c r="M307" s="20" t="n"/>
      <c r="N307" s="20" t="n"/>
    </row>
    <row r="308">
      <c r="A308" s="28">
        <f>Suppliers!A308</f>
        <v/>
      </c>
      <c r="B308" s="28">
        <f>Suppliers!B308</f>
        <v/>
      </c>
      <c r="C308" s="28">
        <f>Suppliers!E308</f>
        <v/>
      </c>
      <c r="D308" s="28">
        <f>Suppliers!D308</f>
        <v/>
      </c>
      <c r="E308" s="29" t="inlineStr">
        <is>
          <t>Company page</t>
        </is>
      </c>
      <c r="F308" s="29" t="inlineStr">
        <is>
          <t>Find people</t>
        </is>
      </c>
      <c r="G308" s="20" t="n"/>
      <c r="H308" s="20" t="n"/>
      <c r="I308" s="20" t="n"/>
      <c r="J308" s="21" t="n"/>
      <c r="K308" s="20" t="n"/>
      <c r="L308" s="21" t="n"/>
      <c r="M308" s="20" t="n"/>
      <c r="N308" s="20" t="n"/>
    </row>
    <row r="309">
      <c r="A309" s="28">
        <f>Suppliers!A309</f>
        <v/>
      </c>
      <c r="B309" s="28">
        <f>Suppliers!B309</f>
        <v/>
      </c>
      <c r="C309" s="28">
        <f>Suppliers!E309</f>
        <v/>
      </c>
      <c r="D309" s="28">
        <f>Suppliers!D309</f>
        <v/>
      </c>
      <c r="E309" s="29" t="inlineStr">
        <is>
          <t>Company page</t>
        </is>
      </c>
      <c r="F309" s="29" t="inlineStr">
        <is>
          <t>Find people</t>
        </is>
      </c>
      <c r="G309" s="20" t="n"/>
      <c r="H309" s="20" t="n"/>
      <c r="I309" s="20" t="n"/>
      <c r="J309" s="21" t="n"/>
      <c r="K309" s="20" t="n"/>
      <c r="L309" s="21" t="n"/>
      <c r="M309" s="20" t="n"/>
      <c r="N309" s="20" t="n"/>
    </row>
    <row r="310">
      <c r="A310" s="28">
        <f>Suppliers!A310</f>
        <v/>
      </c>
      <c r="B310" s="28">
        <f>Suppliers!B310</f>
        <v/>
      </c>
      <c r="C310" s="28">
        <f>Suppliers!E310</f>
        <v/>
      </c>
      <c r="D310" s="28">
        <f>Suppliers!D310</f>
        <v/>
      </c>
      <c r="E310" s="29" t="inlineStr">
        <is>
          <t>Company page</t>
        </is>
      </c>
      <c r="F310" s="29" t="inlineStr">
        <is>
          <t>Find people</t>
        </is>
      </c>
      <c r="G310" s="20" t="n"/>
      <c r="H310" s="20" t="n"/>
      <c r="I310" s="20" t="n"/>
      <c r="J310" s="21" t="n"/>
      <c r="K310" s="20" t="n"/>
      <c r="L310" s="21" t="n"/>
      <c r="M310" s="20" t="n"/>
      <c r="N310" s="20" t="n"/>
    </row>
    <row r="311">
      <c r="A311" s="28">
        <f>Suppliers!A311</f>
        <v/>
      </c>
      <c r="B311" s="28">
        <f>Suppliers!B311</f>
        <v/>
      </c>
      <c r="C311" s="28">
        <f>Suppliers!E311</f>
        <v/>
      </c>
      <c r="D311" s="28">
        <f>Suppliers!D311</f>
        <v/>
      </c>
      <c r="E311" s="29" t="inlineStr">
        <is>
          <t>Company page</t>
        </is>
      </c>
      <c r="F311" s="29" t="inlineStr">
        <is>
          <t>Find people</t>
        </is>
      </c>
      <c r="G311" s="20" t="n"/>
      <c r="H311" s="20" t="n"/>
      <c r="I311" s="20" t="n"/>
      <c r="J311" s="21" t="n"/>
      <c r="K311" s="20" t="n"/>
      <c r="L311" s="21" t="n"/>
      <c r="M311" s="20" t="n"/>
      <c r="N311" s="20" t="n"/>
    </row>
    <row r="312">
      <c r="A312" s="28">
        <f>Suppliers!A312</f>
        <v/>
      </c>
      <c r="B312" s="28">
        <f>Suppliers!B312</f>
        <v/>
      </c>
      <c r="C312" s="28">
        <f>Suppliers!E312</f>
        <v/>
      </c>
      <c r="D312" s="28">
        <f>Suppliers!D312</f>
        <v/>
      </c>
      <c r="E312" s="29" t="inlineStr">
        <is>
          <t>Company page</t>
        </is>
      </c>
      <c r="F312" s="29" t="inlineStr">
        <is>
          <t>Find people</t>
        </is>
      </c>
      <c r="G312" s="20" t="n"/>
      <c r="H312" s="20" t="n"/>
      <c r="I312" s="20" t="n"/>
      <c r="J312" s="21" t="n"/>
      <c r="K312" s="20" t="n"/>
      <c r="L312" s="21" t="n"/>
      <c r="M312" s="20" t="n"/>
      <c r="N312" s="20" t="n"/>
    </row>
    <row r="313">
      <c r="A313" s="28">
        <f>Suppliers!A313</f>
        <v/>
      </c>
      <c r="B313" s="28">
        <f>Suppliers!B313</f>
        <v/>
      </c>
      <c r="C313" s="28">
        <f>Suppliers!E313</f>
        <v/>
      </c>
      <c r="D313" s="28">
        <f>Suppliers!D313</f>
        <v/>
      </c>
      <c r="E313" s="29" t="inlineStr">
        <is>
          <t>Company page</t>
        </is>
      </c>
      <c r="F313" s="29" t="inlineStr">
        <is>
          <t>Find people</t>
        </is>
      </c>
      <c r="G313" s="20" t="n"/>
      <c r="H313" s="20" t="n"/>
      <c r="I313" s="20" t="n"/>
      <c r="J313" s="21" t="n"/>
      <c r="K313" s="20" t="n"/>
      <c r="L313" s="21" t="n"/>
      <c r="M313" s="20" t="n"/>
      <c r="N313" s="20" t="n"/>
    </row>
    <row r="314">
      <c r="A314" s="28">
        <f>Suppliers!A314</f>
        <v/>
      </c>
      <c r="B314" s="28">
        <f>Suppliers!B314</f>
        <v/>
      </c>
      <c r="C314" s="28">
        <f>Suppliers!E314</f>
        <v/>
      </c>
      <c r="D314" s="28">
        <f>Suppliers!D314</f>
        <v/>
      </c>
      <c r="E314" s="29" t="inlineStr">
        <is>
          <t>Company page</t>
        </is>
      </c>
      <c r="F314" s="29" t="inlineStr">
        <is>
          <t>Find people</t>
        </is>
      </c>
      <c r="G314" s="20" t="n"/>
      <c r="H314" s="20" t="n"/>
      <c r="I314" s="20" t="n"/>
      <c r="J314" s="21" t="n"/>
      <c r="K314" s="20" t="n"/>
      <c r="L314" s="21" t="n"/>
      <c r="M314" s="20" t="n"/>
      <c r="N314" s="20" t="n"/>
    </row>
    <row r="315">
      <c r="A315" s="28">
        <f>Suppliers!A315</f>
        <v/>
      </c>
      <c r="B315" s="28">
        <f>Suppliers!B315</f>
        <v/>
      </c>
      <c r="C315" s="28">
        <f>Suppliers!E315</f>
        <v/>
      </c>
      <c r="D315" s="28">
        <f>Suppliers!D315</f>
        <v/>
      </c>
      <c r="E315" s="29" t="inlineStr">
        <is>
          <t>Company page</t>
        </is>
      </c>
      <c r="F315" s="29" t="inlineStr">
        <is>
          <t>Find people</t>
        </is>
      </c>
      <c r="G315" s="20" t="n"/>
      <c r="H315" s="20" t="n"/>
      <c r="I315" s="20" t="n"/>
      <c r="J315" s="21" t="n"/>
      <c r="K315" s="20" t="n"/>
      <c r="L315" s="21" t="n"/>
      <c r="M315" s="20" t="n"/>
      <c r="N315" s="20" t="n"/>
    </row>
    <row r="316">
      <c r="A316" s="28">
        <f>Suppliers!A316</f>
        <v/>
      </c>
      <c r="B316" s="28">
        <f>Suppliers!B316</f>
        <v/>
      </c>
      <c r="C316" s="28">
        <f>Suppliers!E316</f>
        <v/>
      </c>
      <c r="D316" s="28">
        <f>Suppliers!D316</f>
        <v/>
      </c>
      <c r="E316" s="29" t="inlineStr">
        <is>
          <t>Company page</t>
        </is>
      </c>
      <c r="F316" s="29" t="inlineStr">
        <is>
          <t>Find people</t>
        </is>
      </c>
      <c r="G316" s="20" t="n"/>
      <c r="H316" s="20" t="n"/>
      <c r="I316" s="20" t="n"/>
      <c r="J316" s="21" t="n"/>
      <c r="K316" s="20" t="n"/>
      <c r="L316" s="21" t="n"/>
      <c r="M316" s="20" t="n"/>
      <c r="N316" s="20" t="n"/>
    </row>
    <row r="317">
      <c r="A317" s="28">
        <f>Suppliers!A317</f>
        <v/>
      </c>
      <c r="B317" s="28">
        <f>Suppliers!B317</f>
        <v/>
      </c>
      <c r="C317" s="28">
        <f>Suppliers!E317</f>
        <v/>
      </c>
      <c r="D317" s="28">
        <f>Suppliers!D317</f>
        <v/>
      </c>
      <c r="E317" s="29" t="inlineStr">
        <is>
          <t>Company page</t>
        </is>
      </c>
      <c r="F317" s="29" t="inlineStr">
        <is>
          <t>Find people</t>
        </is>
      </c>
      <c r="G317" s="20" t="n"/>
      <c r="H317" s="20" t="n"/>
      <c r="I317" s="20" t="n"/>
      <c r="J317" s="21" t="n"/>
      <c r="K317" s="20" t="n"/>
      <c r="L317" s="21" t="n"/>
      <c r="M317" s="20" t="n"/>
      <c r="N317" s="20" t="n"/>
    </row>
    <row r="318">
      <c r="A318" s="28">
        <f>Suppliers!A318</f>
        <v/>
      </c>
      <c r="B318" s="28">
        <f>Suppliers!B318</f>
        <v/>
      </c>
      <c r="C318" s="28">
        <f>Suppliers!E318</f>
        <v/>
      </c>
      <c r="D318" s="28">
        <f>Suppliers!D318</f>
        <v/>
      </c>
      <c r="E318" s="29" t="inlineStr">
        <is>
          <t>Company page</t>
        </is>
      </c>
      <c r="F318" s="29" t="inlineStr">
        <is>
          <t>Find people</t>
        </is>
      </c>
      <c r="G318" s="20" t="n"/>
      <c r="H318" s="20" t="n"/>
      <c r="I318" s="20" t="n"/>
      <c r="J318" s="21" t="n"/>
      <c r="K318" s="20" t="n"/>
      <c r="L318" s="21" t="n"/>
      <c r="M318" s="20" t="n"/>
      <c r="N318" s="20" t="n"/>
    </row>
    <row r="319">
      <c r="A319" s="28">
        <f>Suppliers!A319</f>
        <v/>
      </c>
      <c r="B319" s="28">
        <f>Suppliers!B319</f>
        <v/>
      </c>
      <c r="C319" s="28">
        <f>Suppliers!E319</f>
        <v/>
      </c>
      <c r="D319" s="28">
        <f>Suppliers!D319</f>
        <v/>
      </c>
      <c r="E319" s="29" t="inlineStr">
        <is>
          <t>Company page</t>
        </is>
      </c>
      <c r="F319" s="29" t="inlineStr">
        <is>
          <t>Find people</t>
        </is>
      </c>
      <c r="G319" s="20" t="n"/>
      <c r="H319" s="20" t="n"/>
      <c r="I319" s="20" t="n"/>
      <c r="J319" s="21" t="n"/>
      <c r="K319" s="20" t="n"/>
      <c r="L319" s="21" t="n"/>
      <c r="M319" s="20" t="n"/>
      <c r="N319" s="20" t="n"/>
    </row>
    <row r="320">
      <c r="A320" s="28">
        <f>Suppliers!A320</f>
        <v/>
      </c>
      <c r="B320" s="28">
        <f>Suppliers!B320</f>
        <v/>
      </c>
      <c r="C320" s="28">
        <f>Suppliers!E320</f>
        <v/>
      </c>
      <c r="D320" s="28">
        <f>Suppliers!D320</f>
        <v/>
      </c>
      <c r="E320" s="29" t="inlineStr">
        <is>
          <t>Company page</t>
        </is>
      </c>
      <c r="F320" s="29" t="inlineStr">
        <is>
          <t>Find people</t>
        </is>
      </c>
      <c r="G320" s="20" t="n"/>
      <c r="H320" s="20" t="n"/>
      <c r="I320" s="20" t="n"/>
      <c r="J320" s="21" t="n"/>
      <c r="K320" s="20" t="n"/>
      <c r="L320" s="21" t="n"/>
      <c r="M320" s="20" t="n"/>
      <c r="N320" s="20" t="n"/>
    </row>
    <row r="321">
      <c r="A321" s="28">
        <f>Suppliers!A321</f>
        <v/>
      </c>
      <c r="B321" s="28">
        <f>Suppliers!B321</f>
        <v/>
      </c>
      <c r="C321" s="28">
        <f>Suppliers!E321</f>
        <v/>
      </c>
      <c r="D321" s="28">
        <f>Suppliers!D321</f>
        <v/>
      </c>
      <c r="E321" s="29" t="inlineStr">
        <is>
          <t>Company page</t>
        </is>
      </c>
      <c r="F321" s="29" t="inlineStr">
        <is>
          <t>Find people</t>
        </is>
      </c>
      <c r="G321" s="20" t="n"/>
      <c r="H321" s="20" t="n"/>
      <c r="I321" s="20" t="n"/>
      <c r="J321" s="21" t="n"/>
      <c r="K321" s="20" t="n"/>
      <c r="L321" s="21" t="n"/>
      <c r="M321" s="20" t="n"/>
      <c r="N321" s="20" t="n"/>
    </row>
    <row r="322">
      <c r="A322" s="28">
        <f>Suppliers!A322</f>
        <v/>
      </c>
      <c r="B322" s="28">
        <f>Suppliers!B322</f>
        <v/>
      </c>
      <c r="C322" s="28">
        <f>Suppliers!E322</f>
        <v/>
      </c>
      <c r="D322" s="28">
        <f>Suppliers!D322</f>
        <v/>
      </c>
      <c r="E322" s="29" t="inlineStr">
        <is>
          <t>Company page</t>
        </is>
      </c>
      <c r="F322" s="29" t="inlineStr">
        <is>
          <t>Find people</t>
        </is>
      </c>
      <c r="G322" s="20" t="n"/>
      <c r="H322" s="20" t="n"/>
      <c r="I322" s="20" t="n"/>
      <c r="J322" s="21" t="n"/>
      <c r="K322" s="20" t="n"/>
      <c r="L322" s="21" t="n"/>
      <c r="M322" s="20" t="n"/>
      <c r="N322" s="20" t="n"/>
    </row>
    <row r="323">
      <c r="A323" s="28">
        <f>Suppliers!A323</f>
        <v/>
      </c>
      <c r="B323" s="28">
        <f>Suppliers!B323</f>
        <v/>
      </c>
      <c r="C323" s="28">
        <f>Suppliers!E323</f>
        <v/>
      </c>
      <c r="D323" s="28">
        <f>Suppliers!D323</f>
        <v/>
      </c>
      <c r="E323" s="29" t="inlineStr">
        <is>
          <t>Company page</t>
        </is>
      </c>
      <c r="F323" s="29" t="inlineStr">
        <is>
          <t>Find people</t>
        </is>
      </c>
      <c r="G323" s="20" t="n"/>
      <c r="H323" s="20" t="n"/>
      <c r="I323" s="20" t="n"/>
      <c r="J323" s="21" t="n"/>
      <c r="K323" s="20" t="n"/>
      <c r="L323" s="21" t="n"/>
      <c r="M323" s="20" t="n"/>
      <c r="N323" s="20" t="n"/>
    </row>
    <row r="324">
      <c r="A324" s="28">
        <f>Suppliers!A324</f>
        <v/>
      </c>
      <c r="B324" s="28">
        <f>Suppliers!B324</f>
        <v/>
      </c>
      <c r="C324" s="28">
        <f>Suppliers!E324</f>
        <v/>
      </c>
      <c r="D324" s="28">
        <f>Suppliers!D324</f>
        <v/>
      </c>
      <c r="E324" s="29" t="inlineStr">
        <is>
          <t>Company page</t>
        </is>
      </c>
      <c r="F324" s="29" t="inlineStr">
        <is>
          <t>Find people</t>
        </is>
      </c>
      <c r="G324" s="20" t="n"/>
      <c r="H324" s="20" t="n"/>
      <c r="I324" s="20" t="n"/>
      <c r="J324" s="21" t="n"/>
      <c r="K324" s="20" t="n"/>
      <c r="L324" s="21" t="n"/>
      <c r="M324" s="20" t="n"/>
      <c r="N324" s="20" t="n"/>
    </row>
    <row r="325">
      <c r="A325" s="28">
        <f>Suppliers!A325</f>
        <v/>
      </c>
      <c r="B325" s="28">
        <f>Suppliers!B325</f>
        <v/>
      </c>
      <c r="C325" s="28">
        <f>Suppliers!E325</f>
        <v/>
      </c>
      <c r="D325" s="28">
        <f>Suppliers!D325</f>
        <v/>
      </c>
      <c r="E325" s="29" t="inlineStr">
        <is>
          <t>Company page</t>
        </is>
      </c>
      <c r="F325" s="29" t="inlineStr">
        <is>
          <t>Find people</t>
        </is>
      </c>
      <c r="G325" s="20" t="n"/>
      <c r="H325" s="20" t="n"/>
      <c r="I325" s="20" t="n"/>
      <c r="J325" s="21" t="n"/>
      <c r="K325" s="20" t="n"/>
      <c r="L325" s="21" t="n"/>
      <c r="M325" s="20" t="n"/>
      <c r="N325" s="20" t="n"/>
    </row>
    <row r="326">
      <c r="A326" s="28">
        <f>Suppliers!A326</f>
        <v/>
      </c>
      <c r="B326" s="28">
        <f>Suppliers!B326</f>
        <v/>
      </c>
      <c r="C326" s="28">
        <f>Suppliers!E326</f>
        <v/>
      </c>
      <c r="D326" s="28">
        <f>Suppliers!D326</f>
        <v/>
      </c>
      <c r="E326" s="29" t="inlineStr">
        <is>
          <t>Company page</t>
        </is>
      </c>
      <c r="F326" s="29" t="inlineStr">
        <is>
          <t>Find people</t>
        </is>
      </c>
      <c r="G326" s="20" t="n"/>
      <c r="H326" s="20" t="n"/>
      <c r="I326" s="20" t="n"/>
      <c r="J326" s="21" t="n"/>
      <c r="K326" s="20" t="n"/>
      <c r="L326" s="21" t="n"/>
      <c r="M326" s="20" t="n"/>
      <c r="N326" s="20" t="n"/>
    </row>
    <row r="327">
      <c r="A327" s="28">
        <f>Suppliers!A327</f>
        <v/>
      </c>
      <c r="B327" s="28">
        <f>Suppliers!B327</f>
        <v/>
      </c>
      <c r="C327" s="28">
        <f>Suppliers!E327</f>
        <v/>
      </c>
      <c r="D327" s="28">
        <f>Suppliers!D327</f>
        <v/>
      </c>
      <c r="E327" s="29" t="inlineStr">
        <is>
          <t>Company page</t>
        </is>
      </c>
      <c r="F327" s="29" t="inlineStr">
        <is>
          <t>Find people</t>
        </is>
      </c>
      <c r="G327" s="20" t="n"/>
      <c r="H327" s="20" t="n"/>
      <c r="I327" s="20" t="n"/>
      <c r="J327" s="21" t="n"/>
      <c r="K327" s="20" t="n"/>
      <c r="L327" s="21" t="n"/>
      <c r="M327" s="20" t="n"/>
      <c r="N327" s="20" t="n"/>
    </row>
    <row r="328">
      <c r="A328" s="28">
        <f>Suppliers!A328</f>
        <v/>
      </c>
      <c r="B328" s="28">
        <f>Suppliers!B328</f>
        <v/>
      </c>
      <c r="C328" s="28">
        <f>Suppliers!E328</f>
        <v/>
      </c>
      <c r="D328" s="28">
        <f>Suppliers!D328</f>
        <v/>
      </c>
      <c r="E328" s="29" t="inlineStr">
        <is>
          <t>Company page</t>
        </is>
      </c>
      <c r="F328" s="29" t="inlineStr">
        <is>
          <t>Find people</t>
        </is>
      </c>
      <c r="G328" s="20" t="n"/>
      <c r="H328" s="20" t="n"/>
      <c r="I328" s="20" t="n"/>
      <c r="J328" s="21" t="n"/>
      <c r="K328" s="20" t="n"/>
      <c r="L328" s="21" t="n"/>
      <c r="M328" s="20" t="n"/>
      <c r="N328" s="20" t="n"/>
    </row>
    <row r="329">
      <c r="A329" s="28">
        <f>Suppliers!A329</f>
        <v/>
      </c>
      <c r="B329" s="28">
        <f>Suppliers!B329</f>
        <v/>
      </c>
      <c r="C329" s="28">
        <f>Suppliers!E329</f>
        <v/>
      </c>
      <c r="D329" s="28">
        <f>Suppliers!D329</f>
        <v/>
      </c>
      <c r="E329" s="29" t="inlineStr">
        <is>
          <t>Company page</t>
        </is>
      </c>
      <c r="F329" s="29" t="inlineStr">
        <is>
          <t>Find people</t>
        </is>
      </c>
      <c r="G329" s="20" t="n"/>
      <c r="H329" s="20" t="n"/>
      <c r="I329" s="20" t="n"/>
      <c r="J329" s="21" t="n"/>
      <c r="K329" s="20" t="n"/>
      <c r="L329" s="21" t="n"/>
      <c r="M329" s="20" t="n"/>
      <c r="N329" s="20" t="n"/>
    </row>
    <row r="330">
      <c r="A330" s="28">
        <f>Suppliers!A330</f>
        <v/>
      </c>
      <c r="B330" s="28">
        <f>Suppliers!B330</f>
        <v/>
      </c>
      <c r="C330" s="28">
        <f>Suppliers!E330</f>
        <v/>
      </c>
      <c r="D330" s="28">
        <f>Suppliers!D330</f>
        <v/>
      </c>
      <c r="E330" s="29" t="inlineStr">
        <is>
          <t>Company page</t>
        </is>
      </c>
      <c r="F330" s="29" t="inlineStr">
        <is>
          <t>Find people</t>
        </is>
      </c>
      <c r="G330" s="20" t="n"/>
      <c r="H330" s="20" t="n"/>
      <c r="I330" s="20" t="n"/>
      <c r="J330" s="21" t="n"/>
      <c r="K330" s="20" t="n"/>
      <c r="L330" s="21" t="n"/>
      <c r="M330" s="20" t="n"/>
      <c r="N330" s="20" t="n"/>
    </row>
    <row r="331">
      <c r="A331" s="28">
        <f>Suppliers!A331</f>
        <v/>
      </c>
      <c r="B331" s="28">
        <f>Suppliers!B331</f>
        <v/>
      </c>
      <c r="C331" s="28">
        <f>Suppliers!E331</f>
        <v/>
      </c>
      <c r="D331" s="28">
        <f>Suppliers!D331</f>
        <v/>
      </c>
      <c r="E331" s="29" t="inlineStr">
        <is>
          <t>Company page</t>
        </is>
      </c>
      <c r="F331" s="29" t="inlineStr">
        <is>
          <t>Find people</t>
        </is>
      </c>
      <c r="G331" s="20" t="n"/>
      <c r="H331" s="20" t="n"/>
      <c r="I331" s="20" t="n"/>
      <c r="J331" s="21" t="n"/>
      <c r="K331" s="20" t="n"/>
      <c r="L331" s="21" t="n"/>
      <c r="M331" s="20" t="n"/>
      <c r="N331" s="20" t="n"/>
    </row>
    <row r="332">
      <c r="A332" s="28">
        <f>Suppliers!A332</f>
        <v/>
      </c>
      <c r="B332" s="28">
        <f>Suppliers!B332</f>
        <v/>
      </c>
      <c r="C332" s="28">
        <f>Suppliers!E332</f>
        <v/>
      </c>
      <c r="D332" s="28">
        <f>Suppliers!D332</f>
        <v/>
      </c>
      <c r="E332" s="29" t="inlineStr">
        <is>
          <t>Company page</t>
        </is>
      </c>
      <c r="F332" s="29" t="inlineStr">
        <is>
          <t>Find people</t>
        </is>
      </c>
      <c r="G332" s="20" t="n"/>
      <c r="H332" s="20" t="n"/>
      <c r="I332" s="20" t="n"/>
      <c r="J332" s="21" t="n"/>
      <c r="K332" s="20" t="n"/>
      <c r="L332" s="21" t="n"/>
      <c r="M332" s="20" t="n"/>
      <c r="N332" s="20" t="n"/>
    </row>
    <row r="333">
      <c r="A333" s="28">
        <f>Suppliers!A333</f>
        <v/>
      </c>
      <c r="B333" s="28">
        <f>Suppliers!B333</f>
        <v/>
      </c>
      <c r="C333" s="28">
        <f>Suppliers!E333</f>
        <v/>
      </c>
      <c r="D333" s="28">
        <f>Suppliers!D333</f>
        <v/>
      </c>
      <c r="E333" s="29" t="inlineStr">
        <is>
          <t>Company page</t>
        </is>
      </c>
      <c r="F333" s="29" t="inlineStr">
        <is>
          <t>Find people</t>
        </is>
      </c>
      <c r="G333" s="20" t="n"/>
      <c r="H333" s="20" t="n"/>
      <c r="I333" s="20" t="n"/>
      <c r="J333" s="21" t="n"/>
      <c r="K333" s="20" t="n"/>
      <c r="L333" s="21" t="n"/>
      <c r="M333" s="20" t="n"/>
      <c r="N333" s="20" t="n"/>
    </row>
    <row r="334">
      <c r="A334" s="28">
        <f>Suppliers!A334</f>
        <v/>
      </c>
      <c r="B334" s="28">
        <f>Suppliers!B334</f>
        <v/>
      </c>
      <c r="C334" s="28">
        <f>Suppliers!E334</f>
        <v/>
      </c>
      <c r="D334" s="28">
        <f>Suppliers!D334</f>
        <v/>
      </c>
      <c r="E334" s="29" t="inlineStr">
        <is>
          <t>Company page</t>
        </is>
      </c>
      <c r="F334" s="29" t="inlineStr">
        <is>
          <t>Find people</t>
        </is>
      </c>
      <c r="G334" s="20" t="n"/>
      <c r="H334" s="20" t="n"/>
      <c r="I334" s="20" t="n"/>
      <c r="J334" s="21" t="n"/>
      <c r="K334" s="20" t="n"/>
      <c r="L334" s="21" t="n"/>
      <c r="M334" s="20" t="n"/>
      <c r="N334" s="20" t="n"/>
    </row>
    <row r="335">
      <c r="A335" s="28">
        <f>Suppliers!A335</f>
        <v/>
      </c>
      <c r="B335" s="28">
        <f>Suppliers!B335</f>
        <v/>
      </c>
      <c r="C335" s="28">
        <f>Suppliers!E335</f>
        <v/>
      </c>
      <c r="D335" s="28">
        <f>Suppliers!D335</f>
        <v/>
      </c>
      <c r="E335" s="29" t="inlineStr">
        <is>
          <t>Company page</t>
        </is>
      </c>
      <c r="F335" s="29" t="inlineStr">
        <is>
          <t>Find people</t>
        </is>
      </c>
      <c r="G335" s="20" t="n"/>
      <c r="H335" s="20" t="n"/>
      <c r="I335" s="20" t="n"/>
      <c r="J335" s="21" t="n"/>
      <c r="K335" s="20" t="n"/>
      <c r="L335" s="21" t="n"/>
      <c r="M335" s="20" t="n"/>
      <c r="N335" s="20" t="n"/>
    </row>
    <row r="336">
      <c r="A336" s="28">
        <f>Suppliers!A336</f>
        <v/>
      </c>
      <c r="B336" s="28">
        <f>Suppliers!B336</f>
        <v/>
      </c>
      <c r="C336" s="28">
        <f>Suppliers!E336</f>
        <v/>
      </c>
      <c r="D336" s="28">
        <f>Suppliers!D336</f>
        <v/>
      </c>
      <c r="E336" s="29" t="inlineStr">
        <is>
          <t>Company page</t>
        </is>
      </c>
      <c r="F336" s="29" t="inlineStr">
        <is>
          <t>Find people</t>
        </is>
      </c>
      <c r="G336" s="20" t="n"/>
      <c r="H336" s="20" t="n"/>
      <c r="I336" s="20" t="n"/>
      <c r="J336" s="21" t="n"/>
      <c r="K336" s="20" t="n"/>
      <c r="L336" s="21" t="n"/>
      <c r="M336" s="20" t="n"/>
      <c r="N336" s="20" t="n"/>
    </row>
    <row r="337">
      <c r="A337" s="28">
        <f>Suppliers!A337</f>
        <v/>
      </c>
      <c r="B337" s="28">
        <f>Suppliers!B337</f>
        <v/>
      </c>
      <c r="C337" s="28">
        <f>Suppliers!E337</f>
        <v/>
      </c>
      <c r="D337" s="28">
        <f>Suppliers!D337</f>
        <v/>
      </c>
      <c r="E337" s="29" t="inlineStr">
        <is>
          <t>Company page</t>
        </is>
      </c>
      <c r="F337" s="29" t="inlineStr">
        <is>
          <t>Find people</t>
        </is>
      </c>
      <c r="G337" s="20" t="n"/>
      <c r="H337" s="20" t="n"/>
      <c r="I337" s="20" t="n"/>
      <c r="J337" s="21" t="n"/>
      <c r="K337" s="20" t="n"/>
      <c r="L337" s="21" t="n"/>
      <c r="M337" s="20" t="n"/>
      <c r="N337" s="20" t="n"/>
    </row>
    <row r="338">
      <c r="A338" s="28">
        <f>Suppliers!A338</f>
        <v/>
      </c>
      <c r="B338" s="28">
        <f>Suppliers!B338</f>
        <v/>
      </c>
      <c r="C338" s="28">
        <f>Suppliers!E338</f>
        <v/>
      </c>
      <c r="D338" s="28">
        <f>Suppliers!D338</f>
        <v/>
      </c>
      <c r="E338" s="29" t="inlineStr">
        <is>
          <t>Company page</t>
        </is>
      </c>
      <c r="F338" s="29" t="inlineStr">
        <is>
          <t>Find people</t>
        </is>
      </c>
      <c r="G338" s="20" t="n"/>
      <c r="H338" s="20" t="n"/>
      <c r="I338" s="20" t="n"/>
      <c r="J338" s="21" t="n"/>
      <c r="K338" s="20" t="n"/>
      <c r="L338" s="21" t="n"/>
      <c r="M338" s="20" t="n"/>
      <c r="N338" s="20" t="n"/>
    </row>
    <row r="339">
      <c r="A339" s="28">
        <f>Suppliers!A339</f>
        <v/>
      </c>
      <c r="B339" s="28">
        <f>Suppliers!B339</f>
        <v/>
      </c>
      <c r="C339" s="28">
        <f>Suppliers!E339</f>
        <v/>
      </c>
      <c r="D339" s="28">
        <f>Suppliers!D339</f>
        <v/>
      </c>
      <c r="E339" s="29" t="inlineStr">
        <is>
          <t>Company page</t>
        </is>
      </c>
      <c r="F339" s="29" t="inlineStr">
        <is>
          <t>Find people</t>
        </is>
      </c>
      <c r="G339" s="20" t="n"/>
      <c r="H339" s="20" t="n"/>
      <c r="I339" s="20" t="n"/>
      <c r="J339" s="21" t="n"/>
      <c r="K339" s="20" t="n"/>
      <c r="L339" s="21" t="n"/>
      <c r="M339" s="20" t="n"/>
      <c r="N339" s="20" t="n"/>
    </row>
    <row r="340">
      <c r="A340" s="28">
        <f>Suppliers!A340</f>
        <v/>
      </c>
      <c r="B340" s="28">
        <f>Suppliers!B340</f>
        <v/>
      </c>
      <c r="C340" s="28">
        <f>Suppliers!E340</f>
        <v/>
      </c>
      <c r="D340" s="28">
        <f>Suppliers!D340</f>
        <v/>
      </c>
      <c r="E340" s="29" t="inlineStr">
        <is>
          <t>Company page</t>
        </is>
      </c>
      <c r="F340" s="29" t="inlineStr">
        <is>
          <t>Find people</t>
        </is>
      </c>
      <c r="G340" s="20" t="n"/>
      <c r="H340" s="20" t="n"/>
      <c r="I340" s="20" t="n"/>
      <c r="J340" s="21" t="n"/>
      <c r="K340" s="20" t="n"/>
      <c r="L340" s="21" t="n"/>
      <c r="M340" s="20" t="n"/>
      <c r="N340" s="20" t="n"/>
    </row>
    <row r="341">
      <c r="A341" s="28">
        <f>Suppliers!A341</f>
        <v/>
      </c>
      <c r="B341" s="28">
        <f>Suppliers!B341</f>
        <v/>
      </c>
      <c r="C341" s="28">
        <f>Suppliers!E341</f>
        <v/>
      </c>
      <c r="D341" s="28">
        <f>Suppliers!D341</f>
        <v/>
      </c>
      <c r="E341" s="29" t="inlineStr">
        <is>
          <t>Company page</t>
        </is>
      </c>
      <c r="F341" s="29" t="inlineStr">
        <is>
          <t>Find people</t>
        </is>
      </c>
      <c r="G341" s="20" t="n"/>
      <c r="H341" s="20" t="n"/>
      <c r="I341" s="20" t="n"/>
      <c r="J341" s="21" t="n"/>
      <c r="K341" s="20" t="n"/>
      <c r="L341" s="21" t="n"/>
      <c r="M341" s="20" t="n"/>
      <c r="N341" s="20" t="n"/>
    </row>
    <row r="342">
      <c r="A342" s="28">
        <f>Suppliers!A342</f>
        <v/>
      </c>
      <c r="B342" s="28">
        <f>Suppliers!B342</f>
        <v/>
      </c>
      <c r="C342" s="28">
        <f>Suppliers!E342</f>
        <v/>
      </c>
      <c r="D342" s="28">
        <f>Suppliers!D342</f>
        <v/>
      </c>
      <c r="E342" s="29" t="inlineStr">
        <is>
          <t>Company page</t>
        </is>
      </c>
      <c r="F342" s="29" t="inlineStr">
        <is>
          <t>Find people</t>
        </is>
      </c>
      <c r="G342" s="20" t="n"/>
      <c r="H342" s="20" t="n"/>
      <c r="I342" s="20" t="n"/>
      <c r="J342" s="21" t="n"/>
      <c r="K342" s="20" t="n"/>
      <c r="L342" s="21" t="n"/>
      <c r="M342" s="20" t="n"/>
      <c r="N342" s="20" t="n"/>
    </row>
    <row r="343">
      <c r="A343" s="28">
        <f>Suppliers!A343</f>
        <v/>
      </c>
      <c r="B343" s="28">
        <f>Suppliers!B343</f>
        <v/>
      </c>
      <c r="C343" s="28">
        <f>Suppliers!E343</f>
        <v/>
      </c>
      <c r="D343" s="28">
        <f>Suppliers!D343</f>
        <v/>
      </c>
      <c r="E343" s="29" t="inlineStr">
        <is>
          <t>Company page</t>
        </is>
      </c>
      <c r="F343" s="29" t="inlineStr">
        <is>
          <t>Find people</t>
        </is>
      </c>
      <c r="G343" s="20" t="n"/>
      <c r="H343" s="20" t="n"/>
      <c r="I343" s="20" t="n"/>
      <c r="J343" s="21" t="n"/>
      <c r="K343" s="20" t="n"/>
      <c r="L343" s="21" t="n"/>
      <c r="M343" s="20" t="n"/>
      <c r="N343" s="20" t="n"/>
    </row>
    <row r="344">
      <c r="A344" s="28">
        <f>Suppliers!A344</f>
        <v/>
      </c>
      <c r="B344" s="28">
        <f>Suppliers!B344</f>
        <v/>
      </c>
      <c r="C344" s="28">
        <f>Suppliers!E344</f>
        <v/>
      </c>
      <c r="D344" s="28">
        <f>Suppliers!D344</f>
        <v/>
      </c>
      <c r="E344" s="29" t="inlineStr">
        <is>
          <t>Company page</t>
        </is>
      </c>
      <c r="F344" s="29" t="inlineStr">
        <is>
          <t>Find people</t>
        </is>
      </c>
      <c r="G344" s="20" t="n"/>
      <c r="H344" s="20" t="n"/>
      <c r="I344" s="20" t="n"/>
      <c r="J344" s="21" t="n"/>
      <c r="K344" s="20" t="n"/>
      <c r="L344" s="21" t="n"/>
      <c r="M344" s="20" t="n"/>
      <c r="N344" s="20" t="n"/>
    </row>
    <row r="345">
      <c r="A345" s="28">
        <f>Suppliers!A345</f>
        <v/>
      </c>
      <c r="B345" s="28">
        <f>Suppliers!B345</f>
        <v/>
      </c>
      <c r="C345" s="28">
        <f>Suppliers!E345</f>
        <v/>
      </c>
      <c r="D345" s="28">
        <f>Suppliers!D345</f>
        <v/>
      </c>
      <c r="E345" s="29" t="inlineStr">
        <is>
          <t>Company page</t>
        </is>
      </c>
      <c r="F345" s="29" t="inlineStr">
        <is>
          <t>Find people</t>
        </is>
      </c>
      <c r="G345" s="20" t="n"/>
      <c r="H345" s="20" t="n"/>
      <c r="I345" s="20" t="n"/>
      <c r="J345" s="21" t="n"/>
      <c r="K345" s="20" t="n"/>
      <c r="L345" s="21" t="n"/>
      <c r="M345" s="20" t="n"/>
      <c r="N345" s="20" t="n"/>
    </row>
    <row r="346">
      <c r="A346" s="28">
        <f>Suppliers!A346</f>
        <v/>
      </c>
      <c r="B346" s="28">
        <f>Suppliers!B346</f>
        <v/>
      </c>
      <c r="C346" s="28">
        <f>Suppliers!E346</f>
        <v/>
      </c>
      <c r="D346" s="28">
        <f>Suppliers!D346</f>
        <v/>
      </c>
      <c r="E346" s="29" t="inlineStr">
        <is>
          <t>Company page</t>
        </is>
      </c>
      <c r="F346" s="29" t="inlineStr">
        <is>
          <t>Find people</t>
        </is>
      </c>
      <c r="G346" s="20" t="n"/>
      <c r="H346" s="20" t="n"/>
      <c r="I346" s="20" t="n"/>
      <c r="J346" s="21" t="n"/>
      <c r="K346" s="20" t="n"/>
      <c r="L346" s="21" t="n"/>
      <c r="M346" s="20" t="n"/>
      <c r="N346" s="20" t="n"/>
    </row>
    <row r="347">
      <c r="A347" s="28">
        <f>Suppliers!A347</f>
        <v/>
      </c>
      <c r="B347" s="28">
        <f>Suppliers!B347</f>
        <v/>
      </c>
      <c r="C347" s="28">
        <f>Suppliers!E347</f>
        <v/>
      </c>
      <c r="D347" s="28">
        <f>Suppliers!D347</f>
        <v/>
      </c>
      <c r="E347" s="29" t="inlineStr">
        <is>
          <t>Company page</t>
        </is>
      </c>
      <c r="F347" s="29" t="inlineStr">
        <is>
          <t>Find people</t>
        </is>
      </c>
      <c r="G347" s="20" t="n"/>
      <c r="H347" s="20" t="n"/>
      <c r="I347" s="20" t="n"/>
      <c r="J347" s="21" t="n"/>
      <c r="K347" s="20" t="n"/>
      <c r="L347" s="21" t="n"/>
      <c r="M347" s="20" t="n"/>
      <c r="N347" s="20" t="n"/>
    </row>
    <row r="348">
      <c r="A348" s="28">
        <f>Suppliers!A348</f>
        <v/>
      </c>
      <c r="B348" s="28">
        <f>Suppliers!B348</f>
        <v/>
      </c>
      <c r="C348" s="28">
        <f>Suppliers!E348</f>
        <v/>
      </c>
      <c r="D348" s="28">
        <f>Suppliers!D348</f>
        <v/>
      </c>
      <c r="E348" s="29" t="inlineStr">
        <is>
          <t>Company page</t>
        </is>
      </c>
      <c r="F348" s="29" t="inlineStr">
        <is>
          <t>Find people</t>
        </is>
      </c>
      <c r="G348" s="20" t="n"/>
      <c r="H348" s="20" t="n"/>
      <c r="I348" s="20" t="n"/>
      <c r="J348" s="21" t="n"/>
      <c r="K348" s="20" t="n"/>
      <c r="L348" s="21" t="n"/>
      <c r="M348" s="20" t="n"/>
      <c r="N348" s="20" t="n"/>
    </row>
    <row r="349">
      <c r="A349" s="28">
        <f>Suppliers!A349</f>
        <v/>
      </c>
      <c r="B349" s="28">
        <f>Suppliers!B349</f>
        <v/>
      </c>
      <c r="C349" s="28">
        <f>Suppliers!E349</f>
        <v/>
      </c>
      <c r="D349" s="28">
        <f>Suppliers!D349</f>
        <v/>
      </c>
      <c r="E349" s="29" t="inlineStr">
        <is>
          <t>Company page</t>
        </is>
      </c>
      <c r="F349" s="29" t="inlineStr">
        <is>
          <t>Find people</t>
        </is>
      </c>
      <c r="G349" s="20" t="n"/>
      <c r="H349" s="20" t="n"/>
      <c r="I349" s="20" t="n"/>
      <c r="J349" s="21" t="n"/>
      <c r="K349" s="20" t="n"/>
      <c r="L349" s="21" t="n"/>
      <c r="M349" s="20" t="n"/>
      <c r="N349" s="20" t="n"/>
    </row>
    <row r="350">
      <c r="A350" s="28">
        <f>Suppliers!A350</f>
        <v/>
      </c>
      <c r="B350" s="28">
        <f>Suppliers!B350</f>
        <v/>
      </c>
      <c r="C350" s="28">
        <f>Suppliers!E350</f>
        <v/>
      </c>
      <c r="D350" s="28">
        <f>Suppliers!D350</f>
        <v/>
      </c>
      <c r="E350" s="29" t="inlineStr">
        <is>
          <t>Company page</t>
        </is>
      </c>
      <c r="F350" s="29" t="inlineStr">
        <is>
          <t>Find people</t>
        </is>
      </c>
      <c r="G350" s="20" t="n"/>
      <c r="H350" s="20" t="n"/>
      <c r="I350" s="20" t="n"/>
      <c r="J350" s="21" t="n"/>
      <c r="K350" s="20" t="n"/>
      <c r="L350" s="21" t="n"/>
      <c r="M350" s="20" t="n"/>
      <c r="N350" s="20" t="n"/>
    </row>
    <row r="351">
      <c r="A351" s="28">
        <f>Suppliers!A351</f>
        <v/>
      </c>
      <c r="B351" s="28">
        <f>Suppliers!B351</f>
        <v/>
      </c>
      <c r="C351" s="28">
        <f>Suppliers!E351</f>
        <v/>
      </c>
      <c r="D351" s="28">
        <f>Suppliers!D351</f>
        <v/>
      </c>
      <c r="E351" s="29" t="inlineStr">
        <is>
          <t>Company page</t>
        </is>
      </c>
      <c r="F351" s="29" t="inlineStr">
        <is>
          <t>Find people</t>
        </is>
      </c>
      <c r="G351" s="20" t="n"/>
      <c r="H351" s="20" t="n"/>
      <c r="I351" s="20" t="n"/>
      <c r="J351" s="21" t="n"/>
      <c r="K351" s="20" t="n"/>
      <c r="L351" s="21" t="n"/>
      <c r="M351" s="20" t="n"/>
      <c r="N351" s="20" t="n"/>
    </row>
    <row r="352">
      <c r="A352" s="28">
        <f>Suppliers!A352</f>
        <v/>
      </c>
      <c r="B352" s="28">
        <f>Suppliers!B352</f>
        <v/>
      </c>
      <c r="C352" s="28">
        <f>Suppliers!E352</f>
        <v/>
      </c>
      <c r="D352" s="28">
        <f>Suppliers!D352</f>
        <v/>
      </c>
      <c r="E352" s="29" t="inlineStr">
        <is>
          <t>Company page</t>
        </is>
      </c>
      <c r="F352" s="29" t="inlineStr">
        <is>
          <t>Find people</t>
        </is>
      </c>
      <c r="G352" s="20" t="n"/>
      <c r="H352" s="20" t="n"/>
      <c r="I352" s="20" t="n"/>
      <c r="J352" s="21" t="n"/>
      <c r="K352" s="20" t="n"/>
      <c r="L352" s="21" t="n"/>
      <c r="M352" s="20" t="n"/>
      <c r="N352" s="20" t="n"/>
    </row>
    <row r="353">
      <c r="A353" s="28">
        <f>Suppliers!A353</f>
        <v/>
      </c>
      <c r="B353" s="28">
        <f>Suppliers!B353</f>
        <v/>
      </c>
      <c r="C353" s="28">
        <f>Suppliers!E353</f>
        <v/>
      </c>
      <c r="D353" s="28">
        <f>Suppliers!D353</f>
        <v/>
      </c>
      <c r="E353" s="29" t="inlineStr">
        <is>
          <t>Company page</t>
        </is>
      </c>
      <c r="F353" s="29" t="inlineStr">
        <is>
          <t>Find people</t>
        </is>
      </c>
      <c r="G353" s="20" t="n"/>
      <c r="H353" s="20" t="n"/>
      <c r="I353" s="20" t="n"/>
      <c r="J353" s="21" t="n"/>
      <c r="K353" s="20" t="n"/>
      <c r="L353" s="21" t="n"/>
      <c r="M353" s="20" t="n"/>
      <c r="N353" s="20" t="n"/>
    </row>
    <row r="354">
      <c r="A354" s="28">
        <f>Suppliers!A354</f>
        <v/>
      </c>
      <c r="B354" s="28">
        <f>Suppliers!B354</f>
        <v/>
      </c>
      <c r="C354" s="28">
        <f>Suppliers!E354</f>
        <v/>
      </c>
      <c r="D354" s="28">
        <f>Suppliers!D354</f>
        <v/>
      </c>
      <c r="E354" s="29" t="inlineStr">
        <is>
          <t>Company page</t>
        </is>
      </c>
      <c r="F354" s="29" t="inlineStr">
        <is>
          <t>Find people</t>
        </is>
      </c>
      <c r="G354" s="20" t="n"/>
      <c r="H354" s="20" t="n"/>
      <c r="I354" s="20" t="n"/>
      <c r="J354" s="21" t="n"/>
      <c r="K354" s="20" t="n"/>
      <c r="L354" s="21" t="n"/>
      <c r="M354" s="20" t="n"/>
      <c r="N354" s="20" t="n"/>
    </row>
    <row r="355">
      <c r="A355" s="28">
        <f>Suppliers!A355</f>
        <v/>
      </c>
      <c r="B355" s="28">
        <f>Suppliers!B355</f>
        <v/>
      </c>
      <c r="C355" s="28">
        <f>Suppliers!E355</f>
        <v/>
      </c>
      <c r="D355" s="28">
        <f>Suppliers!D355</f>
        <v/>
      </c>
      <c r="E355" s="29" t="inlineStr">
        <is>
          <t>Company page</t>
        </is>
      </c>
      <c r="F355" s="29" t="inlineStr">
        <is>
          <t>Find people</t>
        </is>
      </c>
      <c r="G355" s="20" t="n"/>
      <c r="H355" s="20" t="n"/>
      <c r="I355" s="20" t="n"/>
      <c r="J355" s="21" t="n"/>
      <c r="K355" s="20" t="n"/>
      <c r="L355" s="21" t="n"/>
      <c r="M355" s="20" t="n"/>
      <c r="N355" s="20" t="n"/>
    </row>
    <row r="356">
      <c r="A356" s="28">
        <f>Suppliers!A356</f>
        <v/>
      </c>
      <c r="B356" s="28">
        <f>Suppliers!B356</f>
        <v/>
      </c>
      <c r="C356" s="28">
        <f>Suppliers!E356</f>
        <v/>
      </c>
      <c r="D356" s="28">
        <f>Suppliers!D356</f>
        <v/>
      </c>
      <c r="E356" s="29" t="inlineStr">
        <is>
          <t>Company page</t>
        </is>
      </c>
      <c r="F356" s="29" t="inlineStr">
        <is>
          <t>Find people</t>
        </is>
      </c>
      <c r="G356" s="20" t="n"/>
      <c r="H356" s="20" t="n"/>
      <c r="I356" s="20" t="n"/>
      <c r="J356" s="21" t="n"/>
      <c r="K356" s="20" t="n"/>
      <c r="L356" s="21" t="n"/>
      <c r="M356" s="20" t="n"/>
      <c r="N356" s="20" t="n"/>
    </row>
    <row r="357">
      <c r="A357" s="28">
        <f>Suppliers!A357</f>
        <v/>
      </c>
      <c r="B357" s="28">
        <f>Suppliers!B357</f>
        <v/>
      </c>
      <c r="C357" s="28">
        <f>Suppliers!E357</f>
        <v/>
      </c>
      <c r="D357" s="28">
        <f>Suppliers!D357</f>
        <v/>
      </c>
      <c r="E357" s="29" t="inlineStr">
        <is>
          <t>Company page</t>
        </is>
      </c>
      <c r="F357" s="29" t="inlineStr">
        <is>
          <t>Find people</t>
        </is>
      </c>
      <c r="G357" s="20" t="n"/>
      <c r="H357" s="20" t="n"/>
      <c r="I357" s="20" t="n"/>
      <c r="J357" s="21" t="n"/>
      <c r="K357" s="20" t="n"/>
      <c r="L357" s="21" t="n"/>
      <c r="M357" s="20" t="n"/>
      <c r="N357" s="20" t="n"/>
    </row>
    <row r="358">
      <c r="A358" s="28">
        <f>Suppliers!A358</f>
        <v/>
      </c>
      <c r="B358" s="28">
        <f>Suppliers!B358</f>
        <v/>
      </c>
      <c r="C358" s="28">
        <f>Suppliers!E358</f>
        <v/>
      </c>
      <c r="D358" s="28">
        <f>Suppliers!D358</f>
        <v/>
      </c>
      <c r="E358" s="29" t="inlineStr">
        <is>
          <t>Company page</t>
        </is>
      </c>
      <c r="F358" s="29" t="inlineStr">
        <is>
          <t>Find people</t>
        </is>
      </c>
      <c r="G358" s="20" t="n"/>
      <c r="H358" s="20" t="n"/>
      <c r="I358" s="20" t="n"/>
      <c r="J358" s="21" t="n"/>
      <c r="K358" s="20" t="n"/>
      <c r="L358" s="21" t="n"/>
      <c r="M358" s="20" t="n"/>
      <c r="N358" s="20" t="n"/>
    </row>
    <row r="359">
      <c r="A359" s="28">
        <f>Suppliers!A359</f>
        <v/>
      </c>
      <c r="B359" s="28">
        <f>Suppliers!B359</f>
        <v/>
      </c>
      <c r="C359" s="28">
        <f>Suppliers!E359</f>
        <v/>
      </c>
      <c r="D359" s="28">
        <f>Suppliers!D359</f>
        <v/>
      </c>
      <c r="E359" s="29" t="inlineStr">
        <is>
          <t>Company page</t>
        </is>
      </c>
      <c r="F359" s="29" t="inlineStr">
        <is>
          <t>Find people</t>
        </is>
      </c>
      <c r="G359" s="20" t="n"/>
      <c r="H359" s="20" t="n"/>
      <c r="I359" s="20" t="n"/>
      <c r="J359" s="21" t="n"/>
      <c r="K359" s="20" t="n"/>
      <c r="L359" s="21" t="n"/>
      <c r="M359" s="20" t="n"/>
      <c r="N359" s="20" t="n"/>
    </row>
    <row r="360">
      <c r="A360" s="28">
        <f>Suppliers!A360</f>
        <v/>
      </c>
      <c r="B360" s="28">
        <f>Suppliers!B360</f>
        <v/>
      </c>
      <c r="C360" s="28">
        <f>Suppliers!E360</f>
        <v/>
      </c>
      <c r="D360" s="28">
        <f>Suppliers!D360</f>
        <v/>
      </c>
      <c r="E360" s="29" t="inlineStr">
        <is>
          <t>Company page</t>
        </is>
      </c>
      <c r="F360" s="29" t="inlineStr">
        <is>
          <t>Find people</t>
        </is>
      </c>
      <c r="G360" s="20" t="n"/>
      <c r="H360" s="20" t="n"/>
      <c r="I360" s="20" t="n"/>
      <c r="J360" s="21" t="n"/>
      <c r="K360" s="20" t="n"/>
      <c r="L360" s="21" t="n"/>
      <c r="M360" s="20" t="n"/>
      <c r="N360" s="20" t="n"/>
    </row>
    <row r="361">
      <c r="A361" s="28">
        <f>Suppliers!A361</f>
        <v/>
      </c>
      <c r="B361" s="28">
        <f>Suppliers!B361</f>
        <v/>
      </c>
      <c r="C361" s="28">
        <f>Suppliers!E361</f>
        <v/>
      </c>
      <c r="D361" s="28">
        <f>Suppliers!D361</f>
        <v/>
      </c>
      <c r="E361" s="29" t="inlineStr">
        <is>
          <t>Company page</t>
        </is>
      </c>
      <c r="F361" s="29" t="inlineStr">
        <is>
          <t>Find people</t>
        </is>
      </c>
      <c r="G361" s="20" t="n"/>
      <c r="H361" s="20" t="n"/>
      <c r="I361" s="20" t="n"/>
      <c r="J361" s="21" t="n"/>
      <c r="K361" s="20" t="n"/>
      <c r="L361" s="21" t="n"/>
      <c r="M361" s="20" t="n"/>
      <c r="N361" s="20" t="n"/>
    </row>
    <row r="362">
      <c r="A362" s="28">
        <f>Suppliers!A362</f>
        <v/>
      </c>
      <c r="B362" s="28">
        <f>Suppliers!B362</f>
        <v/>
      </c>
      <c r="C362" s="28">
        <f>Suppliers!E362</f>
        <v/>
      </c>
      <c r="D362" s="28">
        <f>Suppliers!D362</f>
        <v/>
      </c>
      <c r="E362" s="29" t="inlineStr">
        <is>
          <t>Company page</t>
        </is>
      </c>
      <c r="F362" s="29" t="inlineStr">
        <is>
          <t>Find people</t>
        </is>
      </c>
      <c r="G362" s="20" t="n"/>
      <c r="H362" s="20" t="n"/>
      <c r="I362" s="20" t="n"/>
      <c r="J362" s="21" t="n"/>
      <c r="K362" s="20" t="n"/>
      <c r="L362" s="21" t="n"/>
      <c r="M362" s="20" t="n"/>
      <c r="N362" s="20" t="n"/>
    </row>
    <row r="363">
      <c r="A363" s="28">
        <f>Suppliers!A363</f>
        <v/>
      </c>
      <c r="B363" s="28">
        <f>Suppliers!B363</f>
        <v/>
      </c>
      <c r="C363" s="28">
        <f>Suppliers!E363</f>
        <v/>
      </c>
      <c r="D363" s="28">
        <f>Suppliers!D363</f>
        <v/>
      </c>
      <c r="E363" s="29" t="inlineStr">
        <is>
          <t>Company page</t>
        </is>
      </c>
      <c r="F363" s="29" t="inlineStr">
        <is>
          <t>Find people</t>
        </is>
      </c>
      <c r="G363" s="20" t="n"/>
      <c r="H363" s="20" t="n"/>
      <c r="I363" s="20" t="n"/>
      <c r="J363" s="21" t="n"/>
      <c r="K363" s="20" t="n"/>
      <c r="L363" s="21" t="n"/>
      <c r="M363" s="20" t="n"/>
      <c r="N363" s="20" t="n"/>
    </row>
    <row r="364">
      <c r="A364" s="28">
        <f>Suppliers!A364</f>
        <v/>
      </c>
      <c r="B364" s="28">
        <f>Suppliers!B364</f>
        <v/>
      </c>
      <c r="C364" s="28">
        <f>Suppliers!E364</f>
        <v/>
      </c>
      <c r="D364" s="28">
        <f>Suppliers!D364</f>
        <v/>
      </c>
      <c r="E364" s="29" t="inlineStr">
        <is>
          <t>Company page</t>
        </is>
      </c>
      <c r="F364" s="29" t="inlineStr">
        <is>
          <t>Find people</t>
        </is>
      </c>
      <c r="G364" s="20" t="n"/>
      <c r="H364" s="20" t="n"/>
      <c r="I364" s="20" t="n"/>
      <c r="J364" s="21" t="n"/>
      <c r="K364" s="20" t="n"/>
      <c r="L364" s="21" t="n"/>
      <c r="M364" s="20" t="n"/>
      <c r="N364" s="20" t="n"/>
    </row>
    <row r="365">
      <c r="A365" s="28">
        <f>Suppliers!A365</f>
        <v/>
      </c>
      <c r="B365" s="28">
        <f>Suppliers!B365</f>
        <v/>
      </c>
      <c r="C365" s="28">
        <f>Suppliers!E365</f>
        <v/>
      </c>
      <c r="D365" s="28">
        <f>Suppliers!D365</f>
        <v/>
      </c>
      <c r="E365" s="29" t="inlineStr">
        <is>
          <t>Company page</t>
        </is>
      </c>
      <c r="F365" s="29" t="inlineStr">
        <is>
          <t>Find people</t>
        </is>
      </c>
      <c r="G365" s="20" t="n"/>
      <c r="H365" s="20" t="n"/>
      <c r="I365" s="20" t="n"/>
      <c r="J365" s="21" t="n"/>
      <c r="K365" s="20" t="n"/>
      <c r="L365" s="21" t="n"/>
      <c r="M365" s="20" t="n"/>
      <c r="N365" s="20" t="n"/>
    </row>
    <row r="366">
      <c r="A366" s="28">
        <f>Suppliers!A366</f>
        <v/>
      </c>
      <c r="B366" s="28">
        <f>Suppliers!B366</f>
        <v/>
      </c>
      <c r="C366" s="28">
        <f>Suppliers!E366</f>
        <v/>
      </c>
      <c r="D366" s="28">
        <f>Suppliers!D366</f>
        <v/>
      </c>
      <c r="E366" s="29" t="inlineStr">
        <is>
          <t>Company page</t>
        </is>
      </c>
      <c r="F366" s="29" t="inlineStr">
        <is>
          <t>Find people</t>
        </is>
      </c>
      <c r="G366" s="20" t="n"/>
      <c r="H366" s="20" t="n"/>
      <c r="I366" s="20" t="n"/>
      <c r="J366" s="21" t="n"/>
      <c r="K366" s="20" t="n"/>
      <c r="L366" s="21" t="n"/>
      <c r="M366" s="20" t="n"/>
      <c r="N366" s="20" t="n"/>
    </row>
    <row r="367">
      <c r="A367" s="28">
        <f>Suppliers!A367</f>
        <v/>
      </c>
      <c r="B367" s="28">
        <f>Suppliers!B367</f>
        <v/>
      </c>
      <c r="C367" s="28">
        <f>Suppliers!E367</f>
        <v/>
      </c>
      <c r="D367" s="28">
        <f>Suppliers!D367</f>
        <v/>
      </c>
      <c r="E367" s="29" t="inlineStr">
        <is>
          <t>Company page</t>
        </is>
      </c>
      <c r="F367" s="29" t="inlineStr">
        <is>
          <t>Find people</t>
        </is>
      </c>
      <c r="G367" s="20" t="n"/>
      <c r="H367" s="20" t="n"/>
      <c r="I367" s="20" t="n"/>
      <c r="J367" s="21" t="n"/>
      <c r="K367" s="20" t="n"/>
      <c r="L367" s="21" t="n"/>
      <c r="M367" s="20" t="n"/>
      <c r="N367" s="20" t="n"/>
    </row>
    <row r="368">
      <c r="A368" s="28">
        <f>Suppliers!A368</f>
        <v/>
      </c>
      <c r="B368" s="28">
        <f>Suppliers!B368</f>
        <v/>
      </c>
      <c r="C368" s="28">
        <f>Suppliers!E368</f>
        <v/>
      </c>
      <c r="D368" s="28">
        <f>Suppliers!D368</f>
        <v/>
      </c>
      <c r="E368" s="29" t="inlineStr">
        <is>
          <t>Company page</t>
        </is>
      </c>
      <c r="F368" s="29" t="inlineStr">
        <is>
          <t>Find people</t>
        </is>
      </c>
      <c r="G368" s="20" t="n"/>
      <c r="H368" s="20" t="n"/>
      <c r="I368" s="20" t="n"/>
      <c r="J368" s="21" t="n"/>
      <c r="K368" s="20" t="n"/>
      <c r="L368" s="21" t="n"/>
      <c r="M368" s="20" t="n"/>
      <c r="N368" s="20" t="n"/>
    </row>
    <row r="369">
      <c r="A369" s="28">
        <f>Suppliers!A369</f>
        <v/>
      </c>
      <c r="B369" s="28">
        <f>Suppliers!B369</f>
        <v/>
      </c>
      <c r="C369" s="28">
        <f>Suppliers!E369</f>
        <v/>
      </c>
      <c r="D369" s="28">
        <f>Suppliers!D369</f>
        <v/>
      </c>
      <c r="E369" s="29" t="inlineStr">
        <is>
          <t>Company page</t>
        </is>
      </c>
      <c r="F369" s="29" t="inlineStr">
        <is>
          <t>Find people</t>
        </is>
      </c>
      <c r="G369" s="20" t="n"/>
      <c r="H369" s="20" t="n"/>
      <c r="I369" s="20" t="n"/>
      <c r="J369" s="21" t="n"/>
      <c r="K369" s="20" t="n"/>
      <c r="L369" s="21" t="n"/>
      <c r="M369" s="20" t="n"/>
      <c r="N369" s="20" t="n"/>
    </row>
    <row r="370">
      <c r="A370" s="28">
        <f>Suppliers!A370</f>
        <v/>
      </c>
      <c r="B370" s="28">
        <f>Suppliers!B370</f>
        <v/>
      </c>
      <c r="C370" s="28">
        <f>Suppliers!E370</f>
        <v/>
      </c>
      <c r="D370" s="28">
        <f>Suppliers!D370</f>
        <v/>
      </c>
      <c r="E370" s="29" t="inlineStr">
        <is>
          <t>Company page</t>
        </is>
      </c>
      <c r="F370" s="29" t="inlineStr">
        <is>
          <t>Find people</t>
        </is>
      </c>
      <c r="G370" s="20" t="n"/>
      <c r="H370" s="20" t="n"/>
      <c r="I370" s="20" t="n"/>
      <c r="J370" s="21" t="n"/>
      <c r="K370" s="20" t="n"/>
      <c r="L370" s="21" t="n"/>
      <c r="M370" s="20" t="n"/>
      <c r="N370" s="20" t="n"/>
    </row>
    <row r="371">
      <c r="A371" s="28">
        <f>Suppliers!A371</f>
        <v/>
      </c>
      <c r="B371" s="28">
        <f>Suppliers!B371</f>
        <v/>
      </c>
      <c r="C371" s="28">
        <f>Suppliers!E371</f>
        <v/>
      </c>
      <c r="D371" s="28">
        <f>Suppliers!D371</f>
        <v/>
      </c>
      <c r="E371" s="29" t="inlineStr">
        <is>
          <t>Company page</t>
        </is>
      </c>
      <c r="F371" s="29" t="inlineStr">
        <is>
          <t>Find people</t>
        </is>
      </c>
      <c r="G371" s="20" t="n"/>
      <c r="H371" s="20" t="n"/>
      <c r="I371" s="20" t="n"/>
      <c r="J371" s="21" t="n"/>
      <c r="K371" s="20" t="n"/>
      <c r="L371" s="21" t="n"/>
      <c r="M371" s="20" t="n"/>
      <c r="N371" s="20" t="n"/>
    </row>
    <row r="372">
      <c r="A372" s="28">
        <f>Suppliers!A372</f>
        <v/>
      </c>
      <c r="B372" s="28">
        <f>Suppliers!B372</f>
        <v/>
      </c>
      <c r="C372" s="28">
        <f>Suppliers!E372</f>
        <v/>
      </c>
      <c r="D372" s="28">
        <f>Suppliers!D372</f>
        <v/>
      </c>
      <c r="E372" s="29" t="inlineStr">
        <is>
          <t>Company page</t>
        </is>
      </c>
      <c r="F372" s="29" t="inlineStr">
        <is>
          <t>Find people</t>
        </is>
      </c>
      <c r="G372" s="20" t="n"/>
      <c r="H372" s="20" t="n"/>
      <c r="I372" s="20" t="n"/>
      <c r="J372" s="21" t="n"/>
      <c r="K372" s="20" t="n"/>
      <c r="L372" s="21" t="n"/>
      <c r="M372" s="20" t="n"/>
      <c r="N372" s="20" t="n"/>
    </row>
    <row r="373">
      <c r="A373" s="28">
        <f>Suppliers!A373</f>
        <v/>
      </c>
      <c r="B373" s="28">
        <f>Suppliers!B373</f>
        <v/>
      </c>
      <c r="C373" s="28">
        <f>Suppliers!E373</f>
        <v/>
      </c>
      <c r="D373" s="28">
        <f>Suppliers!D373</f>
        <v/>
      </c>
      <c r="E373" s="29" t="inlineStr">
        <is>
          <t>Company page</t>
        </is>
      </c>
      <c r="F373" s="29" t="inlineStr">
        <is>
          <t>Find people</t>
        </is>
      </c>
      <c r="G373" s="20" t="n"/>
      <c r="H373" s="20" t="n"/>
      <c r="I373" s="20" t="n"/>
      <c r="J373" s="21" t="n"/>
      <c r="K373" s="20" t="n"/>
      <c r="L373" s="21" t="n"/>
      <c r="M373" s="20" t="n"/>
      <c r="N373" s="20" t="n"/>
    </row>
    <row r="374">
      <c r="A374" s="28">
        <f>Suppliers!A374</f>
        <v/>
      </c>
      <c r="B374" s="28">
        <f>Suppliers!B374</f>
        <v/>
      </c>
      <c r="C374" s="28">
        <f>Suppliers!E374</f>
        <v/>
      </c>
      <c r="D374" s="28">
        <f>Suppliers!D374</f>
        <v/>
      </c>
      <c r="E374" s="29" t="inlineStr">
        <is>
          <t>Company page</t>
        </is>
      </c>
      <c r="F374" s="29" t="inlineStr">
        <is>
          <t>Find people</t>
        </is>
      </c>
      <c r="G374" s="20" t="n"/>
      <c r="H374" s="20" t="n"/>
      <c r="I374" s="20" t="n"/>
      <c r="J374" s="21" t="n"/>
      <c r="K374" s="20" t="n"/>
      <c r="L374" s="21" t="n"/>
      <c r="M374" s="20" t="n"/>
      <c r="N374" s="20" t="n"/>
    </row>
    <row r="375">
      <c r="A375" s="28">
        <f>Suppliers!A375</f>
        <v/>
      </c>
      <c r="B375" s="28">
        <f>Suppliers!B375</f>
        <v/>
      </c>
      <c r="C375" s="28">
        <f>Suppliers!E375</f>
        <v/>
      </c>
      <c r="D375" s="28">
        <f>Suppliers!D375</f>
        <v/>
      </c>
      <c r="E375" s="29" t="inlineStr">
        <is>
          <t>Company page</t>
        </is>
      </c>
      <c r="F375" s="29" t="inlineStr">
        <is>
          <t>Find people</t>
        </is>
      </c>
      <c r="G375" s="20" t="n"/>
      <c r="H375" s="20" t="n"/>
      <c r="I375" s="20" t="n"/>
      <c r="J375" s="21" t="n"/>
      <c r="K375" s="20" t="n"/>
      <c r="L375" s="21" t="n"/>
      <c r="M375" s="20" t="n"/>
      <c r="N375" s="20" t="n"/>
    </row>
    <row r="376">
      <c r="A376" s="28">
        <f>Suppliers!A376</f>
        <v/>
      </c>
      <c r="B376" s="28">
        <f>Suppliers!B376</f>
        <v/>
      </c>
      <c r="C376" s="28">
        <f>Suppliers!E376</f>
        <v/>
      </c>
      <c r="D376" s="28">
        <f>Suppliers!D376</f>
        <v/>
      </c>
      <c r="E376" s="29" t="inlineStr">
        <is>
          <t>Company page</t>
        </is>
      </c>
      <c r="F376" s="29" t="inlineStr">
        <is>
          <t>Find people</t>
        </is>
      </c>
      <c r="G376" s="20" t="n"/>
      <c r="H376" s="20" t="n"/>
      <c r="I376" s="20" t="n"/>
      <c r="J376" s="21" t="n"/>
      <c r="K376" s="20" t="n"/>
      <c r="L376" s="21" t="n"/>
      <c r="M376" s="20" t="n"/>
      <c r="N376" s="20" t="n"/>
    </row>
    <row r="377">
      <c r="A377" s="28">
        <f>Suppliers!A377</f>
        <v/>
      </c>
      <c r="B377" s="28">
        <f>Suppliers!B377</f>
        <v/>
      </c>
      <c r="C377" s="28">
        <f>Suppliers!E377</f>
        <v/>
      </c>
      <c r="D377" s="28">
        <f>Suppliers!D377</f>
        <v/>
      </c>
      <c r="E377" s="29" t="inlineStr">
        <is>
          <t>Company page</t>
        </is>
      </c>
      <c r="F377" s="29" t="inlineStr">
        <is>
          <t>Find people</t>
        </is>
      </c>
      <c r="G377" s="20" t="n"/>
      <c r="H377" s="20" t="n"/>
      <c r="I377" s="20" t="n"/>
      <c r="J377" s="21" t="n"/>
      <c r="K377" s="20" t="n"/>
      <c r="L377" s="21" t="n"/>
      <c r="M377" s="20" t="n"/>
      <c r="N377" s="20" t="n"/>
    </row>
    <row r="378">
      <c r="A378" s="28">
        <f>Suppliers!A378</f>
        <v/>
      </c>
      <c r="B378" s="28">
        <f>Suppliers!B378</f>
        <v/>
      </c>
      <c r="C378" s="28">
        <f>Suppliers!E378</f>
        <v/>
      </c>
      <c r="D378" s="28">
        <f>Suppliers!D378</f>
        <v/>
      </c>
      <c r="E378" s="29" t="inlineStr">
        <is>
          <t>Company page</t>
        </is>
      </c>
      <c r="F378" s="29" t="inlineStr">
        <is>
          <t>Find people</t>
        </is>
      </c>
      <c r="G378" s="20" t="n"/>
      <c r="H378" s="20" t="n"/>
      <c r="I378" s="20" t="n"/>
      <c r="J378" s="21" t="n"/>
      <c r="K378" s="20" t="n"/>
      <c r="L378" s="21" t="n"/>
      <c r="M378" s="20" t="n"/>
      <c r="N378" s="20" t="n"/>
    </row>
    <row r="379">
      <c r="A379" s="28">
        <f>Suppliers!A379</f>
        <v/>
      </c>
      <c r="B379" s="28">
        <f>Suppliers!B379</f>
        <v/>
      </c>
      <c r="C379" s="28">
        <f>Suppliers!E379</f>
        <v/>
      </c>
      <c r="D379" s="28">
        <f>Suppliers!D379</f>
        <v/>
      </c>
      <c r="E379" s="29" t="inlineStr">
        <is>
          <t>Company page</t>
        </is>
      </c>
      <c r="F379" s="29" t="inlineStr">
        <is>
          <t>Find people</t>
        </is>
      </c>
      <c r="G379" s="20" t="n"/>
      <c r="H379" s="20" t="n"/>
      <c r="I379" s="20" t="n"/>
      <c r="J379" s="21" t="n"/>
      <c r="K379" s="20" t="n"/>
      <c r="L379" s="21" t="n"/>
      <c r="M379" s="20" t="n"/>
      <c r="N379" s="20" t="n"/>
    </row>
    <row r="380">
      <c r="A380" s="28">
        <f>Suppliers!A380</f>
        <v/>
      </c>
      <c r="B380" s="28">
        <f>Suppliers!B380</f>
        <v/>
      </c>
      <c r="C380" s="28">
        <f>Suppliers!E380</f>
        <v/>
      </c>
      <c r="D380" s="28">
        <f>Suppliers!D380</f>
        <v/>
      </c>
      <c r="E380" s="29" t="inlineStr">
        <is>
          <t>Company page</t>
        </is>
      </c>
      <c r="F380" s="29" t="inlineStr">
        <is>
          <t>Find people</t>
        </is>
      </c>
      <c r="G380" s="20" t="n"/>
      <c r="H380" s="20" t="n"/>
      <c r="I380" s="20" t="n"/>
      <c r="J380" s="21" t="n"/>
      <c r="K380" s="20" t="n"/>
      <c r="L380" s="21" t="n"/>
      <c r="M380" s="20" t="n"/>
      <c r="N380" s="20" t="n"/>
    </row>
    <row r="381">
      <c r="A381" s="28">
        <f>Suppliers!A381</f>
        <v/>
      </c>
      <c r="B381" s="28">
        <f>Suppliers!B381</f>
        <v/>
      </c>
      <c r="C381" s="28">
        <f>Suppliers!E381</f>
        <v/>
      </c>
      <c r="D381" s="28">
        <f>Suppliers!D381</f>
        <v/>
      </c>
      <c r="E381" s="29" t="inlineStr">
        <is>
          <t>Company page</t>
        </is>
      </c>
      <c r="F381" s="29" t="inlineStr">
        <is>
          <t>Find people</t>
        </is>
      </c>
      <c r="G381" s="20" t="n"/>
      <c r="H381" s="20" t="n"/>
      <c r="I381" s="20" t="n"/>
      <c r="J381" s="21" t="n"/>
      <c r="K381" s="20" t="n"/>
      <c r="L381" s="21" t="n"/>
      <c r="M381" s="20" t="n"/>
      <c r="N381" s="20" t="n"/>
    </row>
    <row r="382">
      <c r="A382" s="28">
        <f>Suppliers!A382</f>
        <v/>
      </c>
      <c r="B382" s="28">
        <f>Suppliers!B382</f>
        <v/>
      </c>
      <c r="C382" s="28">
        <f>Suppliers!E382</f>
        <v/>
      </c>
      <c r="D382" s="28">
        <f>Suppliers!D382</f>
        <v/>
      </c>
      <c r="E382" s="29" t="inlineStr">
        <is>
          <t>Company page</t>
        </is>
      </c>
      <c r="F382" s="29" t="inlineStr">
        <is>
          <t>Find people</t>
        </is>
      </c>
      <c r="G382" s="20" t="n"/>
      <c r="H382" s="20" t="n"/>
      <c r="I382" s="20" t="n"/>
      <c r="J382" s="21" t="n"/>
      <c r="K382" s="20" t="n"/>
      <c r="L382" s="21" t="n"/>
      <c r="M382" s="20" t="n"/>
      <c r="N382" s="20" t="n"/>
    </row>
    <row r="383">
      <c r="A383" s="28">
        <f>Suppliers!A383</f>
        <v/>
      </c>
      <c r="B383" s="28">
        <f>Suppliers!B383</f>
        <v/>
      </c>
      <c r="C383" s="28">
        <f>Suppliers!E383</f>
        <v/>
      </c>
      <c r="D383" s="28">
        <f>Suppliers!D383</f>
        <v/>
      </c>
      <c r="E383" s="29" t="inlineStr">
        <is>
          <t>Company page</t>
        </is>
      </c>
      <c r="F383" s="29" t="inlineStr">
        <is>
          <t>Find people</t>
        </is>
      </c>
      <c r="G383" s="20" t="n"/>
      <c r="H383" s="20" t="n"/>
      <c r="I383" s="20" t="n"/>
      <c r="J383" s="21" t="n"/>
      <c r="K383" s="20" t="n"/>
      <c r="L383" s="21" t="n"/>
      <c r="M383" s="20" t="n"/>
      <c r="N383" s="20" t="n"/>
    </row>
    <row r="384">
      <c r="A384" s="28">
        <f>Suppliers!A384</f>
        <v/>
      </c>
      <c r="B384" s="28">
        <f>Suppliers!B384</f>
        <v/>
      </c>
      <c r="C384" s="28">
        <f>Suppliers!E384</f>
        <v/>
      </c>
      <c r="D384" s="28">
        <f>Suppliers!D384</f>
        <v/>
      </c>
      <c r="E384" s="29" t="inlineStr">
        <is>
          <t>Company page</t>
        </is>
      </c>
      <c r="F384" s="29" t="inlineStr">
        <is>
          <t>Find people</t>
        </is>
      </c>
      <c r="G384" s="20" t="n"/>
      <c r="H384" s="20" t="n"/>
      <c r="I384" s="20" t="n"/>
      <c r="J384" s="21" t="n"/>
      <c r="K384" s="20" t="n"/>
      <c r="L384" s="21" t="n"/>
      <c r="M384" s="20" t="n"/>
      <c r="N384" s="20" t="n"/>
    </row>
    <row r="385">
      <c r="A385" s="28">
        <f>Suppliers!A385</f>
        <v/>
      </c>
      <c r="B385" s="28">
        <f>Suppliers!B385</f>
        <v/>
      </c>
      <c r="C385" s="28">
        <f>Suppliers!E385</f>
        <v/>
      </c>
      <c r="D385" s="28">
        <f>Suppliers!D385</f>
        <v/>
      </c>
      <c r="E385" s="29" t="inlineStr">
        <is>
          <t>Company page</t>
        </is>
      </c>
      <c r="F385" s="29" t="inlineStr">
        <is>
          <t>Find people</t>
        </is>
      </c>
      <c r="G385" s="20" t="n"/>
      <c r="H385" s="20" t="n"/>
      <c r="I385" s="20" t="n"/>
      <c r="J385" s="21" t="n"/>
      <c r="K385" s="20" t="n"/>
      <c r="L385" s="21" t="n"/>
      <c r="M385" s="20" t="n"/>
      <c r="N385" s="20" t="n"/>
    </row>
    <row r="386">
      <c r="A386" s="28">
        <f>Suppliers!A386</f>
        <v/>
      </c>
      <c r="B386" s="28">
        <f>Suppliers!B386</f>
        <v/>
      </c>
      <c r="C386" s="28">
        <f>Suppliers!E386</f>
        <v/>
      </c>
      <c r="D386" s="28">
        <f>Suppliers!D386</f>
        <v/>
      </c>
      <c r="E386" s="29" t="inlineStr">
        <is>
          <t>Company page</t>
        </is>
      </c>
      <c r="F386" s="29" t="inlineStr">
        <is>
          <t>Find people</t>
        </is>
      </c>
      <c r="G386" s="20" t="n"/>
      <c r="H386" s="20" t="n"/>
      <c r="I386" s="20" t="n"/>
      <c r="J386" s="21" t="n"/>
      <c r="K386" s="20" t="n"/>
      <c r="L386" s="21" t="n"/>
      <c r="M386" s="20" t="n"/>
      <c r="N386" s="20" t="n"/>
    </row>
    <row r="387">
      <c r="A387" s="28">
        <f>Suppliers!A387</f>
        <v/>
      </c>
      <c r="B387" s="28">
        <f>Suppliers!B387</f>
        <v/>
      </c>
      <c r="C387" s="28">
        <f>Suppliers!E387</f>
        <v/>
      </c>
      <c r="D387" s="28">
        <f>Suppliers!D387</f>
        <v/>
      </c>
      <c r="E387" s="29" t="inlineStr">
        <is>
          <t>Company page</t>
        </is>
      </c>
      <c r="F387" s="29" t="inlineStr">
        <is>
          <t>Find people</t>
        </is>
      </c>
      <c r="G387" s="20" t="n"/>
      <c r="H387" s="20" t="n"/>
      <c r="I387" s="20" t="n"/>
      <c r="J387" s="21" t="n"/>
      <c r="K387" s="20" t="n"/>
      <c r="L387" s="21" t="n"/>
      <c r="M387" s="20" t="n"/>
      <c r="N387" s="20" t="n"/>
    </row>
    <row r="388">
      <c r="A388" s="28">
        <f>Suppliers!A388</f>
        <v/>
      </c>
      <c r="B388" s="28">
        <f>Suppliers!B388</f>
        <v/>
      </c>
      <c r="C388" s="28">
        <f>Suppliers!E388</f>
        <v/>
      </c>
      <c r="D388" s="28">
        <f>Suppliers!D388</f>
        <v/>
      </c>
      <c r="E388" s="29" t="inlineStr">
        <is>
          <t>Company page</t>
        </is>
      </c>
      <c r="F388" s="29" t="inlineStr">
        <is>
          <t>Find people</t>
        </is>
      </c>
      <c r="G388" s="20" t="n"/>
      <c r="H388" s="20" t="n"/>
      <c r="I388" s="20" t="n"/>
      <c r="J388" s="21" t="n"/>
      <c r="K388" s="20" t="n"/>
      <c r="L388" s="21" t="n"/>
      <c r="M388" s="20" t="n"/>
      <c r="N388" s="20" t="n"/>
    </row>
    <row r="389">
      <c r="A389" s="28">
        <f>Suppliers!A389</f>
        <v/>
      </c>
      <c r="B389" s="28">
        <f>Suppliers!B389</f>
        <v/>
      </c>
      <c r="C389" s="28">
        <f>Suppliers!E389</f>
        <v/>
      </c>
      <c r="D389" s="28">
        <f>Suppliers!D389</f>
        <v/>
      </c>
      <c r="E389" s="29" t="inlineStr">
        <is>
          <t>Company page</t>
        </is>
      </c>
      <c r="F389" s="29" t="inlineStr">
        <is>
          <t>Find people</t>
        </is>
      </c>
      <c r="G389" s="20" t="n"/>
      <c r="H389" s="20" t="n"/>
      <c r="I389" s="20" t="n"/>
      <c r="J389" s="21" t="n"/>
      <c r="K389" s="20" t="n"/>
      <c r="L389" s="21" t="n"/>
      <c r="M389" s="20" t="n"/>
      <c r="N389" s="20" t="n"/>
    </row>
    <row r="390">
      <c r="A390" s="28">
        <f>Suppliers!A390</f>
        <v/>
      </c>
      <c r="B390" s="28">
        <f>Suppliers!B390</f>
        <v/>
      </c>
      <c r="C390" s="28">
        <f>Suppliers!E390</f>
        <v/>
      </c>
      <c r="D390" s="28">
        <f>Suppliers!D390</f>
        <v/>
      </c>
      <c r="E390" s="29" t="inlineStr">
        <is>
          <t>Company page</t>
        </is>
      </c>
      <c r="F390" s="29" t="inlineStr">
        <is>
          <t>Find people</t>
        </is>
      </c>
      <c r="G390" s="20" t="n"/>
      <c r="H390" s="20" t="n"/>
      <c r="I390" s="20" t="n"/>
      <c r="J390" s="21" t="n"/>
      <c r="K390" s="20" t="n"/>
      <c r="L390" s="21" t="n"/>
      <c r="M390" s="20" t="n"/>
      <c r="N390" s="20" t="n"/>
    </row>
    <row r="391">
      <c r="A391" s="28">
        <f>Suppliers!A391</f>
        <v/>
      </c>
      <c r="B391" s="28">
        <f>Suppliers!B391</f>
        <v/>
      </c>
      <c r="C391" s="28">
        <f>Suppliers!E391</f>
        <v/>
      </c>
      <c r="D391" s="28">
        <f>Suppliers!D391</f>
        <v/>
      </c>
      <c r="E391" s="29" t="inlineStr">
        <is>
          <t>Company page</t>
        </is>
      </c>
      <c r="F391" s="29" t="inlineStr">
        <is>
          <t>Find people</t>
        </is>
      </c>
      <c r="G391" s="20" t="n"/>
      <c r="H391" s="20" t="n"/>
      <c r="I391" s="20" t="n"/>
      <c r="J391" s="21" t="n"/>
      <c r="K391" s="20" t="n"/>
      <c r="L391" s="21" t="n"/>
      <c r="M391" s="20" t="n"/>
      <c r="N391" s="20" t="n"/>
    </row>
    <row r="392">
      <c r="A392" s="28">
        <f>Suppliers!A392</f>
        <v/>
      </c>
      <c r="B392" s="28">
        <f>Suppliers!B392</f>
        <v/>
      </c>
      <c r="C392" s="28">
        <f>Suppliers!E392</f>
        <v/>
      </c>
      <c r="D392" s="28">
        <f>Suppliers!D392</f>
        <v/>
      </c>
      <c r="E392" s="29" t="inlineStr">
        <is>
          <t>Company page</t>
        </is>
      </c>
      <c r="F392" s="29" t="inlineStr">
        <is>
          <t>Find people</t>
        </is>
      </c>
      <c r="G392" s="20" t="n"/>
      <c r="H392" s="20" t="n"/>
      <c r="I392" s="20" t="n"/>
      <c r="J392" s="21" t="n"/>
      <c r="K392" s="20" t="n"/>
      <c r="L392" s="21" t="n"/>
      <c r="M392" s="20" t="n"/>
      <c r="N392" s="20" t="n"/>
    </row>
    <row r="393">
      <c r="A393" s="28">
        <f>Suppliers!A393</f>
        <v/>
      </c>
      <c r="B393" s="28">
        <f>Suppliers!B393</f>
        <v/>
      </c>
      <c r="C393" s="28">
        <f>Suppliers!E393</f>
        <v/>
      </c>
      <c r="D393" s="28">
        <f>Suppliers!D393</f>
        <v/>
      </c>
      <c r="E393" s="29" t="inlineStr">
        <is>
          <t>Company page</t>
        </is>
      </c>
      <c r="F393" s="29" t="inlineStr">
        <is>
          <t>Find people</t>
        </is>
      </c>
      <c r="G393" s="20" t="n"/>
      <c r="H393" s="20" t="n"/>
      <c r="I393" s="20" t="n"/>
      <c r="J393" s="21" t="n"/>
      <c r="K393" s="20" t="n"/>
      <c r="L393" s="21" t="n"/>
      <c r="M393" s="20" t="n"/>
      <c r="N393" s="20" t="n"/>
    </row>
    <row r="394">
      <c r="A394" s="28">
        <f>Suppliers!A394</f>
        <v/>
      </c>
      <c r="B394" s="28">
        <f>Suppliers!B394</f>
        <v/>
      </c>
      <c r="C394" s="28">
        <f>Suppliers!E394</f>
        <v/>
      </c>
      <c r="D394" s="28">
        <f>Suppliers!D394</f>
        <v/>
      </c>
      <c r="E394" s="29" t="inlineStr">
        <is>
          <t>Company page</t>
        </is>
      </c>
      <c r="F394" s="29" t="inlineStr">
        <is>
          <t>Find people</t>
        </is>
      </c>
      <c r="G394" s="20" t="n"/>
      <c r="H394" s="20" t="n"/>
      <c r="I394" s="20" t="n"/>
      <c r="J394" s="21" t="n"/>
      <c r="K394" s="20" t="n"/>
      <c r="L394" s="21" t="n"/>
      <c r="M394" s="20" t="n"/>
      <c r="N394" s="20" t="n"/>
    </row>
    <row r="395">
      <c r="A395" s="28">
        <f>Suppliers!A395</f>
        <v/>
      </c>
      <c r="B395" s="28">
        <f>Suppliers!B395</f>
        <v/>
      </c>
      <c r="C395" s="28">
        <f>Suppliers!E395</f>
        <v/>
      </c>
      <c r="D395" s="28">
        <f>Suppliers!D395</f>
        <v/>
      </c>
      <c r="E395" s="29" t="inlineStr">
        <is>
          <t>Company page</t>
        </is>
      </c>
      <c r="F395" s="29" t="inlineStr">
        <is>
          <t>Find people</t>
        </is>
      </c>
      <c r="G395" s="20" t="n"/>
      <c r="H395" s="20" t="n"/>
      <c r="I395" s="20" t="n"/>
      <c r="J395" s="21" t="n"/>
      <c r="K395" s="20" t="n"/>
      <c r="L395" s="21" t="n"/>
      <c r="M395" s="20" t="n"/>
      <c r="N395" s="20" t="n"/>
    </row>
    <row r="396">
      <c r="A396" s="28">
        <f>Suppliers!A396</f>
        <v/>
      </c>
      <c r="B396" s="28">
        <f>Suppliers!B396</f>
        <v/>
      </c>
      <c r="C396" s="28">
        <f>Suppliers!E396</f>
        <v/>
      </c>
      <c r="D396" s="28">
        <f>Suppliers!D396</f>
        <v/>
      </c>
      <c r="E396" s="29" t="inlineStr">
        <is>
          <t>Company page</t>
        </is>
      </c>
      <c r="F396" s="29" t="inlineStr">
        <is>
          <t>Find people</t>
        </is>
      </c>
      <c r="G396" s="20" t="n"/>
      <c r="H396" s="20" t="n"/>
      <c r="I396" s="20" t="n"/>
      <c r="J396" s="21" t="n"/>
      <c r="K396" s="20" t="n"/>
      <c r="L396" s="21" t="n"/>
      <c r="M396" s="20" t="n"/>
      <c r="N396" s="20" t="n"/>
    </row>
    <row r="397">
      <c r="A397" s="28">
        <f>Suppliers!A397</f>
        <v/>
      </c>
      <c r="B397" s="28">
        <f>Suppliers!B397</f>
        <v/>
      </c>
      <c r="C397" s="28">
        <f>Suppliers!E397</f>
        <v/>
      </c>
      <c r="D397" s="28">
        <f>Suppliers!D397</f>
        <v/>
      </c>
      <c r="E397" s="29" t="inlineStr">
        <is>
          <t>Company page</t>
        </is>
      </c>
      <c r="F397" s="29" t="inlineStr">
        <is>
          <t>Find people</t>
        </is>
      </c>
      <c r="G397" s="20" t="n"/>
      <c r="H397" s="20" t="n"/>
      <c r="I397" s="20" t="n"/>
      <c r="J397" s="21" t="n"/>
      <c r="K397" s="20" t="n"/>
      <c r="L397" s="21" t="n"/>
      <c r="M397" s="20" t="n"/>
      <c r="N397" s="20" t="n"/>
    </row>
  </sheetData>
  <autoFilter ref="A1:N397"/>
  <dataValidations count="1">
    <dataValidation sqref="K2:K397 M2:M397" showDropDown="0" showInputMessage="0" showErrorMessage="0" allowBlank="1" type="list">
      <formula1>"Yes,No,Pending"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E6" r:id="rId9"/>
    <hyperlink xmlns:r="http://schemas.openxmlformats.org/officeDocument/2006/relationships" ref="F6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E8" r:id="rId13"/>
    <hyperlink xmlns:r="http://schemas.openxmlformats.org/officeDocument/2006/relationships" ref="F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E10" r:id="rId17"/>
    <hyperlink xmlns:r="http://schemas.openxmlformats.org/officeDocument/2006/relationships" ref="F10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E12" r:id="rId21"/>
    <hyperlink xmlns:r="http://schemas.openxmlformats.org/officeDocument/2006/relationships" ref="F12" r:id="rId22"/>
    <hyperlink xmlns:r="http://schemas.openxmlformats.org/officeDocument/2006/relationships" ref="E13" r:id="rId23"/>
    <hyperlink xmlns:r="http://schemas.openxmlformats.org/officeDocument/2006/relationships" ref="F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E15" r:id="rId27"/>
    <hyperlink xmlns:r="http://schemas.openxmlformats.org/officeDocument/2006/relationships" ref="F15" r:id="rId28"/>
    <hyperlink xmlns:r="http://schemas.openxmlformats.org/officeDocument/2006/relationships" ref="E16" r:id="rId29"/>
    <hyperlink xmlns:r="http://schemas.openxmlformats.org/officeDocument/2006/relationships" ref="F16" r:id="rId30"/>
    <hyperlink xmlns:r="http://schemas.openxmlformats.org/officeDocument/2006/relationships" ref="E17" r:id="rId31"/>
    <hyperlink xmlns:r="http://schemas.openxmlformats.org/officeDocument/2006/relationships" ref="F17" r:id="rId32"/>
    <hyperlink xmlns:r="http://schemas.openxmlformats.org/officeDocument/2006/relationships" ref="E18" r:id="rId33"/>
    <hyperlink xmlns:r="http://schemas.openxmlformats.org/officeDocument/2006/relationships" ref="F18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E20" r:id="rId37"/>
    <hyperlink xmlns:r="http://schemas.openxmlformats.org/officeDocument/2006/relationships" ref="F20" r:id="rId38"/>
    <hyperlink xmlns:r="http://schemas.openxmlformats.org/officeDocument/2006/relationships" ref="E21" r:id="rId39"/>
    <hyperlink xmlns:r="http://schemas.openxmlformats.org/officeDocument/2006/relationships" ref="F21" r:id="rId40"/>
    <hyperlink xmlns:r="http://schemas.openxmlformats.org/officeDocument/2006/relationships" ref="E22" r:id="rId41"/>
    <hyperlink xmlns:r="http://schemas.openxmlformats.org/officeDocument/2006/relationships" ref="F22" r:id="rId42"/>
    <hyperlink xmlns:r="http://schemas.openxmlformats.org/officeDocument/2006/relationships" ref="E23" r:id="rId43"/>
    <hyperlink xmlns:r="http://schemas.openxmlformats.org/officeDocument/2006/relationships" ref="F23" r:id="rId44"/>
    <hyperlink xmlns:r="http://schemas.openxmlformats.org/officeDocument/2006/relationships" ref="E24" r:id="rId45"/>
    <hyperlink xmlns:r="http://schemas.openxmlformats.org/officeDocument/2006/relationships" ref="F24" r:id="rId46"/>
    <hyperlink xmlns:r="http://schemas.openxmlformats.org/officeDocument/2006/relationships" ref="E25" r:id="rId47"/>
    <hyperlink xmlns:r="http://schemas.openxmlformats.org/officeDocument/2006/relationships" ref="F25" r:id="rId48"/>
    <hyperlink xmlns:r="http://schemas.openxmlformats.org/officeDocument/2006/relationships" ref="E26" r:id="rId49"/>
    <hyperlink xmlns:r="http://schemas.openxmlformats.org/officeDocument/2006/relationships" ref="F26" r:id="rId50"/>
    <hyperlink xmlns:r="http://schemas.openxmlformats.org/officeDocument/2006/relationships" ref="E27" r:id="rId51"/>
    <hyperlink xmlns:r="http://schemas.openxmlformats.org/officeDocument/2006/relationships" ref="F27" r:id="rId52"/>
    <hyperlink xmlns:r="http://schemas.openxmlformats.org/officeDocument/2006/relationships" ref="E28" r:id="rId53"/>
    <hyperlink xmlns:r="http://schemas.openxmlformats.org/officeDocument/2006/relationships" ref="F28" r:id="rId54"/>
    <hyperlink xmlns:r="http://schemas.openxmlformats.org/officeDocument/2006/relationships" ref="E29" r:id="rId55"/>
    <hyperlink xmlns:r="http://schemas.openxmlformats.org/officeDocument/2006/relationships" ref="F29" r:id="rId56"/>
    <hyperlink xmlns:r="http://schemas.openxmlformats.org/officeDocument/2006/relationships" ref="E30" r:id="rId57"/>
    <hyperlink xmlns:r="http://schemas.openxmlformats.org/officeDocument/2006/relationships" ref="F30" r:id="rId58"/>
    <hyperlink xmlns:r="http://schemas.openxmlformats.org/officeDocument/2006/relationships" ref="E31" r:id="rId59"/>
    <hyperlink xmlns:r="http://schemas.openxmlformats.org/officeDocument/2006/relationships" ref="F31" r:id="rId60"/>
    <hyperlink xmlns:r="http://schemas.openxmlformats.org/officeDocument/2006/relationships" ref="E32" r:id="rId61"/>
    <hyperlink xmlns:r="http://schemas.openxmlformats.org/officeDocument/2006/relationships" ref="F32" r:id="rId62"/>
    <hyperlink xmlns:r="http://schemas.openxmlformats.org/officeDocument/2006/relationships" ref="E33" r:id="rId63"/>
    <hyperlink xmlns:r="http://schemas.openxmlformats.org/officeDocument/2006/relationships" ref="F33" r:id="rId64"/>
    <hyperlink xmlns:r="http://schemas.openxmlformats.org/officeDocument/2006/relationships" ref="E34" r:id="rId65"/>
    <hyperlink xmlns:r="http://schemas.openxmlformats.org/officeDocument/2006/relationships" ref="F34" r:id="rId66"/>
    <hyperlink xmlns:r="http://schemas.openxmlformats.org/officeDocument/2006/relationships" ref="E35" r:id="rId67"/>
    <hyperlink xmlns:r="http://schemas.openxmlformats.org/officeDocument/2006/relationships" ref="F35" r:id="rId68"/>
    <hyperlink xmlns:r="http://schemas.openxmlformats.org/officeDocument/2006/relationships" ref="E36" r:id="rId69"/>
    <hyperlink xmlns:r="http://schemas.openxmlformats.org/officeDocument/2006/relationships" ref="F36" r:id="rId70"/>
    <hyperlink xmlns:r="http://schemas.openxmlformats.org/officeDocument/2006/relationships" ref="E37" r:id="rId71"/>
    <hyperlink xmlns:r="http://schemas.openxmlformats.org/officeDocument/2006/relationships" ref="F37" r:id="rId72"/>
    <hyperlink xmlns:r="http://schemas.openxmlformats.org/officeDocument/2006/relationships" ref="E38" r:id="rId73"/>
    <hyperlink xmlns:r="http://schemas.openxmlformats.org/officeDocument/2006/relationships" ref="F38" r:id="rId74"/>
    <hyperlink xmlns:r="http://schemas.openxmlformats.org/officeDocument/2006/relationships" ref="E39" r:id="rId75"/>
    <hyperlink xmlns:r="http://schemas.openxmlformats.org/officeDocument/2006/relationships" ref="F39" r:id="rId76"/>
    <hyperlink xmlns:r="http://schemas.openxmlformats.org/officeDocument/2006/relationships" ref="E40" r:id="rId77"/>
    <hyperlink xmlns:r="http://schemas.openxmlformats.org/officeDocument/2006/relationships" ref="F40" r:id="rId78"/>
    <hyperlink xmlns:r="http://schemas.openxmlformats.org/officeDocument/2006/relationships" ref="E41" r:id="rId79"/>
    <hyperlink xmlns:r="http://schemas.openxmlformats.org/officeDocument/2006/relationships" ref="F41" r:id="rId80"/>
    <hyperlink xmlns:r="http://schemas.openxmlformats.org/officeDocument/2006/relationships" ref="E42" r:id="rId81"/>
    <hyperlink xmlns:r="http://schemas.openxmlformats.org/officeDocument/2006/relationships" ref="F42" r:id="rId82"/>
    <hyperlink xmlns:r="http://schemas.openxmlformats.org/officeDocument/2006/relationships" ref="E43" r:id="rId83"/>
    <hyperlink xmlns:r="http://schemas.openxmlformats.org/officeDocument/2006/relationships" ref="F43" r:id="rId84"/>
    <hyperlink xmlns:r="http://schemas.openxmlformats.org/officeDocument/2006/relationships" ref="E44" r:id="rId85"/>
    <hyperlink xmlns:r="http://schemas.openxmlformats.org/officeDocument/2006/relationships" ref="F44" r:id="rId86"/>
    <hyperlink xmlns:r="http://schemas.openxmlformats.org/officeDocument/2006/relationships" ref="E45" r:id="rId87"/>
    <hyperlink xmlns:r="http://schemas.openxmlformats.org/officeDocument/2006/relationships" ref="F45" r:id="rId88"/>
    <hyperlink xmlns:r="http://schemas.openxmlformats.org/officeDocument/2006/relationships" ref="E46" r:id="rId89"/>
    <hyperlink xmlns:r="http://schemas.openxmlformats.org/officeDocument/2006/relationships" ref="F46" r:id="rId90"/>
    <hyperlink xmlns:r="http://schemas.openxmlformats.org/officeDocument/2006/relationships" ref="E47" r:id="rId91"/>
    <hyperlink xmlns:r="http://schemas.openxmlformats.org/officeDocument/2006/relationships" ref="F47" r:id="rId92"/>
    <hyperlink xmlns:r="http://schemas.openxmlformats.org/officeDocument/2006/relationships" ref="E48" r:id="rId93"/>
    <hyperlink xmlns:r="http://schemas.openxmlformats.org/officeDocument/2006/relationships" ref="F48" r:id="rId94"/>
    <hyperlink xmlns:r="http://schemas.openxmlformats.org/officeDocument/2006/relationships" ref="E49" r:id="rId95"/>
    <hyperlink xmlns:r="http://schemas.openxmlformats.org/officeDocument/2006/relationships" ref="F49" r:id="rId96"/>
    <hyperlink xmlns:r="http://schemas.openxmlformats.org/officeDocument/2006/relationships" ref="E50" r:id="rId97"/>
    <hyperlink xmlns:r="http://schemas.openxmlformats.org/officeDocument/2006/relationships" ref="F50" r:id="rId98"/>
    <hyperlink xmlns:r="http://schemas.openxmlformats.org/officeDocument/2006/relationships" ref="E51" r:id="rId99"/>
    <hyperlink xmlns:r="http://schemas.openxmlformats.org/officeDocument/2006/relationships" ref="F51" r:id="rId100"/>
    <hyperlink xmlns:r="http://schemas.openxmlformats.org/officeDocument/2006/relationships" ref="E52" r:id="rId101"/>
    <hyperlink xmlns:r="http://schemas.openxmlformats.org/officeDocument/2006/relationships" ref="F52" r:id="rId102"/>
    <hyperlink xmlns:r="http://schemas.openxmlformats.org/officeDocument/2006/relationships" ref="E53" r:id="rId103"/>
    <hyperlink xmlns:r="http://schemas.openxmlformats.org/officeDocument/2006/relationships" ref="F53" r:id="rId104"/>
    <hyperlink xmlns:r="http://schemas.openxmlformats.org/officeDocument/2006/relationships" ref="E54" r:id="rId105"/>
    <hyperlink xmlns:r="http://schemas.openxmlformats.org/officeDocument/2006/relationships" ref="F54" r:id="rId106"/>
    <hyperlink xmlns:r="http://schemas.openxmlformats.org/officeDocument/2006/relationships" ref="E55" r:id="rId107"/>
    <hyperlink xmlns:r="http://schemas.openxmlformats.org/officeDocument/2006/relationships" ref="F55" r:id="rId108"/>
    <hyperlink xmlns:r="http://schemas.openxmlformats.org/officeDocument/2006/relationships" ref="E56" r:id="rId109"/>
    <hyperlink xmlns:r="http://schemas.openxmlformats.org/officeDocument/2006/relationships" ref="F56" r:id="rId110"/>
    <hyperlink xmlns:r="http://schemas.openxmlformats.org/officeDocument/2006/relationships" ref="E57" r:id="rId111"/>
    <hyperlink xmlns:r="http://schemas.openxmlformats.org/officeDocument/2006/relationships" ref="F57" r:id="rId112"/>
    <hyperlink xmlns:r="http://schemas.openxmlformats.org/officeDocument/2006/relationships" ref="E58" r:id="rId113"/>
    <hyperlink xmlns:r="http://schemas.openxmlformats.org/officeDocument/2006/relationships" ref="F58" r:id="rId114"/>
    <hyperlink xmlns:r="http://schemas.openxmlformats.org/officeDocument/2006/relationships" ref="E59" r:id="rId115"/>
    <hyperlink xmlns:r="http://schemas.openxmlformats.org/officeDocument/2006/relationships" ref="F59" r:id="rId116"/>
    <hyperlink xmlns:r="http://schemas.openxmlformats.org/officeDocument/2006/relationships" ref="E60" r:id="rId117"/>
    <hyperlink xmlns:r="http://schemas.openxmlformats.org/officeDocument/2006/relationships" ref="F60" r:id="rId118"/>
    <hyperlink xmlns:r="http://schemas.openxmlformats.org/officeDocument/2006/relationships" ref="E61" r:id="rId119"/>
    <hyperlink xmlns:r="http://schemas.openxmlformats.org/officeDocument/2006/relationships" ref="F61" r:id="rId120"/>
    <hyperlink xmlns:r="http://schemas.openxmlformats.org/officeDocument/2006/relationships" ref="E62" r:id="rId121"/>
    <hyperlink xmlns:r="http://schemas.openxmlformats.org/officeDocument/2006/relationships" ref="F62" r:id="rId122"/>
    <hyperlink xmlns:r="http://schemas.openxmlformats.org/officeDocument/2006/relationships" ref="E63" r:id="rId123"/>
    <hyperlink xmlns:r="http://schemas.openxmlformats.org/officeDocument/2006/relationships" ref="F63" r:id="rId124"/>
    <hyperlink xmlns:r="http://schemas.openxmlformats.org/officeDocument/2006/relationships" ref="E64" r:id="rId125"/>
    <hyperlink xmlns:r="http://schemas.openxmlformats.org/officeDocument/2006/relationships" ref="F64" r:id="rId126"/>
    <hyperlink xmlns:r="http://schemas.openxmlformats.org/officeDocument/2006/relationships" ref="E65" r:id="rId127"/>
    <hyperlink xmlns:r="http://schemas.openxmlformats.org/officeDocument/2006/relationships" ref="F65" r:id="rId128"/>
    <hyperlink xmlns:r="http://schemas.openxmlformats.org/officeDocument/2006/relationships" ref="E66" r:id="rId129"/>
    <hyperlink xmlns:r="http://schemas.openxmlformats.org/officeDocument/2006/relationships" ref="F66" r:id="rId130"/>
    <hyperlink xmlns:r="http://schemas.openxmlformats.org/officeDocument/2006/relationships" ref="E67" r:id="rId131"/>
    <hyperlink xmlns:r="http://schemas.openxmlformats.org/officeDocument/2006/relationships" ref="F67" r:id="rId132"/>
    <hyperlink xmlns:r="http://schemas.openxmlformats.org/officeDocument/2006/relationships" ref="E68" r:id="rId133"/>
    <hyperlink xmlns:r="http://schemas.openxmlformats.org/officeDocument/2006/relationships" ref="F68" r:id="rId134"/>
    <hyperlink xmlns:r="http://schemas.openxmlformats.org/officeDocument/2006/relationships" ref="E69" r:id="rId135"/>
    <hyperlink xmlns:r="http://schemas.openxmlformats.org/officeDocument/2006/relationships" ref="F69" r:id="rId136"/>
    <hyperlink xmlns:r="http://schemas.openxmlformats.org/officeDocument/2006/relationships" ref="E70" r:id="rId137"/>
    <hyperlink xmlns:r="http://schemas.openxmlformats.org/officeDocument/2006/relationships" ref="F70" r:id="rId138"/>
    <hyperlink xmlns:r="http://schemas.openxmlformats.org/officeDocument/2006/relationships" ref="E71" r:id="rId139"/>
    <hyperlink xmlns:r="http://schemas.openxmlformats.org/officeDocument/2006/relationships" ref="F71" r:id="rId140"/>
    <hyperlink xmlns:r="http://schemas.openxmlformats.org/officeDocument/2006/relationships" ref="E72" r:id="rId141"/>
    <hyperlink xmlns:r="http://schemas.openxmlformats.org/officeDocument/2006/relationships" ref="F72" r:id="rId142"/>
    <hyperlink xmlns:r="http://schemas.openxmlformats.org/officeDocument/2006/relationships" ref="E73" r:id="rId143"/>
    <hyperlink xmlns:r="http://schemas.openxmlformats.org/officeDocument/2006/relationships" ref="F73" r:id="rId144"/>
    <hyperlink xmlns:r="http://schemas.openxmlformats.org/officeDocument/2006/relationships" ref="E74" r:id="rId145"/>
    <hyperlink xmlns:r="http://schemas.openxmlformats.org/officeDocument/2006/relationships" ref="F74" r:id="rId146"/>
    <hyperlink xmlns:r="http://schemas.openxmlformats.org/officeDocument/2006/relationships" ref="E75" r:id="rId147"/>
    <hyperlink xmlns:r="http://schemas.openxmlformats.org/officeDocument/2006/relationships" ref="F75" r:id="rId148"/>
    <hyperlink xmlns:r="http://schemas.openxmlformats.org/officeDocument/2006/relationships" ref="E76" r:id="rId149"/>
    <hyperlink xmlns:r="http://schemas.openxmlformats.org/officeDocument/2006/relationships" ref="F76" r:id="rId150"/>
    <hyperlink xmlns:r="http://schemas.openxmlformats.org/officeDocument/2006/relationships" ref="E77" r:id="rId151"/>
    <hyperlink xmlns:r="http://schemas.openxmlformats.org/officeDocument/2006/relationships" ref="F77" r:id="rId152"/>
    <hyperlink xmlns:r="http://schemas.openxmlformats.org/officeDocument/2006/relationships" ref="E78" r:id="rId153"/>
    <hyperlink xmlns:r="http://schemas.openxmlformats.org/officeDocument/2006/relationships" ref="F78" r:id="rId154"/>
    <hyperlink xmlns:r="http://schemas.openxmlformats.org/officeDocument/2006/relationships" ref="E79" r:id="rId155"/>
    <hyperlink xmlns:r="http://schemas.openxmlformats.org/officeDocument/2006/relationships" ref="F79" r:id="rId156"/>
    <hyperlink xmlns:r="http://schemas.openxmlformats.org/officeDocument/2006/relationships" ref="E80" r:id="rId157"/>
    <hyperlink xmlns:r="http://schemas.openxmlformats.org/officeDocument/2006/relationships" ref="F80" r:id="rId158"/>
    <hyperlink xmlns:r="http://schemas.openxmlformats.org/officeDocument/2006/relationships" ref="E81" r:id="rId159"/>
    <hyperlink xmlns:r="http://schemas.openxmlformats.org/officeDocument/2006/relationships" ref="F81" r:id="rId160"/>
    <hyperlink xmlns:r="http://schemas.openxmlformats.org/officeDocument/2006/relationships" ref="E82" r:id="rId161"/>
    <hyperlink xmlns:r="http://schemas.openxmlformats.org/officeDocument/2006/relationships" ref="F82" r:id="rId162"/>
    <hyperlink xmlns:r="http://schemas.openxmlformats.org/officeDocument/2006/relationships" ref="E83" r:id="rId163"/>
    <hyperlink xmlns:r="http://schemas.openxmlformats.org/officeDocument/2006/relationships" ref="F83" r:id="rId164"/>
    <hyperlink xmlns:r="http://schemas.openxmlformats.org/officeDocument/2006/relationships" ref="E84" r:id="rId165"/>
    <hyperlink xmlns:r="http://schemas.openxmlformats.org/officeDocument/2006/relationships" ref="F84" r:id="rId166"/>
    <hyperlink xmlns:r="http://schemas.openxmlformats.org/officeDocument/2006/relationships" ref="E85" r:id="rId167"/>
    <hyperlink xmlns:r="http://schemas.openxmlformats.org/officeDocument/2006/relationships" ref="F85" r:id="rId168"/>
    <hyperlink xmlns:r="http://schemas.openxmlformats.org/officeDocument/2006/relationships" ref="E86" r:id="rId169"/>
    <hyperlink xmlns:r="http://schemas.openxmlformats.org/officeDocument/2006/relationships" ref="F86" r:id="rId170"/>
    <hyperlink xmlns:r="http://schemas.openxmlformats.org/officeDocument/2006/relationships" ref="E87" r:id="rId171"/>
    <hyperlink xmlns:r="http://schemas.openxmlformats.org/officeDocument/2006/relationships" ref="F87" r:id="rId172"/>
    <hyperlink xmlns:r="http://schemas.openxmlformats.org/officeDocument/2006/relationships" ref="E88" r:id="rId173"/>
    <hyperlink xmlns:r="http://schemas.openxmlformats.org/officeDocument/2006/relationships" ref="F88" r:id="rId174"/>
    <hyperlink xmlns:r="http://schemas.openxmlformats.org/officeDocument/2006/relationships" ref="E89" r:id="rId175"/>
    <hyperlink xmlns:r="http://schemas.openxmlformats.org/officeDocument/2006/relationships" ref="F89" r:id="rId176"/>
    <hyperlink xmlns:r="http://schemas.openxmlformats.org/officeDocument/2006/relationships" ref="E90" r:id="rId177"/>
    <hyperlink xmlns:r="http://schemas.openxmlformats.org/officeDocument/2006/relationships" ref="F90" r:id="rId178"/>
    <hyperlink xmlns:r="http://schemas.openxmlformats.org/officeDocument/2006/relationships" ref="E91" r:id="rId179"/>
    <hyperlink xmlns:r="http://schemas.openxmlformats.org/officeDocument/2006/relationships" ref="F91" r:id="rId180"/>
    <hyperlink xmlns:r="http://schemas.openxmlformats.org/officeDocument/2006/relationships" ref="E92" r:id="rId181"/>
    <hyperlink xmlns:r="http://schemas.openxmlformats.org/officeDocument/2006/relationships" ref="F92" r:id="rId182"/>
    <hyperlink xmlns:r="http://schemas.openxmlformats.org/officeDocument/2006/relationships" ref="E93" r:id="rId183"/>
    <hyperlink xmlns:r="http://schemas.openxmlformats.org/officeDocument/2006/relationships" ref="F93" r:id="rId184"/>
    <hyperlink xmlns:r="http://schemas.openxmlformats.org/officeDocument/2006/relationships" ref="E94" r:id="rId185"/>
    <hyperlink xmlns:r="http://schemas.openxmlformats.org/officeDocument/2006/relationships" ref="F94" r:id="rId186"/>
    <hyperlink xmlns:r="http://schemas.openxmlformats.org/officeDocument/2006/relationships" ref="E95" r:id="rId187"/>
    <hyperlink xmlns:r="http://schemas.openxmlformats.org/officeDocument/2006/relationships" ref="F95" r:id="rId188"/>
    <hyperlink xmlns:r="http://schemas.openxmlformats.org/officeDocument/2006/relationships" ref="E96" r:id="rId189"/>
    <hyperlink xmlns:r="http://schemas.openxmlformats.org/officeDocument/2006/relationships" ref="F96" r:id="rId190"/>
    <hyperlink xmlns:r="http://schemas.openxmlformats.org/officeDocument/2006/relationships" ref="E97" r:id="rId191"/>
    <hyperlink xmlns:r="http://schemas.openxmlformats.org/officeDocument/2006/relationships" ref="F97" r:id="rId192"/>
    <hyperlink xmlns:r="http://schemas.openxmlformats.org/officeDocument/2006/relationships" ref="E98" r:id="rId193"/>
    <hyperlink xmlns:r="http://schemas.openxmlformats.org/officeDocument/2006/relationships" ref="F98" r:id="rId194"/>
    <hyperlink xmlns:r="http://schemas.openxmlformats.org/officeDocument/2006/relationships" ref="E99" r:id="rId195"/>
    <hyperlink xmlns:r="http://schemas.openxmlformats.org/officeDocument/2006/relationships" ref="F99" r:id="rId196"/>
    <hyperlink xmlns:r="http://schemas.openxmlformats.org/officeDocument/2006/relationships" ref="E100" r:id="rId197"/>
    <hyperlink xmlns:r="http://schemas.openxmlformats.org/officeDocument/2006/relationships" ref="F100" r:id="rId198"/>
    <hyperlink xmlns:r="http://schemas.openxmlformats.org/officeDocument/2006/relationships" ref="E101" r:id="rId199"/>
    <hyperlink xmlns:r="http://schemas.openxmlformats.org/officeDocument/2006/relationships" ref="F101" r:id="rId200"/>
    <hyperlink xmlns:r="http://schemas.openxmlformats.org/officeDocument/2006/relationships" ref="E102" r:id="rId201"/>
    <hyperlink xmlns:r="http://schemas.openxmlformats.org/officeDocument/2006/relationships" ref="F102" r:id="rId202"/>
    <hyperlink xmlns:r="http://schemas.openxmlformats.org/officeDocument/2006/relationships" ref="E103" r:id="rId203"/>
    <hyperlink xmlns:r="http://schemas.openxmlformats.org/officeDocument/2006/relationships" ref="F103" r:id="rId204"/>
    <hyperlink xmlns:r="http://schemas.openxmlformats.org/officeDocument/2006/relationships" ref="E104" r:id="rId205"/>
    <hyperlink xmlns:r="http://schemas.openxmlformats.org/officeDocument/2006/relationships" ref="F104" r:id="rId206"/>
    <hyperlink xmlns:r="http://schemas.openxmlformats.org/officeDocument/2006/relationships" ref="E105" r:id="rId207"/>
    <hyperlink xmlns:r="http://schemas.openxmlformats.org/officeDocument/2006/relationships" ref="F105" r:id="rId208"/>
    <hyperlink xmlns:r="http://schemas.openxmlformats.org/officeDocument/2006/relationships" ref="E106" r:id="rId209"/>
    <hyperlink xmlns:r="http://schemas.openxmlformats.org/officeDocument/2006/relationships" ref="F106" r:id="rId210"/>
    <hyperlink xmlns:r="http://schemas.openxmlformats.org/officeDocument/2006/relationships" ref="E107" r:id="rId211"/>
    <hyperlink xmlns:r="http://schemas.openxmlformats.org/officeDocument/2006/relationships" ref="F107" r:id="rId212"/>
    <hyperlink xmlns:r="http://schemas.openxmlformats.org/officeDocument/2006/relationships" ref="E108" r:id="rId213"/>
    <hyperlink xmlns:r="http://schemas.openxmlformats.org/officeDocument/2006/relationships" ref="F108" r:id="rId214"/>
    <hyperlink xmlns:r="http://schemas.openxmlformats.org/officeDocument/2006/relationships" ref="E109" r:id="rId215"/>
    <hyperlink xmlns:r="http://schemas.openxmlformats.org/officeDocument/2006/relationships" ref="F109" r:id="rId216"/>
    <hyperlink xmlns:r="http://schemas.openxmlformats.org/officeDocument/2006/relationships" ref="E110" r:id="rId217"/>
    <hyperlink xmlns:r="http://schemas.openxmlformats.org/officeDocument/2006/relationships" ref="F110" r:id="rId218"/>
    <hyperlink xmlns:r="http://schemas.openxmlformats.org/officeDocument/2006/relationships" ref="E111" r:id="rId219"/>
    <hyperlink xmlns:r="http://schemas.openxmlformats.org/officeDocument/2006/relationships" ref="F111" r:id="rId220"/>
    <hyperlink xmlns:r="http://schemas.openxmlformats.org/officeDocument/2006/relationships" ref="E112" r:id="rId221"/>
    <hyperlink xmlns:r="http://schemas.openxmlformats.org/officeDocument/2006/relationships" ref="F112" r:id="rId222"/>
    <hyperlink xmlns:r="http://schemas.openxmlformats.org/officeDocument/2006/relationships" ref="E113" r:id="rId223"/>
    <hyperlink xmlns:r="http://schemas.openxmlformats.org/officeDocument/2006/relationships" ref="F113" r:id="rId224"/>
    <hyperlink xmlns:r="http://schemas.openxmlformats.org/officeDocument/2006/relationships" ref="E114" r:id="rId225"/>
    <hyperlink xmlns:r="http://schemas.openxmlformats.org/officeDocument/2006/relationships" ref="F114" r:id="rId226"/>
    <hyperlink xmlns:r="http://schemas.openxmlformats.org/officeDocument/2006/relationships" ref="E115" r:id="rId227"/>
    <hyperlink xmlns:r="http://schemas.openxmlformats.org/officeDocument/2006/relationships" ref="F115" r:id="rId228"/>
    <hyperlink xmlns:r="http://schemas.openxmlformats.org/officeDocument/2006/relationships" ref="E116" r:id="rId229"/>
    <hyperlink xmlns:r="http://schemas.openxmlformats.org/officeDocument/2006/relationships" ref="F116" r:id="rId230"/>
    <hyperlink xmlns:r="http://schemas.openxmlformats.org/officeDocument/2006/relationships" ref="E117" r:id="rId231"/>
    <hyperlink xmlns:r="http://schemas.openxmlformats.org/officeDocument/2006/relationships" ref="F117" r:id="rId232"/>
    <hyperlink xmlns:r="http://schemas.openxmlformats.org/officeDocument/2006/relationships" ref="E118" r:id="rId233"/>
    <hyperlink xmlns:r="http://schemas.openxmlformats.org/officeDocument/2006/relationships" ref="F118" r:id="rId234"/>
    <hyperlink xmlns:r="http://schemas.openxmlformats.org/officeDocument/2006/relationships" ref="E119" r:id="rId235"/>
    <hyperlink xmlns:r="http://schemas.openxmlformats.org/officeDocument/2006/relationships" ref="F119" r:id="rId236"/>
    <hyperlink xmlns:r="http://schemas.openxmlformats.org/officeDocument/2006/relationships" ref="E120" r:id="rId237"/>
    <hyperlink xmlns:r="http://schemas.openxmlformats.org/officeDocument/2006/relationships" ref="F120" r:id="rId238"/>
    <hyperlink xmlns:r="http://schemas.openxmlformats.org/officeDocument/2006/relationships" ref="E121" r:id="rId239"/>
    <hyperlink xmlns:r="http://schemas.openxmlformats.org/officeDocument/2006/relationships" ref="F121" r:id="rId240"/>
    <hyperlink xmlns:r="http://schemas.openxmlformats.org/officeDocument/2006/relationships" ref="E122" r:id="rId241"/>
    <hyperlink xmlns:r="http://schemas.openxmlformats.org/officeDocument/2006/relationships" ref="F122" r:id="rId242"/>
    <hyperlink xmlns:r="http://schemas.openxmlformats.org/officeDocument/2006/relationships" ref="E123" r:id="rId243"/>
    <hyperlink xmlns:r="http://schemas.openxmlformats.org/officeDocument/2006/relationships" ref="F123" r:id="rId244"/>
    <hyperlink xmlns:r="http://schemas.openxmlformats.org/officeDocument/2006/relationships" ref="E124" r:id="rId245"/>
    <hyperlink xmlns:r="http://schemas.openxmlformats.org/officeDocument/2006/relationships" ref="F124" r:id="rId246"/>
    <hyperlink xmlns:r="http://schemas.openxmlformats.org/officeDocument/2006/relationships" ref="E125" r:id="rId247"/>
    <hyperlink xmlns:r="http://schemas.openxmlformats.org/officeDocument/2006/relationships" ref="F125" r:id="rId248"/>
    <hyperlink xmlns:r="http://schemas.openxmlformats.org/officeDocument/2006/relationships" ref="E126" r:id="rId249"/>
    <hyperlink xmlns:r="http://schemas.openxmlformats.org/officeDocument/2006/relationships" ref="F126" r:id="rId250"/>
    <hyperlink xmlns:r="http://schemas.openxmlformats.org/officeDocument/2006/relationships" ref="E127" r:id="rId251"/>
    <hyperlink xmlns:r="http://schemas.openxmlformats.org/officeDocument/2006/relationships" ref="F127" r:id="rId252"/>
    <hyperlink xmlns:r="http://schemas.openxmlformats.org/officeDocument/2006/relationships" ref="E128" r:id="rId253"/>
    <hyperlink xmlns:r="http://schemas.openxmlformats.org/officeDocument/2006/relationships" ref="F128" r:id="rId254"/>
    <hyperlink xmlns:r="http://schemas.openxmlformats.org/officeDocument/2006/relationships" ref="E129" r:id="rId255"/>
    <hyperlink xmlns:r="http://schemas.openxmlformats.org/officeDocument/2006/relationships" ref="F129" r:id="rId256"/>
    <hyperlink xmlns:r="http://schemas.openxmlformats.org/officeDocument/2006/relationships" ref="E130" r:id="rId257"/>
    <hyperlink xmlns:r="http://schemas.openxmlformats.org/officeDocument/2006/relationships" ref="F130" r:id="rId258"/>
    <hyperlink xmlns:r="http://schemas.openxmlformats.org/officeDocument/2006/relationships" ref="E131" r:id="rId259"/>
    <hyperlink xmlns:r="http://schemas.openxmlformats.org/officeDocument/2006/relationships" ref="F131" r:id="rId260"/>
    <hyperlink xmlns:r="http://schemas.openxmlformats.org/officeDocument/2006/relationships" ref="E132" r:id="rId261"/>
    <hyperlink xmlns:r="http://schemas.openxmlformats.org/officeDocument/2006/relationships" ref="F132" r:id="rId262"/>
    <hyperlink xmlns:r="http://schemas.openxmlformats.org/officeDocument/2006/relationships" ref="E133" r:id="rId263"/>
    <hyperlink xmlns:r="http://schemas.openxmlformats.org/officeDocument/2006/relationships" ref="F133" r:id="rId264"/>
    <hyperlink xmlns:r="http://schemas.openxmlformats.org/officeDocument/2006/relationships" ref="E134" r:id="rId265"/>
    <hyperlink xmlns:r="http://schemas.openxmlformats.org/officeDocument/2006/relationships" ref="F134" r:id="rId266"/>
    <hyperlink xmlns:r="http://schemas.openxmlformats.org/officeDocument/2006/relationships" ref="E135" r:id="rId267"/>
    <hyperlink xmlns:r="http://schemas.openxmlformats.org/officeDocument/2006/relationships" ref="F135" r:id="rId268"/>
    <hyperlink xmlns:r="http://schemas.openxmlformats.org/officeDocument/2006/relationships" ref="E136" r:id="rId269"/>
    <hyperlink xmlns:r="http://schemas.openxmlformats.org/officeDocument/2006/relationships" ref="F136" r:id="rId270"/>
    <hyperlink xmlns:r="http://schemas.openxmlformats.org/officeDocument/2006/relationships" ref="E137" r:id="rId271"/>
    <hyperlink xmlns:r="http://schemas.openxmlformats.org/officeDocument/2006/relationships" ref="F137" r:id="rId272"/>
    <hyperlink xmlns:r="http://schemas.openxmlformats.org/officeDocument/2006/relationships" ref="E138" r:id="rId273"/>
    <hyperlink xmlns:r="http://schemas.openxmlformats.org/officeDocument/2006/relationships" ref="F138" r:id="rId274"/>
    <hyperlink xmlns:r="http://schemas.openxmlformats.org/officeDocument/2006/relationships" ref="E139" r:id="rId275"/>
    <hyperlink xmlns:r="http://schemas.openxmlformats.org/officeDocument/2006/relationships" ref="F139" r:id="rId276"/>
    <hyperlink xmlns:r="http://schemas.openxmlformats.org/officeDocument/2006/relationships" ref="E140" r:id="rId277"/>
    <hyperlink xmlns:r="http://schemas.openxmlformats.org/officeDocument/2006/relationships" ref="F140" r:id="rId278"/>
    <hyperlink xmlns:r="http://schemas.openxmlformats.org/officeDocument/2006/relationships" ref="E141" r:id="rId279"/>
    <hyperlink xmlns:r="http://schemas.openxmlformats.org/officeDocument/2006/relationships" ref="F141" r:id="rId280"/>
    <hyperlink xmlns:r="http://schemas.openxmlformats.org/officeDocument/2006/relationships" ref="E142" r:id="rId281"/>
    <hyperlink xmlns:r="http://schemas.openxmlformats.org/officeDocument/2006/relationships" ref="F142" r:id="rId282"/>
    <hyperlink xmlns:r="http://schemas.openxmlformats.org/officeDocument/2006/relationships" ref="E143" r:id="rId283"/>
    <hyperlink xmlns:r="http://schemas.openxmlformats.org/officeDocument/2006/relationships" ref="F143" r:id="rId284"/>
    <hyperlink xmlns:r="http://schemas.openxmlformats.org/officeDocument/2006/relationships" ref="E144" r:id="rId285"/>
    <hyperlink xmlns:r="http://schemas.openxmlformats.org/officeDocument/2006/relationships" ref="F144" r:id="rId286"/>
    <hyperlink xmlns:r="http://schemas.openxmlformats.org/officeDocument/2006/relationships" ref="E145" r:id="rId287"/>
    <hyperlink xmlns:r="http://schemas.openxmlformats.org/officeDocument/2006/relationships" ref="F145" r:id="rId288"/>
    <hyperlink xmlns:r="http://schemas.openxmlformats.org/officeDocument/2006/relationships" ref="E146" r:id="rId289"/>
    <hyperlink xmlns:r="http://schemas.openxmlformats.org/officeDocument/2006/relationships" ref="F146" r:id="rId290"/>
    <hyperlink xmlns:r="http://schemas.openxmlformats.org/officeDocument/2006/relationships" ref="E147" r:id="rId291"/>
    <hyperlink xmlns:r="http://schemas.openxmlformats.org/officeDocument/2006/relationships" ref="F147" r:id="rId292"/>
    <hyperlink xmlns:r="http://schemas.openxmlformats.org/officeDocument/2006/relationships" ref="E148" r:id="rId293"/>
    <hyperlink xmlns:r="http://schemas.openxmlformats.org/officeDocument/2006/relationships" ref="F148" r:id="rId294"/>
    <hyperlink xmlns:r="http://schemas.openxmlformats.org/officeDocument/2006/relationships" ref="E149" r:id="rId295"/>
    <hyperlink xmlns:r="http://schemas.openxmlformats.org/officeDocument/2006/relationships" ref="F149" r:id="rId296"/>
    <hyperlink xmlns:r="http://schemas.openxmlformats.org/officeDocument/2006/relationships" ref="E150" r:id="rId297"/>
    <hyperlink xmlns:r="http://schemas.openxmlformats.org/officeDocument/2006/relationships" ref="F150" r:id="rId298"/>
    <hyperlink xmlns:r="http://schemas.openxmlformats.org/officeDocument/2006/relationships" ref="E151" r:id="rId299"/>
    <hyperlink xmlns:r="http://schemas.openxmlformats.org/officeDocument/2006/relationships" ref="F151" r:id="rId300"/>
    <hyperlink xmlns:r="http://schemas.openxmlformats.org/officeDocument/2006/relationships" ref="E152" r:id="rId301"/>
    <hyperlink xmlns:r="http://schemas.openxmlformats.org/officeDocument/2006/relationships" ref="F152" r:id="rId302"/>
    <hyperlink xmlns:r="http://schemas.openxmlformats.org/officeDocument/2006/relationships" ref="E153" r:id="rId303"/>
    <hyperlink xmlns:r="http://schemas.openxmlformats.org/officeDocument/2006/relationships" ref="F153" r:id="rId304"/>
    <hyperlink xmlns:r="http://schemas.openxmlformats.org/officeDocument/2006/relationships" ref="E154" r:id="rId305"/>
    <hyperlink xmlns:r="http://schemas.openxmlformats.org/officeDocument/2006/relationships" ref="F154" r:id="rId306"/>
    <hyperlink xmlns:r="http://schemas.openxmlformats.org/officeDocument/2006/relationships" ref="E155" r:id="rId307"/>
    <hyperlink xmlns:r="http://schemas.openxmlformats.org/officeDocument/2006/relationships" ref="F155" r:id="rId308"/>
    <hyperlink xmlns:r="http://schemas.openxmlformats.org/officeDocument/2006/relationships" ref="E156" r:id="rId309"/>
    <hyperlink xmlns:r="http://schemas.openxmlformats.org/officeDocument/2006/relationships" ref="F156" r:id="rId310"/>
    <hyperlink xmlns:r="http://schemas.openxmlformats.org/officeDocument/2006/relationships" ref="E157" r:id="rId311"/>
    <hyperlink xmlns:r="http://schemas.openxmlformats.org/officeDocument/2006/relationships" ref="F157" r:id="rId312"/>
    <hyperlink xmlns:r="http://schemas.openxmlformats.org/officeDocument/2006/relationships" ref="E158" r:id="rId313"/>
    <hyperlink xmlns:r="http://schemas.openxmlformats.org/officeDocument/2006/relationships" ref="F158" r:id="rId314"/>
    <hyperlink xmlns:r="http://schemas.openxmlformats.org/officeDocument/2006/relationships" ref="E159" r:id="rId315"/>
    <hyperlink xmlns:r="http://schemas.openxmlformats.org/officeDocument/2006/relationships" ref="F159" r:id="rId316"/>
    <hyperlink xmlns:r="http://schemas.openxmlformats.org/officeDocument/2006/relationships" ref="E160" r:id="rId317"/>
    <hyperlink xmlns:r="http://schemas.openxmlformats.org/officeDocument/2006/relationships" ref="F160" r:id="rId318"/>
    <hyperlink xmlns:r="http://schemas.openxmlformats.org/officeDocument/2006/relationships" ref="E161" r:id="rId319"/>
    <hyperlink xmlns:r="http://schemas.openxmlformats.org/officeDocument/2006/relationships" ref="F161" r:id="rId320"/>
    <hyperlink xmlns:r="http://schemas.openxmlformats.org/officeDocument/2006/relationships" ref="E162" r:id="rId321"/>
    <hyperlink xmlns:r="http://schemas.openxmlformats.org/officeDocument/2006/relationships" ref="F162" r:id="rId322"/>
    <hyperlink xmlns:r="http://schemas.openxmlformats.org/officeDocument/2006/relationships" ref="E163" r:id="rId323"/>
    <hyperlink xmlns:r="http://schemas.openxmlformats.org/officeDocument/2006/relationships" ref="F163" r:id="rId324"/>
    <hyperlink xmlns:r="http://schemas.openxmlformats.org/officeDocument/2006/relationships" ref="E164" r:id="rId325"/>
    <hyperlink xmlns:r="http://schemas.openxmlformats.org/officeDocument/2006/relationships" ref="F164" r:id="rId326"/>
    <hyperlink xmlns:r="http://schemas.openxmlformats.org/officeDocument/2006/relationships" ref="E165" r:id="rId327"/>
    <hyperlink xmlns:r="http://schemas.openxmlformats.org/officeDocument/2006/relationships" ref="F165" r:id="rId328"/>
    <hyperlink xmlns:r="http://schemas.openxmlformats.org/officeDocument/2006/relationships" ref="E166" r:id="rId329"/>
    <hyperlink xmlns:r="http://schemas.openxmlformats.org/officeDocument/2006/relationships" ref="F166" r:id="rId330"/>
    <hyperlink xmlns:r="http://schemas.openxmlformats.org/officeDocument/2006/relationships" ref="E167" r:id="rId331"/>
    <hyperlink xmlns:r="http://schemas.openxmlformats.org/officeDocument/2006/relationships" ref="F167" r:id="rId332"/>
    <hyperlink xmlns:r="http://schemas.openxmlformats.org/officeDocument/2006/relationships" ref="E168" r:id="rId333"/>
    <hyperlink xmlns:r="http://schemas.openxmlformats.org/officeDocument/2006/relationships" ref="F168" r:id="rId334"/>
    <hyperlink xmlns:r="http://schemas.openxmlformats.org/officeDocument/2006/relationships" ref="E169" r:id="rId335"/>
    <hyperlink xmlns:r="http://schemas.openxmlformats.org/officeDocument/2006/relationships" ref="F169" r:id="rId336"/>
    <hyperlink xmlns:r="http://schemas.openxmlformats.org/officeDocument/2006/relationships" ref="E170" r:id="rId337"/>
    <hyperlink xmlns:r="http://schemas.openxmlformats.org/officeDocument/2006/relationships" ref="F170" r:id="rId338"/>
    <hyperlink xmlns:r="http://schemas.openxmlformats.org/officeDocument/2006/relationships" ref="E171" r:id="rId339"/>
    <hyperlink xmlns:r="http://schemas.openxmlformats.org/officeDocument/2006/relationships" ref="F171" r:id="rId340"/>
    <hyperlink xmlns:r="http://schemas.openxmlformats.org/officeDocument/2006/relationships" ref="E172" r:id="rId341"/>
    <hyperlink xmlns:r="http://schemas.openxmlformats.org/officeDocument/2006/relationships" ref="F172" r:id="rId342"/>
    <hyperlink xmlns:r="http://schemas.openxmlformats.org/officeDocument/2006/relationships" ref="E173" r:id="rId343"/>
    <hyperlink xmlns:r="http://schemas.openxmlformats.org/officeDocument/2006/relationships" ref="F173" r:id="rId344"/>
    <hyperlink xmlns:r="http://schemas.openxmlformats.org/officeDocument/2006/relationships" ref="E174" r:id="rId345"/>
    <hyperlink xmlns:r="http://schemas.openxmlformats.org/officeDocument/2006/relationships" ref="F174" r:id="rId346"/>
    <hyperlink xmlns:r="http://schemas.openxmlformats.org/officeDocument/2006/relationships" ref="E175" r:id="rId347"/>
    <hyperlink xmlns:r="http://schemas.openxmlformats.org/officeDocument/2006/relationships" ref="F175" r:id="rId348"/>
    <hyperlink xmlns:r="http://schemas.openxmlformats.org/officeDocument/2006/relationships" ref="E176" r:id="rId349"/>
    <hyperlink xmlns:r="http://schemas.openxmlformats.org/officeDocument/2006/relationships" ref="F176" r:id="rId350"/>
    <hyperlink xmlns:r="http://schemas.openxmlformats.org/officeDocument/2006/relationships" ref="E177" r:id="rId351"/>
    <hyperlink xmlns:r="http://schemas.openxmlformats.org/officeDocument/2006/relationships" ref="F177" r:id="rId352"/>
    <hyperlink xmlns:r="http://schemas.openxmlformats.org/officeDocument/2006/relationships" ref="E178" r:id="rId353"/>
    <hyperlink xmlns:r="http://schemas.openxmlformats.org/officeDocument/2006/relationships" ref="F178" r:id="rId354"/>
    <hyperlink xmlns:r="http://schemas.openxmlformats.org/officeDocument/2006/relationships" ref="E179" r:id="rId355"/>
    <hyperlink xmlns:r="http://schemas.openxmlformats.org/officeDocument/2006/relationships" ref="F179" r:id="rId356"/>
    <hyperlink xmlns:r="http://schemas.openxmlformats.org/officeDocument/2006/relationships" ref="E180" r:id="rId357"/>
    <hyperlink xmlns:r="http://schemas.openxmlformats.org/officeDocument/2006/relationships" ref="F180" r:id="rId358"/>
    <hyperlink xmlns:r="http://schemas.openxmlformats.org/officeDocument/2006/relationships" ref="E181" r:id="rId359"/>
    <hyperlink xmlns:r="http://schemas.openxmlformats.org/officeDocument/2006/relationships" ref="F181" r:id="rId360"/>
    <hyperlink xmlns:r="http://schemas.openxmlformats.org/officeDocument/2006/relationships" ref="E182" r:id="rId361"/>
    <hyperlink xmlns:r="http://schemas.openxmlformats.org/officeDocument/2006/relationships" ref="F182" r:id="rId362"/>
    <hyperlink xmlns:r="http://schemas.openxmlformats.org/officeDocument/2006/relationships" ref="E183" r:id="rId363"/>
    <hyperlink xmlns:r="http://schemas.openxmlformats.org/officeDocument/2006/relationships" ref="F183" r:id="rId364"/>
    <hyperlink xmlns:r="http://schemas.openxmlformats.org/officeDocument/2006/relationships" ref="E184" r:id="rId365"/>
    <hyperlink xmlns:r="http://schemas.openxmlformats.org/officeDocument/2006/relationships" ref="F184" r:id="rId366"/>
    <hyperlink xmlns:r="http://schemas.openxmlformats.org/officeDocument/2006/relationships" ref="E185" r:id="rId367"/>
    <hyperlink xmlns:r="http://schemas.openxmlformats.org/officeDocument/2006/relationships" ref="F185" r:id="rId368"/>
    <hyperlink xmlns:r="http://schemas.openxmlformats.org/officeDocument/2006/relationships" ref="E186" r:id="rId369"/>
    <hyperlink xmlns:r="http://schemas.openxmlformats.org/officeDocument/2006/relationships" ref="F186" r:id="rId370"/>
    <hyperlink xmlns:r="http://schemas.openxmlformats.org/officeDocument/2006/relationships" ref="E187" r:id="rId371"/>
    <hyperlink xmlns:r="http://schemas.openxmlformats.org/officeDocument/2006/relationships" ref="F187" r:id="rId372"/>
    <hyperlink xmlns:r="http://schemas.openxmlformats.org/officeDocument/2006/relationships" ref="E188" r:id="rId373"/>
    <hyperlink xmlns:r="http://schemas.openxmlformats.org/officeDocument/2006/relationships" ref="F188" r:id="rId374"/>
    <hyperlink xmlns:r="http://schemas.openxmlformats.org/officeDocument/2006/relationships" ref="E189" r:id="rId375"/>
    <hyperlink xmlns:r="http://schemas.openxmlformats.org/officeDocument/2006/relationships" ref="F189" r:id="rId376"/>
    <hyperlink xmlns:r="http://schemas.openxmlformats.org/officeDocument/2006/relationships" ref="E190" r:id="rId377"/>
    <hyperlink xmlns:r="http://schemas.openxmlformats.org/officeDocument/2006/relationships" ref="F190" r:id="rId378"/>
    <hyperlink xmlns:r="http://schemas.openxmlformats.org/officeDocument/2006/relationships" ref="E191" r:id="rId379"/>
    <hyperlink xmlns:r="http://schemas.openxmlformats.org/officeDocument/2006/relationships" ref="F191" r:id="rId380"/>
    <hyperlink xmlns:r="http://schemas.openxmlformats.org/officeDocument/2006/relationships" ref="E192" r:id="rId381"/>
    <hyperlink xmlns:r="http://schemas.openxmlformats.org/officeDocument/2006/relationships" ref="F192" r:id="rId382"/>
    <hyperlink xmlns:r="http://schemas.openxmlformats.org/officeDocument/2006/relationships" ref="E193" r:id="rId383"/>
    <hyperlink xmlns:r="http://schemas.openxmlformats.org/officeDocument/2006/relationships" ref="F193" r:id="rId384"/>
    <hyperlink xmlns:r="http://schemas.openxmlformats.org/officeDocument/2006/relationships" ref="E194" r:id="rId385"/>
    <hyperlink xmlns:r="http://schemas.openxmlformats.org/officeDocument/2006/relationships" ref="F194" r:id="rId386"/>
    <hyperlink xmlns:r="http://schemas.openxmlformats.org/officeDocument/2006/relationships" ref="E195" r:id="rId387"/>
    <hyperlink xmlns:r="http://schemas.openxmlformats.org/officeDocument/2006/relationships" ref="F195" r:id="rId388"/>
    <hyperlink xmlns:r="http://schemas.openxmlformats.org/officeDocument/2006/relationships" ref="E196" r:id="rId389"/>
    <hyperlink xmlns:r="http://schemas.openxmlformats.org/officeDocument/2006/relationships" ref="F196" r:id="rId390"/>
    <hyperlink xmlns:r="http://schemas.openxmlformats.org/officeDocument/2006/relationships" ref="E197" r:id="rId391"/>
    <hyperlink xmlns:r="http://schemas.openxmlformats.org/officeDocument/2006/relationships" ref="F197" r:id="rId392"/>
    <hyperlink xmlns:r="http://schemas.openxmlformats.org/officeDocument/2006/relationships" ref="E198" r:id="rId393"/>
    <hyperlink xmlns:r="http://schemas.openxmlformats.org/officeDocument/2006/relationships" ref="F198" r:id="rId394"/>
    <hyperlink xmlns:r="http://schemas.openxmlformats.org/officeDocument/2006/relationships" ref="E199" r:id="rId395"/>
    <hyperlink xmlns:r="http://schemas.openxmlformats.org/officeDocument/2006/relationships" ref="F199" r:id="rId396"/>
    <hyperlink xmlns:r="http://schemas.openxmlformats.org/officeDocument/2006/relationships" ref="E200" r:id="rId397"/>
    <hyperlink xmlns:r="http://schemas.openxmlformats.org/officeDocument/2006/relationships" ref="F200" r:id="rId398"/>
    <hyperlink xmlns:r="http://schemas.openxmlformats.org/officeDocument/2006/relationships" ref="E201" r:id="rId399"/>
    <hyperlink xmlns:r="http://schemas.openxmlformats.org/officeDocument/2006/relationships" ref="F201" r:id="rId400"/>
    <hyperlink xmlns:r="http://schemas.openxmlformats.org/officeDocument/2006/relationships" ref="E202" r:id="rId401"/>
    <hyperlink xmlns:r="http://schemas.openxmlformats.org/officeDocument/2006/relationships" ref="F202" r:id="rId402"/>
    <hyperlink xmlns:r="http://schemas.openxmlformats.org/officeDocument/2006/relationships" ref="E203" r:id="rId403"/>
    <hyperlink xmlns:r="http://schemas.openxmlformats.org/officeDocument/2006/relationships" ref="F203" r:id="rId404"/>
    <hyperlink xmlns:r="http://schemas.openxmlformats.org/officeDocument/2006/relationships" ref="E204" r:id="rId405"/>
    <hyperlink xmlns:r="http://schemas.openxmlformats.org/officeDocument/2006/relationships" ref="F204" r:id="rId406"/>
    <hyperlink xmlns:r="http://schemas.openxmlformats.org/officeDocument/2006/relationships" ref="E205" r:id="rId407"/>
    <hyperlink xmlns:r="http://schemas.openxmlformats.org/officeDocument/2006/relationships" ref="F205" r:id="rId408"/>
    <hyperlink xmlns:r="http://schemas.openxmlformats.org/officeDocument/2006/relationships" ref="E206" r:id="rId409"/>
    <hyperlink xmlns:r="http://schemas.openxmlformats.org/officeDocument/2006/relationships" ref="F206" r:id="rId410"/>
    <hyperlink xmlns:r="http://schemas.openxmlformats.org/officeDocument/2006/relationships" ref="E207" r:id="rId411"/>
    <hyperlink xmlns:r="http://schemas.openxmlformats.org/officeDocument/2006/relationships" ref="F207" r:id="rId412"/>
    <hyperlink xmlns:r="http://schemas.openxmlformats.org/officeDocument/2006/relationships" ref="E208" r:id="rId413"/>
    <hyperlink xmlns:r="http://schemas.openxmlformats.org/officeDocument/2006/relationships" ref="F208" r:id="rId414"/>
    <hyperlink xmlns:r="http://schemas.openxmlformats.org/officeDocument/2006/relationships" ref="E209" r:id="rId415"/>
    <hyperlink xmlns:r="http://schemas.openxmlformats.org/officeDocument/2006/relationships" ref="F209" r:id="rId416"/>
    <hyperlink xmlns:r="http://schemas.openxmlformats.org/officeDocument/2006/relationships" ref="E210" r:id="rId417"/>
    <hyperlink xmlns:r="http://schemas.openxmlformats.org/officeDocument/2006/relationships" ref="F210" r:id="rId418"/>
    <hyperlink xmlns:r="http://schemas.openxmlformats.org/officeDocument/2006/relationships" ref="E211" r:id="rId419"/>
    <hyperlink xmlns:r="http://schemas.openxmlformats.org/officeDocument/2006/relationships" ref="F211" r:id="rId420"/>
    <hyperlink xmlns:r="http://schemas.openxmlformats.org/officeDocument/2006/relationships" ref="E212" r:id="rId421"/>
    <hyperlink xmlns:r="http://schemas.openxmlformats.org/officeDocument/2006/relationships" ref="F212" r:id="rId422"/>
    <hyperlink xmlns:r="http://schemas.openxmlformats.org/officeDocument/2006/relationships" ref="E213" r:id="rId423"/>
    <hyperlink xmlns:r="http://schemas.openxmlformats.org/officeDocument/2006/relationships" ref="F213" r:id="rId424"/>
    <hyperlink xmlns:r="http://schemas.openxmlformats.org/officeDocument/2006/relationships" ref="E214" r:id="rId425"/>
    <hyperlink xmlns:r="http://schemas.openxmlformats.org/officeDocument/2006/relationships" ref="F214" r:id="rId426"/>
    <hyperlink xmlns:r="http://schemas.openxmlformats.org/officeDocument/2006/relationships" ref="E215" r:id="rId427"/>
    <hyperlink xmlns:r="http://schemas.openxmlformats.org/officeDocument/2006/relationships" ref="F215" r:id="rId428"/>
    <hyperlink xmlns:r="http://schemas.openxmlformats.org/officeDocument/2006/relationships" ref="E216" r:id="rId429"/>
    <hyperlink xmlns:r="http://schemas.openxmlformats.org/officeDocument/2006/relationships" ref="F216" r:id="rId430"/>
    <hyperlink xmlns:r="http://schemas.openxmlformats.org/officeDocument/2006/relationships" ref="E217" r:id="rId431"/>
    <hyperlink xmlns:r="http://schemas.openxmlformats.org/officeDocument/2006/relationships" ref="F217" r:id="rId432"/>
    <hyperlink xmlns:r="http://schemas.openxmlformats.org/officeDocument/2006/relationships" ref="E218" r:id="rId433"/>
    <hyperlink xmlns:r="http://schemas.openxmlformats.org/officeDocument/2006/relationships" ref="F218" r:id="rId434"/>
    <hyperlink xmlns:r="http://schemas.openxmlformats.org/officeDocument/2006/relationships" ref="E219" r:id="rId435"/>
    <hyperlink xmlns:r="http://schemas.openxmlformats.org/officeDocument/2006/relationships" ref="F219" r:id="rId436"/>
    <hyperlink xmlns:r="http://schemas.openxmlformats.org/officeDocument/2006/relationships" ref="E220" r:id="rId437"/>
    <hyperlink xmlns:r="http://schemas.openxmlformats.org/officeDocument/2006/relationships" ref="F220" r:id="rId438"/>
    <hyperlink xmlns:r="http://schemas.openxmlformats.org/officeDocument/2006/relationships" ref="E221" r:id="rId439"/>
    <hyperlink xmlns:r="http://schemas.openxmlformats.org/officeDocument/2006/relationships" ref="F221" r:id="rId440"/>
    <hyperlink xmlns:r="http://schemas.openxmlformats.org/officeDocument/2006/relationships" ref="E222" r:id="rId441"/>
    <hyperlink xmlns:r="http://schemas.openxmlformats.org/officeDocument/2006/relationships" ref="F222" r:id="rId442"/>
    <hyperlink xmlns:r="http://schemas.openxmlformats.org/officeDocument/2006/relationships" ref="E223" r:id="rId443"/>
    <hyperlink xmlns:r="http://schemas.openxmlformats.org/officeDocument/2006/relationships" ref="F223" r:id="rId444"/>
    <hyperlink xmlns:r="http://schemas.openxmlformats.org/officeDocument/2006/relationships" ref="E224" r:id="rId445"/>
    <hyperlink xmlns:r="http://schemas.openxmlformats.org/officeDocument/2006/relationships" ref="F224" r:id="rId446"/>
    <hyperlink xmlns:r="http://schemas.openxmlformats.org/officeDocument/2006/relationships" ref="E225" r:id="rId447"/>
    <hyperlink xmlns:r="http://schemas.openxmlformats.org/officeDocument/2006/relationships" ref="F225" r:id="rId448"/>
    <hyperlink xmlns:r="http://schemas.openxmlformats.org/officeDocument/2006/relationships" ref="E226" r:id="rId449"/>
    <hyperlink xmlns:r="http://schemas.openxmlformats.org/officeDocument/2006/relationships" ref="F226" r:id="rId450"/>
    <hyperlink xmlns:r="http://schemas.openxmlformats.org/officeDocument/2006/relationships" ref="E227" r:id="rId451"/>
    <hyperlink xmlns:r="http://schemas.openxmlformats.org/officeDocument/2006/relationships" ref="F227" r:id="rId452"/>
    <hyperlink xmlns:r="http://schemas.openxmlformats.org/officeDocument/2006/relationships" ref="E228" r:id="rId453"/>
    <hyperlink xmlns:r="http://schemas.openxmlformats.org/officeDocument/2006/relationships" ref="F228" r:id="rId454"/>
    <hyperlink xmlns:r="http://schemas.openxmlformats.org/officeDocument/2006/relationships" ref="E229" r:id="rId455"/>
    <hyperlink xmlns:r="http://schemas.openxmlformats.org/officeDocument/2006/relationships" ref="F229" r:id="rId456"/>
    <hyperlink xmlns:r="http://schemas.openxmlformats.org/officeDocument/2006/relationships" ref="E230" r:id="rId457"/>
    <hyperlink xmlns:r="http://schemas.openxmlformats.org/officeDocument/2006/relationships" ref="F230" r:id="rId458"/>
    <hyperlink xmlns:r="http://schemas.openxmlformats.org/officeDocument/2006/relationships" ref="E231" r:id="rId459"/>
    <hyperlink xmlns:r="http://schemas.openxmlformats.org/officeDocument/2006/relationships" ref="F231" r:id="rId460"/>
    <hyperlink xmlns:r="http://schemas.openxmlformats.org/officeDocument/2006/relationships" ref="E232" r:id="rId461"/>
    <hyperlink xmlns:r="http://schemas.openxmlformats.org/officeDocument/2006/relationships" ref="F232" r:id="rId462"/>
    <hyperlink xmlns:r="http://schemas.openxmlformats.org/officeDocument/2006/relationships" ref="E233" r:id="rId463"/>
    <hyperlink xmlns:r="http://schemas.openxmlformats.org/officeDocument/2006/relationships" ref="F233" r:id="rId464"/>
    <hyperlink xmlns:r="http://schemas.openxmlformats.org/officeDocument/2006/relationships" ref="E234" r:id="rId465"/>
    <hyperlink xmlns:r="http://schemas.openxmlformats.org/officeDocument/2006/relationships" ref="F234" r:id="rId466"/>
    <hyperlink xmlns:r="http://schemas.openxmlformats.org/officeDocument/2006/relationships" ref="E235" r:id="rId467"/>
    <hyperlink xmlns:r="http://schemas.openxmlformats.org/officeDocument/2006/relationships" ref="F235" r:id="rId468"/>
    <hyperlink xmlns:r="http://schemas.openxmlformats.org/officeDocument/2006/relationships" ref="E236" r:id="rId469"/>
    <hyperlink xmlns:r="http://schemas.openxmlformats.org/officeDocument/2006/relationships" ref="F236" r:id="rId470"/>
    <hyperlink xmlns:r="http://schemas.openxmlformats.org/officeDocument/2006/relationships" ref="E237" r:id="rId471"/>
    <hyperlink xmlns:r="http://schemas.openxmlformats.org/officeDocument/2006/relationships" ref="F237" r:id="rId472"/>
    <hyperlink xmlns:r="http://schemas.openxmlformats.org/officeDocument/2006/relationships" ref="E238" r:id="rId473"/>
    <hyperlink xmlns:r="http://schemas.openxmlformats.org/officeDocument/2006/relationships" ref="F238" r:id="rId474"/>
    <hyperlink xmlns:r="http://schemas.openxmlformats.org/officeDocument/2006/relationships" ref="E239" r:id="rId475"/>
    <hyperlink xmlns:r="http://schemas.openxmlformats.org/officeDocument/2006/relationships" ref="F239" r:id="rId476"/>
    <hyperlink xmlns:r="http://schemas.openxmlformats.org/officeDocument/2006/relationships" ref="E240" r:id="rId477"/>
    <hyperlink xmlns:r="http://schemas.openxmlformats.org/officeDocument/2006/relationships" ref="F240" r:id="rId478"/>
    <hyperlink xmlns:r="http://schemas.openxmlformats.org/officeDocument/2006/relationships" ref="E241" r:id="rId479"/>
    <hyperlink xmlns:r="http://schemas.openxmlformats.org/officeDocument/2006/relationships" ref="F241" r:id="rId480"/>
    <hyperlink xmlns:r="http://schemas.openxmlformats.org/officeDocument/2006/relationships" ref="E242" r:id="rId481"/>
    <hyperlink xmlns:r="http://schemas.openxmlformats.org/officeDocument/2006/relationships" ref="F242" r:id="rId482"/>
    <hyperlink xmlns:r="http://schemas.openxmlformats.org/officeDocument/2006/relationships" ref="E243" r:id="rId483"/>
    <hyperlink xmlns:r="http://schemas.openxmlformats.org/officeDocument/2006/relationships" ref="F243" r:id="rId484"/>
    <hyperlink xmlns:r="http://schemas.openxmlformats.org/officeDocument/2006/relationships" ref="E244" r:id="rId485"/>
    <hyperlink xmlns:r="http://schemas.openxmlformats.org/officeDocument/2006/relationships" ref="F244" r:id="rId486"/>
    <hyperlink xmlns:r="http://schemas.openxmlformats.org/officeDocument/2006/relationships" ref="E245" r:id="rId487"/>
    <hyperlink xmlns:r="http://schemas.openxmlformats.org/officeDocument/2006/relationships" ref="F245" r:id="rId488"/>
    <hyperlink xmlns:r="http://schemas.openxmlformats.org/officeDocument/2006/relationships" ref="E246" r:id="rId489"/>
    <hyperlink xmlns:r="http://schemas.openxmlformats.org/officeDocument/2006/relationships" ref="F246" r:id="rId490"/>
    <hyperlink xmlns:r="http://schemas.openxmlformats.org/officeDocument/2006/relationships" ref="E247" r:id="rId491"/>
    <hyperlink xmlns:r="http://schemas.openxmlformats.org/officeDocument/2006/relationships" ref="F247" r:id="rId492"/>
    <hyperlink xmlns:r="http://schemas.openxmlformats.org/officeDocument/2006/relationships" ref="E248" r:id="rId493"/>
    <hyperlink xmlns:r="http://schemas.openxmlformats.org/officeDocument/2006/relationships" ref="F248" r:id="rId494"/>
    <hyperlink xmlns:r="http://schemas.openxmlformats.org/officeDocument/2006/relationships" ref="E249" r:id="rId495"/>
    <hyperlink xmlns:r="http://schemas.openxmlformats.org/officeDocument/2006/relationships" ref="F249" r:id="rId496"/>
    <hyperlink xmlns:r="http://schemas.openxmlformats.org/officeDocument/2006/relationships" ref="E250" r:id="rId497"/>
    <hyperlink xmlns:r="http://schemas.openxmlformats.org/officeDocument/2006/relationships" ref="F250" r:id="rId498"/>
    <hyperlink xmlns:r="http://schemas.openxmlformats.org/officeDocument/2006/relationships" ref="E251" r:id="rId499"/>
    <hyperlink xmlns:r="http://schemas.openxmlformats.org/officeDocument/2006/relationships" ref="F251" r:id="rId500"/>
    <hyperlink xmlns:r="http://schemas.openxmlformats.org/officeDocument/2006/relationships" ref="E252" r:id="rId501"/>
    <hyperlink xmlns:r="http://schemas.openxmlformats.org/officeDocument/2006/relationships" ref="F252" r:id="rId502"/>
    <hyperlink xmlns:r="http://schemas.openxmlformats.org/officeDocument/2006/relationships" ref="E253" r:id="rId503"/>
    <hyperlink xmlns:r="http://schemas.openxmlformats.org/officeDocument/2006/relationships" ref="F253" r:id="rId504"/>
    <hyperlink xmlns:r="http://schemas.openxmlformats.org/officeDocument/2006/relationships" ref="E254" r:id="rId505"/>
    <hyperlink xmlns:r="http://schemas.openxmlformats.org/officeDocument/2006/relationships" ref="F254" r:id="rId506"/>
    <hyperlink xmlns:r="http://schemas.openxmlformats.org/officeDocument/2006/relationships" ref="E255" r:id="rId507"/>
    <hyperlink xmlns:r="http://schemas.openxmlformats.org/officeDocument/2006/relationships" ref="F255" r:id="rId508"/>
    <hyperlink xmlns:r="http://schemas.openxmlformats.org/officeDocument/2006/relationships" ref="E256" r:id="rId509"/>
    <hyperlink xmlns:r="http://schemas.openxmlformats.org/officeDocument/2006/relationships" ref="F256" r:id="rId510"/>
    <hyperlink xmlns:r="http://schemas.openxmlformats.org/officeDocument/2006/relationships" ref="E257" r:id="rId511"/>
    <hyperlink xmlns:r="http://schemas.openxmlformats.org/officeDocument/2006/relationships" ref="F257" r:id="rId512"/>
    <hyperlink xmlns:r="http://schemas.openxmlformats.org/officeDocument/2006/relationships" ref="E258" r:id="rId513"/>
    <hyperlink xmlns:r="http://schemas.openxmlformats.org/officeDocument/2006/relationships" ref="F258" r:id="rId514"/>
    <hyperlink xmlns:r="http://schemas.openxmlformats.org/officeDocument/2006/relationships" ref="E259" r:id="rId515"/>
    <hyperlink xmlns:r="http://schemas.openxmlformats.org/officeDocument/2006/relationships" ref="F259" r:id="rId516"/>
    <hyperlink xmlns:r="http://schemas.openxmlformats.org/officeDocument/2006/relationships" ref="E260" r:id="rId517"/>
    <hyperlink xmlns:r="http://schemas.openxmlformats.org/officeDocument/2006/relationships" ref="F260" r:id="rId518"/>
    <hyperlink xmlns:r="http://schemas.openxmlformats.org/officeDocument/2006/relationships" ref="E261" r:id="rId519"/>
    <hyperlink xmlns:r="http://schemas.openxmlformats.org/officeDocument/2006/relationships" ref="F261" r:id="rId520"/>
    <hyperlink xmlns:r="http://schemas.openxmlformats.org/officeDocument/2006/relationships" ref="E262" r:id="rId521"/>
    <hyperlink xmlns:r="http://schemas.openxmlformats.org/officeDocument/2006/relationships" ref="F262" r:id="rId522"/>
    <hyperlink xmlns:r="http://schemas.openxmlformats.org/officeDocument/2006/relationships" ref="E263" r:id="rId523"/>
    <hyperlink xmlns:r="http://schemas.openxmlformats.org/officeDocument/2006/relationships" ref="F263" r:id="rId524"/>
    <hyperlink xmlns:r="http://schemas.openxmlformats.org/officeDocument/2006/relationships" ref="E264" r:id="rId525"/>
    <hyperlink xmlns:r="http://schemas.openxmlformats.org/officeDocument/2006/relationships" ref="F264" r:id="rId526"/>
    <hyperlink xmlns:r="http://schemas.openxmlformats.org/officeDocument/2006/relationships" ref="E265" r:id="rId527"/>
    <hyperlink xmlns:r="http://schemas.openxmlformats.org/officeDocument/2006/relationships" ref="F265" r:id="rId528"/>
    <hyperlink xmlns:r="http://schemas.openxmlformats.org/officeDocument/2006/relationships" ref="E266" r:id="rId529"/>
    <hyperlink xmlns:r="http://schemas.openxmlformats.org/officeDocument/2006/relationships" ref="F266" r:id="rId530"/>
    <hyperlink xmlns:r="http://schemas.openxmlformats.org/officeDocument/2006/relationships" ref="E267" r:id="rId531"/>
    <hyperlink xmlns:r="http://schemas.openxmlformats.org/officeDocument/2006/relationships" ref="F267" r:id="rId532"/>
    <hyperlink xmlns:r="http://schemas.openxmlformats.org/officeDocument/2006/relationships" ref="E268" r:id="rId533"/>
    <hyperlink xmlns:r="http://schemas.openxmlformats.org/officeDocument/2006/relationships" ref="F268" r:id="rId534"/>
    <hyperlink xmlns:r="http://schemas.openxmlformats.org/officeDocument/2006/relationships" ref="E269" r:id="rId535"/>
    <hyperlink xmlns:r="http://schemas.openxmlformats.org/officeDocument/2006/relationships" ref="F269" r:id="rId536"/>
    <hyperlink xmlns:r="http://schemas.openxmlformats.org/officeDocument/2006/relationships" ref="E270" r:id="rId537"/>
    <hyperlink xmlns:r="http://schemas.openxmlformats.org/officeDocument/2006/relationships" ref="F270" r:id="rId538"/>
    <hyperlink xmlns:r="http://schemas.openxmlformats.org/officeDocument/2006/relationships" ref="E271" r:id="rId539"/>
    <hyperlink xmlns:r="http://schemas.openxmlformats.org/officeDocument/2006/relationships" ref="F271" r:id="rId540"/>
    <hyperlink xmlns:r="http://schemas.openxmlformats.org/officeDocument/2006/relationships" ref="E272" r:id="rId541"/>
    <hyperlink xmlns:r="http://schemas.openxmlformats.org/officeDocument/2006/relationships" ref="F272" r:id="rId542"/>
    <hyperlink xmlns:r="http://schemas.openxmlformats.org/officeDocument/2006/relationships" ref="E273" r:id="rId543"/>
    <hyperlink xmlns:r="http://schemas.openxmlformats.org/officeDocument/2006/relationships" ref="F273" r:id="rId544"/>
    <hyperlink xmlns:r="http://schemas.openxmlformats.org/officeDocument/2006/relationships" ref="E274" r:id="rId545"/>
    <hyperlink xmlns:r="http://schemas.openxmlformats.org/officeDocument/2006/relationships" ref="F274" r:id="rId546"/>
    <hyperlink xmlns:r="http://schemas.openxmlformats.org/officeDocument/2006/relationships" ref="E275" r:id="rId547"/>
    <hyperlink xmlns:r="http://schemas.openxmlformats.org/officeDocument/2006/relationships" ref="F275" r:id="rId548"/>
    <hyperlink xmlns:r="http://schemas.openxmlformats.org/officeDocument/2006/relationships" ref="E276" r:id="rId549"/>
    <hyperlink xmlns:r="http://schemas.openxmlformats.org/officeDocument/2006/relationships" ref="F276" r:id="rId550"/>
    <hyperlink xmlns:r="http://schemas.openxmlformats.org/officeDocument/2006/relationships" ref="E277" r:id="rId551"/>
    <hyperlink xmlns:r="http://schemas.openxmlformats.org/officeDocument/2006/relationships" ref="F277" r:id="rId552"/>
    <hyperlink xmlns:r="http://schemas.openxmlformats.org/officeDocument/2006/relationships" ref="E278" r:id="rId553"/>
    <hyperlink xmlns:r="http://schemas.openxmlformats.org/officeDocument/2006/relationships" ref="F278" r:id="rId554"/>
    <hyperlink xmlns:r="http://schemas.openxmlformats.org/officeDocument/2006/relationships" ref="E279" r:id="rId555"/>
    <hyperlink xmlns:r="http://schemas.openxmlformats.org/officeDocument/2006/relationships" ref="F279" r:id="rId556"/>
    <hyperlink xmlns:r="http://schemas.openxmlformats.org/officeDocument/2006/relationships" ref="E280" r:id="rId557"/>
    <hyperlink xmlns:r="http://schemas.openxmlformats.org/officeDocument/2006/relationships" ref="F280" r:id="rId558"/>
    <hyperlink xmlns:r="http://schemas.openxmlformats.org/officeDocument/2006/relationships" ref="E281" r:id="rId559"/>
    <hyperlink xmlns:r="http://schemas.openxmlformats.org/officeDocument/2006/relationships" ref="F281" r:id="rId560"/>
    <hyperlink xmlns:r="http://schemas.openxmlformats.org/officeDocument/2006/relationships" ref="E282" r:id="rId561"/>
    <hyperlink xmlns:r="http://schemas.openxmlformats.org/officeDocument/2006/relationships" ref="F282" r:id="rId562"/>
    <hyperlink xmlns:r="http://schemas.openxmlformats.org/officeDocument/2006/relationships" ref="E283" r:id="rId563"/>
    <hyperlink xmlns:r="http://schemas.openxmlformats.org/officeDocument/2006/relationships" ref="F283" r:id="rId564"/>
    <hyperlink xmlns:r="http://schemas.openxmlformats.org/officeDocument/2006/relationships" ref="E284" r:id="rId565"/>
    <hyperlink xmlns:r="http://schemas.openxmlformats.org/officeDocument/2006/relationships" ref="F284" r:id="rId566"/>
    <hyperlink xmlns:r="http://schemas.openxmlformats.org/officeDocument/2006/relationships" ref="E285" r:id="rId567"/>
    <hyperlink xmlns:r="http://schemas.openxmlformats.org/officeDocument/2006/relationships" ref="F285" r:id="rId568"/>
    <hyperlink xmlns:r="http://schemas.openxmlformats.org/officeDocument/2006/relationships" ref="E286" r:id="rId569"/>
    <hyperlink xmlns:r="http://schemas.openxmlformats.org/officeDocument/2006/relationships" ref="F286" r:id="rId570"/>
    <hyperlink xmlns:r="http://schemas.openxmlformats.org/officeDocument/2006/relationships" ref="E287" r:id="rId571"/>
    <hyperlink xmlns:r="http://schemas.openxmlformats.org/officeDocument/2006/relationships" ref="F287" r:id="rId572"/>
    <hyperlink xmlns:r="http://schemas.openxmlformats.org/officeDocument/2006/relationships" ref="E288" r:id="rId573"/>
    <hyperlink xmlns:r="http://schemas.openxmlformats.org/officeDocument/2006/relationships" ref="F288" r:id="rId574"/>
    <hyperlink xmlns:r="http://schemas.openxmlformats.org/officeDocument/2006/relationships" ref="E289" r:id="rId575"/>
    <hyperlink xmlns:r="http://schemas.openxmlformats.org/officeDocument/2006/relationships" ref="F289" r:id="rId576"/>
    <hyperlink xmlns:r="http://schemas.openxmlformats.org/officeDocument/2006/relationships" ref="E290" r:id="rId577"/>
    <hyperlink xmlns:r="http://schemas.openxmlformats.org/officeDocument/2006/relationships" ref="F290" r:id="rId578"/>
    <hyperlink xmlns:r="http://schemas.openxmlformats.org/officeDocument/2006/relationships" ref="E291" r:id="rId579"/>
    <hyperlink xmlns:r="http://schemas.openxmlformats.org/officeDocument/2006/relationships" ref="F291" r:id="rId580"/>
    <hyperlink xmlns:r="http://schemas.openxmlformats.org/officeDocument/2006/relationships" ref="E292" r:id="rId581"/>
    <hyperlink xmlns:r="http://schemas.openxmlformats.org/officeDocument/2006/relationships" ref="F292" r:id="rId582"/>
    <hyperlink xmlns:r="http://schemas.openxmlformats.org/officeDocument/2006/relationships" ref="E293" r:id="rId583"/>
    <hyperlink xmlns:r="http://schemas.openxmlformats.org/officeDocument/2006/relationships" ref="F293" r:id="rId584"/>
    <hyperlink xmlns:r="http://schemas.openxmlformats.org/officeDocument/2006/relationships" ref="E294" r:id="rId585"/>
    <hyperlink xmlns:r="http://schemas.openxmlformats.org/officeDocument/2006/relationships" ref="F294" r:id="rId586"/>
    <hyperlink xmlns:r="http://schemas.openxmlformats.org/officeDocument/2006/relationships" ref="E295" r:id="rId587"/>
    <hyperlink xmlns:r="http://schemas.openxmlformats.org/officeDocument/2006/relationships" ref="F295" r:id="rId588"/>
    <hyperlink xmlns:r="http://schemas.openxmlformats.org/officeDocument/2006/relationships" ref="E296" r:id="rId589"/>
    <hyperlink xmlns:r="http://schemas.openxmlformats.org/officeDocument/2006/relationships" ref="F296" r:id="rId590"/>
    <hyperlink xmlns:r="http://schemas.openxmlformats.org/officeDocument/2006/relationships" ref="E297" r:id="rId591"/>
    <hyperlink xmlns:r="http://schemas.openxmlformats.org/officeDocument/2006/relationships" ref="F297" r:id="rId592"/>
    <hyperlink xmlns:r="http://schemas.openxmlformats.org/officeDocument/2006/relationships" ref="E298" r:id="rId593"/>
    <hyperlink xmlns:r="http://schemas.openxmlformats.org/officeDocument/2006/relationships" ref="F298" r:id="rId594"/>
    <hyperlink xmlns:r="http://schemas.openxmlformats.org/officeDocument/2006/relationships" ref="E299" r:id="rId595"/>
    <hyperlink xmlns:r="http://schemas.openxmlformats.org/officeDocument/2006/relationships" ref="F299" r:id="rId596"/>
    <hyperlink xmlns:r="http://schemas.openxmlformats.org/officeDocument/2006/relationships" ref="E300" r:id="rId597"/>
    <hyperlink xmlns:r="http://schemas.openxmlformats.org/officeDocument/2006/relationships" ref="F300" r:id="rId598"/>
    <hyperlink xmlns:r="http://schemas.openxmlformats.org/officeDocument/2006/relationships" ref="E301" r:id="rId599"/>
    <hyperlink xmlns:r="http://schemas.openxmlformats.org/officeDocument/2006/relationships" ref="F301" r:id="rId600"/>
    <hyperlink xmlns:r="http://schemas.openxmlformats.org/officeDocument/2006/relationships" ref="E302" r:id="rId601"/>
    <hyperlink xmlns:r="http://schemas.openxmlformats.org/officeDocument/2006/relationships" ref="F302" r:id="rId602"/>
    <hyperlink xmlns:r="http://schemas.openxmlformats.org/officeDocument/2006/relationships" ref="E303" r:id="rId603"/>
    <hyperlink xmlns:r="http://schemas.openxmlformats.org/officeDocument/2006/relationships" ref="F303" r:id="rId604"/>
    <hyperlink xmlns:r="http://schemas.openxmlformats.org/officeDocument/2006/relationships" ref="E304" r:id="rId605"/>
    <hyperlink xmlns:r="http://schemas.openxmlformats.org/officeDocument/2006/relationships" ref="F304" r:id="rId606"/>
    <hyperlink xmlns:r="http://schemas.openxmlformats.org/officeDocument/2006/relationships" ref="E305" r:id="rId607"/>
    <hyperlink xmlns:r="http://schemas.openxmlformats.org/officeDocument/2006/relationships" ref="F305" r:id="rId608"/>
    <hyperlink xmlns:r="http://schemas.openxmlformats.org/officeDocument/2006/relationships" ref="E306" r:id="rId609"/>
    <hyperlink xmlns:r="http://schemas.openxmlformats.org/officeDocument/2006/relationships" ref="F306" r:id="rId610"/>
    <hyperlink xmlns:r="http://schemas.openxmlformats.org/officeDocument/2006/relationships" ref="E307" r:id="rId611"/>
    <hyperlink xmlns:r="http://schemas.openxmlformats.org/officeDocument/2006/relationships" ref="F307" r:id="rId612"/>
    <hyperlink xmlns:r="http://schemas.openxmlformats.org/officeDocument/2006/relationships" ref="E308" r:id="rId613"/>
    <hyperlink xmlns:r="http://schemas.openxmlformats.org/officeDocument/2006/relationships" ref="F308" r:id="rId614"/>
    <hyperlink xmlns:r="http://schemas.openxmlformats.org/officeDocument/2006/relationships" ref="E309" r:id="rId615"/>
    <hyperlink xmlns:r="http://schemas.openxmlformats.org/officeDocument/2006/relationships" ref="F309" r:id="rId616"/>
    <hyperlink xmlns:r="http://schemas.openxmlformats.org/officeDocument/2006/relationships" ref="E310" r:id="rId617"/>
    <hyperlink xmlns:r="http://schemas.openxmlformats.org/officeDocument/2006/relationships" ref="F310" r:id="rId618"/>
    <hyperlink xmlns:r="http://schemas.openxmlformats.org/officeDocument/2006/relationships" ref="E311" r:id="rId619"/>
    <hyperlink xmlns:r="http://schemas.openxmlformats.org/officeDocument/2006/relationships" ref="F311" r:id="rId620"/>
    <hyperlink xmlns:r="http://schemas.openxmlformats.org/officeDocument/2006/relationships" ref="E312" r:id="rId621"/>
    <hyperlink xmlns:r="http://schemas.openxmlformats.org/officeDocument/2006/relationships" ref="F312" r:id="rId622"/>
    <hyperlink xmlns:r="http://schemas.openxmlformats.org/officeDocument/2006/relationships" ref="E313" r:id="rId623"/>
    <hyperlink xmlns:r="http://schemas.openxmlformats.org/officeDocument/2006/relationships" ref="F313" r:id="rId624"/>
    <hyperlink xmlns:r="http://schemas.openxmlformats.org/officeDocument/2006/relationships" ref="E314" r:id="rId625"/>
    <hyperlink xmlns:r="http://schemas.openxmlformats.org/officeDocument/2006/relationships" ref="F314" r:id="rId626"/>
    <hyperlink xmlns:r="http://schemas.openxmlformats.org/officeDocument/2006/relationships" ref="E315" r:id="rId627"/>
    <hyperlink xmlns:r="http://schemas.openxmlformats.org/officeDocument/2006/relationships" ref="F315" r:id="rId628"/>
    <hyperlink xmlns:r="http://schemas.openxmlformats.org/officeDocument/2006/relationships" ref="E316" r:id="rId629"/>
    <hyperlink xmlns:r="http://schemas.openxmlformats.org/officeDocument/2006/relationships" ref="F316" r:id="rId630"/>
    <hyperlink xmlns:r="http://schemas.openxmlformats.org/officeDocument/2006/relationships" ref="E317" r:id="rId631"/>
    <hyperlink xmlns:r="http://schemas.openxmlformats.org/officeDocument/2006/relationships" ref="F317" r:id="rId632"/>
    <hyperlink xmlns:r="http://schemas.openxmlformats.org/officeDocument/2006/relationships" ref="E318" r:id="rId633"/>
    <hyperlink xmlns:r="http://schemas.openxmlformats.org/officeDocument/2006/relationships" ref="F318" r:id="rId634"/>
    <hyperlink xmlns:r="http://schemas.openxmlformats.org/officeDocument/2006/relationships" ref="E319" r:id="rId635"/>
    <hyperlink xmlns:r="http://schemas.openxmlformats.org/officeDocument/2006/relationships" ref="F319" r:id="rId636"/>
    <hyperlink xmlns:r="http://schemas.openxmlformats.org/officeDocument/2006/relationships" ref="E320" r:id="rId637"/>
    <hyperlink xmlns:r="http://schemas.openxmlformats.org/officeDocument/2006/relationships" ref="F320" r:id="rId638"/>
    <hyperlink xmlns:r="http://schemas.openxmlformats.org/officeDocument/2006/relationships" ref="E321" r:id="rId639"/>
    <hyperlink xmlns:r="http://schemas.openxmlformats.org/officeDocument/2006/relationships" ref="F321" r:id="rId640"/>
    <hyperlink xmlns:r="http://schemas.openxmlformats.org/officeDocument/2006/relationships" ref="E322" r:id="rId641"/>
    <hyperlink xmlns:r="http://schemas.openxmlformats.org/officeDocument/2006/relationships" ref="F322" r:id="rId642"/>
    <hyperlink xmlns:r="http://schemas.openxmlformats.org/officeDocument/2006/relationships" ref="E323" r:id="rId643"/>
    <hyperlink xmlns:r="http://schemas.openxmlformats.org/officeDocument/2006/relationships" ref="F323" r:id="rId644"/>
    <hyperlink xmlns:r="http://schemas.openxmlformats.org/officeDocument/2006/relationships" ref="E324" r:id="rId645"/>
    <hyperlink xmlns:r="http://schemas.openxmlformats.org/officeDocument/2006/relationships" ref="F324" r:id="rId646"/>
    <hyperlink xmlns:r="http://schemas.openxmlformats.org/officeDocument/2006/relationships" ref="E325" r:id="rId647"/>
    <hyperlink xmlns:r="http://schemas.openxmlformats.org/officeDocument/2006/relationships" ref="F325" r:id="rId648"/>
    <hyperlink xmlns:r="http://schemas.openxmlformats.org/officeDocument/2006/relationships" ref="E326" r:id="rId649"/>
    <hyperlink xmlns:r="http://schemas.openxmlformats.org/officeDocument/2006/relationships" ref="F326" r:id="rId650"/>
    <hyperlink xmlns:r="http://schemas.openxmlformats.org/officeDocument/2006/relationships" ref="E327" r:id="rId651"/>
    <hyperlink xmlns:r="http://schemas.openxmlformats.org/officeDocument/2006/relationships" ref="F327" r:id="rId652"/>
    <hyperlink xmlns:r="http://schemas.openxmlformats.org/officeDocument/2006/relationships" ref="E328" r:id="rId653"/>
    <hyperlink xmlns:r="http://schemas.openxmlformats.org/officeDocument/2006/relationships" ref="F328" r:id="rId654"/>
    <hyperlink xmlns:r="http://schemas.openxmlformats.org/officeDocument/2006/relationships" ref="E329" r:id="rId655"/>
    <hyperlink xmlns:r="http://schemas.openxmlformats.org/officeDocument/2006/relationships" ref="F329" r:id="rId656"/>
    <hyperlink xmlns:r="http://schemas.openxmlformats.org/officeDocument/2006/relationships" ref="E330" r:id="rId657"/>
    <hyperlink xmlns:r="http://schemas.openxmlformats.org/officeDocument/2006/relationships" ref="F330" r:id="rId658"/>
    <hyperlink xmlns:r="http://schemas.openxmlformats.org/officeDocument/2006/relationships" ref="E331" r:id="rId659"/>
    <hyperlink xmlns:r="http://schemas.openxmlformats.org/officeDocument/2006/relationships" ref="F331" r:id="rId660"/>
    <hyperlink xmlns:r="http://schemas.openxmlformats.org/officeDocument/2006/relationships" ref="E332" r:id="rId661"/>
    <hyperlink xmlns:r="http://schemas.openxmlformats.org/officeDocument/2006/relationships" ref="F332" r:id="rId662"/>
    <hyperlink xmlns:r="http://schemas.openxmlformats.org/officeDocument/2006/relationships" ref="E333" r:id="rId663"/>
    <hyperlink xmlns:r="http://schemas.openxmlformats.org/officeDocument/2006/relationships" ref="F333" r:id="rId664"/>
    <hyperlink xmlns:r="http://schemas.openxmlformats.org/officeDocument/2006/relationships" ref="E334" r:id="rId665"/>
    <hyperlink xmlns:r="http://schemas.openxmlformats.org/officeDocument/2006/relationships" ref="F334" r:id="rId666"/>
    <hyperlink xmlns:r="http://schemas.openxmlformats.org/officeDocument/2006/relationships" ref="E335" r:id="rId667"/>
    <hyperlink xmlns:r="http://schemas.openxmlformats.org/officeDocument/2006/relationships" ref="F335" r:id="rId668"/>
    <hyperlink xmlns:r="http://schemas.openxmlformats.org/officeDocument/2006/relationships" ref="E336" r:id="rId669"/>
    <hyperlink xmlns:r="http://schemas.openxmlformats.org/officeDocument/2006/relationships" ref="F336" r:id="rId670"/>
    <hyperlink xmlns:r="http://schemas.openxmlformats.org/officeDocument/2006/relationships" ref="E337" r:id="rId671"/>
    <hyperlink xmlns:r="http://schemas.openxmlformats.org/officeDocument/2006/relationships" ref="F337" r:id="rId672"/>
    <hyperlink xmlns:r="http://schemas.openxmlformats.org/officeDocument/2006/relationships" ref="E338" r:id="rId673"/>
    <hyperlink xmlns:r="http://schemas.openxmlformats.org/officeDocument/2006/relationships" ref="F338" r:id="rId674"/>
    <hyperlink xmlns:r="http://schemas.openxmlformats.org/officeDocument/2006/relationships" ref="E339" r:id="rId675"/>
    <hyperlink xmlns:r="http://schemas.openxmlformats.org/officeDocument/2006/relationships" ref="F339" r:id="rId676"/>
    <hyperlink xmlns:r="http://schemas.openxmlformats.org/officeDocument/2006/relationships" ref="E340" r:id="rId677"/>
    <hyperlink xmlns:r="http://schemas.openxmlformats.org/officeDocument/2006/relationships" ref="F340" r:id="rId678"/>
    <hyperlink xmlns:r="http://schemas.openxmlformats.org/officeDocument/2006/relationships" ref="E341" r:id="rId679"/>
    <hyperlink xmlns:r="http://schemas.openxmlformats.org/officeDocument/2006/relationships" ref="F341" r:id="rId680"/>
    <hyperlink xmlns:r="http://schemas.openxmlformats.org/officeDocument/2006/relationships" ref="E342" r:id="rId681"/>
    <hyperlink xmlns:r="http://schemas.openxmlformats.org/officeDocument/2006/relationships" ref="F342" r:id="rId682"/>
    <hyperlink xmlns:r="http://schemas.openxmlformats.org/officeDocument/2006/relationships" ref="E343" r:id="rId683"/>
    <hyperlink xmlns:r="http://schemas.openxmlformats.org/officeDocument/2006/relationships" ref="F343" r:id="rId684"/>
    <hyperlink xmlns:r="http://schemas.openxmlformats.org/officeDocument/2006/relationships" ref="E344" r:id="rId685"/>
    <hyperlink xmlns:r="http://schemas.openxmlformats.org/officeDocument/2006/relationships" ref="F344" r:id="rId686"/>
    <hyperlink xmlns:r="http://schemas.openxmlformats.org/officeDocument/2006/relationships" ref="E345" r:id="rId687"/>
    <hyperlink xmlns:r="http://schemas.openxmlformats.org/officeDocument/2006/relationships" ref="F345" r:id="rId688"/>
    <hyperlink xmlns:r="http://schemas.openxmlformats.org/officeDocument/2006/relationships" ref="E346" r:id="rId689"/>
    <hyperlink xmlns:r="http://schemas.openxmlformats.org/officeDocument/2006/relationships" ref="F346" r:id="rId690"/>
    <hyperlink xmlns:r="http://schemas.openxmlformats.org/officeDocument/2006/relationships" ref="E347" r:id="rId691"/>
    <hyperlink xmlns:r="http://schemas.openxmlformats.org/officeDocument/2006/relationships" ref="F347" r:id="rId692"/>
    <hyperlink xmlns:r="http://schemas.openxmlformats.org/officeDocument/2006/relationships" ref="E348" r:id="rId693"/>
    <hyperlink xmlns:r="http://schemas.openxmlformats.org/officeDocument/2006/relationships" ref="F348" r:id="rId694"/>
    <hyperlink xmlns:r="http://schemas.openxmlformats.org/officeDocument/2006/relationships" ref="E349" r:id="rId695"/>
    <hyperlink xmlns:r="http://schemas.openxmlformats.org/officeDocument/2006/relationships" ref="F349" r:id="rId696"/>
    <hyperlink xmlns:r="http://schemas.openxmlformats.org/officeDocument/2006/relationships" ref="E350" r:id="rId697"/>
    <hyperlink xmlns:r="http://schemas.openxmlformats.org/officeDocument/2006/relationships" ref="F350" r:id="rId698"/>
    <hyperlink xmlns:r="http://schemas.openxmlformats.org/officeDocument/2006/relationships" ref="E351" r:id="rId699"/>
    <hyperlink xmlns:r="http://schemas.openxmlformats.org/officeDocument/2006/relationships" ref="F351" r:id="rId700"/>
    <hyperlink xmlns:r="http://schemas.openxmlformats.org/officeDocument/2006/relationships" ref="E352" r:id="rId701"/>
    <hyperlink xmlns:r="http://schemas.openxmlformats.org/officeDocument/2006/relationships" ref="F352" r:id="rId702"/>
    <hyperlink xmlns:r="http://schemas.openxmlformats.org/officeDocument/2006/relationships" ref="E353" r:id="rId703"/>
    <hyperlink xmlns:r="http://schemas.openxmlformats.org/officeDocument/2006/relationships" ref="F353" r:id="rId704"/>
    <hyperlink xmlns:r="http://schemas.openxmlformats.org/officeDocument/2006/relationships" ref="E354" r:id="rId705"/>
    <hyperlink xmlns:r="http://schemas.openxmlformats.org/officeDocument/2006/relationships" ref="F354" r:id="rId706"/>
    <hyperlink xmlns:r="http://schemas.openxmlformats.org/officeDocument/2006/relationships" ref="E355" r:id="rId707"/>
    <hyperlink xmlns:r="http://schemas.openxmlformats.org/officeDocument/2006/relationships" ref="F355" r:id="rId708"/>
    <hyperlink xmlns:r="http://schemas.openxmlformats.org/officeDocument/2006/relationships" ref="E356" r:id="rId709"/>
    <hyperlink xmlns:r="http://schemas.openxmlformats.org/officeDocument/2006/relationships" ref="F356" r:id="rId710"/>
    <hyperlink xmlns:r="http://schemas.openxmlformats.org/officeDocument/2006/relationships" ref="E357" r:id="rId711"/>
    <hyperlink xmlns:r="http://schemas.openxmlformats.org/officeDocument/2006/relationships" ref="F357" r:id="rId712"/>
    <hyperlink xmlns:r="http://schemas.openxmlformats.org/officeDocument/2006/relationships" ref="E358" r:id="rId713"/>
    <hyperlink xmlns:r="http://schemas.openxmlformats.org/officeDocument/2006/relationships" ref="F358" r:id="rId714"/>
    <hyperlink xmlns:r="http://schemas.openxmlformats.org/officeDocument/2006/relationships" ref="E359" r:id="rId715"/>
    <hyperlink xmlns:r="http://schemas.openxmlformats.org/officeDocument/2006/relationships" ref="F359" r:id="rId716"/>
    <hyperlink xmlns:r="http://schemas.openxmlformats.org/officeDocument/2006/relationships" ref="E360" r:id="rId717"/>
    <hyperlink xmlns:r="http://schemas.openxmlformats.org/officeDocument/2006/relationships" ref="F360" r:id="rId718"/>
    <hyperlink xmlns:r="http://schemas.openxmlformats.org/officeDocument/2006/relationships" ref="E361" r:id="rId719"/>
    <hyperlink xmlns:r="http://schemas.openxmlformats.org/officeDocument/2006/relationships" ref="F361" r:id="rId720"/>
    <hyperlink xmlns:r="http://schemas.openxmlformats.org/officeDocument/2006/relationships" ref="E362" r:id="rId721"/>
    <hyperlink xmlns:r="http://schemas.openxmlformats.org/officeDocument/2006/relationships" ref="F362" r:id="rId722"/>
    <hyperlink xmlns:r="http://schemas.openxmlformats.org/officeDocument/2006/relationships" ref="E363" r:id="rId723"/>
    <hyperlink xmlns:r="http://schemas.openxmlformats.org/officeDocument/2006/relationships" ref="F363" r:id="rId724"/>
    <hyperlink xmlns:r="http://schemas.openxmlformats.org/officeDocument/2006/relationships" ref="E364" r:id="rId725"/>
    <hyperlink xmlns:r="http://schemas.openxmlformats.org/officeDocument/2006/relationships" ref="F364" r:id="rId726"/>
    <hyperlink xmlns:r="http://schemas.openxmlformats.org/officeDocument/2006/relationships" ref="E365" r:id="rId727"/>
    <hyperlink xmlns:r="http://schemas.openxmlformats.org/officeDocument/2006/relationships" ref="F365" r:id="rId728"/>
    <hyperlink xmlns:r="http://schemas.openxmlformats.org/officeDocument/2006/relationships" ref="E366" r:id="rId729"/>
    <hyperlink xmlns:r="http://schemas.openxmlformats.org/officeDocument/2006/relationships" ref="F366" r:id="rId730"/>
    <hyperlink xmlns:r="http://schemas.openxmlformats.org/officeDocument/2006/relationships" ref="E367" r:id="rId731"/>
    <hyperlink xmlns:r="http://schemas.openxmlformats.org/officeDocument/2006/relationships" ref="F367" r:id="rId732"/>
    <hyperlink xmlns:r="http://schemas.openxmlformats.org/officeDocument/2006/relationships" ref="E368" r:id="rId733"/>
    <hyperlink xmlns:r="http://schemas.openxmlformats.org/officeDocument/2006/relationships" ref="F368" r:id="rId734"/>
    <hyperlink xmlns:r="http://schemas.openxmlformats.org/officeDocument/2006/relationships" ref="E369" r:id="rId735"/>
    <hyperlink xmlns:r="http://schemas.openxmlformats.org/officeDocument/2006/relationships" ref="F369" r:id="rId736"/>
    <hyperlink xmlns:r="http://schemas.openxmlformats.org/officeDocument/2006/relationships" ref="E370" r:id="rId737"/>
    <hyperlink xmlns:r="http://schemas.openxmlformats.org/officeDocument/2006/relationships" ref="F370" r:id="rId738"/>
    <hyperlink xmlns:r="http://schemas.openxmlformats.org/officeDocument/2006/relationships" ref="E371" r:id="rId739"/>
    <hyperlink xmlns:r="http://schemas.openxmlformats.org/officeDocument/2006/relationships" ref="F371" r:id="rId740"/>
    <hyperlink xmlns:r="http://schemas.openxmlformats.org/officeDocument/2006/relationships" ref="E372" r:id="rId741"/>
    <hyperlink xmlns:r="http://schemas.openxmlformats.org/officeDocument/2006/relationships" ref="F372" r:id="rId742"/>
    <hyperlink xmlns:r="http://schemas.openxmlformats.org/officeDocument/2006/relationships" ref="E373" r:id="rId743"/>
    <hyperlink xmlns:r="http://schemas.openxmlformats.org/officeDocument/2006/relationships" ref="F373" r:id="rId744"/>
    <hyperlink xmlns:r="http://schemas.openxmlformats.org/officeDocument/2006/relationships" ref="E374" r:id="rId745"/>
    <hyperlink xmlns:r="http://schemas.openxmlformats.org/officeDocument/2006/relationships" ref="F374" r:id="rId746"/>
    <hyperlink xmlns:r="http://schemas.openxmlformats.org/officeDocument/2006/relationships" ref="E375" r:id="rId747"/>
    <hyperlink xmlns:r="http://schemas.openxmlformats.org/officeDocument/2006/relationships" ref="F375" r:id="rId748"/>
    <hyperlink xmlns:r="http://schemas.openxmlformats.org/officeDocument/2006/relationships" ref="E376" r:id="rId749"/>
    <hyperlink xmlns:r="http://schemas.openxmlformats.org/officeDocument/2006/relationships" ref="F376" r:id="rId750"/>
    <hyperlink xmlns:r="http://schemas.openxmlformats.org/officeDocument/2006/relationships" ref="E377" r:id="rId751"/>
    <hyperlink xmlns:r="http://schemas.openxmlformats.org/officeDocument/2006/relationships" ref="F377" r:id="rId752"/>
    <hyperlink xmlns:r="http://schemas.openxmlformats.org/officeDocument/2006/relationships" ref="E378" r:id="rId753"/>
    <hyperlink xmlns:r="http://schemas.openxmlformats.org/officeDocument/2006/relationships" ref="F378" r:id="rId754"/>
    <hyperlink xmlns:r="http://schemas.openxmlformats.org/officeDocument/2006/relationships" ref="E379" r:id="rId755"/>
    <hyperlink xmlns:r="http://schemas.openxmlformats.org/officeDocument/2006/relationships" ref="F379" r:id="rId756"/>
    <hyperlink xmlns:r="http://schemas.openxmlformats.org/officeDocument/2006/relationships" ref="E380" r:id="rId757"/>
    <hyperlink xmlns:r="http://schemas.openxmlformats.org/officeDocument/2006/relationships" ref="F380" r:id="rId758"/>
    <hyperlink xmlns:r="http://schemas.openxmlformats.org/officeDocument/2006/relationships" ref="E381" r:id="rId759"/>
    <hyperlink xmlns:r="http://schemas.openxmlformats.org/officeDocument/2006/relationships" ref="F381" r:id="rId760"/>
    <hyperlink xmlns:r="http://schemas.openxmlformats.org/officeDocument/2006/relationships" ref="E382" r:id="rId761"/>
    <hyperlink xmlns:r="http://schemas.openxmlformats.org/officeDocument/2006/relationships" ref="F382" r:id="rId762"/>
    <hyperlink xmlns:r="http://schemas.openxmlformats.org/officeDocument/2006/relationships" ref="E383" r:id="rId763"/>
    <hyperlink xmlns:r="http://schemas.openxmlformats.org/officeDocument/2006/relationships" ref="F383" r:id="rId764"/>
    <hyperlink xmlns:r="http://schemas.openxmlformats.org/officeDocument/2006/relationships" ref="E384" r:id="rId765"/>
    <hyperlink xmlns:r="http://schemas.openxmlformats.org/officeDocument/2006/relationships" ref="F384" r:id="rId766"/>
    <hyperlink xmlns:r="http://schemas.openxmlformats.org/officeDocument/2006/relationships" ref="E385" r:id="rId767"/>
    <hyperlink xmlns:r="http://schemas.openxmlformats.org/officeDocument/2006/relationships" ref="F385" r:id="rId768"/>
    <hyperlink xmlns:r="http://schemas.openxmlformats.org/officeDocument/2006/relationships" ref="E386" r:id="rId769"/>
    <hyperlink xmlns:r="http://schemas.openxmlformats.org/officeDocument/2006/relationships" ref="F386" r:id="rId770"/>
    <hyperlink xmlns:r="http://schemas.openxmlformats.org/officeDocument/2006/relationships" ref="E387" r:id="rId771"/>
    <hyperlink xmlns:r="http://schemas.openxmlformats.org/officeDocument/2006/relationships" ref="F387" r:id="rId772"/>
    <hyperlink xmlns:r="http://schemas.openxmlformats.org/officeDocument/2006/relationships" ref="E388" r:id="rId773"/>
    <hyperlink xmlns:r="http://schemas.openxmlformats.org/officeDocument/2006/relationships" ref="F388" r:id="rId774"/>
    <hyperlink xmlns:r="http://schemas.openxmlformats.org/officeDocument/2006/relationships" ref="E389" r:id="rId775"/>
    <hyperlink xmlns:r="http://schemas.openxmlformats.org/officeDocument/2006/relationships" ref="F389" r:id="rId776"/>
    <hyperlink xmlns:r="http://schemas.openxmlformats.org/officeDocument/2006/relationships" ref="E390" r:id="rId777"/>
    <hyperlink xmlns:r="http://schemas.openxmlformats.org/officeDocument/2006/relationships" ref="F390" r:id="rId778"/>
    <hyperlink xmlns:r="http://schemas.openxmlformats.org/officeDocument/2006/relationships" ref="E391" r:id="rId779"/>
    <hyperlink xmlns:r="http://schemas.openxmlformats.org/officeDocument/2006/relationships" ref="F391" r:id="rId780"/>
    <hyperlink xmlns:r="http://schemas.openxmlformats.org/officeDocument/2006/relationships" ref="E392" r:id="rId781"/>
    <hyperlink xmlns:r="http://schemas.openxmlformats.org/officeDocument/2006/relationships" ref="F392" r:id="rId782"/>
    <hyperlink xmlns:r="http://schemas.openxmlformats.org/officeDocument/2006/relationships" ref="E393" r:id="rId783"/>
    <hyperlink xmlns:r="http://schemas.openxmlformats.org/officeDocument/2006/relationships" ref="F393" r:id="rId784"/>
    <hyperlink xmlns:r="http://schemas.openxmlformats.org/officeDocument/2006/relationships" ref="E394" r:id="rId785"/>
    <hyperlink xmlns:r="http://schemas.openxmlformats.org/officeDocument/2006/relationships" ref="F394" r:id="rId786"/>
    <hyperlink xmlns:r="http://schemas.openxmlformats.org/officeDocument/2006/relationships" ref="E395" r:id="rId787"/>
    <hyperlink xmlns:r="http://schemas.openxmlformats.org/officeDocument/2006/relationships" ref="F395" r:id="rId788"/>
    <hyperlink xmlns:r="http://schemas.openxmlformats.org/officeDocument/2006/relationships" ref="E396" r:id="rId789"/>
    <hyperlink xmlns:r="http://schemas.openxmlformats.org/officeDocument/2006/relationships" ref="F396" r:id="rId790"/>
    <hyperlink xmlns:r="http://schemas.openxmlformats.org/officeDocument/2006/relationships" ref="E397" r:id="rId791"/>
    <hyperlink xmlns:r="http://schemas.openxmlformats.org/officeDocument/2006/relationships" ref="F397" r:id="rId79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70" customWidth="1" min="4" max="4"/>
    <col width="14" customWidth="1" min="5" max="5"/>
    <col width="14" customWidth="1" min="6" max="6"/>
  </cols>
  <sheetData>
    <row r="1" ht="32" customHeight="1">
      <c r="A1" s="6" t="inlineStr">
        <is>
          <t>Country</t>
        </is>
      </c>
      <c r="B1" s="6" t="inlineStr">
        <is>
          <t>Suppliers</t>
        </is>
      </c>
      <c r="C1" s="6" t="inlineStr">
        <is>
          <t>Priority 4-5</t>
        </is>
      </c>
      <c r="D1" s="6" t="inlineStr">
        <is>
          <t>Niches covered</t>
        </is>
      </c>
      <c r="E1" s="6" t="inlineStr">
        <is>
          <t>Jump to list</t>
        </is>
      </c>
      <c r="F1" s="6" t="inlineStr">
        <is>
          <t>Price Level</t>
        </is>
      </c>
    </row>
    <row r="2">
      <c r="A2" s="15" t="inlineStr">
        <is>
          <t>Austria</t>
        </is>
      </c>
      <c r="B2" s="18">
        <f>COUNTIF(Suppliers!$A$2:$A$397,A2)</f>
        <v/>
      </c>
      <c r="C2" s="18">
        <f>COUNTIFS(Suppliers!$A$2:$A$397,A2,Suppliers!$C$2:$C$397,"&gt;=4")</f>
        <v/>
      </c>
      <c r="D2" s="18" t="inlineStr">
        <is>
          <t>Sports &amp; Outdoors, Stationery &amp; Office, Toys &amp; Games</t>
        </is>
      </c>
      <c r="E2" s="29" t="inlineStr">
        <is>
          <t>Go to &gt;</t>
        </is>
      </c>
      <c r="F2" s="30" t="inlineStr">
        <is>
          <t>Higher</t>
        </is>
      </c>
    </row>
    <row r="3">
      <c r="A3" s="24" t="inlineStr">
        <is>
          <t>Belgium</t>
        </is>
      </c>
      <c r="B3" s="18">
        <f>COUNTIF(Suppliers!$A$2:$A$397,A3)</f>
        <v/>
      </c>
      <c r="C3" s="18">
        <f>COUNTIFS(Suppliers!$A$2:$A$397,A3,Suppliers!$C$2:$C$397,"&gt;=4")</f>
        <v/>
      </c>
      <c r="D3" s="18" t="inlineStr">
        <is>
          <t>Beauty, DIY &amp; Tools, Fragrance, Home &amp; Kitchen, Pet Supplies</t>
        </is>
      </c>
      <c r="E3" s="29" t="inlineStr">
        <is>
          <t>Go to &gt;</t>
        </is>
      </c>
      <c r="F3" s="30" t="inlineStr">
        <is>
          <t>Higher</t>
        </is>
      </c>
    </row>
    <row r="4">
      <c r="A4" s="15" t="inlineStr">
        <is>
          <t>Bulgaria</t>
        </is>
      </c>
      <c r="B4" s="18">
        <f>COUNTIF(Suppliers!$A$2:$A$397,A4)</f>
        <v/>
      </c>
      <c r="C4" s="18">
        <f>COUNTIFS(Suppliers!$A$2:$A$397,A4,Suppliers!$C$2:$C$397,"&gt;=4")</f>
        <v/>
      </c>
      <c r="D4" s="18" t="inlineStr">
        <is>
          <t>Baby Products, Beauty, Home &amp; Kitchen</t>
        </is>
      </c>
      <c r="E4" s="29" t="inlineStr">
        <is>
          <t>Go to &gt;</t>
        </is>
      </c>
      <c r="F4" s="31" t="inlineStr">
        <is>
          <t>Low-cost</t>
        </is>
      </c>
    </row>
    <row r="5">
      <c r="A5" s="24" t="inlineStr">
        <is>
          <t>Croatia</t>
        </is>
      </c>
      <c r="B5" s="18">
        <f>COUNTIF(Suppliers!$A$2:$A$397,A5)</f>
        <v/>
      </c>
      <c r="C5" s="18">
        <f>COUNTIFS(Suppliers!$A$2:$A$397,A5,Suppliers!$C$2:$C$397,"&gt;=4")</f>
        <v/>
      </c>
      <c r="D5" s="18" t="inlineStr">
        <is>
          <t>Health &amp; Personal Care</t>
        </is>
      </c>
      <c r="E5" s="29" t="inlineStr">
        <is>
          <t>Go to &gt;</t>
        </is>
      </c>
      <c r="F5" s="31" t="inlineStr">
        <is>
          <t>Low-cost</t>
        </is>
      </c>
    </row>
    <row r="6">
      <c r="A6" s="15" t="inlineStr">
        <is>
          <t>Czech Republic</t>
        </is>
      </c>
      <c r="B6" s="18">
        <f>COUNTIF(Suppliers!$A$2:$A$397,A6)</f>
        <v/>
      </c>
      <c r="C6" s="18">
        <f>COUNTIFS(Suppliers!$A$2:$A$397,A6,Suppliers!$C$2:$C$397,"&gt;=4")</f>
        <v/>
      </c>
      <c r="D6" s="18" t="inlineStr">
        <is>
          <t>Beauty, DIY &amp; Tools, Fragrance, Health &amp; Personal Care, Home &amp; Kitchen, Pet Supplies, Sports &amp; Outdoors, Stationery &amp; Office, Toys &amp; Games</t>
        </is>
      </c>
      <c r="E6" s="29" t="inlineStr">
        <is>
          <t>Go to &gt;</t>
        </is>
      </c>
      <c r="F6" s="31" t="inlineStr">
        <is>
          <t>Low-cost</t>
        </is>
      </c>
    </row>
    <row r="7">
      <c r="A7" s="24" t="inlineStr">
        <is>
          <t>Denmark</t>
        </is>
      </c>
      <c r="B7" s="18">
        <f>COUNTIF(Suppliers!$A$2:$A$397,A7)</f>
        <v/>
      </c>
      <c r="C7" s="18">
        <f>COUNTIFS(Suppliers!$A$2:$A$397,A7,Suppliers!$C$2:$C$397,"&gt;=4")</f>
        <v/>
      </c>
      <c r="D7" s="18" t="inlineStr">
        <is>
          <t>Baby Products, Beauty, Pet Supplies, Sports &amp; Outdoors, Stationery &amp; Office, Toys &amp; Games</t>
        </is>
      </c>
      <c r="E7" s="29" t="inlineStr">
        <is>
          <t>Go to &gt;</t>
        </is>
      </c>
      <c r="F7" s="30" t="inlineStr">
        <is>
          <t>Higher</t>
        </is>
      </c>
    </row>
    <row r="8">
      <c r="A8" s="15" t="inlineStr">
        <is>
          <t>Finland</t>
        </is>
      </c>
      <c r="B8" s="18">
        <f>COUNTIF(Suppliers!$A$2:$A$397,A8)</f>
        <v/>
      </c>
      <c r="C8" s="18">
        <f>COUNTIFS(Suppliers!$A$2:$A$397,A8,Suppliers!$C$2:$C$397,"&gt;=4")</f>
        <v/>
      </c>
      <c r="D8" s="18" t="inlineStr">
        <is>
          <t>Beauty, DIY &amp; Tools, Home &amp; Kitchen, Toys &amp; Games</t>
        </is>
      </c>
      <c r="E8" s="29" t="inlineStr">
        <is>
          <t>Go to &gt;</t>
        </is>
      </c>
      <c r="F8" s="30" t="inlineStr">
        <is>
          <t>Higher</t>
        </is>
      </c>
    </row>
    <row r="9">
      <c r="A9" s="24" t="inlineStr">
        <is>
          <t>France</t>
        </is>
      </c>
      <c r="B9" s="18">
        <f>COUNTIF(Suppliers!$A$2:$A$397,A9)</f>
        <v/>
      </c>
      <c r="C9" s="18">
        <f>COUNTIFS(Suppliers!$A$2:$A$397,A9,Suppliers!$C$2:$C$397,"&gt;=4")</f>
        <v/>
      </c>
      <c r="D9" s="18" t="inlineStr">
        <is>
          <t>B2B Marketplace, Baby Products, Beauty, Health &amp; Personal Care, Pet Supplies, Sports &amp; Outdoors, Stationery &amp; Office, Toys &amp; Games</t>
        </is>
      </c>
      <c r="E9" s="29" t="inlineStr">
        <is>
          <t>Go to &gt;</t>
        </is>
      </c>
      <c r="F9" s="30" t="inlineStr">
        <is>
          <t>Higher</t>
        </is>
      </c>
    </row>
    <row r="10">
      <c r="A10" s="15" t="inlineStr">
        <is>
          <t>Germany</t>
        </is>
      </c>
      <c r="B10" s="18">
        <f>COUNTIF(Suppliers!$A$2:$A$397,A10)</f>
        <v/>
      </c>
      <c r="C10" s="18">
        <f>COUNTIFS(Suppliers!$A$2:$A$397,A10,Suppliers!$C$2:$C$397,"&gt;=4")</f>
        <v/>
      </c>
      <c r="D10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10" s="29" t="inlineStr">
        <is>
          <t>Go to &gt;</t>
        </is>
      </c>
      <c r="F10" s="30" t="inlineStr">
        <is>
          <t>Higher</t>
        </is>
      </c>
    </row>
    <row r="11">
      <c r="A11" s="24" t="inlineStr">
        <is>
          <t>Greece</t>
        </is>
      </c>
      <c r="B11" s="18">
        <f>COUNTIF(Suppliers!$A$2:$A$397,A11)</f>
        <v/>
      </c>
      <c r="C11" s="18">
        <f>COUNTIFS(Suppliers!$A$2:$A$397,A11,Suppliers!$C$2:$C$397,"&gt;=4")</f>
        <v/>
      </c>
      <c r="D11" s="18" t="inlineStr">
        <is>
          <t>Beauty</t>
        </is>
      </c>
      <c r="E11" s="29" t="inlineStr">
        <is>
          <t>Go to &gt;</t>
        </is>
      </c>
      <c r="F11" s="31" t="inlineStr">
        <is>
          <t>Low-cost</t>
        </is>
      </c>
    </row>
    <row r="12">
      <c r="A12" s="15" t="inlineStr">
        <is>
          <t>Hungary</t>
        </is>
      </c>
      <c r="B12" s="18">
        <f>COUNTIF(Suppliers!$A$2:$A$397,A12)</f>
        <v/>
      </c>
      <c r="C12" s="18">
        <f>COUNTIFS(Suppliers!$A$2:$A$397,A12,Suppliers!$C$2:$C$397,"&gt;=4")</f>
        <v/>
      </c>
      <c r="D12" s="18" t="inlineStr">
        <is>
          <t>Beauty, Health &amp; Personal Care</t>
        </is>
      </c>
      <c r="E12" s="29" t="inlineStr">
        <is>
          <t>Go to &gt;</t>
        </is>
      </c>
      <c r="F12" s="31" t="inlineStr">
        <is>
          <t>Low-cost</t>
        </is>
      </c>
    </row>
    <row r="13">
      <c r="A13" s="24" t="inlineStr">
        <is>
          <t>Ireland</t>
        </is>
      </c>
      <c r="B13" s="18">
        <f>COUNTIF(Suppliers!$A$2:$A$397,A13)</f>
        <v/>
      </c>
      <c r="C13" s="18">
        <f>COUNTIFS(Suppliers!$A$2:$A$397,A13,Suppliers!$C$2:$C$397,"&gt;=4")</f>
        <v/>
      </c>
      <c r="D13" s="18" t="inlineStr">
        <is>
          <t>Beauty, Health &amp; Personal Care</t>
        </is>
      </c>
      <c r="E13" s="29" t="inlineStr">
        <is>
          <t>Go to &gt;</t>
        </is>
      </c>
      <c r="F13" s="30" t="inlineStr">
        <is>
          <t>Higher</t>
        </is>
      </c>
    </row>
    <row r="14">
      <c r="A14" s="15" t="inlineStr">
        <is>
          <t>Italy</t>
        </is>
      </c>
      <c r="B14" s="18">
        <f>COUNTIF(Suppliers!$A$2:$A$397,A14)</f>
        <v/>
      </c>
      <c r="C14" s="18">
        <f>COUNTIFS(Suppliers!$A$2:$A$397,A14,Suppliers!$C$2:$C$397,"&gt;=4")</f>
        <v/>
      </c>
      <c r="D14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14" s="29" t="inlineStr">
        <is>
          <t>Go to &gt;</t>
        </is>
      </c>
      <c r="F14" s="32" t="inlineStr">
        <is>
          <t>Mid</t>
        </is>
      </c>
    </row>
    <row r="15">
      <c r="A15" s="24" t="inlineStr">
        <is>
          <t>Latvia</t>
        </is>
      </c>
      <c r="B15" s="18">
        <f>COUNTIF(Suppliers!$A$2:$A$397,A15)</f>
        <v/>
      </c>
      <c r="C15" s="18">
        <f>COUNTIFS(Suppliers!$A$2:$A$397,A15,Suppliers!$C$2:$C$397,"&gt;=4")</f>
        <v/>
      </c>
      <c r="D15" s="18" t="inlineStr">
        <is>
          <t>Beauty</t>
        </is>
      </c>
      <c r="E15" s="29" t="inlineStr">
        <is>
          <t>Go to &gt;</t>
        </is>
      </c>
      <c r="F15" s="31" t="inlineStr">
        <is>
          <t>Low-cost</t>
        </is>
      </c>
    </row>
    <row r="16">
      <c r="A16" s="15" t="inlineStr">
        <is>
          <t>Lithuania</t>
        </is>
      </c>
      <c r="B16" s="18">
        <f>COUNTIF(Suppliers!$A$2:$A$397,A16)</f>
        <v/>
      </c>
      <c r="C16" s="18">
        <f>COUNTIFS(Suppliers!$A$2:$A$397,A16,Suppliers!$C$2:$C$397,"&gt;=4")</f>
        <v/>
      </c>
      <c r="D16" s="18" t="inlineStr">
        <is>
          <t>DIY &amp; Tools</t>
        </is>
      </c>
      <c r="E16" s="29" t="inlineStr">
        <is>
          <t>Go to &gt;</t>
        </is>
      </c>
      <c r="F16" s="31" t="inlineStr">
        <is>
          <t>Low-cost</t>
        </is>
      </c>
    </row>
    <row r="17">
      <c r="A17" s="24" t="inlineStr">
        <is>
          <t>Luxembourg</t>
        </is>
      </c>
      <c r="B17" s="18">
        <f>COUNTIF(Suppliers!$A$2:$A$397,A17)</f>
        <v/>
      </c>
      <c r="C17" s="18">
        <f>COUNTIFS(Suppliers!$A$2:$A$397,A17,Suppliers!$C$2:$C$397,"&gt;=4")</f>
        <v/>
      </c>
      <c r="D17" s="18" t="inlineStr">
        <is>
          <t>Home &amp; Kitchen</t>
        </is>
      </c>
      <c r="E17" s="29" t="inlineStr">
        <is>
          <t>Go to &gt;</t>
        </is>
      </c>
      <c r="F17" s="30" t="inlineStr">
        <is>
          <t>Higher</t>
        </is>
      </c>
    </row>
    <row r="18">
      <c r="A18" s="15" t="inlineStr">
        <is>
          <t>Netherlands</t>
        </is>
      </c>
      <c r="B18" s="18">
        <f>COUNTIF(Suppliers!$A$2:$A$397,A18)</f>
        <v/>
      </c>
      <c r="C18" s="18">
        <f>COUNTIFS(Suppliers!$A$2:$A$397,A18,Suppliers!$C$2:$C$397,"&gt;=4")</f>
        <v/>
      </c>
      <c r="D18" s="18" t="inlineStr">
        <is>
          <t>Baby Products, Beauty, Fragrance, General Wholesale / FMCG, Health &amp; Personal Care, Home &amp; Kitchen, Pet Supplies, Sports &amp; Outdoors, Stationery &amp; Office, Toys &amp; Games</t>
        </is>
      </c>
      <c r="E18" s="29" t="inlineStr">
        <is>
          <t>Go to &gt;</t>
        </is>
      </c>
      <c r="F18" s="30" t="inlineStr">
        <is>
          <t>Higher</t>
        </is>
      </c>
    </row>
    <row r="19">
      <c r="A19" s="24" t="inlineStr">
        <is>
          <t>Poland</t>
        </is>
      </c>
      <c r="B19" s="18">
        <f>COUNTIF(Suppliers!$A$2:$A$397,A19)</f>
        <v/>
      </c>
      <c r="C19" s="18">
        <f>COUNTIFS(Suppliers!$A$2:$A$397,A19,Suppliers!$C$2:$C$397,"&gt;=4")</f>
        <v/>
      </c>
      <c r="D19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19" s="29" t="inlineStr">
        <is>
          <t>Go to &gt;</t>
        </is>
      </c>
      <c r="F19" s="31" t="inlineStr">
        <is>
          <t>Low-cost</t>
        </is>
      </c>
    </row>
    <row r="20">
      <c r="A20" s="15" t="inlineStr">
        <is>
          <t>Portugal</t>
        </is>
      </c>
      <c r="B20" s="18">
        <f>COUNTIF(Suppliers!$A$2:$A$397,A20)</f>
        <v/>
      </c>
      <c r="C20" s="18">
        <f>COUNTIFS(Suppliers!$A$2:$A$397,A20,Suppliers!$C$2:$C$397,"&gt;=4")</f>
        <v/>
      </c>
      <c r="D20" s="18" t="inlineStr">
        <is>
          <t>Beauty, Home &amp; Kitchen, Stationery &amp; Office, Toys &amp; Games</t>
        </is>
      </c>
      <c r="E20" s="29" t="inlineStr">
        <is>
          <t>Go to &gt;</t>
        </is>
      </c>
      <c r="F20" s="31" t="inlineStr">
        <is>
          <t>Low-cost</t>
        </is>
      </c>
    </row>
    <row r="21">
      <c r="A21" s="24" t="inlineStr">
        <is>
          <t>Romania</t>
        </is>
      </c>
      <c r="B21" s="18">
        <f>COUNTIF(Suppliers!$A$2:$A$397,A21)</f>
        <v/>
      </c>
      <c r="C21" s="18">
        <f>COUNTIFS(Suppliers!$A$2:$A$397,A21,Suppliers!$C$2:$C$397,"&gt;=4")</f>
        <v/>
      </c>
      <c r="D21" s="18" t="inlineStr">
        <is>
          <t>Beauty, Health &amp; Personal Care</t>
        </is>
      </c>
      <c r="E21" s="29" t="inlineStr">
        <is>
          <t>Go to &gt;</t>
        </is>
      </c>
      <c r="F21" s="31" t="inlineStr">
        <is>
          <t>Low-cost</t>
        </is>
      </c>
    </row>
    <row r="22">
      <c r="A22" s="15" t="inlineStr">
        <is>
          <t>Slovenia</t>
        </is>
      </c>
      <c r="B22" s="18">
        <f>COUNTIF(Suppliers!$A$2:$A$397,A22)</f>
        <v/>
      </c>
      <c r="C22" s="18">
        <f>COUNTIFS(Suppliers!$A$2:$A$397,A22,Suppliers!$C$2:$C$397,"&gt;=4")</f>
        <v/>
      </c>
      <c r="D22" s="18" t="inlineStr">
        <is>
          <t>Health &amp; Personal Care</t>
        </is>
      </c>
      <c r="E22" s="29" t="inlineStr">
        <is>
          <t>Go to &gt;</t>
        </is>
      </c>
      <c r="F22" s="31" t="inlineStr">
        <is>
          <t>Low-cost</t>
        </is>
      </c>
    </row>
    <row r="23">
      <c r="A23" s="24" t="inlineStr">
        <is>
          <t>Spain</t>
        </is>
      </c>
      <c r="B23" s="18">
        <f>COUNTIF(Suppliers!$A$2:$A$397,A23)</f>
        <v/>
      </c>
      <c r="C23" s="18">
        <f>COUNTIFS(Suppliers!$A$2:$A$397,A23,Suppliers!$C$2:$C$397,"&gt;=4")</f>
        <v/>
      </c>
      <c r="D23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23" s="29" t="inlineStr">
        <is>
          <t>Go to &gt;</t>
        </is>
      </c>
      <c r="F23" s="32" t="inlineStr">
        <is>
          <t>Mid</t>
        </is>
      </c>
    </row>
    <row r="24">
      <c r="A24" s="15" t="inlineStr">
        <is>
          <t>Sweden</t>
        </is>
      </c>
      <c r="B24" s="18">
        <f>COUNTIF(Suppliers!$A$2:$A$397,A24)</f>
        <v/>
      </c>
      <c r="C24" s="18">
        <f>COUNTIFS(Suppliers!$A$2:$A$397,A24,Suppliers!$C$2:$C$397,"&gt;=4")</f>
        <v/>
      </c>
      <c r="D24" s="18" t="inlineStr">
        <is>
          <t>Beauty, Health &amp; Personal Care, Sports &amp; Outdoors, Toys &amp; Games</t>
        </is>
      </c>
      <c r="E24" s="29" t="inlineStr">
        <is>
          <t>Go to &gt;</t>
        </is>
      </c>
      <c r="F24" s="30" t="inlineStr">
        <is>
          <t>Higher</t>
        </is>
      </c>
    </row>
    <row r="25">
      <c r="A25" s="24" t="inlineStr">
        <is>
          <t>Switzerland</t>
        </is>
      </c>
      <c r="B25" s="18">
        <f>COUNTIF(Suppliers!$A$2:$A$397,A25)</f>
        <v/>
      </c>
      <c r="C25" s="18">
        <f>COUNTIFS(Suppliers!$A$2:$A$397,A25,Suppliers!$C$2:$C$397,"&gt;=4")</f>
        <v/>
      </c>
      <c r="D25" s="18" t="inlineStr">
        <is>
          <t>Toys &amp; Games</t>
        </is>
      </c>
      <c r="E25" s="29" t="inlineStr">
        <is>
          <t>Go to &gt;</t>
        </is>
      </c>
      <c r="F25" s="30" t="inlineStr">
        <is>
          <t>Higher (non-EU)</t>
        </is>
      </c>
    </row>
    <row r="26">
      <c r="A26" s="15" t="inlineStr">
        <is>
          <t>UK</t>
        </is>
      </c>
      <c r="B26" s="18">
        <f>COUNTIF(Suppliers!$A$2:$A$397,A26)</f>
        <v/>
      </c>
      <c r="C26" s="18">
        <f>COUNTIFS(Suppliers!$A$2:$A$397,A26,Suppliers!$C$2:$C$397,"&gt;=4")</f>
        <v/>
      </c>
      <c r="D26" s="18" t="inlineStr">
        <is>
          <t>B2B Marketplace, Baby Products, Beauty, DIY &amp; Tools, Fragrance, General Wholesale / FMCG, Health &amp; Personal Care, Home &amp; Kitchen, Pet Supplies, Sports &amp; Outdoors, Stationery &amp; Office, Toys &amp; Games</t>
        </is>
      </c>
      <c r="E26" s="29" t="inlineStr">
        <is>
          <t>Go to &gt;</t>
        </is>
      </c>
      <c r="F26" s="30" t="inlineStr">
        <is>
          <t>UK (no import)</t>
        </is>
      </c>
    </row>
    <row r="27">
      <c r="A27" s="24" t="inlineStr">
        <is>
          <t>Pan-European / Online</t>
        </is>
      </c>
      <c r="B27" s="18">
        <f>COUNTIF(Suppliers!$A$2:$A$397,A27)</f>
        <v/>
      </c>
      <c r="C27" s="18">
        <f>COUNTIFS(Suppliers!$A$2:$A$397,A27,Suppliers!$C$2:$C$397,"&gt;=4")</f>
        <v/>
      </c>
      <c r="D27" s="18" t="inlineStr">
        <is>
          <t>B2B Marketplace, Beauty</t>
        </is>
      </c>
      <c r="E27" s="29" t="inlineStr">
        <is>
          <t>Go to &gt;</t>
        </is>
      </c>
      <c r="F27" s="30" t="inlineStr">
        <is>
          <t>Varies</t>
        </is>
      </c>
    </row>
    <row r="28">
      <c r="A28" s="33" t="inlineStr">
        <is>
          <t>Total</t>
        </is>
      </c>
      <c r="B28" s="33">
        <f>SUM(B2:B27)</f>
        <v/>
      </c>
      <c r="C28" s="33">
        <f>SUM(C2:C27)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52" customWidth="1" min="3" max="3"/>
    <col width="46" customWidth="1" min="4" max="4"/>
    <col width="16" customWidth="1" min="5" max="5"/>
    <col width="12" customWidth="1" min="6" max="6"/>
  </cols>
  <sheetData>
    <row r="1">
      <c r="A1" s="1" t="inlineStr">
        <is>
          <t>Where to buy each niche cheapest in the EU</t>
        </is>
      </c>
    </row>
    <row r="2" ht="42" customHeight="1">
      <c r="A2" s="5" t="inlineStr">
        <is>
          <t>Guide only - always compare landed cost (unit price + freight + duty/VAT) in the Profit Calculator. Low-cost countries are cheapest for their OWN manufacturers' brands; big international brands are often cheapest from large German / Dutch distributors because of volume. 'On your list' counts are live formulas.</t>
        </is>
      </c>
    </row>
    <row r="4" ht="32" customHeight="1">
      <c r="A4" s="6" t="inlineStr">
        <is>
          <t>Niche</t>
        </is>
      </c>
      <c r="B4" s="6" t="inlineStr">
        <is>
          <t>Cheapest EU countries (best first)</t>
        </is>
      </c>
      <c r="C4" s="6" t="inlineStr">
        <is>
          <t>Why it's cheaper there</t>
        </is>
      </c>
      <c r="D4" s="6" t="inlineStr">
        <is>
          <t>Good brands / makers to start with</t>
        </is>
      </c>
      <c r="E4" s="6" t="inlineStr">
        <is>
          <t>On your list: Low-cost countries</t>
        </is>
      </c>
      <c r="F4" s="6" t="inlineStr">
        <is>
          <t>On your list: total</t>
        </is>
      </c>
    </row>
    <row r="5" ht="58" customHeight="1">
      <c r="A5" s="34" t="inlineStr">
        <is>
          <t>Baby Products</t>
        </is>
      </c>
      <c r="B5" s="35" t="inlineStr">
        <is>
          <t>Poland, Spain, Lithuania</t>
        </is>
      </c>
      <c r="C5" s="18" t="inlineStr">
        <is>
          <t>Poland is a major nursery-goods producer with low labour costs (bottles, teethers, prams, car seats). Spain has big feeding/soother makers at mid prices.</t>
        </is>
      </c>
      <c r="D5" s="18" t="inlineStr">
        <is>
          <t>Canpol babies, BabyOno, Lionelo, Kinderkraft (PL); Suavinex, Jané (ES)</t>
        </is>
      </c>
      <c r="E5" s="18">
        <f>COUNTIFS(Suppliers!$D$2:$D$397,A5,Suppliers!$J$2:$J$397,"Low-cost")</f>
        <v/>
      </c>
      <c r="F5" s="18">
        <f>COUNTIF(Suppliers!$D$2:$D$397,A5)</f>
        <v/>
      </c>
    </row>
    <row r="6" ht="58" customHeight="1">
      <c r="A6" s="34" t="inlineStr">
        <is>
          <t>Beauty</t>
        </is>
      </c>
      <c r="B6" s="35" t="inlineStr">
        <is>
          <t>Poland, Bulgaria, Czech Republic, Romania, Spain</t>
        </is>
      </c>
      <c r="C6" s="18" t="inlineStr">
        <is>
          <t>Poland has one of Europe's largest cosmetics industries with very low unit prices; Bulgaria is cheapest for rose-based products; Czech &amp; Romanian brands are cheap with little UK competition.</t>
        </is>
      </c>
      <c r="D6" s="18" t="inlineStr">
        <is>
          <t>Ziaja, Eveline, Bielenda, Farmona, Delia (PL); Bulgarian Rose, Lema (BG); Dermacol, Manufaktura (CZ); Gerovital (RO)</t>
        </is>
      </c>
      <c r="E6" s="18">
        <f>COUNTIFS(Suppliers!$D$2:$D$397,A6,Suppliers!$J$2:$J$397,"Low-cost")</f>
        <v/>
      </c>
      <c r="F6" s="18">
        <f>COUNTIF(Suppliers!$D$2:$D$397,A6)</f>
        <v/>
      </c>
    </row>
    <row r="7" ht="58" customHeight="1">
      <c r="A7" s="34" t="inlineStr">
        <is>
          <t>DIY &amp; Tools</t>
        </is>
      </c>
      <c r="B7" s="35" t="inlineStr">
        <is>
          <t>Poland, Czech Republic, Spain</t>
        </is>
      </c>
      <c r="C7" s="18" t="inlineStr">
        <is>
          <t>Polish tool groups (TOYA/YATO, GTX/NEO, Dedra) import and assemble at scale and sell well below German brand prices.</t>
        </is>
      </c>
      <c r="D7" s="18" t="inlineStr">
        <is>
          <t>TOYA/YATO, GTX Poland, Dedra, Logo-Tools (PL); Bellota, EGA Master (ES)</t>
        </is>
      </c>
      <c r="E7" s="18">
        <f>COUNTIFS(Suppliers!$D$2:$D$397,A7,Suppliers!$J$2:$J$397,"Low-cost")</f>
        <v/>
      </c>
      <c r="F7" s="18">
        <f>COUNTIF(Suppliers!$D$2:$D$397,A7)</f>
        <v/>
      </c>
    </row>
    <row r="8" ht="58" customHeight="1">
      <c r="A8" s="34" t="inlineStr">
        <is>
          <t>Fragrance</t>
        </is>
      </c>
      <c r="B8" s="35" t="inlineStr">
        <is>
          <t>Poland, Spain, Netherlands/Germany (distributors)</t>
        </is>
      </c>
      <c r="C8" s="18" t="inlineStr">
        <is>
          <t>Polish &amp; Spanish fragrance houses make cheap 'inspired' and own-brand lines; genuine designer fragrance is usually cheapest from large NL/DE distributors - but check authenticity and invoices carefully.</t>
        </is>
      </c>
      <c r="D8" s="18" t="inlineStr">
        <is>
          <t>Parfum Company (PL); Instituto Español (ES); verified NL/DE distributors only</t>
        </is>
      </c>
      <c r="E8" s="18">
        <f>COUNTIFS(Suppliers!$D$2:$D$397,A8,Suppliers!$J$2:$J$397,"Low-cost")</f>
        <v/>
      </c>
      <c r="F8" s="18">
        <f>COUNTIF(Suppliers!$D$2:$D$397,A8)</f>
        <v/>
      </c>
    </row>
    <row r="9" ht="58" customHeight="1">
      <c r="A9" s="34" t="inlineStr">
        <is>
          <t>General Wholesale / FMCG</t>
        </is>
      </c>
      <c r="B9" s="35" t="inlineStr">
        <is>
          <t>Poland, Netherlands, Germany</t>
        </is>
      </c>
      <c r="C9" s="18" t="inlineStr">
        <is>
          <t>Poland for cheap local FMCG; NL/DE for large multi-brand distributors and clearance stock.</t>
        </is>
      </c>
      <c r="D9" s="18" t="inlineStr">
        <is>
          <t>Check Due Diligence tab before any clearance / stock-lot deal</t>
        </is>
      </c>
      <c r="E9" s="18">
        <f>COUNTIFS(Suppliers!$D$2:$D$397,A9,Suppliers!$J$2:$J$397,"Low-cost")</f>
        <v/>
      </c>
      <c r="F9" s="18">
        <f>COUNTIF(Suppliers!$D$2:$D$397,A9)</f>
        <v/>
      </c>
    </row>
    <row r="10" ht="58" customHeight="1">
      <c r="A10" s="34" t="inlineStr">
        <is>
          <t>Health &amp; Personal Care</t>
        </is>
      </c>
      <c r="B10" s="35" t="inlineStr">
        <is>
          <t>Poland, Hungary, Czech Republic</t>
        </is>
      </c>
      <c r="C10" s="18" t="inlineStr">
        <is>
          <t>Poland &amp; Hungary are big sports-nutrition producers (Olimp, Trec, BioTechUSA); Czech makers are cheap for oral care &amp; brushes.</t>
        </is>
      </c>
      <c r="D10" s="18" t="inlineStr">
        <is>
          <t>Olimp, Trec (PL); BioTechUSA (HU); Nutrend, Spokar, Alpa (CZ)</t>
        </is>
      </c>
      <c r="E10" s="18">
        <f>COUNTIFS(Suppliers!$D$2:$D$397,A10,Suppliers!$J$2:$J$397,"Low-cost")</f>
        <v/>
      </c>
      <c r="F10" s="18">
        <f>COUNTIF(Suppliers!$D$2:$D$397,A10)</f>
        <v/>
      </c>
    </row>
    <row r="11" ht="58" customHeight="1">
      <c r="A11" s="34" t="inlineStr">
        <is>
          <t>Home &amp; Kitchen</t>
        </is>
      </c>
      <c r="B11" s="35" t="inlineStr">
        <is>
          <t>Poland, Czech Republic, Portugal</t>
        </is>
      </c>
      <c r="C11" s="18" t="inlineStr">
        <is>
          <t>Low manufacturing costs for cookware, cleaning tools, kitchen utensils and storage; Portugal is cheap for cookware, ceramics and textiles.</t>
        </is>
      </c>
      <c r="D11" s="18" t="inlineStr">
        <is>
          <t>Gerlach, Konex, Homla (PL); Tescoma, BLEX, Dřevotvar (CZ); Silampos (PT)</t>
        </is>
      </c>
      <c r="E11" s="18">
        <f>COUNTIFS(Suppliers!$D$2:$D$397,A11,Suppliers!$J$2:$J$397,"Low-cost")</f>
        <v/>
      </c>
      <c r="F11" s="18">
        <f>COUNTIF(Suppliers!$D$2:$D$397,A11)</f>
        <v/>
      </c>
    </row>
    <row r="12" ht="58" customHeight="1">
      <c r="A12" s="34" t="inlineStr">
        <is>
          <t>Pet Supplies</t>
        </is>
      </c>
      <c r="B12" s="35" t="inlineStr">
        <is>
          <t>Poland, Czech Republic, Spain</t>
        </is>
      </c>
      <c r="C12" s="18" t="inlineStr">
        <is>
          <t>Poland is a major pet food &amp; accessories producer (86-88% of its pet food is exported within the EU); Spanish &amp; Italian accessory makers are mid-priced.</t>
        </is>
      </c>
      <c r="D12" s="18" t="inlineStr">
        <is>
          <t>Dingo, Vitapol, DermaPharm (PL); Funky Dog (CZ); Gaun (ES); Georplast (IT)</t>
        </is>
      </c>
      <c r="E12" s="18">
        <f>COUNTIFS(Suppliers!$D$2:$D$397,A12,Suppliers!$J$2:$J$397,"Low-cost")</f>
        <v/>
      </c>
      <c r="F12" s="18">
        <f>COUNTIF(Suppliers!$D$2:$D$397,A12)</f>
        <v/>
      </c>
    </row>
    <row r="13" ht="58" customHeight="1">
      <c r="A13" s="34" t="inlineStr">
        <is>
          <t>Sports &amp; Outdoors</t>
        </is>
      </c>
      <c r="B13" s="35" t="inlineStr">
        <is>
          <t>Poland, Czech Republic, Spain</t>
        </is>
      </c>
      <c r="C13" s="18" t="inlineStr">
        <is>
          <t>Polish fitness/sports accessory brands are cheap and well known in Central Europe; Spain for padel &amp; fitness accessories.</t>
        </is>
      </c>
      <c r="D13" s="18" t="inlineStr">
        <is>
          <t>Spokey, Meteor, Bacha Sport (PL); Softee/Jim Sports (ES)</t>
        </is>
      </c>
      <c r="E13" s="18">
        <f>COUNTIFS(Suppliers!$D$2:$D$397,A13,Suppliers!$J$2:$J$397,"Low-cost")</f>
        <v/>
      </c>
      <c r="F13" s="18">
        <f>COUNTIF(Suppliers!$D$2:$D$397,A13)</f>
        <v/>
      </c>
    </row>
    <row r="14" ht="58" customHeight="1">
      <c r="A14" s="34" t="inlineStr">
        <is>
          <t>Stationery &amp; Office</t>
        </is>
      </c>
      <c r="B14" s="35" t="inlineStr">
        <is>
          <t>Poland, Czech Republic, Spain, Portugal</t>
        </is>
      </c>
      <c r="C14" s="18" t="inlineStr">
        <is>
          <t>Local paper &amp; stationery industries with low costs; Spain's APLI &amp; MILAN are cheap for labels and school supplies.</t>
        </is>
      </c>
      <c r="D14" s="18" t="inlineStr">
        <is>
          <t>Interdruk (PL); KOH-I-NOOR (CZ); APLI, MILAN (ES); Bi-silque (PT)</t>
        </is>
      </c>
      <c r="E14" s="18">
        <f>COUNTIFS(Suppliers!$D$2:$D$397,A14,Suppliers!$J$2:$J$397,"Low-cost")</f>
        <v/>
      </c>
      <c r="F14" s="18">
        <f>COUNTIF(Suppliers!$D$2:$D$397,A14)</f>
        <v/>
      </c>
    </row>
    <row r="15" ht="58" customHeight="1">
      <c r="A15" s="34" t="inlineStr">
        <is>
          <t>Toys &amp; Games</t>
        </is>
      </c>
      <c r="B15" s="35" t="inlineStr">
        <is>
          <t>Poland, Czech Republic, Spain</t>
        </is>
      </c>
      <c r="C15" s="18" t="inlineStr">
        <is>
          <t>Poland &amp; Czechia make puzzles and board games cheaply in-house (Trefl, Dino); Spain's Ibi/Onil toy cluster for dolls, ride-ons and outdoor toys.</t>
        </is>
      </c>
      <c r="D15" s="18" t="inlineStr">
        <is>
          <t>Trefl, COBI, Wader, Granna (PL); Dino Toys, Albi (CZ); Miniland, Colorbaby, Famosa (ES)</t>
        </is>
      </c>
      <c r="E15" s="18">
        <f>COUNTIFS(Suppliers!$D$2:$D$397,A15,Suppliers!$J$2:$J$397,"Low-cost")</f>
        <v/>
      </c>
      <c r="F15" s="18">
        <f>COUNTIF(Suppliers!$D$2:$D$397,A15)</f>
        <v/>
      </c>
    </row>
    <row r="16" ht="58" customHeight="1">
      <c r="A16" s="34" t="inlineStr">
        <is>
          <t>B2B Marketplace</t>
        </is>
      </c>
      <c r="B16" s="35" t="inlineStr">
        <is>
          <t>Varies</t>
        </is>
      </c>
      <c r="C16" s="18" t="inlineStr">
        <is>
          <t>Marketplaces aggregate many sellers - prices vary by seller. Verify each seller's company registration and VAT number.</t>
        </is>
      </c>
      <c r="D16" s="18" t="inlineStr">
        <is>
          <t>See Due Diligence tab</t>
        </is>
      </c>
      <c r="E16" s="18">
        <f>COUNTIFS(Suppliers!$D$2:$D$397,A16,Suppliers!$J$2:$J$397,"Low-cost")</f>
        <v/>
      </c>
      <c r="F16" s="18">
        <f>COUNTIF(Suppliers!$D$2:$D$397,A16)</f>
        <v/>
      </c>
    </row>
    <row r="18">
      <c r="A18" s="3" t="inlineStr">
        <is>
          <t>Avoiding scammers when buying cheap</t>
        </is>
      </c>
    </row>
    <row r="19" ht="30" customHeight="1">
      <c r="A19" s="5" t="inlineStr">
        <is>
          <t>- Prices far below every other quote are the #1 warning sign - genuine low-cost countries are cheaper, not 70% cheaper.</t>
        </is>
      </c>
    </row>
    <row r="20" ht="30" customHeight="1">
      <c r="A20" s="5" t="inlineStr">
        <is>
          <t>- Check the company on the official register: Poland KRS/CEIDG, Czech ARES/justice.cz, Bulgaria Commercial Register (EIK), Romania ONRC, Lithuania Registrų centras, Spain Registro Mercantil, Portugal NIF. Then check the VAT number on the EU VIES site.</t>
        </is>
      </c>
    </row>
    <row r="21" ht="30" customHeight="1">
      <c r="A21" s="5" t="inlineStr">
        <is>
          <t>- Prefer suppliers listed by a government export agency (CzechTrade, trade.gov.pl / PAIH, ICEX, AICEP) or exhibiting at major trade fairs - these are noted in the Legitimacy Evidence column.</t>
        </is>
      </c>
    </row>
    <row r="22" ht="30" customHeight="1">
      <c r="A22" s="5" t="inlineStr">
        <is>
          <t>- Bank details must be in the company's own name and country. Never pay a personal account, crypto, or a 'new' bank account sent by email - phone the supplier on a number from their website to confirm.</t>
        </is>
      </c>
    </row>
    <row r="23" ht="30" customHeight="1">
      <c r="A23" s="5" t="inlineStr">
        <is>
          <t>- Start with a small test order, ask for an invoice that meets Amazon's requirements, and use a card or escrow-style payment where possible for the first order.</t>
        </is>
      </c>
    </row>
  </sheetData>
  <mergeCells count="6">
    <mergeCell ref="A2:F2"/>
    <mergeCell ref="A19:F19"/>
    <mergeCell ref="A23:F23"/>
    <mergeCell ref="A22:F22"/>
    <mergeCell ref="A20:F20"/>
    <mergeCell ref="A21:F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42" customWidth="1" min="4" max="4"/>
    <col width="46" customWidth="1" min="5" max="5"/>
    <col width="40" customWidth="1" min="6" max="6"/>
    <col width="44" customWidth="1" min="7" max="7"/>
  </cols>
  <sheetData>
    <row r="1" ht="32" customHeight="1">
      <c r="A1" s="6" t="inlineStr">
        <is>
          <t>Niche</t>
        </is>
      </c>
      <c r="B1" s="6" t="inlineStr">
        <is>
          <t>Suppliers in list</t>
        </is>
      </c>
      <c r="C1" s="6" t="inlineStr">
        <is>
          <t>Priority 4-5</t>
        </is>
      </c>
      <c r="D1" s="6" t="inlineStr">
        <is>
          <t>Amazon UK gating (check Seller Central)</t>
        </is>
      </c>
      <c r="E1" s="6" t="inlineStr">
        <is>
          <t>Compliance / documents to ask for</t>
        </is>
      </c>
      <c r="F1" s="6" t="inlineStr">
        <is>
          <t>What tends to sell</t>
        </is>
      </c>
      <c r="G1" s="6" t="inlineStr">
        <is>
          <t>Sourcing tips</t>
        </is>
      </c>
    </row>
    <row r="2" ht="62" customHeight="1">
      <c r="A2" s="34" t="inlineStr">
        <is>
          <t>B2B Marketplace</t>
        </is>
      </c>
      <c r="B2" s="18">
        <f>COUNTIF(Suppliers!$D$2:$D$397,A2)</f>
        <v/>
      </c>
      <c r="C2" s="18">
        <f>COUNTIFS(Suppliers!$D$2:$D$397,A2,Suppliers!$C$2:$C$397,"&gt;=4")</f>
        <v/>
      </c>
      <c r="D2" s="18" t="inlineStr">
        <is>
          <t>Depends on brand.</t>
        </is>
      </c>
      <c r="E2" s="18" t="inlineStr">
        <is>
          <t>Ask platform for commercial invoices + compliance docs per product.</t>
        </is>
      </c>
      <c r="F2" s="18" t="inlineStr">
        <is>
          <t>Branded H&amp;B (Qogita), FMCG (Parallel), general merchandise (BigBuy, zentrada).</t>
        </is>
      </c>
      <c r="G2" s="18" t="inlineStr">
        <is>
          <t>Fastest way to test a niche with low MOQs; liquidation platforms are not suitable for 'New' Amazon listings.</t>
        </is>
      </c>
    </row>
    <row r="3" ht="62" customHeight="1">
      <c r="A3" s="34" t="inlineStr">
        <is>
          <t>Baby Products</t>
        </is>
      </c>
      <c r="B3" s="18">
        <f>COUNTIF(Suppliers!$D$2:$D$397,A3)</f>
        <v/>
      </c>
      <c r="C3" s="18">
        <f>COUNTIFS(Suppliers!$D$2:$D$397,A3,Suppliers!$C$2:$C$397,"&gt;=4")</f>
        <v/>
      </c>
      <c r="D3" s="18" t="inlineStr">
        <is>
          <t>Category and many brands may need approval; formula, car seats &amp; safety items are high scrutiny.</t>
        </is>
      </c>
      <c r="E3" s="18" t="inlineStr">
        <is>
          <t>EN/BS safety standards (e.g. EN 14350 feeding, EN 1888 pushchairs), UKCA/CE, age warnings.</t>
        </is>
      </c>
      <c r="F3" s="18" t="inlineStr">
        <is>
          <t>Feeding bottles, dummies, teethers, nappies, baby toiletries, monitors.</t>
        </is>
      </c>
      <c r="G3" s="18" t="inlineStr">
        <is>
          <t>Avoid infant formula and car seats until established; feeding &amp; soothers (MAM, Tommee Tippee) are steady sellers.</t>
        </is>
      </c>
    </row>
    <row r="4" ht="62" customHeight="1">
      <c r="A4" s="34" t="inlineStr">
        <is>
          <t>Beauty</t>
        </is>
      </c>
      <c r="B4" s="18">
        <f>COUNTIF(Suppliers!$D$2:$D$397,A4)</f>
        <v/>
      </c>
      <c r="C4" s="18">
        <f>COUNTIFS(Suppliers!$D$2:$D$397,A4,Suppliers!$C$2:$C$397,"&gt;=4")</f>
        <v/>
      </c>
      <c r="D4" s="18" t="inlineStr">
        <is>
          <t>Many brands gated; prestige/luxury beauty is the hardest. Some topical products need approval.</t>
        </is>
      </c>
      <c r="E4" s="18" t="inlineStr">
        <is>
          <t>UK Responsible Person + SCPN notification; batch codes &amp; expiry/PAO; INCI ingredients; CPNP for EU stock.</t>
        </is>
      </c>
      <c r="F4" s="18" t="inlineStr">
        <is>
          <t>K-beauty (COSRX, Beauty of Joseon, Anua), derma skincare (CeraVe), mass cosmetics, hair care.</t>
        </is>
      </c>
      <c r="G4" s="18" t="inlineStr">
        <is>
          <t>Counterfeits are common in CeraVe/The Ordinary - insist on authorised-distributor proof. Pro-salon brands usually ban Amazon.</t>
        </is>
      </c>
    </row>
    <row r="5" ht="62" customHeight="1">
      <c r="A5" s="34" t="inlineStr">
        <is>
          <t>DIY &amp; Tools</t>
        </is>
      </c>
      <c r="B5" s="18">
        <f>COUNTIF(Suppliers!$D$2:$D$397,A5)</f>
        <v/>
      </c>
      <c r="C5" s="18">
        <f>COUNTIFS(Suppliers!$D$2:$D$397,A5,Suppliers!$C$2:$C$397,"&gt;=4")</f>
        <v/>
      </c>
      <c r="D5" s="18" t="inlineStr">
        <is>
          <t>Mostly ungated; big power-tool brands (DeWalt, Makita, Bosch) are often restricted.</t>
        </is>
      </c>
      <c r="E5" s="18" t="inlineStr">
        <is>
          <t>Lithium batteries = hazmat (SDS / UN38.3); UKCA/CE for power tools; UK plugs.</t>
        </is>
      </c>
      <c r="F5" s="18" t="inlineStr">
        <is>
          <t>Hand tools, accessories &amp; consumables, garage/workshop, cordless tool kits.</t>
        </is>
      </c>
      <c r="G5" s="18" t="inlineStr">
        <is>
          <t>Toolbank is trade-only for resellers; Draper has a stockist programme with brand-direct invoices.</t>
        </is>
      </c>
    </row>
    <row r="6" ht="62" customHeight="1">
      <c r="A6" s="34" t="inlineStr">
        <is>
          <t>Fragrance</t>
        </is>
      </c>
      <c r="B6" s="18">
        <f>COUNTIF(Suppliers!$D$2:$D$397,A6)</f>
        <v/>
      </c>
      <c r="C6" s="18">
        <f>COUNTIFS(Suppliers!$D$2:$D$397,A6,Suppliers!$C$2:$C$397,"&gt;=4")</f>
        <v/>
      </c>
      <c r="D6" s="18" t="inlineStr">
        <is>
          <t>Many designer brands are brand-gated. Fragrance is also hazmat (flammable).</t>
        </is>
      </c>
      <c r="E6" s="18" t="inlineStr">
        <is>
          <t>Safety Data Sheet (SDS) per product for hazmat review; sealed retail stock only (no testers); UK RP on pack.</t>
        </is>
      </c>
      <c r="F6" s="18" t="inlineStr">
        <is>
          <t>Designer gift sets (Q4), Arabian brands (Lattafa, Armaf), mass fragrance &amp; body sprays.</t>
        </is>
      </c>
      <c r="G6" s="18" t="inlineStr">
        <is>
          <t>Arabian-brand distributors are often easier to get approved with; ask designer wholesalers for authorised-distributor invoices.</t>
        </is>
      </c>
    </row>
    <row r="7" ht="62" customHeight="1">
      <c r="A7" s="34" t="inlineStr">
        <is>
          <t>General Wholesale / FMCG</t>
        </is>
      </c>
      <c r="B7" s="18">
        <f>COUNTIF(Suppliers!$D$2:$D$397,A7)</f>
        <v/>
      </c>
      <c r="C7" s="18">
        <f>COUNTIFS(Suppliers!$D$2:$D$397,A7,Suppliers!$C$2:$C$397,"&gt;=4")</f>
        <v/>
      </c>
      <c r="D7" s="18" t="inlineStr">
        <is>
          <t>Grocery may need approval; FMCG brands vary.</t>
        </is>
      </c>
      <c r="E7" s="18" t="inlineStr">
        <is>
          <t>Expiry dates (FBA min. remaining shelf life), batch codes.</t>
        </is>
      </c>
      <c r="F7" s="18" t="inlineStr">
        <is>
          <t>Household cleaning, toiletries, confectionery, multipacks.</t>
        </is>
      </c>
      <c r="G7" s="18" t="inlineStr">
        <is>
          <t>Cash &amp; carry promotions can work for arbitrage-style wholesale; margins are thin.</t>
        </is>
      </c>
    </row>
    <row r="8" ht="62" customHeight="1">
      <c r="A8" s="34" t="inlineStr">
        <is>
          <t>Health &amp; Personal Care</t>
        </is>
      </c>
      <c r="B8" s="18">
        <f>COUNTIF(Suppliers!$D$2:$D$397,A8)</f>
        <v/>
      </c>
      <c r="C8" s="18">
        <f>COUNTIFS(Suppliers!$D$2:$D$397,A8,Suppliers!$C$2:$C$397,"&gt;=4")</f>
        <v/>
      </c>
      <c r="D8" s="18" t="inlineStr">
        <is>
          <t>Some brands gated; supplements, OTC medicines and topicals face extra scrutiny.</t>
        </is>
      </c>
      <c r="E8" s="18" t="inlineStr">
        <is>
          <t>Supplements: label compliance &amp; batch CoA; GSL medicines: MHRA rules; electrical grooming: UKCA/CE.</t>
        </is>
      </c>
      <c r="F8" s="18" t="inlineStr">
        <is>
          <t>Oral care, shaving, deodorants, vitamins, sports nutrition, first aid.</t>
        </is>
      </c>
      <c r="G8" s="18" t="inlineStr">
        <is>
          <t>Sports nutrition and first aid are strong for wholesale; check expiry dates for FBA (min. shelf life).</t>
        </is>
      </c>
    </row>
    <row r="9" ht="62" customHeight="1">
      <c r="A9" s="34" t="inlineStr">
        <is>
          <t>Home &amp; Kitchen</t>
        </is>
      </c>
      <c r="B9" s="18">
        <f>COUNTIF(Suppliers!$D$2:$D$397,A9)</f>
        <v/>
      </c>
      <c r="C9" s="18">
        <f>COUNTIFS(Suppliers!$D$2:$D$397,A9,Suppliers!$C$2:$C$397,"&gt;=4")</f>
        <v/>
      </c>
      <c r="D9" s="18" t="inlineStr">
        <is>
          <t>Largely ungated; some premium brands restricted.</t>
        </is>
      </c>
      <c r="E9" s="18" t="inlineStr">
        <is>
          <t>Electricals: UKCA/CE + UK plug + WEEE; food-contact materials compliance for kitchenware.</t>
        </is>
      </c>
      <c r="F9" s="18" t="inlineStr">
        <is>
          <t>Small appliances (Tower, Swan, Kenwood), storage, kitchen gadgets, cookware.</t>
        </is>
      </c>
      <c r="G9" s="18" t="inlineStr">
        <is>
          <t>Brand owners like RKW (Tower/Swan) supply directly; watch MAP pricing on premium cookware.</t>
        </is>
      </c>
    </row>
    <row r="10" ht="62" customHeight="1">
      <c r="A10" s="34" t="inlineStr">
        <is>
          <t>Pet Supplies</t>
        </is>
      </c>
      <c r="B10" s="18">
        <f>COUNTIF(Suppliers!$D$2:$D$397,A10)</f>
        <v/>
      </c>
      <c r="C10" s="18">
        <f>COUNTIFS(Suppliers!$D$2:$D$397,A10,Suppliers!$C$2:$C$397,"&gt;=4")</f>
        <v/>
      </c>
      <c r="D10" s="18" t="inlineStr">
        <is>
          <t>Mostly open; some major brands restricted.</t>
        </is>
      </c>
      <c r="E10" s="18" t="inlineStr">
        <is>
          <t>Pet food: labelling &amp; expiry; accessories: general product safety.</t>
        </is>
      </c>
      <c r="F10" s="18" t="inlineStr">
        <is>
          <t>Toys (KONG, Trixie), grooming, beds, treats, cat litter accessories.</t>
        </is>
      </c>
      <c r="G10" s="18" t="inlineStr">
        <is>
          <t>Trixie sells direct to retailers with a UK warehouse - good first call. Heavy bulky food has high FBA fees.</t>
        </is>
      </c>
    </row>
    <row r="11" ht="62" customHeight="1">
      <c r="A11" s="34" t="inlineStr">
        <is>
          <t>Sports &amp; Outdoors</t>
        </is>
      </c>
      <c r="B11" s="18">
        <f>COUNTIF(Suppliers!$D$2:$D$397,A11)</f>
        <v/>
      </c>
      <c r="C11" s="18">
        <f>COUNTIFS(Suppliers!$D$2:$D$397,A11,Suppliers!$C$2:$C$397,"&gt;=4")</f>
        <v/>
      </c>
      <c r="D11" s="18" t="inlineStr">
        <is>
          <t>Mostly ungated; branded apparel/footwear (Nike, adidas) often restricted.</t>
        </is>
      </c>
      <c r="E11" s="18" t="inlineStr">
        <is>
          <t>Gas canisters &amp; some fuels are hazmat; bike parts safety; fitness equipment weight = high FBA fees.</t>
        </is>
      </c>
      <c r="F11" s="18" t="inlineStr">
        <is>
          <t>Home fitness accessories, cycling accessories, camping gear, team sports.</t>
        </is>
      </c>
      <c r="G11" s="18" t="inlineStr">
        <is>
          <t>Small/light items (bike accessories, resistance bands) work best for FBA fees.</t>
        </is>
      </c>
    </row>
    <row r="12" ht="62" customHeight="1">
      <c r="A12" s="34" t="inlineStr">
        <is>
          <t>Stationery &amp; Office</t>
        </is>
      </c>
      <c r="B12" s="18">
        <f>COUNTIF(Suppliers!$D$2:$D$397,A12)</f>
        <v/>
      </c>
      <c r="C12" s="18">
        <f>COUNTIFS(Suppliers!$D$2:$D$397,A12,Suppliers!$C$2:$C$397,"&gt;=4")</f>
        <v/>
      </c>
      <c r="D12" s="18" t="inlineStr">
        <is>
          <t>Largely ungated.</t>
        </is>
      </c>
      <c r="E12" s="18" t="inlineStr">
        <is>
          <t>Ink/toner: counterfeit risk - originals only from authorised distributors; art materials: toy-safety if for children.</t>
        </is>
      </c>
      <c r="F12" s="18" t="inlineStr">
        <is>
          <t>Branded pens (Pilot, BIC, Stabilo), notebooks, art supplies, school supplies, labels.</t>
        </is>
      </c>
      <c r="G12" s="18" t="inlineStr">
        <is>
          <t>Low price points - bundle/multipacks to beat FBA fees.</t>
        </is>
      </c>
    </row>
    <row r="13" ht="62" customHeight="1">
      <c r="A13" s="34" t="inlineStr">
        <is>
          <t>Toys &amp; Games</t>
        </is>
      </c>
      <c r="B13" s="18">
        <f>COUNTIF(Suppliers!$D$2:$D$397,A13)</f>
        <v/>
      </c>
      <c r="C13" s="18">
        <f>COUNTIFS(Suppliers!$D$2:$D$397,A13,Suppliers!$C$2:$C$397,"&gt;=4")</f>
        <v/>
      </c>
      <c r="D13" s="18" t="inlineStr">
        <is>
          <t>Brand-gated (LEGO, Disney, Hasbro, Mattel). Amazon has restricted new sellers in Q4 in past years.</t>
        </is>
      </c>
      <c r="E13" s="18" t="inlineStr">
        <is>
          <t>UKCA/CE marking, EN71 test reports, age &amp; small-parts warnings, UK importer address on pack.</t>
        </is>
      </c>
      <c r="F13" s="18" t="inlineStr">
        <is>
          <t>Board games, LEGO-licensed goods, collectibles (Funko), pocket-money toys, licensed character toys.</t>
        </is>
      </c>
      <c r="G13" s="18" t="inlineStr">
        <is>
          <t>Official UK distributors (A.B. Gee, Wind Designs) give the best invoices; board games via EPN are low-risk.</t>
        </is>
      </c>
    </row>
    <row r="15">
      <c r="A15" s="36" t="inlineStr">
        <is>
          <t>Gating rules change often - always confirm in Seller Central (Add a Product &gt; search ASIN &gt; 'Request approval').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2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13" customWidth="1" min="3" max="3"/>
    <col width="13" customWidth="1" min="4" max="4"/>
    <col width="9" customWidth="1" min="5" max="5"/>
    <col width="9" customWidth="1" min="6" max="6"/>
    <col width="10" customWidth="1" min="7" max="7"/>
    <col width="10" customWidth="1" min="8" max="8"/>
    <col width="9" customWidth="1" min="9" max="9"/>
    <col width="9" customWidth="1" min="10" max="10"/>
    <col width="9" customWidth="1" min="11" max="11"/>
    <col width="11" customWidth="1" min="12" max="12"/>
    <col width="11" customWidth="1" min="13" max="13"/>
    <col width="8" customWidth="1" min="14" max="14"/>
    <col width="11" customWidth="1" min="15" max="15"/>
    <col width="9" customWidth="1" min="16" max="16"/>
    <col width="10" customWidth="1" min="17" max="17"/>
    <col width="9" customWidth="1" min="18" max="18"/>
    <col width="10" customWidth="1" min="19" max="19"/>
    <col width="11" customWidth="1" min="20" max="20"/>
    <col width="9" customWidth="1" min="21" max="21"/>
    <col width="9" customWidth="1" min="22" max="22"/>
    <col width="12" customWidth="1" min="23" max="23"/>
    <col width="10" customWidth="1" min="24" max="24"/>
  </cols>
  <sheetData>
    <row r="1">
      <c r="A1" s="1" t="inlineStr">
        <is>
          <t>Profit Calculator - Amazon UK (FBA)</t>
        </is>
      </c>
    </row>
    <row r="2">
      <c r="A2" s="36" t="inlineStr">
        <is>
          <t>Blue = your inputs. Black = formulas. Assumes you are VAT-registered (input VAT reclaimed, fees shown ex VAT).</t>
        </is>
      </c>
    </row>
    <row r="4">
      <c r="A4" s="33" t="inlineStr">
        <is>
          <t>EUR to GBP rate</t>
        </is>
      </c>
      <c r="B4" s="37" t="n">
        <v>0.85</v>
      </c>
      <c r="C4" s="38" t="inlineStr">
        <is>
          <t>Placeholder - update to today's rate (e.g. from xe.com) before using.</t>
        </is>
      </c>
    </row>
    <row r="5">
      <c r="A5" s="33" t="inlineStr">
        <is>
          <t>UK VAT rate</t>
        </is>
      </c>
      <c r="B5" s="39" t="n">
        <v>0.2</v>
      </c>
      <c r="C5" s="38" t="inlineStr">
        <is>
          <t>Standard UK VAT rate. Some baby/children's items are zero-rated - adjust per row.</t>
        </is>
      </c>
    </row>
    <row r="6">
      <c r="A6" s="33" t="inlineStr">
        <is>
          <t>Default referral fee</t>
        </is>
      </c>
      <c r="B6" s="39" t="n">
        <v>0.15</v>
      </c>
      <c r="C6" s="38" t="inlineStr">
        <is>
          <t>Typical Amazon UK referral fee; varies by category (check Amazon's fee schedule).</t>
        </is>
      </c>
    </row>
    <row r="7">
      <c r="A7" s="33" t="inlineStr">
        <is>
          <t>Target ROI</t>
        </is>
      </c>
      <c r="B7" s="39" t="n">
        <v>0.3</v>
      </c>
      <c r="C7" s="38" t="inlineStr">
        <is>
          <t>Your minimum ROI to buy. Change to suit your strategy.</t>
        </is>
      </c>
    </row>
    <row r="10" ht="45" customHeight="1">
      <c r="A10" s="6" t="inlineStr">
        <is>
          <t>Product</t>
        </is>
      </c>
      <c r="B10" s="6" t="inlineStr">
        <is>
          <t>Supplier</t>
        </is>
      </c>
      <c r="C10" s="6" t="inlineStr">
        <is>
          <t>ASIN</t>
        </is>
      </c>
      <c r="D10" s="6" t="inlineStr">
        <is>
          <t>Unit cost (supplier ccy, ex VAT)</t>
        </is>
      </c>
      <c r="E10" s="6" t="inlineStr">
        <is>
          <t>Currency</t>
        </is>
      </c>
      <c r="F10" s="6" t="inlineStr">
        <is>
          <t>FX to GBP</t>
        </is>
      </c>
      <c r="G10" s="6" t="inlineStr">
        <is>
          <t>Unit cost £</t>
        </is>
      </c>
      <c r="H10" s="6" t="inlineStr">
        <is>
          <t>Freight / unit £</t>
        </is>
      </c>
      <c r="I10" s="6" t="inlineStr">
        <is>
          <t>Import duty %</t>
        </is>
      </c>
      <c r="J10" s="6" t="inlineStr">
        <is>
          <t>Duty £</t>
        </is>
      </c>
      <c r="K10" s="6" t="inlineStr">
        <is>
          <t>Prep / other £</t>
        </is>
      </c>
      <c r="L10" s="6" t="inlineStr">
        <is>
          <t>Landed cost £</t>
        </is>
      </c>
      <c r="M10" s="6" t="inlineStr">
        <is>
          <t>Sell price inc VAT £</t>
        </is>
      </c>
      <c r="N10" s="6" t="inlineStr">
        <is>
          <t>VAT rate</t>
        </is>
      </c>
      <c r="O10" s="6" t="inlineStr">
        <is>
          <t>Sell price ex VAT £</t>
        </is>
      </c>
      <c r="P10" s="6" t="inlineStr">
        <is>
          <t>Referral %</t>
        </is>
      </c>
      <c r="Q10" s="6" t="inlineStr">
        <is>
          <t>Referral fee £</t>
        </is>
      </c>
      <c r="R10" s="6" t="inlineStr">
        <is>
          <t>FBA fee £</t>
        </is>
      </c>
      <c r="S10" s="6" t="inlineStr">
        <is>
          <t>Storage / other fees £</t>
        </is>
      </c>
      <c r="T10" s="6" t="inlineStr">
        <is>
          <t>Net profit £</t>
        </is>
      </c>
      <c r="U10" s="6" t="inlineStr">
        <is>
          <t>ROI</t>
        </is>
      </c>
      <c r="V10" s="6" t="inlineStr">
        <is>
          <t>Margin</t>
        </is>
      </c>
      <c r="W10" s="6" t="inlineStr">
        <is>
          <t>Break-even price inc VAT £</t>
        </is>
      </c>
      <c r="X10" s="6" t="inlineStr">
        <is>
          <t>Verdict</t>
        </is>
      </c>
    </row>
    <row r="11">
      <c r="A11" s="40" t="inlineStr">
        <is>
          <t>Example: Arabian EDP 100ml</t>
        </is>
      </c>
      <c r="B11" s="40" t="inlineStr">
        <is>
          <t>BJUTIP a.s.</t>
        </is>
      </c>
      <c r="C11" s="40" t="inlineStr">
        <is>
          <t>B0EXAMPLE1</t>
        </is>
      </c>
      <c r="D11" s="41" t="n">
        <v>12.5</v>
      </c>
      <c r="E11" s="40" t="inlineStr">
        <is>
          <t>EUR</t>
        </is>
      </c>
      <c r="F11" s="42">
        <f>IF(D11="","",IF(E11="EUR",$B$4,1))</f>
        <v/>
      </c>
      <c r="G11" s="43">
        <f>IF(D11="","",D11*F11)</f>
        <v/>
      </c>
      <c r="H11" s="44" t="n">
        <v>0.6</v>
      </c>
      <c r="I11" s="45" t="n">
        <v>0</v>
      </c>
      <c r="J11" s="43">
        <f>IF(D11="","",(G11+H11)*I11)</f>
        <v/>
      </c>
      <c r="K11" s="44" t="n">
        <v>0.3</v>
      </c>
      <c r="L11" s="43">
        <f>IF(D11="","",G11+H11+J11+K11)</f>
        <v/>
      </c>
      <c r="M11" s="44" t="n">
        <v>32.99</v>
      </c>
      <c r="N11" s="46">
        <f>IF(M11="","",$B$5)</f>
        <v/>
      </c>
      <c r="O11" s="43">
        <f>IF(M11="","",M11/(1+N11))</f>
        <v/>
      </c>
      <c r="P11" s="46">
        <f>IF(M11="","",$B$6)</f>
        <v/>
      </c>
      <c r="Q11" s="43">
        <f>IF(M11="","",M11*P11)</f>
        <v/>
      </c>
      <c r="R11" s="44" t="n">
        <v>3.4</v>
      </c>
      <c r="S11" s="44" t="n">
        <v>0.15</v>
      </c>
      <c r="T11" s="43">
        <f>IF(OR(D11="",M11=""),"",O11-L11-Q11-R11-S11)</f>
        <v/>
      </c>
      <c r="U11" s="47">
        <f>IF(T11="","",IF(L11=0,"",T11/L11))</f>
        <v/>
      </c>
      <c r="V11" s="47">
        <f>IF(T11="","",T11/O11)</f>
        <v/>
      </c>
      <c r="W11" s="43">
        <f>IF(OR(D11="",M11=""),"",IF((1/(1+N11)-P11)&lt;=0,"",(L11+R11+S11)/(1/(1+N11)-P11)))</f>
        <v/>
      </c>
      <c r="X11" s="30">
        <f>IF(U11="","",IF(U11&gt;=$B$7,"BUY","SKIP"))</f>
        <v/>
      </c>
    </row>
    <row r="12">
      <c r="A12" s="40" t="inlineStr">
        <is>
          <t>Example: Pet toy (UK supplier)</t>
        </is>
      </c>
      <c r="B12" s="40" t="inlineStr">
        <is>
          <t>Pedigree Wholesale</t>
        </is>
      </c>
      <c r="C12" s="40" t="inlineStr">
        <is>
          <t>B0EXAMPLE2</t>
        </is>
      </c>
      <c r="D12" s="41" t="n">
        <v>4.2</v>
      </c>
      <c r="E12" s="40" t="inlineStr">
        <is>
          <t>GBP</t>
        </is>
      </c>
      <c r="F12" s="42">
        <f>IF(D12="","",IF(E12="EUR",$B$4,1))</f>
        <v/>
      </c>
      <c r="G12" s="43">
        <f>IF(D12="","",D12*F12)</f>
        <v/>
      </c>
      <c r="H12" s="44" t="n">
        <v>0.25</v>
      </c>
      <c r="I12" s="45" t="n">
        <v>0</v>
      </c>
      <c r="J12" s="43">
        <f>IF(D12="","",(G12+H12)*I12)</f>
        <v/>
      </c>
      <c r="K12" s="44" t="n">
        <v>0.1</v>
      </c>
      <c r="L12" s="43">
        <f>IF(D12="","",G12+H12+J12+K12)</f>
        <v/>
      </c>
      <c r="M12" s="44" t="n">
        <v>12.99</v>
      </c>
      <c r="N12" s="46">
        <f>IF(M12="","",$B$5)</f>
        <v/>
      </c>
      <c r="O12" s="43">
        <f>IF(M12="","",M12/(1+N12))</f>
        <v/>
      </c>
      <c r="P12" s="46">
        <f>IF(M12="","",$B$6)</f>
        <v/>
      </c>
      <c r="Q12" s="43">
        <f>IF(M12="","",M12*P12)</f>
        <v/>
      </c>
      <c r="R12" s="44" t="n">
        <v>2.9</v>
      </c>
      <c r="S12" s="44" t="n">
        <v>0.05</v>
      </c>
      <c r="T12" s="43">
        <f>IF(OR(D12="",M12=""),"",O12-L12-Q12-R12-S12)</f>
        <v/>
      </c>
      <c r="U12" s="47">
        <f>IF(T12="","",IF(L12=0,"",T12/L12))</f>
        <v/>
      </c>
      <c r="V12" s="47">
        <f>IF(T12="","",T12/O12)</f>
        <v/>
      </c>
      <c r="W12" s="43">
        <f>IF(OR(D12="",M12=""),"",IF((1/(1+N12)-P12)&lt;=0,"",(L12+R12+S12)/(1/(1+N12)-P12)))</f>
        <v/>
      </c>
      <c r="X12" s="30">
        <f>IF(U12="","",IF(U12&gt;=$B$7,"BUY","SKIP"))</f>
        <v/>
      </c>
    </row>
    <row r="13">
      <c r="A13" s="40" t="n"/>
      <c r="B13" s="40" t="n"/>
      <c r="C13" s="40" t="n"/>
      <c r="D13" s="41" t="n"/>
      <c r="E13" s="40" t="n"/>
      <c r="F13" s="42">
        <f>IF(D13="","",IF(E13="EUR",$B$4,1))</f>
        <v/>
      </c>
      <c r="G13" s="43">
        <f>IF(D13="","",D13*F13)</f>
        <v/>
      </c>
      <c r="H13" s="44" t="n"/>
      <c r="I13" s="45" t="n"/>
      <c r="J13" s="43">
        <f>IF(D13="","",(G13+H13)*I13)</f>
        <v/>
      </c>
      <c r="K13" s="44" t="n"/>
      <c r="L13" s="43">
        <f>IF(D13="","",G13+H13+J13+K13)</f>
        <v/>
      </c>
      <c r="M13" s="44" t="n"/>
      <c r="N13" s="46">
        <f>IF(M13="","",$B$5)</f>
        <v/>
      </c>
      <c r="O13" s="43">
        <f>IF(M13="","",M13/(1+N13))</f>
        <v/>
      </c>
      <c r="P13" s="46">
        <f>IF(M13="","",$B$6)</f>
        <v/>
      </c>
      <c r="Q13" s="43">
        <f>IF(M13="","",M13*P13)</f>
        <v/>
      </c>
      <c r="R13" s="44" t="n"/>
      <c r="S13" s="44" t="n"/>
      <c r="T13" s="43">
        <f>IF(OR(D13="",M13=""),"",O13-L13-Q13-R13-S13)</f>
        <v/>
      </c>
      <c r="U13" s="47">
        <f>IF(T13="","",IF(L13=0,"",T13/L13))</f>
        <v/>
      </c>
      <c r="V13" s="47">
        <f>IF(T13="","",T13/O13)</f>
        <v/>
      </c>
      <c r="W13" s="43">
        <f>IF(OR(D13="",M13=""),"",IF((1/(1+N13)-P13)&lt;=0,"",(L13+R13+S13)/(1/(1+N13)-P13)))</f>
        <v/>
      </c>
      <c r="X13" s="30">
        <f>IF(U13="","",IF(U13&gt;=$B$7,"BUY","SKIP"))</f>
        <v/>
      </c>
    </row>
    <row r="14">
      <c r="A14" s="40" t="n"/>
      <c r="B14" s="40" t="n"/>
      <c r="C14" s="40" t="n"/>
      <c r="D14" s="41" t="n"/>
      <c r="E14" s="40" t="n"/>
      <c r="F14" s="42">
        <f>IF(D14="","",IF(E14="EUR",$B$4,1))</f>
        <v/>
      </c>
      <c r="G14" s="43">
        <f>IF(D14="","",D14*F14)</f>
        <v/>
      </c>
      <c r="H14" s="44" t="n"/>
      <c r="I14" s="45" t="n"/>
      <c r="J14" s="43">
        <f>IF(D14="","",(G14+H14)*I14)</f>
        <v/>
      </c>
      <c r="K14" s="44" t="n"/>
      <c r="L14" s="43">
        <f>IF(D14="","",G14+H14+J14+K14)</f>
        <v/>
      </c>
      <c r="M14" s="44" t="n"/>
      <c r="N14" s="46">
        <f>IF(M14="","",$B$5)</f>
        <v/>
      </c>
      <c r="O14" s="43">
        <f>IF(M14="","",M14/(1+N14))</f>
        <v/>
      </c>
      <c r="P14" s="46">
        <f>IF(M14="","",$B$6)</f>
        <v/>
      </c>
      <c r="Q14" s="43">
        <f>IF(M14="","",M14*P14)</f>
        <v/>
      </c>
      <c r="R14" s="44" t="n"/>
      <c r="S14" s="44" t="n"/>
      <c r="T14" s="43">
        <f>IF(OR(D14="",M14=""),"",O14-L14-Q14-R14-S14)</f>
        <v/>
      </c>
      <c r="U14" s="47">
        <f>IF(T14="","",IF(L14=0,"",T14/L14))</f>
        <v/>
      </c>
      <c r="V14" s="47">
        <f>IF(T14="","",T14/O14)</f>
        <v/>
      </c>
      <c r="W14" s="43">
        <f>IF(OR(D14="",M14=""),"",IF((1/(1+N14)-P14)&lt;=0,"",(L14+R14+S14)/(1/(1+N14)-P14)))</f>
        <v/>
      </c>
      <c r="X14" s="30">
        <f>IF(U14="","",IF(U14&gt;=$B$7,"BUY","SKIP"))</f>
        <v/>
      </c>
    </row>
    <row r="15">
      <c r="A15" s="40" t="n"/>
      <c r="B15" s="40" t="n"/>
      <c r="C15" s="40" t="n"/>
      <c r="D15" s="41" t="n"/>
      <c r="E15" s="40" t="n"/>
      <c r="F15" s="42">
        <f>IF(D15="","",IF(E15="EUR",$B$4,1))</f>
        <v/>
      </c>
      <c r="G15" s="43">
        <f>IF(D15="","",D15*F15)</f>
        <v/>
      </c>
      <c r="H15" s="44" t="n"/>
      <c r="I15" s="45" t="n"/>
      <c r="J15" s="43">
        <f>IF(D15="","",(G15+H15)*I15)</f>
        <v/>
      </c>
      <c r="K15" s="44" t="n"/>
      <c r="L15" s="43">
        <f>IF(D15="","",G15+H15+J15+K15)</f>
        <v/>
      </c>
      <c r="M15" s="44" t="n"/>
      <c r="N15" s="46">
        <f>IF(M15="","",$B$5)</f>
        <v/>
      </c>
      <c r="O15" s="43">
        <f>IF(M15="","",M15/(1+N15))</f>
        <v/>
      </c>
      <c r="P15" s="46">
        <f>IF(M15="","",$B$6)</f>
        <v/>
      </c>
      <c r="Q15" s="43">
        <f>IF(M15="","",M15*P15)</f>
        <v/>
      </c>
      <c r="R15" s="44" t="n"/>
      <c r="S15" s="44" t="n"/>
      <c r="T15" s="43">
        <f>IF(OR(D15="",M15=""),"",O15-L15-Q15-R15-S15)</f>
        <v/>
      </c>
      <c r="U15" s="47">
        <f>IF(T15="","",IF(L15=0,"",T15/L15))</f>
        <v/>
      </c>
      <c r="V15" s="47">
        <f>IF(T15="","",T15/O15)</f>
        <v/>
      </c>
      <c r="W15" s="43">
        <f>IF(OR(D15="",M15=""),"",IF((1/(1+N15)-P15)&lt;=0,"",(L15+R15+S15)/(1/(1+N15)-P15)))</f>
        <v/>
      </c>
      <c r="X15" s="30">
        <f>IF(U15="","",IF(U15&gt;=$B$7,"BUY","SKIP"))</f>
        <v/>
      </c>
    </row>
    <row r="16">
      <c r="A16" s="40" t="n"/>
      <c r="B16" s="40" t="n"/>
      <c r="C16" s="40" t="n"/>
      <c r="D16" s="41" t="n"/>
      <c r="E16" s="40" t="n"/>
      <c r="F16" s="42">
        <f>IF(D16="","",IF(E16="EUR",$B$4,1))</f>
        <v/>
      </c>
      <c r="G16" s="43">
        <f>IF(D16="","",D16*F16)</f>
        <v/>
      </c>
      <c r="H16" s="44" t="n"/>
      <c r="I16" s="45" t="n"/>
      <c r="J16" s="43">
        <f>IF(D16="","",(G16+H16)*I16)</f>
        <v/>
      </c>
      <c r="K16" s="44" t="n"/>
      <c r="L16" s="43">
        <f>IF(D16="","",G16+H16+J16+K16)</f>
        <v/>
      </c>
      <c r="M16" s="44" t="n"/>
      <c r="N16" s="46">
        <f>IF(M16="","",$B$5)</f>
        <v/>
      </c>
      <c r="O16" s="43">
        <f>IF(M16="","",M16/(1+N16))</f>
        <v/>
      </c>
      <c r="P16" s="46">
        <f>IF(M16="","",$B$6)</f>
        <v/>
      </c>
      <c r="Q16" s="43">
        <f>IF(M16="","",M16*P16)</f>
        <v/>
      </c>
      <c r="R16" s="44" t="n"/>
      <c r="S16" s="44" t="n"/>
      <c r="T16" s="43">
        <f>IF(OR(D16="",M16=""),"",O16-L16-Q16-R16-S16)</f>
        <v/>
      </c>
      <c r="U16" s="47">
        <f>IF(T16="","",IF(L16=0,"",T16/L16))</f>
        <v/>
      </c>
      <c r="V16" s="47">
        <f>IF(T16="","",T16/O16)</f>
        <v/>
      </c>
      <c r="W16" s="43">
        <f>IF(OR(D16="",M16=""),"",IF((1/(1+N16)-P16)&lt;=0,"",(L16+R16+S16)/(1/(1+N16)-P16)))</f>
        <v/>
      </c>
      <c r="X16" s="30">
        <f>IF(U16="","",IF(U16&gt;=$B$7,"BUY","SKIP"))</f>
        <v/>
      </c>
    </row>
    <row r="17">
      <c r="A17" s="40" t="n"/>
      <c r="B17" s="40" t="n"/>
      <c r="C17" s="40" t="n"/>
      <c r="D17" s="41" t="n"/>
      <c r="E17" s="40" t="n"/>
      <c r="F17" s="42">
        <f>IF(D17="","",IF(E17="EUR",$B$4,1))</f>
        <v/>
      </c>
      <c r="G17" s="43">
        <f>IF(D17="","",D17*F17)</f>
        <v/>
      </c>
      <c r="H17" s="44" t="n"/>
      <c r="I17" s="45" t="n"/>
      <c r="J17" s="43">
        <f>IF(D17="","",(G17+H17)*I17)</f>
        <v/>
      </c>
      <c r="K17" s="44" t="n"/>
      <c r="L17" s="43">
        <f>IF(D17="","",G17+H17+J17+K17)</f>
        <v/>
      </c>
      <c r="M17" s="44" t="n"/>
      <c r="N17" s="46">
        <f>IF(M17="","",$B$5)</f>
        <v/>
      </c>
      <c r="O17" s="43">
        <f>IF(M17="","",M17/(1+N17))</f>
        <v/>
      </c>
      <c r="P17" s="46">
        <f>IF(M17="","",$B$6)</f>
        <v/>
      </c>
      <c r="Q17" s="43">
        <f>IF(M17="","",M17*P17)</f>
        <v/>
      </c>
      <c r="R17" s="44" t="n"/>
      <c r="S17" s="44" t="n"/>
      <c r="T17" s="43">
        <f>IF(OR(D17="",M17=""),"",O17-L17-Q17-R17-S17)</f>
        <v/>
      </c>
      <c r="U17" s="47">
        <f>IF(T17="","",IF(L17=0,"",T17/L17))</f>
        <v/>
      </c>
      <c r="V17" s="47">
        <f>IF(T17="","",T17/O17)</f>
        <v/>
      </c>
      <c r="W17" s="43">
        <f>IF(OR(D17="",M17=""),"",IF((1/(1+N17)-P17)&lt;=0,"",(L17+R17+S17)/(1/(1+N17)-P17)))</f>
        <v/>
      </c>
      <c r="X17" s="30">
        <f>IF(U17="","",IF(U17&gt;=$B$7,"BUY","SKIP"))</f>
        <v/>
      </c>
    </row>
    <row r="18">
      <c r="A18" s="40" t="n"/>
      <c r="B18" s="40" t="n"/>
      <c r="C18" s="40" t="n"/>
      <c r="D18" s="41" t="n"/>
      <c r="E18" s="40" t="n"/>
      <c r="F18" s="42">
        <f>IF(D18="","",IF(E18="EUR",$B$4,1))</f>
        <v/>
      </c>
      <c r="G18" s="43">
        <f>IF(D18="","",D18*F18)</f>
        <v/>
      </c>
      <c r="H18" s="44" t="n"/>
      <c r="I18" s="45" t="n"/>
      <c r="J18" s="43">
        <f>IF(D18="","",(G18+H18)*I18)</f>
        <v/>
      </c>
      <c r="K18" s="44" t="n"/>
      <c r="L18" s="43">
        <f>IF(D18="","",G18+H18+J18+K18)</f>
        <v/>
      </c>
      <c r="M18" s="44" t="n"/>
      <c r="N18" s="46">
        <f>IF(M18="","",$B$5)</f>
        <v/>
      </c>
      <c r="O18" s="43">
        <f>IF(M18="","",M18/(1+N18))</f>
        <v/>
      </c>
      <c r="P18" s="46">
        <f>IF(M18="","",$B$6)</f>
        <v/>
      </c>
      <c r="Q18" s="43">
        <f>IF(M18="","",M18*P18)</f>
        <v/>
      </c>
      <c r="R18" s="44" t="n"/>
      <c r="S18" s="44" t="n"/>
      <c r="T18" s="43">
        <f>IF(OR(D18="",M18=""),"",O18-L18-Q18-R18-S18)</f>
        <v/>
      </c>
      <c r="U18" s="47">
        <f>IF(T18="","",IF(L18=0,"",T18/L18))</f>
        <v/>
      </c>
      <c r="V18" s="47">
        <f>IF(T18="","",T18/O18)</f>
        <v/>
      </c>
      <c r="W18" s="43">
        <f>IF(OR(D18="",M18=""),"",IF((1/(1+N18)-P18)&lt;=0,"",(L18+R18+S18)/(1/(1+N18)-P18)))</f>
        <v/>
      </c>
      <c r="X18" s="30">
        <f>IF(U18="","",IF(U18&gt;=$B$7,"BUY","SKIP"))</f>
        <v/>
      </c>
    </row>
    <row r="19">
      <c r="A19" s="40" t="n"/>
      <c r="B19" s="40" t="n"/>
      <c r="C19" s="40" t="n"/>
      <c r="D19" s="41" t="n"/>
      <c r="E19" s="40" t="n"/>
      <c r="F19" s="42">
        <f>IF(D19="","",IF(E19="EUR",$B$4,1))</f>
        <v/>
      </c>
      <c r="G19" s="43">
        <f>IF(D19="","",D19*F19)</f>
        <v/>
      </c>
      <c r="H19" s="44" t="n"/>
      <c r="I19" s="45" t="n"/>
      <c r="J19" s="43">
        <f>IF(D19="","",(G19+H19)*I19)</f>
        <v/>
      </c>
      <c r="K19" s="44" t="n"/>
      <c r="L19" s="43">
        <f>IF(D19="","",G19+H19+J19+K19)</f>
        <v/>
      </c>
      <c r="M19" s="44" t="n"/>
      <c r="N19" s="46">
        <f>IF(M19="","",$B$5)</f>
        <v/>
      </c>
      <c r="O19" s="43">
        <f>IF(M19="","",M19/(1+N19))</f>
        <v/>
      </c>
      <c r="P19" s="46">
        <f>IF(M19="","",$B$6)</f>
        <v/>
      </c>
      <c r="Q19" s="43">
        <f>IF(M19="","",M19*P19)</f>
        <v/>
      </c>
      <c r="R19" s="44" t="n"/>
      <c r="S19" s="44" t="n"/>
      <c r="T19" s="43">
        <f>IF(OR(D19="",M19=""),"",O19-L19-Q19-R19-S19)</f>
        <v/>
      </c>
      <c r="U19" s="47">
        <f>IF(T19="","",IF(L19=0,"",T19/L19))</f>
        <v/>
      </c>
      <c r="V19" s="47">
        <f>IF(T19="","",T19/O19)</f>
        <v/>
      </c>
      <c r="W19" s="43">
        <f>IF(OR(D19="",M19=""),"",IF((1/(1+N19)-P19)&lt;=0,"",(L19+R19+S19)/(1/(1+N19)-P19)))</f>
        <v/>
      </c>
      <c r="X19" s="30">
        <f>IF(U19="","",IF(U19&gt;=$B$7,"BUY","SKIP"))</f>
        <v/>
      </c>
    </row>
    <row r="20">
      <c r="A20" s="40" t="n"/>
      <c r="B20" s="40" t="n"/>
      <c r="C20" s="40" t="n"/>
      <c r="D20" s="41" t="n"/>
      <c r="E20" s="40" t="n"/>
      <c r="F20" s="42">
        <f>IF(D20="","",IF(E20="EUR",$B$4,1))</f>
        <v/>
      </c>
      <c r="G20" s="43">
        <f>IF(D20="","",D20*F20)</f>
        <v/>
      </c>
      <c r="H20" s="44" t="n"/>
      <c r="I20" s="45" t="n"/>
      <c r="J20" s="43">
        <f>IF(D20="","",(G20+H20)*I20)</f>
        <v/>
      </c>
      <c r="K20" s="44" t="n"/>
      <c r="L20" s="43">
        <f>IF(D20="","",G20+H20+J20+K20)</f>
        <v/>
      </c>
      <c r="M20" s="44" t="n"/>
      <c r="N20" s="46">
        <f>IF(M20="","",$B$5)</f>
        <v/>
      </c>
      <c r="O20" s="43">
        <f>IF(M20="","",M20/(1+N20))</f>
        <v/>
      </c>
      <c r="P20" s="46">
        <f>IF(M20="","",$B$6)</f>
        <v/>
      </c>
      <c r="Q20" s="43">
        <f>IF(M20="","",M20*P20)</f>
        <v/>
      </c>
      <c r="R20" s="44" t="n"/>
      <c r="S20" s="44" t="n"/>
      <c r="T20" s="43">
        <f>IF(OR(D20="",M20=""),"",O20-L20-Q20-R20-S20)</f>
        <v/>
      </c>
      <c r="U20" s="47">
        <f>IF(T20="","",IF(L20=0,"",T20/L20))</f>
        <v/>
      </c>
      <c r="V20" s="47">
        <f>IF(T20="","",T20/O20)</f>
        <v/>
      </c>
      <c r="W20" s="43">
        <f>IF(OR(D20="",M20=""),"",IF((1/(1+N20)-P20)&lt;=0,"",(L20+R20+S20)/(1/(1+N20)-P20)))</f>
        <v/>
      </c>
      <c r="X20" s="30">
        <f>IF(U20="","",IF(U20&gt;=$B$7,"BUY","SKIP"))</f>
        <v/>
      </c>
    </row>
    <row r="21">
      <c r="A21" s="40" t="n"/>
      <c r="B21" s="40" t="n"/>
      <c r="C21" s="40" t="n"/>
      <c r="D21" s="41" t="n"/>
      <c r="E21" s="40" t="n"/>
      <c r="F21" s="42">
        <f>IF(D21="","",IF(E21="EUR",$B$4,1))</f>
        <v/>
      </c>
      <c r="G21" s="43">
        <f>IF(D21="","",D21*F21)</f>
        <v/>
      </c>
      <c r="H21" s="44" t="n"/>
      <c r="I21" s="45" t="n"/>
      <c r="J21" s="43">
        <f>IF(D21="","",(G21+H21)*I21)</f>
        <v/>
      </c>
      <c r="K21" s="44" t="n"/>
      <c r="L21" s="43">
        <f>IF(D21="","",G21+H21+J21+K21)</f>
        <v/>
      </c>
      <c r="M21" s="44" t="n"/>
      <c r="N21" s="46">
        <f>IF(M21="","",$B$5)</f>
        <v/>
      </c>
      <c r="O21" s="43">
        <f>IF(M21="","",M21/(1+N21))</f>
        <v/>
      </c>
      <c r="P21" s="46">
        <f>IF(M21="","",$B$6)</f>
        <v/>
      </c>
      <c r="Q21" s="43">
        <f>IF(M21="","",M21*P21)</f>
        <v/>
      </c>
      <c r="R21" s="44" t="n"/>
      <c r="S21" s="44" t="n"/>
      <c r="T21" s="43">
        <f>IF(OR(D21="",M21=""),"",O21-L21-Q21-R21-S21)</f>
        <v/>
      </c>
      <c r="U21" s="47">
        <f>IF(T21="","",IF(L21=0,"",T21/L21))</f>
        <v/>
      </c>
      <c r="V21" s="47">
        <f>IF(T21="","",T21/O21)</f>
        <v/>
      </c>
      <c r="W21" s="43">
        <f>IF(OR(D21="",M21=""),"",IF((1/(1+N21)-P21)&lt;=0,"",(L21+R21+S21)/(1/(1+N21)-P21)))</f>
        <v/>
      </c>
      <c r="X21" s="30">
        <f>IF(U21="","",IF(U21&gt;=$B$7,"BUY","SKIP"))</f>
        <v/>
      </c>
    </row>
    <row r="22">
      <c r="A22" s="40" t="n"/>
      <c r="B22" s="40" t="n"/>
      <c r="C22" s="40" t="n"/>
      <c r="D22" s="41" t="n"/>
      <c r="E22" s="40" t="n"/>
      <c r="F22" s="42">
        <f>IF(D22="","",IF(E22="EUR",$B$4,1))</f>
        <v/>
      </c>
      <c r="G22" s="43">
        <f>IF(D22="","",D22*F22)</f>
        <v/>
      </c>
      <c r="H22" s="44" t="n"/>
      <c r="I22" s="45" t="n"/>
      <c r="J22" s="43">
        <f>IF(D22="","",(G22+H22)*I22)</f>
        <v/>
      </c>
      <c r="K22" s="44" t="n"/>
      <c r="L22" s="43">
        <f>IF(D22="","",G22+H22+J22+K22)</f>
        <v/>
      </c>
      <c r="M22" s="44" t="n"/>
      <c r="N22" s="46">
        <f>IF(M22="","",$B$5)</f>
        <v/>
      </c>
      <c r="O22" s="43">
        <f>IF(M22="","",M22/(1+N22))</f>
        <v/>
      </c>
      <c r="P22" s="46">
        <f>IF(M22="","",$B$6)</f>
        <v/>
      </c>
      <c r="Q22" s="43">
        <f>IF(M22="","",M22*P22)</f>
        <v/>
      </c>
      <c r="R22" s="44" t="n"/>
      <c r="S22" s="44" t="n"/>
      <c r="T22" s="43">
        <f>IF(OR(D22="",M22=""),"",O22-L22-Q22-R22-S22)</f>
        <v/>
      </c>
      <c r="U22" s="47">
        <f>IF(T22="","",IF(L22=0,"",T22/L22))</f>
        <v/>
      </c>
      <c r="V22" s="47">
        <f>IF(T22="","",T22/O22)</f>
        <v/>
      </c>
      <c r="W22" s="43">
        <f>IF(OR(D22="",M22=""),"",IF((1/(1+N22)-P22)&lt;=0,"",(L22+R22+S22)/(1/(1+N22)-P22)))</f>
        <v/>
      </c>
      <c r="X22" s="30">
        <f>IF(U22="","",IF(U22&gt;=$B$7,"BUY","SKIP"))</f>
        <v/>
      </c>
    </row>
    <row r="23">
      <c r="A23" s="40" t="n"/>
      <c r="B23" s="40" t="n"/>
      <c r="C23" s="40" t="n"/>
      <c r="D23" s="41" t="n"/>
      <c r="E23" s="40" t="n"/>
      <c r="F23" s="42">
        <f>IF(D23="","",IF(E23="EUR",$B$4,1))</f>
        <v/>
      </c>
      <c r="G23" s="43">
        <f>IF(D23="","",D23*F23)</f>
        <v/>
      </c>
      <c r="H23" s="44" t="n"/>
      <c r="I23" s="45" t="n"/>
      <c r="J23" s="43">
        <f>IF(D23="","",(G23+H23)*I23)</f>
        <v/>
      </c>
      <c r="K23" s="44" t="n"/>
      <c r="L23" s="43">
        <f>IF(D23="","",G23+H23+J23+K23)</f>
        <v/>
      </c>
      <c r="M23" s="44" t="n"/>
      <c r="N23" s="46">
        <f>IF(M23="","",$B$5)</f>
        <v/>
      </c>
      <c r="O23" s="43">
        <f>IF(M23="","",M23/(1+N23))</f>
        <v/>
      </c>
      <c r="P23" s="46">
        <f>IF(M23="","",$B$6)</f>
        <v/>
      </c>
      <c r="Q23" s="43">
        <f>IF(M23="","",M23*P23)</f>
        <v/>
      </c>
      <c r="R23" s="44" t="n"/>
      <c r="S23" s="44" t="n"/>
      <c r="T23" s="43">
        <f>IF(OR(D23="",M23=""),"",O23-L23-Q23-R23-S23)</f>
        <v/>
      </c>
      <c r="U23" s="47">
        <f>IF(T23="","",IF(L23=0,"",T23/L23))</f>
        <v/>
      </c>
      <c r="V23" s="47">
        <f>IF(T23="","",T23/O23)</f>
        <v/>
      </c>
      <c r="W23" s="43">
        <f>IF(OR(D23="",M23=""),"",IF((1/(1+N23)-P23)&lt;=0,"",(L23+R23+S23)/(1/(1+N23)-P23)))</f>
        <v/>
      </c>
      <c r="X23" s="30">
        <f>IF(U23="","",IF(U23&gt;=$B$7,"BUY","SKIP"))</f>
        <v/>
      </c>
    </row>
    <row r="24">
      <c r="A24" s="40" t="n"/>
      <c r="B24" s="40" t="n"/>
      <c r="C24" s="40" t="n"/>
      <c r="D24" s="41" t="n"/>
      <c r="E24" s="40" t="n"/>
      <c r="F24" s="42">
        <f>IF(D24="","",IF(E24="EUR",$B$4,1))</f>
        <v/>
      </c>
      <c r="G24" s="43">
        <f>IF(D24="","",D24*F24)</f>
        <v/>
      </c>
      <c r="H24" s="44" t="n"/>
      <c r="I24" s="45" t="n"/>
      <c r="J24" s="43">
        <f>IF(D24="","",(G24+H24)*I24)</f>
        <v/>
      </c>
      <c r="K24" s="44" t="n"/>
      <c r="L24" s="43">
        <f>IF(D24="","",G24+H24+J24+K24)</f>
        <v/>
      </c>
      <c r="M24" s="44" t="n"/>
      <c r="N24" s="46">
        <f>IF(M24="","",$B$5)</f>
        <v/>
      </c>
      <c r="O24" s="43">
        <f>IF(M24="","",M24/(1+N24))</f>
        <v/>
      </c>
      <c r="P24" s="46">
        <f>IF(M24="","",$B$6)</f>
        <v/>
      </c>
      <c r="Q24" s="43">
        <f>IF(M24="","",M24*P24)</f>
        <v/>
      </c>
      <c r="R24" s="44" t="n"/>
      <c r="S24" s="44" t="n"/>
      <c r="T24" s="43">
        <f>IF(OR(D24="",M24=""),"",O24-L24-Q24-R24-S24)</f>
        <v/>
      </c>
      <c r="U24" s="47">
        <f>IF(T24="","",IF(L24=0,"",T24/L24))</f>
        <v/>
      </c>
      <c r="V24" s="47">
        <f>IF(T24="","",T24/O24)</f>
        <v/>
      </c>
      <c r="W24" s="43">
        <f>IF(OR(D24="",M24=""),"",IF((1/(1+N24)-P24)&lt;=0,"",(L24+R24+S24)/(1/(1+N24)-P24)))</f>
        <v/>
      </c>
      <c r="X24" s="30">
        <f>IF(U24="","",IF(U24&gt;=$B$7,"BUY","SKIP"))</f>
        <v/>
      </c>
    </row>
    <row r="25">
      <c r="A25" s="40" t="n"/>
      <c r="B25" s="40" t="n"/>
      <c r="C25" s="40" t="n"/>
      <c r="D25" s="41" t="n"/>
      <c r="E25" s="40" t="n"/>
      <c r="F25" s="42">
        <f>IF(D25="","",IF(E25="EUR",$B$4,1))</f>
        <v/>
      </c>
      <c r="G25" s="43">
        <f>IF(D25="","",D25*F25)</f>
        <v/>
      </c>
      <c r="H25" s="44" t="n"/>
      <c r="I25" s="45" t="n"/>
      <c r="J25" s="43">
        <f>IF(D25="","",(G25+H25)*I25)</f>
        <v/>
      </c>
      <c r="K25" s="44" t="n"/>
      <c r="L25" s="43">
        <f>IF(D25="","",G25+H25+J25+K25)</f>
        <v/>
      </c>
      <c r="M25" s="44" t="n"/>
      <c r="N25" s="46">
        <f>IF(M25="","",$B$5)</f>
        <v/>
      </c>
      <c r="O25" s="43">
        <f>IF(M25="","",M25/(1+N25))</f>
        <v/>
      </c>
      <c r="P25" s="46">
        <f>IF(M25="","",$B$6)</f>
        <v/>
      </c>
      <c r="Q25" s="43">
        <f>IF(M25="","",M25*P25)</f>
        <v/>
      </c>
      <c r="R25" s="44" t="n"/>
      <c r="S25" s="44" t="n"/>
      <c r="T25" s="43">
        <f>IF(OR(D25="",M25=""),"",O25-L25-Q25-R25-S25)</f>
        <v/>
      </c>
      <c r="U25" s="47">
        <f>IF(T25="","",IF(L25=0,"",T25/L25))</f>
        <v/>
      </c>
      <c r="V25" s="47">
        <f>IF(T25="","",T25/O25)</f>
        <v/>
      </c>
      <c r="W25" s="43">
        <f>IF(OR(D25="",M25=""),"",IF((1/(1+N25)-P25)&lt;=0,"",(L25+R25+S25)/(1/(1+N25)-P25)))</f>
        <v/>
      </c>
      <c r="X25" s="30">
        <f>IF(U25="","",IF(U25&gt;=$B$7,"BUY","SKIP"))</f>
        <v/>
      </c>
    </row>
    <row r="26">
      <c r="A26" s="40" t="n"/>
      <c r="B26" s="40" t="n"/>
      <c r="C26" s="40" t="n"/>
      <c r="D26" s="41" t="n"/>
      <c r="E26" s="40" t="n"/>
      <c r="F26" s="42">
        <f>IF(D26="","",IF(E26="EUR",$B$4,1))</f>
        <v/>
      </c>
      <c r="G26" s="43">
        <f>IF(D26="","",D26*F26)</f>
        <v/>
      </c>
      <c r="H26" s="44" t="n"/>
      <c r="I26" s="45" t="n"/>
      <c r="J26" s="43">
        <f>IF(D26="","",(G26+H26)*I26)</f>
        <v/>
      </c>
      <c r="K26" s="44" t="n"/>
      <c r="L26" s="43">
        <f>IF(D26="","",G26+H26+J26+K26)</f>
        <v/>
      </c>
      <c r="M26" s="44" t="n"/>
      <c r="N26" s="46">
        <f>IF(M26="","",$B$5)</f>
        <v/>
      </c>
      <c r="O26" s="43">
        <f>IF(M26="","",M26/(1+N26))</f>
        <v/>
      </c>
      <c r="P26" s="46">
        <f>IF(M26="","",$B$6)</f>
        <v/>
      </c>
      <c r="Q26" s="43">
        <f>IF(M26="","",M26*P26)</f>
        <v/>
      </c>
      <c r="R26" s="44" t="n"/>
      <c r="S26" s="44" t="n"/>
      <c r="T26" s="43">
        <f>IF(OR(D26="",M26=""),"",O26-L26-Q26-R26-S26)</f>
        <v/>
      </c>
      <c r="U26" s="47">
        <f>IF(T26="","",IF(L26=0,"",T26/L26))</f>
        <v/>
      </c>
      <c r="V26" s="47">
        <f>IF(T26="","",T26/O26)</f>
        <v/>
      </c>
      <c r="W26" s="43">
        <f>IF(OR(D26="",M26=""),"",IF((1/(1+N26)-P26)&lt;=0,"",(L26+R26+S26)/(1/(1+N26)-P26)))</f>
        <v/>
      </c>
      <c r="X26" s="30">
        <f>IF(U26="","",IF(U26&gt;=$B$7,"BUY","SKIP"))</f>
        <v/>
      </c>
    </row>
    <row r="27">
      <c r="A27" s="40" t="n"/>
      <c r="B27" s="40" t="n"/>
      <c r="C27" s="40" t="n"/>
      <c r="D27" s="41" t="n"/>
      <c r="E27" s="40" t="n"/>
      <c r="F27" s="42">
        <f>IF(D27="","",IF(E27="EUR",$B$4,1))</f>
        <v/>
      </c>
      <c r="G27" s="43">
        <f>IF(D27="","",D27*F27)</f>
        <v/>
      </c>
      <c r="H27" s="44" t="n"/>
      <c r="I27" s="45" t="n"/>
      <c r="J27" s="43">
        <f>IF(D27="","",(G27+H27)*I27)</f>
        <v/>
      </c>
      <c r="K27" s="44" t="n"/>
      <c r="L27" s="43">
        <f>IF(D27="","",G27+H27+J27+K27)</f>
        <v/>
      </c>
      <c r="M27" s="44" t="n"/>
      <c r="N27" s="46">
        <f>IF(M27="","",$B$5)</f>
        <v/>
      </c>
      <c r="O27" s="43">
        <f>IF(M27="","",M27/(1+N27))</f>
        <v/>
      </c>
      <c r="P27" s="46">
        <f>IF(M27="","",$B$6)</f>
        <v/>
      </c>
      <c r="Q27" s="43">
        <f>IF(M27="","",M27*P27)</f>
        <v/>
      </c>
      <c r="R27" s="44" t="n"/>
      <c r="S27" s="44" t="n"/>
      <c r="T27" s="43">
        <f>IF(OR(D27="",M27=""),"",O27-L27-Q27-R27-S27)</f>
        <v/>
      </c>
      <c r="U27" s="47">
        <f>IF(T27="","",IF(L27=0,"",T27/L27))</f>
        <v/>
      </c>
      <c r="V27" s="47">
        <f>IF(T27="","",T27/O27)</f>
        <v/>
      </c>
      <c r="W27" s="43">
        <f>IF(OR(D27="",M27=""),"",IF((1/(1+N27)-P27)&lt;=0,"",(L27+R27+S27)/(1/(1+N27)-P27)))</f>
        <v/>
      </c>
      <c r="X27" s="30">
        <f>IF(U27="","",IF(U27&gt;=$B$7,"BUY","SKIP"))</f>
        <v/>
      </c>
    </row>
    <row r="28">
      <c r="A28" s="40" t="n"/>
      <c r="B28" s="40" t="n"/>
      <c r="C28" s="40" t="n"/>
      <c r="D28" s="41" t="n"/>
      <c r="E28" s="40" t="n"/>
      <c r="F28" s="42">
        <f>IF(D28="","",IF(E28="EUR",$B$4,1))</f>
        <v/>
      </c>
      <c r="G28" s="43">
        <f>IF(D28="","",D28*F28)</f>
        <v/>
      </c>
      <c r="H28" s="44" t="n"/>
      <c r="I28" s="45" t="n"/>
      <c r="J28" s="43">
        <f>IF(D28="","",(G28+H28)*I28)</f>
        <v/>
      </c>
      <c r="K28" s="44" t="n"/>
      <c r="L28" s="43">
        <f>IF(D28="","",G28+H28+J28+K28)</f>
        <v/>
      </c>
      <c r="M28" s="44" t="n"/>
      <c r="N28" s="46">
        <f>IF(M28="","",$B$5)</f>
        <v/>
      </c>
      <c r="O28" s="43">
        <f>IF(M28="","",M28/(1+N28))</f>
        <v/>
      </c>
      <c r="P28" s="46">
        <f>IF(M28="","",$B$6)</f>
        <v/>
      </c>
      <c r="Q28" s="43">
        <f>IF(M28="","",M28*P28)</f>
        <v/>
      </c>
      <c r="R28" s="44" t="n"/>
      <c r="S28" s="44" t="n"/>
      <c r="T28" s="43">
        <f>IF(OR(D28="",M28=""),"",O28-L28-Q28-R28-S28)</f>
        <v/>
      </c>
      <c r="U28" s="47">
        <f>IF(T28="","",IF(L28=0,"",T28/L28))</f>
        <v/>
      </c>
      <c r="V28" s="47">
        <f>IF(T28="","",T28/O28)</f>
        <v/>
      </c>
      <c r="W28" s="43">
        <f>IF(OR(D28="",M28=""),"",IF((1/(1+N28)-P28)&lt;=0,"",(L28+R28+S28)/(1/(1+N28)-P28)))</f>
        <v/>
      </c>
      <c r="X28" s="30">
        <f>IF(U28="","",IF(U28&gt;=$B$7,"BUY","SKIP"))</f>
        <v/>
      </c>
    </row>
    <row r="29">
      <c r="A29" s="40" t="n"/>
      <c r="B29" s="40" t="n"/>
      <c r="C29" s="40" t="n"/>
      <c r="D29" s="41" t="n"/>
      <c r="E29" s="40" t="n"/>
      <c r="F29" s="42">
        <f>IF(D29="","",IF(E29="EUR",$B$4,1))</f>
        <v/>
      </c>
      <c r="G29" s="43">
        <f>IF(D29="","",D29*F29)</f>
        <v/>
      </c>
      <c r="H29" s="44" t="n"/>
      <c r="I29" s="45" t="n"/>
      <c r="J29" s="43">
        <f>IF(D29="","",(G29+H29)*I29)</f>
        <v/>
      </c>
      <c r="K29" s="44" t="n"/>
      <c r="L29" s="43">
        <f>IF(D29="","",G29+H29+J29+K29)</f>
        <v/>
      </c>
      <c r="M29" s="44" t="n"/>
      <c r="N29" s="46">
        <f>IF(M29="","",$B$5)</f>
        <v/>
      </c>
      <c r="O29" s="43">
        <f>IF(M29="","",M29/(1+N29))</f>
        <v/>
      </c>
      <c r="P29" s="46">
        <f>IF(M29="","",$B$6)</f>
        <v/>
      </c>
      <c r="Q29" s="43">
        <f>IF(M29="","",M29*P29)</f>
        <v/>
      </c>
      <c r="R29" s="44" t="n"/>
      <c r="S29" s="44" t="n"/>
      <c r="T29" s="43">
        <f>IF(OR(D29="",M29=""),"",O29-L29-Q29-R29-S29)</f>
        <v/>
      </c>
      <c r="U29" s="47">
        <f>IF(T29="","",IF(L29=0,"",T29/L29))</f>
        <v/>
      </c>
      <c r="V29" s="47">
        <f>IF(T29="","",T29/O29)</f>
        <v/>
      </c>
      <c r="W29" s="43">
        <f>IF(OR(D29="",M29=""),"",IF((1/(1+N29)-P29)&lt;=0,"",(L29+R29+S29)/(1/(1+N29)-P29)))</f>
        <v/>
      </c>
      <c r="X29" s="30">
        <f>IF(U29="","",IF(U29&gt;=$B$7,"BUY","SKIP"))</f>
        <v/>
      </c>
    </row>
    <row r="30">
      <c r="A30" s="40" t="n"/>
      <c r="B30" s="40" t="n"/>
      <c r="C30" s="40" t="n"/>
      <c r="D30" s="41" t="n"/>
      <c r="E30" s="40" t="n"/>
      <c r="F30" s="42">
        <f>IF(D30="","",IF(E30="EUR",$B$4,1))</f>
        <v/>
      </c>
      <c r="G30" s="43">
        <f>IF(D30="","",D30*F30)</f>
        <v/>
      </c>
      <c r="H30" s="44" t="n"/>
      <c r="I30" s="45" t="n"/>
      <c r="J30" s="43">
        <f>IF(D30="","",(G30+H30)*I30)</f>
        <v/>
      </c>
      <c r="K30" s="44" t="n"/>
      <c r="L30" s="43">
        <f>IF(D30="","",G30+H30+J30+K30)</f>
        <v/>
      </c>
      <c r="M30" s="44" t="n"/>
      <c r="N30" s="46">
        <f>IF(M30="","",$B$5)</f>
        <v/>
      </c>
      <c r="O30" s="43">
        <f>IF(M30="","",M30/(1+N30))</f>
        <v/>
      </c>
      <c r="P30" s="46">
        <f>IF(M30="","",$B$6)</f>
        <v/>
      </c>
      <c r="Q30" s="43">
        <f>IF(M30="","",M30*P30)</f>
        <v/>
      </c>
      <c r="R30" s="44" t="n"/>
      <c r="S30" s="44" t="n"/>
      <c r="T30" s="43">
        <f>IF(OR(D30="",M30=""),"",O30-L30-Q30-R30-S30)</f>
        <v/>
      </c>
      <c r="U30" s="47">
        <f>IF(T30="","",IF(L30=0,"",T30/L30))</f>
        <v/>
      </c>
      <c r="V30" s="47">
        <f>IF(T30="","",T30/O30)</f>
        <v/>
      </c>
      <c r="W30" s="43">
        <f>IF(OR(D30="",M30=""),"",IF((1/(1+N30)-P30)&lt;=0,"",(L30+R30+S30)/(1/(1+N30)-P30)))</f>
        <v/>
      </c>
      <c r="X30" s="30">
        <f>IF(U30="","",IF(U30&gt;=$B$7,"BUY","SKIP"))</f>
        <v/>
      </c>
    </row>
    <row r="31">
      <c r="A31" s="40" t="n"/>
      <c r="B31" s="40" t="n"/>
      <c r="C31" s="40" t="n"/>
      <c r="D31" s="41" t="n"/>
      <c r="E31" s="40" t="n"/>
      <c r="F31" s="42">
        <f>IF(D31="","",IF(E31="EUR",$B$4,1))</f>
        <v/>
      </c>
      <c r="G31" s="43">
        <f>IF(D31="","",D31*F31)</f>
        <v/>
      </c>
      <c r="H31" s="44" t="n"/>
      <c r="I31" s="45" t="n"/>
      <c r="J31" s="43">
        <f>IF(D31="","",(G31+H31)*I31)</f>
        <v/>
      </c>
      <c r="K31" s="44" t="n"/>
      <c r="L31" s="43">
        <f>IF(D31="","",G31+H31+J31+K31)</f>
        <v/>
      </c>
      <c r="M31" s="44" t="n"/>
      <c r="N31" s="46">
        <f>IF(M31="","",$B$5)</f>
        <v/>
      </c>
      <c r="O31" s="43">
        <f>IF(M31="","",M31/(1+N31))</f>
        <v/>
      </c>
      <c r="P31" s="46">
        <f>IF(M31="","",$B$6)</f>
        <v/>
      </c>
      <c r="Q31" s="43">
        <f>IF(M31="","",M31*P31)</f>
        <v/>
      </c>
      <c r="R31" s="44" t="n"/>
      <c r="S31" s="44" t="n"/>
      <c r="T31" s="43">
        <f>IF(OR(D31="",M31=""),"",O31-L31-Q31-R31-S31)</f>
        <v/>
      </c>
      <c r="U31" s="47">
        <f>IF(T31="","",IF(L31=0,"",T31/L31))</f>
        <v/>
      </c>
      <c r="V31" s="47">
        <f>IF(T31="","",T31/O31)</f>
        <v/>
      </c>
      <c r="W31" s="43">
        <f>IF(OR(D31="",M31=""),"",IF((1/(1+N31)-P31)&lt;=0,"",(L31+R31+S31)/(1/(1+N31)-P31)))</f>
        <v/>
      </c>
      <c r="X31" s="30">
        <f>IF(U31="","",IF(U31&gt;=$B$7,"BUY","SKIP"))</f>
        <v/>
      </c>
    </row>
    <row r="32">
      <c r="A32" s="40" t="n"/>
      <c r="B32" s="40" t="n"/>
      <c r="C32" s="40" t="n"/>
      <c r="D32" s="41" t="n"/>
      <c r="E32" s="40" t="n"/>
      <c r="F32" s="42">
        <f>IF(D32="","",IF(E32="EUR",$B$4,1))</f>
        <v/>
      </c>
      <c r="G32" s="43">
        <f>IF(D32="","",D32*F32)</f>
        <v/>
      </c>
      <c r="H32" s="44" t="n"/>
      <c r="I32" s="45" t="n"/>
      <c r="J32" s="43">
        <f>IF(D32="","",(G32+H32)*I32)</f>
        <v/>
      </c>
      <c r="K32" s="44" t="n"/>
      <c r="L32" s="43">
        <f>IF(D32="","",G32+H32+J32+K32)</f>
        <v/>
      </c>
      <c r="M32" s="44" t="n"/>
      <c r="N32" s="46">
        <f>IF(M32="","",$B$5)</f>
        <v/>
      </c>
      <c r="O32" s="43">
        <f>IF(M32="","",M32/(1+N32))</f>
        <v/>
      </c>
      <c r="P32" s="46">
        <f>IF(M32="","",$B$6)</f>
        <v/>
      </c>
      <c r="Q32" s="43">
        <f>IF(M32="","",M32*P32)</f>
        <v/>
      </c>
      <c r="R32" s="44" t="n"/>
      <c r="S32" s="44" t="n"/>
      <c r="T32" s="43">
        <f>IF(OR(D32="",M32=""),"",O32-L32-Q32-R32-S32)</f>
        <v/>
      </c>
      <c r="U32" s="47">
        <f>IF(T32="","",IF(L32=0,"",T32/L32))</f>
        <v/>
      </c>
      <c r="V32" s="47">
        <f>IF(T32="","",T32/O32)</f>
        <v/>
      </c>
      <c r="W32" s="43">
        <f>IF(OR(D32="",M32=""),"",IF((1/(1+N32)-P32)&lt;=0,"",(L32+R32+S32)/(1/(1+N32)-P32)))</f>
        <v/>
      </c>
      <c r="X32" s="30">
        <f>IF(U32="","",IF(U32&gt;=$B$7,"BUY","SKIP"))</f>
        <v/>
      </c>
    </row>
    <row r="33">
      <c r="A33" s="40" t="n"/>
      <c r="B33" s="40" t="n"/>
      <c r="C33" s="40" t="n"/>
      <c r="D33" s="41" t="n"/>
      <c r="E33" s="40" t="n"/>
      <c r="F33" s="42">
        <f>IF(D33="","",IF(E33="EUR",$B$4,1))</f>
        <v/>
      </c>
      <c r="G33" s="43">
        <f>IF(D33="","",D33*F33)</f>
        <v/>
      </c>
      <c r="H33" s="44" t="n"/>
      <c r="I33" s="45" t="n"/>
      <c r="J33" s="43">
        <f>IF(D33="","",(G33+H33)*I33)</f>
        <v/>
      </c>
      <c r="K33" s="44" t="n"/>
      <c r="L33" s="43">
        <f>IF(D33="","",G33+H33+J33+K33)</f>
        <v/>
      </c>
      <c r="M33" s="44" t="n"/>
      <c r="N33" s="46">
        <f>IF(M33="","",$B$5)</f>
        <v/>
      </c>
      <c r="O33" s="43">
        <f>IF(M33="","",M33/(1+N33))</f>
        <v/>
      </c>
      <c r="P33" s="46">
        <f>IF(M33="","",$B$6)</f>
        <v/>
      </c>
      <c r="Q33" s="43">
        <f>IF(M33="","",M33*P33)</f>
        <v/>
      </c>
      <c r="R33" s="44" t="n"/>
      <c r="S33" s="44" t="n"/>
      <c r="T33" s="43">
        <f>IF(OR(D33="",M33=""),"",O33-L33-Q33-R33-S33)</f>
        <v/>
      </c>
      <c r="U33" s="47">
        <f>IF(T33="","",IF(L33=0,"",T33/L33))</f>
        <v/>
      </c>
      <c r="V33" s="47">
        <f>IF(T33="","",T33/O33)</f>
        <v/>
      </c>
      <c r="W33" s="43">
        <f>IF(OR(D33="",M33=""),"",IF((1/(1+N33)-P33)&lt;=0,"",(L33+R33+S33)/(1/(1+N33)-P33)))</f>
        <v/>
      </c>
      <c r="X33" s="30">
        <f>IF(U33="","",IF(U33&gt;=$B$7,"BUY","SKIP"))</f>
        <v/>
      </c>
    </row>
    <row r="34">
      <c r="A34" s="40" t="n"/>
      <c r="B34" s="40" t="n"/>
      <c r="C34" s="40" t="n"/>
      <c r="D34" s="41" t="n"/>
      <c r="E34" s="40" t="n"/>
      <c r="F34" s="42">
        <f>IF(D34="","",IF(E34="EUR",$B$4,1))</f>
        <v/>
      </c>
      <c r="G34" s="43">
        <f>IF(D34="","",D34*F34)</f>
        <v/>
      </c>
      <c r="H34" s="44" t="n"/>
      <c r="I34" s="45" t="n"/>
      <c r="J34" s="43">
        <f>IF(D34="","",(G34+H34)*I34)</f>
        <v/>
      </c>
      <c r="K34" s="44" t="n"/>
      <c r="L34" s="43">
        <f>IF(D34="","",G34+H34+J34+K34)</f>
        <v/>
      </c>
      <c r="M34" s="44" t="n"/>
      <c r="N34" s="46">
        <f>IF(M34="","",$B$5)</f>
        <v/>
      </c>
      <c r="O34" s="43">
        <f>IF(M34="","",M34/(1+N34))</f>
        <v/>
      </c>
      <c r="P34" s="46">
        <f>IF(M34="","",$B$6)</f>
        <v/>
      </c>
      <c r="Q34" s="43">
        <f>IF(M34="","",M34*P34)</f>
        <v/>
      </c>
      <c r="R34" s="44" t="n"/>
      <c r="S34" s="44" t="n"/>
      <c r="T34" s="43">
        <f>IF(OR(D34="",M34=""),"",O34-L34-Q34-R34-S34)</f>
        <v/>
      </c>
      <c r="U34" s="47">
        <f>IF(T34="","",IF(L34=0,"",T34/L34))</f>
        <v/>
      </c>
      <c r="V34" s="47">
        <f>IF(T34="","",T34/O34)</f>
        <v/>
      </c>
      <c r="W34" s="43">
        <f>IF(OR(D34="",M34=""),"",IF((1/(1+N34)-P34)&lt;=0,"",(L34+R34+S34)/(1/(1+N34)-P34)))</f>
        <v/>
      </c>
      <c r="X34" s="30">
        <f>IF(U34="","",IF(U34&gt;=$B$7,"BUY","SKIP"))</f>
        <v/>
      </c>
    </row>
    <row r="35">
      <c r="A35" s="40" t="n"/>
      <c r="B35" s="40" t="n"/>
      <c r="C35" s="40" t="n"/>
      <c r="D35" s="41" t="n"/>
      <c r="E35" s="40" t="n"/>
      <c r="F35" s="42">
        <f>IF(D35="","",IF(E35="EUR",$B$4,1))</f>
        <v/>
      </c>
      <c r="G35" s="43">
        <f>IF(D35="","",D35*F35)</f>
        <v/>
      </c>
      <c r="H35" s="44" t="n"/>
      <c r="I35" s="45" t="n"/>
      <c r="J35" s="43">
        <f>IF(D35="","",(G35+H35)*I35)</f>
        <v/>
      </c>
      <c r="K35" s="44" t="n"/>
      <c r="L35" s="43">
        <f>IF(D35="","",G35+H35+J35+K35)</f>
        <v/>
      </c>
      <c r="M35" s="44" t="n"/>
      <c r="N35" s="46">
        <f>IF(M35="","",$B$5)</f>
        <v/>
      </c>
      <c r="O35" s="43">
        <f>IF(M35="","",M35/(1+N35))</f>
        <v/>
      </c>
      <c r="P35" s="46">
        <f>IF(M35="","",$B$6)</f>
        <v/>
      </c>
      <c r="Q35" s="43">
        <f>IF(M35="","",M35*P35)</f>
        <v/>
      </c>
      <c r="R35" s="44" t="n"/>
      <c r="S35" s="44" t="n"/>
      <c r="T35" s="43">
        <f>IF(OR(D35="",M35=""),"",O35-L35-Q35-R35-S35)</f>
        <v/>
      </c>
      <c r="U35" s="47">
        <f>IF(T35="","",IF(L35=0,"",T35/L35))</f>
        <v/>
      </c>
      <c r="V35" s="47">
        <f>IF(T35="","",T35/O35)</f>
        <v/>
      </c>
      <c r="W35" s="43">
        <f>IF(OR(D35="",M35=""),"",IF((1/(1+N35)-P35)&lt;=0,"",(L35+R35+S35)/(1/(1+N35)-P35)))</f>
        <v/>
      </c>
      <c r="X35" s="30">
        <f>IF(U35="","",IF(U35&gt;=$B$7,"BUY","SKIP"))</f>
        <v/>
      </c>
    </row>
    <row r="36">
      <c r="A36" s="40" t="n"/>
      <c r="B36" s="40" t="n"/>
      <c r="C36" s="40" t="n"/>
      <c r="D36" s="41" t="n"/>
      <c r="E36" s="40" t="n"/>
      <c r="F36" s="42">
        <f>IF(D36="","",IF(E36="EUR",$B$4,1))</f>
        <v/>
      </c>
      <c r="G36" s="43">
        <f>IF(D36="","",D36*F36)</f>
        <v/>
      </c>
      <c r="H36" s="44" t="n"/>
      <c r="I36" s="45" t="n"/>
      <c r="J36" s="43">
        <f>IF(D36="","",(G36+H36)*I36)</f>
        <v/>
      </c>
      <c r="K36" s="44" t="n"/>
      <c r="L36" s="43">
        <f>IF(D36="","",G36+H36+J36+K36)</f>
        <v/>
      </c>
      <c r="M36" s="44" t="n"/>
      <c r="N36" s="46">
        <f>IF(M36="","",$B$5)</f>
        <v/>
      </c>
      <c r="O36" s="43">
        <f>IF(M36="","",M36/(1+N36))</f>
        <v/>
      </c>
      <c r="P36" s="46">
        <f>IF(M36="","",$B$6)</f>
        <v/>
      </c>
      <c r="Q36" s="43">
        <f>IF(M36="","",M36*P36)</f>
        <v/>
      </c>
      <c r="R36" s="44" t="n"/>
      <c r="S36" s="44" t="n"/>
      <c r="T36" s="43">
        <f>IF(OR(D36="",M36=""),"",O36-L36-Q36-R36-S36)</f>
        <v/>
      </c>
      <c r="U36" s="47">
        <f>IF(T36="","",IF(L36=0,"",T36/L36))</f>
        <v/>
      </c>
      <c r="V36" s="47">
        <f>IF(T36="","",T36/O36)</f>
        <v/>
      </c>
      <c r="W36" s="43">
        <f>IF(OR(D36="",M36=""),"",IF((1/(1+N36)-P36)&lt;=0,"",(L36+R36+S36)/(1/(1+N36)-P36)))</f>
        <v/>
      </c>
      <c r="X36" s="30">
        <f>IF(U36="","",IF(U36&gt;=$B$7,"BUY","SKIP"))</f>
        <v/>
      </c>
    </row>
    <row r="37">
      <c r="A37" s="40" t="n"/>
      <c r="B37" s="40" t="n"/>
      <c r="C37" s="40" t="n"/>
      <c r="D37" s="41" t="n"/>
      <c r="E37" s="40" t="n"/>
      <c r="F37" s="42">
        <f>IF(D37="","",IF(E37="EUR",$B$4,1))</f>
        <v/>
      </c>
      <c r="G37" s="43">
        <f>IF(D37="","",D37*F37)</f>
        <v/>
      </c>
      <c r="H37" s="44" t="n"/>
      <c r="I37" s="45" t="n"/>
      <c r="J37" s="43">
        <f>IF(D37="","",(G37+H37)*I37)</f>
        <v/>
      </c>
      <c r="K37" s="44" t="n"/>
      <c r="L37" s="43">
        <f>IF(D37="","",G37+H37+J37+K37)</f>
        <v/>
      </c>
      <c r="M37" s="44" t="n"/>
      <c r="N37" s="46">
        <f>IF(M37="","",$B$5)</f>
        <v/>
      </c>
      <c r="O37" s="43">
        <f>IF(M37="","",M37/(1+N37))</f>
        <v/>
      </c>
      <c r="P37" s="46">
        <f>IF(M37="","",$B$6)</f>
        <v/>
      </c>
      <c r="Q37" s="43">
        <f>IF(M37="","",M37*P37)</f>
        <v/>
      </c>
      <c r="R37" s="44" t="n"/>
      <c r="S37" s="44" t="n"/>
      <c r="T37" s="43">
        <f>IF(OR(D37="",M37=""),"",O37-L37-Q37-R37-S37)</f>
        <v/>
      </c>
      <c r="U37" s="47">
        <f>IF(T37="","",IF(L37=0,"",T37/L37))</f>
        <v/>
      </c>
      <c r="V37" s="47">
        <f>IF(T37="","",T37/O37)</f>
        <v/>
      </c>
      <c r="W37" s="43">
        <f>IF(OR(D37="",M37=""),"",IF((1/(1+N37)-P37)&lt;=0,"",(L37+R37+S37)/(1/(1+N37)-P37)))</f>
        <v/>
      </c>
      <c r="X37" s="30">
        <f>IF(U37="","",IF(U37&gt;=$B$7,"BUY","SKIP"))</f>
        <v/>
      </c>
    </row>
    <row r="38">
      <c r="A38" s="40" t="n"/>
      <c r="B38" s="40" t="n"/>
      <c r="C38" s="40" t="n"/>
      <c r="D38" s="41" t="n"/>
      <c r="E38" s="40" t="n"/>
      <c r="F38" s="42">
        <f>IF(D38="","",IF(E38="EUR",$B$4,1))</f>
        <v/>
      </c>
      <c r="G38" s="43">
        <f>IF(D38="","",D38*F38)</f>
        <v/>
      </c>
      <c r="H38" s="44" t="n"/>
      <c r="I38" s="45" t="n"/>
      <c r="J38" s="43">
        <f>IF(D38="","",(G38+H38)*I38)</f>
        <v/>
      </c>
      <c r="K38" s="44" t="n"/>
      <c r="L38" s="43">
        <f>IF(D38="","",G38+H38+J38+K38)</f>
        <v/>
      </c>
      <c r="M38" s="44" t="n"/>
      <c r="N38" s="46">
        <f>IF(M38="","",$B$5)</f>
        <v/>
      </c>
      <c r="O38" s="43">
        <f>IF(M38="","",M38/(1+N38))</f>
        <v/>
      </c>
      <c r="P38" s="46">
        <f>IF(M38="","",$B$6)</f>
        <v/>
      </c>
      <c r="Q38" s="43">
        <f>IF(M38="","",M38*P38)</f>
        <v/>
      </c>
      <c r="R38" s="44" t="n"/>
      <c r="S38" s="44" t="n"/>
      <c r="T38" s="43">
        <f>IF(OR(D38="",M38=""),"",O38-L38-Q38-R38-S38)</f>
        <v/>
      </c>
      <c r="U38" s="47">
        <f>IF(T38="","",IF(L38=0,"",T38/L38))</f>
        <v/>
      </c>
      <c r="V38" s="47">
        <f>IF(T38="","",T38/O38)</f>
        <v/>
      </c>
      <c r="W38" s="43">
        <f>IF(OR(D38="",M38=""),"",IF((1/(1+N38)-P38)&lt;=0,"",(L38+R38+S38)/(1/(1+N38)-P38)))</f>
        <v/>
      </c>
      <c r="X38" s="30">
        <f>IF(U38="","",IF(U38&gt;=$B$7,"BUY","SKIP"))</f>
        <v/>
      </c>
    </row>
    <row r="39">
      <c r="A39" s="40" t="n"/>
      <c r="B39" s="40" t="n"/>
      <c r="C39" s="40" t="n"/>
      <c r="D39" s="41" t="n"/>
      <c r="E39" s="40" t="n"/>
      <c r="F39" s="42">
        <f>IF(D39="","",IF(E39="EUR",$B$4,1))</f>
        <v/>
      </c>
      <c r="G39" s="43">
        <f>IF(D39="","",D39*F39)</f>
        <v/>
      </c>
      <c r="H39" s="44" t="n"/>
      <c r="I39" s="45" t="n"/>
      <c r="J39" s="43">
        <f>IF(D39="","",(G39+H39)*I39)</f>
        <v/>
      </c>
      <c r="K39" s="44" t="n"/>
      <c r="L39" s="43">
        <f>IF(D39="","",G39+H39+J39+K39)</f>
        <v/>
      </c>
      <c r="M39" s="44" t="n"/>
      <c r="N39" s="46">
        <f>IF(M39="","",$B$5)</f>
        <v/>
      </c>
      <c r="O39" s="43">
        <f>IF(M39="","",M39/(1+N39))</f>
        <v/>
      </c>
      <c r="P39" s="46">
        <f>IF(M39="","",$B$6)</f>
        <v/>
      </c>
      <c r="Q39" s="43">
        <f>IF(M39="","",M39*P39)</f>
        <v/>
      </c>
      <c r="R39" s="44" t="n"/>
      <c r="S39" s="44" t="n"/>
      <c r="T39" s="43">
        <f>IF(OR(D39="",M39=""),"",O39-L39-Q39-R39-S39)</f>
        <v/>
      </c>
      <c r="U39" s="47">
        <f>IF(T39="","",IF(L39=0,"",T39/L39))</f>
        <v/>
      </c>
      <c r="V39" s="47">
        <f>IF(T39="","",T39/O39)</f>
        <v/>
      </c>
      <c r="W39" s="43">
        <f>IF(OR(D39="",M39=""),"",IF((1/(1+N39)-P39)&lt;=0,"",(L39+R39+S39)/(1/(1+N39)-P39)))</f>
        <v/>
      </c>
      <c r="X39" s="30">
        <f>IF(U39="","",IF(U39&gt;=$B$7,"BUY","SKIP"))</f>
        <v/>
      </c>
    </row>
    <row r="40">
      <c r="A40" s="40" t="n"/>
      <c r="B40" s="40" t="n"/>
      <c r="C40" s="40" t="n"/>
      <c r="D40" s="41" t="n"/>
      <c r="E40" s="40" t="n"/>
      <c r="F40" s="42">
        <f>IF(D40="","",IF(E40="EUR",$B$4,1))</f>
        <v/>
      </c>
      <c r="G40" s="43">
        <f>IF(D40="","",D40*F40)</f>
        <v/>
      </c>
      <c r="H40" s="44" t="n"/>
      <c r="I40" s="45" t="n"/>
      <c r="J40" s="43">
        <f>IF(D40="","",(G40+H40)*I40)</f>
        <v/>
      </c>
      <c r="K40" s="44" t="n"/>
      <c r="L40" s="43">
        <f>IF(D40="","",G40+H40+J40+K40)</f>
        <v/>
      </c>
      <c r="M40" s="44" t="n"/>
      <c r="N40" s="46">
        <f>IF(M40="","",$B$5)</f>
        <v/>
      </c>
      <c r="O40" s="43">
        <f>IF(M40="","",M40/(1+N40))</f>
        <v/>
      </c>
      <c r="P40" s="46">
        <f>IF(M40="","",$B$6)</f>
        <v/>
      </c>
      <c r="Q40" s="43">
        <f>IF(M40="","",M40*P40)</f>
        <v/>
      </c>
      <c r="R40" s="44" t="n"/>
      <c r="S40" s="44" t="n"/>
      <c r="T40" s="43">
        <f>IF(OR(D40="",M40=""),"",O40-L40-Q40-R40-S40)</f>
        <v/>
      </c>
      <c r="U40" s="47">
        <f>IF(T40="","",IF(L40=0,"",T40/L40))</f>
        <v/>
      </c>
      <c r="V40" s="47">
        <f>IF(T40="","",T40/O40)</f>
        <v/>
      </c>
      <c r="W40" s="43">
        <f>IF(OR(D40="",M40=""),"",IF((1/(1+N40)-P40)&lt;=0,"",(L40+R40+S40)/(1/(1+N40)-P40)))</f>
        <v/>
      </c>
      <c r="X40" s="30">
        <f>IF(U40="","",IF(U40&gt;=$B$7,"BUY","SKIP"))</f>
        <v/>
      </c>
    </row>
    <row r="41">
      <c r="A41" s="40" t="n"/>
      <c r="B41" s="40" t="n"/>
      <c r="C41" s="40" t="n"/>
      <c r="D41" s="41" t="n"/>
      <c r="E41" s="40" t="n"/>
      <c r="F41" s="42">
        <f>IF(D41="","",IF(E41="EUR",$B$4,1))</f>
        <v/>
      </c>
      <c r="G41" s="43">
        <f>IF(D41="","",D41*F41)</f>
        <v/>
      </c>
      <c r="H41" s="44" t="n"/>
      <c r="I41" s="45" t="n"/>
      <c r="J41" s="43">
        <f>IF(D41="","",(G41+H41)*I41)</f>
        <v/>
      </c>
      <c r="K41" s="44" t="n"/>
      <c r="L41" s="43">
        <f>IF(D41="","",G41+H41+J41+K41)</f>
        <v/>
      </c>
      <c r="M41" s="44" t="n"/>
      <c r="N41" s="46">
        <f>IF(M41="","",$B$5)</f>
        <v/>
      </c>
      <c r="O41" s="43">
        <f>IF(M41="","",M41/(1+N41))</f>
        <v/>
      </c>
      <c r="P41" s="46">
        <f>IF(M41="","",$B$6)</f>
        <v/>
      </c>
      <c r="Q41" s="43">
        <f>IF(M41="","",M41*P41)</f>
        <v/>
      </c>
      <c r="R41" s="44" t="n"/>
      <c r="S41" s="44" t="n"/>
      <c r="T41" s="43">
        <f>IF(OR(D41="",M41=""),"",O41-L41-Q41-R41-S41)</f>
        <v/>
      </c>
      <c r="U41" s="47">
        <f>IF(T41="","",IF(L41=0,"",T41/L41))</f>
        <v/>
      </c>
      <c r="V41" s="47">
        <f>IF(T41="","",T41/O41)</f>
        <v/>
      </c>
      <c r="W41" s="43">
        <f>IF(OR(D41="",M41=""),"",IF((1/(1+N41)-P41)&lt;=0,"",(L41+R41+S41)/(1/(1+N41)-P41)))</f>
        <v/>
      </c>
      <c r="X41" s="30">
        <f>IF(U41="","",IF(U41&gt;=$B$7,"BUY","SKIP"))</f>
        <v/>
      </c>
    </row>
    <row r="42">
      <c r="A42" s="40" t="n"/>
      <c r="B42" s="40" t="n"/>
      <c r="C42" s="40" t="n"/>
      <c r="D42" s="41" t="n"/>
      <c r="E42" s="40" t="n"/>
      <c r="F42" s="42">
        <f>IF(D42="","",IF(E42="EUR",$B$4,1))</f>
        <v/>
      </c>
      <c r="G42" s="43">
        <f>IF(D42="","",D42*F42)</f>
        <v/>
      </c>
      <c r="H42" s="44" t="n"/>
      <c r="I42" s="45" t="n"/>
      <c r="J42" s="43">
        <f>IF(D42="","",(G42+H42)*I42)</f>
        <v/>
      </c>
      <c r="K42" s="44" t="n"/>
      <c r="L42" s="43">
        <f>IF(D42="","",G42+H42+J42+K42)</f>
        <v/>
      </c>
      <c r="M42" s="44" t="n"/>
      <c r="N42" s="46">
        <f>IF(M42="","",$B$5)</f>
        <v/>
      </c>
      <c r="O42" s="43">
        <f>IF(M42="","",M42/(1+N42))</f>
        <v/>
      </c>
      <c r="P42" s="46">
        <f>IF(M42="","",$B$6)</f>
        <v/>
      </c>
      <c r="Q42" s="43">
        <f>IF(M42="","",M42*P42)</f>
        <v/>
      </c>
      <c r="R42" s="44" t="n"/>
      <c r="S42" s="44" t="n"/>
      <c r="T42" s="43">
        <f>IF(OR(D42="",M42=""),"",O42-L42-Q42-R42-S42)</f>
        <v/>
      </c>
      <c r="U42" s="47">
        <f>IF(T42="","",IF(L42=0,"",T42/L42))</f>
        <v/>
      </c>
      <c r="V42" s="47">
        <f>IF(T42="","",T42/O42)</f>
        <v/>
      </c>
      <c r="W42" s="43">
        <f>IF(OR(D42="",M42=""),"",IF((1/(1+N42)-P42)&lt;=0,"",(L42+R42+S42)/(1/(1+N42)-P42)))</f>
        <v/>
      </c>
      <c r="X42" s="30">
        <f>IF(U42="","",IF(U42&gt;=$B$7,"BUY","SKIP"))</f>
        <v/>
      </c>
    </row>
    <row r="43">
      <c r="A43" s="40" t="n"/>
      <c r="B43" s="40" t="n"/>
      <c r="C43" s="40" t="n"/>
      <c r="D43" s="41" t="n"/>
      <c r="E43" s="40" t="n"/>
      <c r="F43" s="42">
        <f>IF(D43="","",IF(E43="EUR",$B$4,1))</f>
        <v/>
      </c>
      <c r="G43" s="43">
        <f>IF(D43="","",D43*F43)</f>
        <v/>
      </c>
      <c r="H43" s="44" t="n"/>
      <c r="I43" s="45" t="n"/>
      <c r="J43" s="43">
        <f>IF(D43="","",(G43+H43)*I43)</f>
        <v/>
      </c>
      <c r="K43" s="44" t="n"/>
      <c r="L43" s="43">
        <f>IF(D43="","",G43+H43+J43+K43)</f>
        <v/>
      </c>
      <c r="M43" s="44" t="n"/>
      <c r="N43" s="46">
        <f>IF(M43="","",$B$5)</f>
        <v/>
      </c>
      <c r="O43" s="43">
        <f>IF(M43="","",M43/(1+N43))</f>
        <v/>
      </c>
      <c r="P43" s="46">
        <f>IF(M43="","",$B$6)</f>
        <v/>
      </c>
      <c r="Q43" s="43">
        <f>IF(M43="","",M43*P43)</f>
        <v/>
      </c>
      <c r="R43" s="44" t="n"/>
      <c r="S43" s="44" t="n"/>
      <c r="T43" s="43">
        <f>IF(OR(D43="",M43=""),"",O43-L43-Q43-R43-S43)</f>
        <v/>
      </c>
      <c r="U43" s="47">
        <f>IF(T43="","",IF(L43=0,"",T43/L43))</f>
        <v/>
      </c>
      <c r="V43" s="47">
        <f>IF(T43="","",T43/O43)</f>
        <v/>
      </c>
      <c r="W43" s="43">
        <f>IF(OR(D43="",M43=""),"",IF((1/(1+N43)-P43)&lt;=0,"",(L43+R43+S43)/(1/(1+N43)-P43)))</f>
        <v/>
      </c>
      <c r="X43" s="30">
        <f>IF(U43="","",IF(U43&gt;=$B$7,"BUY","SKIP"))</f>
        <v/>
      </c>
    </row>
    <row r="44">
      <c r="A44" s="40" t="n"/>
      <c r="B44" s="40" t="n"/>
      <c r="C44" s="40" t="n"/>
      <c r="D44" s="41" t="n"/>
      <c r="E44" s="40" t="n"/>
      <c r="F44" s="42">
        <f>IF(D44="","",IF(E44="EUR",$B$4,1))</f>
        <v/>
      </c>
      <c r="G44" s="43">
        <f>IF(D44="","",D44*F44)</f>
        <v/>
      </c>
      <c r="H44" s="44" t="n"/>
      <c r="I44" s="45" t="n"/>
      <c r="J44" s="43">
        <f>IF(D44="","",(G44+H44)*I44)</f>
        <v/>
      </c>
      <c r="K44" s="44" t="n"/>
      <c r="L44" s="43">
        <f>IF(D44="","",G44+H44+J44+K44)</f>
        <v/>
      </c>
      <c r="M44" s="44" t="n"/>
      <c r="N44" s="46">
        <f>IF(M44="","",$B$5)</f>
        <v/>
      </c>
      <c r="O44" s="43">
        <f>IF(M44="","",M44/(1+N44))</f>
        <v/>
      </c>
      <c r="P44" s="46">
        <f>IF(M44="","",$B$6)</f>
        <v/>
      </c>
      <c r="Q44" s="43">
        <f>IF(M44="","",M44*P44)</f>
        <v/>
      </c>
      <c r="R44" s="44" t="n"/>
      <c r="S44" s="44" t="n"/>
      <c r="T44" s="43">
        <f>IF(OR(D44="",M44=""),"",O44-L44-Q44-R44-S44)</f>
        <v/>
      </c>
      <c r="U44" s="47">
        <f>IF(T44="","",IF(L44=0,"",T44/L44))</f>
        <v/>
      </c>
      <c r="V44" s="47">
        <f>IF(T44="","",T44/O44)</f>
        <v/>
      </c>
      <c r="W44" s="43">
        <f>IF(OR(D44="",M44=""),"",IF((1/(1+N44)-P44)&lt;=0,"",(L44+R44+S44)/(1/(1+N44)-P44)))</f>
        <v/>
      </c>
      <c r="X44" s="30">
        <f>IF(U44="","",IF(U44&gt;=$B$7,"BUY","SKIP"))</f>
        <v/>
      </c>
    </row>
    <row r="45">
      <c r="A45" s="40" t="n"/>
      <c r="B45" s="40" t="n"/>
      <c r="C45" s="40" t="n"/>
      <c r="D45" s="41" t="n"/>
      <c r="E45" s="40" t="n"/>
      <c r="F45" s="42">
        <f>IF(D45="","",IF(E45="EUR",$B$4,1))</f>
        <v/>
      </c>
      <c r="G45" s="43">
        <f>IF(D45="","",D45*F45)</f>
        <v/>
      </c>
      <c r="H45" s="44" t="n"/>
      <c r="I45" s="45" t="n"/>
      <c r="J45" s="43">
        <f>IF(D45="","",(G45+H45)*I45)</f>
        <v/>
      </c>
      <c r="K45" s="44" t="n"/>
      <c r="L45" s="43">
        <f>IF(D45="","",G45+H45+J45+K45)</f>
        <v/>
      </c>
      <c r="M45" s="44" t="n"/>
      <c r="N45" s="46">
        <f>IF(M45="","",$B$5)</f>
        <v/>
      </c>
      <c r="O45" s="43">
        <f>IF(M45="","",M45/(1+N45))</f>
        <v/>
      </c>
      <c r="P45" s="46">
        <f>IF(M45="","",$B$6)</f>
        <v/>
      </c>
      <c r="Q45" s="43">
        <f>IF(M45="","",M45*P45)</f>
        <v/>
      </c>
      <c r="R45" s="44" t="n"/>
      <c r="S45" s="44" t="n"/>
      <c r="T45" s="43">
        <f>IF(OR(D45="",M45=""),"",O45-L45-Q45-R45-S45)</f>
        <v/>
      </c>
      <c r="U45" s="47">
        <f>IF(T45="","",IF(L45=0,"",T45/L45))</f>
        <v/>
      </c>
      <c r="V45" s="47">
        <f>IF(T45="","",T45/O45)</f>
        <v/>
      </c>
      <c r="W45" s="43">
        <f>IF(OR(D45="",M45=""),"",IF((1/(1+N45)-P45)&lt;=0,"",(L45+R45+S45)/(1/(1+N45)-P45)))</f>
        <v/>
      </c>
      <c r="X45" s="30">
        <f>IF(U45="","",IF(U45&gt;=$B$7,"BUY","SKIP"))</f>
        <v/>
      </c>
    </row>
    <row r="46">
      <c r="A46" s="40" t="n"/>
      <c r="B46" s="40" t="n"/>
      <c r="C46" s="40" t="n"/>
      <c r="D46" s="41" t="n"/>
      <c r="E46" s="40" t="n"/>
      <c r="F46" s="42">
        <f>IF(D46="","",IF(E46="EUR",$B$4,1))</f>
        <v/>
      </c>
      <c r="G46" s="43">
        <f>IF(D46="","",D46*F46)</f>
        <v/>
      </c>
      <c r="H46" s="44" t="n"/>
      <c r="I46" s="45" t="n"/>
      <c r="J46" s="43">
        <f>IF(D46="","",(G46+H46)*I46)</f>
        <v/>
      </c>
      <c r="K46" s="44" t="n"/>
      <c r="L46" s="43">
        <f>IF(D46="","",G46+H46+J46+K46)</f>
        <v/>
      </c>
      <c r="M46" s="44" t="n"/>
      <c r="N46" s="46">
        <f>IF(M46="","",$B$5)</f>
        <v/>
      </c>
      <c r="O46" s="43">
        <f>IF(M46="","",M46/(1+N46))</f>
        <v/>
      </c>
      <c r="P46" s="46">
        <f>IF(M46="","",$B$6)</f>
        <v/>
      </c>
      <c r="Q46" s="43">
        <f>IF(M46="","",M46*P46)</f>
        <v/>
      </c>
      <c r="R46" s="44" t="n"/>
      <c r="S46" s="44" t="n"/>
      <c r="T46" s="43">
        <f>IF(OR(D46="",M46=""),"",O46-L46-Q46-R46-S46)</f>
        <v/>
      </c>
      <c r="U46" s="47">
        <f>IF(T46="","",IF(L46=0,"",T46/L46))</f>
        <v/>
      </c>
      <c r="V46" s="47">
        <f>IF(T46="","",T46/O46)</f>
        <v/>
      </c>
      <c r="W46" s="43">
        <f>IF(OR(D46="",M46=""),"",IF((1/(1+N46)-P46)&lt;=0,"",(L46+R46+S46)/(1/(1+N46)-P46)))</f>
        <v/>
      </c>
      <c r="X46" s="30">
        <f>IF(U46="","",IF(U46&gt;=$B$7,"BUY","SKIP"))</f>
        <v/>
      </c>
    </row>
    <row r="47">
      <c r="A47" s="40" t="n"/>
      <c r="B47" s="40" t="n"/>
      <c r="C47" s="40" t="n"/>
      <c r="D47" s="41" t="n"/>
      <c r="E47" s="40" t="n"/>
      <c r="F47" s="42">
        <f>IF(D47="","",IF(E47="EUR",$B$4,1))</f>
        <v/>
      </c>
      <c r="G47" s="43">
        <f>IF(D47="","",D47*F47)</f>
        <v/>
      </c>
      <c r="H47" s="44" t="n"/>
      <c r="I47" s="45" t="n"/>
      <c r="J47" s="43">
        <f>IF(D47="","",(G47+H47)*I47)</f>
        <v/>
      </c>
      <c r="K47" s="44" t="n"/>
      <c r="L47" s="43">
        <f>IF(D47="","",G47+H47+J47+K47)</f>
        <v/>
      </c>
      <c r="M47" s="44" t="n"/>
      <c r="N47" s="46">
        <f>IF(M47="","",$B$5)</f>
        <v/>
      </c>
      <c r="O47" s="43">
        <f>IF(M47="","",M47/(1+N47))</f>
        <v/>
      </c>
      <c r="P47" s="46">
        <f>IF(M47="","",$B$6)</f>
        <v/>
      </c>
      <c r="Q47" s="43">
        <f>IF(M47="","",M47*P47)</f>
        <v/>
      </c>
      <c r="R47" s="44" t="n"/>
      <c r="S47" s="44" t="n"/>
      <c r="T47" s="43">
        <f>IF(OR(D47="",M47=""),"",O47-L47-Q47-R47-S47)</f>
        <v/>
      </c>
      <c r="U47" s="47">
        <f>IF(T47="","",IF(L47=0,"",T47/L47))</f>
        <v/>
      </c>
      <c r="V47" s="47">
        <f>IF(T47="","",T47/O47)</f>
        <v/>
      </c>
      <c r="W47" s="43">
        <f>IF(OR(D47="",M47=""),"",IF((1/(1+N47)-P47)&lt;=0,"",(L47+R47+S47)/(1/(1+N47)-P47)))</f>
        <v/>
      </c>
      <c r="X47" s="30">
        <f>IF(U47="","",IF(U47&gt;=$B$7,"BUY","SKIP"))</f>
        <v/>
      </c>
    </row>
    <row r="48">
      <c r="A48" s="40" t="n"/>
      <c r="B48" s="40" t="n"/>
      <c r="C48" s="40" t="n"/>
      <c r="D48" s="41" t="n"/>
      <c r="E48" s="40" t="n"/>
      <c r="F48" s="42">
        <f>IF(D48="","",IF(E48="EUR",$B$4,1))</f>
        <v/>
      </c>
      <c r="G48" s="43">
        <f>IF(D48="","",D48*F48)</f>
        <v/>
      </c>
      <c r="H48" s="44" t="n"/>
      <c r="I48" s="45" t="n"/>
      <c r="J48" s="43">
        <f>IF(D48="","",(G48+H48)*I48)</f>
        <v/>
      </c>
      <c r="K48" s="44" t="n"/>
      <c r="L48" s="43">
        <f>IF(D48="","",G48+H48+J48+K48)</f>
        <v/>
      </c>
      <c r="M48" s="44" t="n"/>
      <c r="N48" s="46">
        <f>IF(M48="","",$B$5)</f>
        <v/>
      </c>
      <c r="O48" s="43">
        <f>IF(M48="","",M48/(1+N48))</f>
        <v/>
      </c>
      <c r="P48" s="46">
        <f>IF(M48="","",$B$6)</f>
        <v/>
      </c>
      <c r="Q48" s="43">
        <f>IF(M48="","",M48*P48)</f>
        <v/>
      </c>
      <c r="R48" s="44" t="n"/>
      <c r="S48" s="44" t="n"/>
      <c r="T48" s="43">
        <f>IF(OR(D48="",M48=""),"",O48-L48-Q48-R48-S48)</f>
        <v/>
      </c>
      <c r="U48" s="47">
        <f>IF(T48="","",IF(L48=0,"",T48/L48))</f>
        <v/>
      </c>
      <c r="V48" s="47">
        <f>IF(T48="","",T48/O48)</f>
        <v/>
      </c>
      <c r="W48" s="43">
        <f>IF(OR(D48="",M48=""),"",IF((1/(1+N48)-P48)&lt;=0,"",(L48+R48+S48)/(1/(1+N48)-P48)))</f>
        <v/>
      </c>
      <c r="X48" s="30">
        <f>IF(U48="","",IF(U48&gt;=$B$7,"BUY","SKIP"))</f>
        <v/>
      </c>
    </row>
    <row r="49">
      <c r="A49" s="40" t="n"/>
      <c r="B49" s="40" t="n"/>
      <c r="C49" s="40" t="n"/>
      <c r="D49" s="41" t="n"/>
      <c r="E49" s="40" t="n"/>
      <c r="F49" s="42">
        <f>IF(D49="","",IF(E49="EUR",$B$4,1))</f>
        <v/>
      </c>
      <c r="G49" s="43">
        <f>IF(D49="","",D49*F49)</f>
        <v/>
      </c>
      <c r="H49" s="44" t="n"/>
      <c r="I49" s="45" t="n"/>
      <c r="J49" s="43">
        <f>IF(D49="","",(G49+H49)*I49)</f>
        <v/>
      </c>
      <c r="K49" s="44" t="n"/>
      <c r="L49" s="43">
        <f>IF(D49="","",G49+H49+J49+K49)</f>
        <v/>
      </c>
      <c r="M49" s="44" t="n"/>
      <c r="N49" s="46">
        <f>IF(M49="","",$B$5)</f>
        <v/>
      </c>
      <c r="O49" s="43">
        <f>IF(M49="","",M49/(1+N49))</f>
        <v/>
      </c>
      <c r="P49" s="46">
        <f>IF(M49="","",$B$6)</f>
        <v/>
      </c>
      <c r="Q49" s="43">
        <f>IF(M49="","",M49*P49)</f>
        <v/>
      </c>
      <c r="R49" s="44" t="n"/>
      <c r="S49" s="44" t="n"/>
      <c r="T49" s="43">
        <f>IF(OR(D49="",M49=""),"",O49-L49-Q49-R49-S49)</f>
        <v/>
      </c>
      <c r="U49" s="47">
        <f>IF(T49="","",IF(L49=0,"",T49/L49))</f>
        <v/>
      </c>
      <c r="V49" s="47">
        <f>IF(T49="","",T49/O49)</f>
        <v/>
      </c>
      <c r="W49" s="43">
        <f>IF(OR(D49="",M49=""),"",IF((1/(1+N49)-P49)&lt;=0,"",(L49+R49+S49)/(1/(1+N49)-P49)))</f>
        <v/>
      </c>
      <c r="X49" s="30">
        <f>IF(U49="","",IF(U49&gt;=$B$7,"BUY","SKIP"))</f>
        <v/>
      </c>
    </row>
    <row r="50">
      <c r="A50" s="40" t="n"/>
      <c r="B50" s="40" t="n"/>
      <c r="C50" s="40" t="n"/>
      <c r="D50" s="41" t="n"/>
      <c r="E50" s="40" t="n"/>
      <c r="F50" s="42">
        <f>IF(D50="","",IF(E50="EUR",$B$4,1))</f>
        <v/>
      </c>
      <c r="G50" s="43">
        <f>IF(D50="","",D50*F50)</f>
        <v/>
      </c>
      <c r="H50" s="44" t="n"/>
      <c r="I50" s="45" t="n"/>
      <c r="J50" s="43">
        <f>IF(D50="","",(G50+H50)*I50)</f>
        <v/>
      </c>
      <c r="K50" s="44" t="n"/>
      <c r="L50" s="43">
        <f>IF(D50="","",G50+H50+J50+K50)</f>
        <v/>
      </c>
      <c r="M50" s="44" t="n"/>
      <c r="N50" s="46">
        <f>IF(M50="","",$B$5)</f>
        <v/>
      </c>
      <c r="O50" s="43">
        <f>IF(M50="","",M50/(1+N50))</f>
        <v/>
      </c>
      <c r="P50" s="46">
        <f>IF(M50="","",$B$6)</f>
        <v/>
      </c>
      <c r="Q50" s="43">
        <f>IF(M50="","",M50*P50)</f>
        <v/>
      </c>
      <c r="R50" s="44" t="n"/>
      <c r="S50" s="44" t="n"/>
      <c r="T50" s="43">
        <f>IF(OR(D50="",M50=""),"",O50-L50-Q50-R50-S50)</f>
        <v/>
      </c>
      <c r="U50" s="47">
        <f>IF(T50="","",IF(L50=0,"",T50/L50))</f>
        <v/>
      </c>
      <c r="V50" s="47">
        <f>IF(T50="","",T50/O50)</f>
        <v/>
      </c>
      <c r="W50" s="43">
        <f>IF(OR(D50="",M50=""),"",IF((1/(1+N50)-P50)&lt;=0,"",(L50+R50+S50)/(1/(1+N50)-P50)))</f>
        <v/>
      </c>
      <c r="X50" s="30">
        <f>IF(U50="","",IF(U50&gt;=$B$7,"BUY","SKIP"))</f>
        <v/>
      </c>
    </row>
    <row r="52" ht="48" customHeight="1">
      <c r="A52" s="48" t="inlineStr">
        <is>
          <t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      </is>
      </c>
    </row>
  </sheetData>
  <mergeCells count="1">
    <mergeCell ref="A52:N52"/>
  </mergeCells>
  <conditionalFormatting sqref="X11:X50">
    <cfRule type="cellIs" priority="1" operator="equal" dxfId="8">
      <formula>"BUY"</formula>
    </cfRule>
    <cfRule type="cellIs" priority="2" operator="equal" dxfId="9">
      <formula>"SKIP"</formula>
    </cfRule>
  </conditionalFormatting>
  <dataValidations count="1">
    <dataValidation sqref="E11:E50" showDropDown="0" showInputMessage="0" showErrorMessage="0" allowBlank="1" type="list">
      <formula1>"GBP,EUR"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00" customWidth="1" min="3" max="3"/>
  </cols>
  <sheetData>
    <row r="2">
      <c r="B2" s="1" t="inlineStr">
        <is>
          <t>Outreach templates - replace [brackets] before sending</t>
        </is>
      </c>
    </row>
    <row r="4">
      <c r="B4" s="3" t="inlineStr">
        <is>
          <t>Email 1 - First contact</t>
        </is>
      </c>
      <c r="C4" s="33" t="inlineStr">
        <is>
          <t>Subject: Trade account enquiry - Crowsons Distribution (UK online retailer)</t>
        </is>
      </c>
    </row>
    <row r="5" ht="375" customHeight="1">
      <c r="C5" s="49" t="inlineStr">
        <is>
          <t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      </is>
      </c>
    </row>
    <row r="7">
      <c r="B7" s="3" t="inlineStr">
        <is>
          <t>Email 1b - EU supplier version</t>
        </is>
      </c>
      <c r="C7" s="33" t="inlineStr">
        <is>
          <t>Subject: Trade account enquiry - UK online retailer (delivery to UK)</t>
        </is>
      </c>
    </row>
    <row r="8" ht="375" customHeight="1">
      <c r="C8" s="49" t="inlineStr">
        <is>
          <t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      </is>
      </c>
    </row>
    <row r="10">
      <c r="B10" s="3" t="inlineStr">
        <is>
          <t>Email 2 - Follow-up (5 working days)</t>
        </is>
      </c>
      <c r="C10" s="33" t="inlineStr">
        <is>
          <t>Subject: Re: Trade account enquiry - Crowsons Distribution</t>
        </is>
      </c>
    </row>
    <row r="11" ht="165" customHeight="1">
      <c r="C11" s="49" t="inlineStr">
        <is>
          <t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      </is>
      </c>
    </row>
    <row r="13" ht="45" customHeight="1">
      <c r="B13" s="3" t="inlineStr">
        <is>
          <t>LinkedIn connection note (max 300 chars)</t>
        </is>
      </c>
      <c r="C13" s="49" t="inlineStr">
        <is>
          <t>Hi [First name], I run Crowsons Distribution, a UK online retailer of branded [category]. I'm looking to open trade accounts with established distributors like [Company] and would love to connect.</t>
        </is>
      </c>
    </row>
    <row r="15" ht="135" customHeight="1">
      <c r="B15" s="3" t="inlineStr">
        <is>
          <t>LinkedIn message (after they accept)</t>
        </is>
      </c>
      <c r="C15" s="49" t="inlineStr">
        <is>
          <t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      </is>
      </c>
    </row>
    <row r="17">
      <c r="B17" s="3" t="inlineStr">
        <is>
          <t>Invoice / Amazon ungating request</t>
        </is>
      </c>
      <c r="C17" s="33" t="inlineStr">
        <is>
          <t>Subject: Invoice requirements for our order</t>
        </is>
      </c>
    </row>
    <row r="18" ht="255" customHeight="1">
      <c r="C18" s="49" t="inlineStr">
        <is>
          <t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Outreach dashboard</t>
        </is>
      </c>
    </row>
    <row r="3">
      <c r="B3" s="2" t="inlineStr">
        <is>
          <t>All figures are formulas linked to the Suppliers tab.</t>
        </is>
      </c>
    </row>
    <row r="5">
      <c r="B5" s="50" t="inlineStr">
        <is>
          <t>Niche</t>
        </is>
      </c>
      <c r="C5" s="50" t="inlineStr">
        <is>
          <t>Suppliers</t>
        </is>
      </c>
      <c r="D5" s="50" t="inlineStr">
        <is>
          <t>UK</t>
        </is>
      </c>
      <c r="E5" s="50" t="inlineStr">
        <is>
          <t>EU / Europe</t>
        </is>
      </c>
      <c r="F5" s="50" t="inlineStr">
        <is>
          <t>Priority 4-5</t>
        </is>
      </c>
      <c r="G5" s="50" t="inlineStr">
        <is>
          <t>Contacted+</t>
        </is>
      </c>
      <c r="H5" s="50" t="inlineStr">
        <is>
          <t>Approved</t>
        </is>
      </c>
      <c r="I5" s="50" t="inlineStr">
        <is>
          <t>Low-cost country</t>
        </is>
      </c>
    </row>
    <row r="6">
      <c r="B6" s="30" t="inlineStr">
        <is>
          <t>B2B Marketplace</t>
        </is>
      </c>
      <c r="C6" s="30">
        <f>COUNTIF(Suppliers!$D$2:$D$397,B6)</f>
        <v/>
      </c>
      <c r="D6" s="30">
        <f>COUNTIFS(Suppliers!$D$2:$D$397,B6,Suppliers!$I$2:$I$397,"UK")</f>
        <v/>
      </c>
      <c r="E6" s="30">
        <f>COUNTIFS(Suppliers!$D$2:$D$397,B6,Suppliers!$I$2:$I$397,"&lt;&gt;UK")</f>
        <v/>
      </c>
      <c r="F6" s="30">
        <f>COUNTIFS(Suppliers!$D$2:$D$397,B6,Suppliers!$C$2:$C$397,"&gt;=4")</f>
        <v/>
      </c>
      <c r="G6" s="30">
        <f>COUNTIFS(Suppliers!$D$2:$D$397,B6,Suppliers!$AD$2:$AD$397,"&lt;&gt;Not contacted")</f>
        <v/>
      </c>
      <c r="H6" s="30">
        <f>COUNTIFS(Suppliers!$D$2:$D$397,B6,Suppliers!$AJ$2:$AJ$397,"Yes")</f>
        <v/>
      </c>
      <c r="I6" s="30">
        <f>COUNTIFS(Suppliers!$D$2:$D$397,B6,Suppliers!$J$2:$J$397,"Low-cost")</f>
        <v/>
      </c>
    </row>
    <row r="7">
      <c r="B7" s="30" t="inlineStr">
        <is>
          <t>Baby Products</t>
        </is>
      </c>
      <c r="C7" s="30">
        <f>COUNTIF(Suppliers!$D$2:$D$397,B7)</f>
        <v/>
      </c>
      <c r="D7" s="30">
        <f>COUNTIFS(Suppliers!$D$2:$D$397,B7,Suppliers!$I$2:$I$397,"UK")</f>
        <v/>
      </c>
      <c r="E7" s="30">
        <f>COUNTIFS(Suppliers!$D$2:$D$397,B7,Suppliers!$I$2:$I$397,"&lt;&gt;UK")</f>
        <v/>
      </c>
      <c r="F7" s="30">
        <f>COUNTIFS(Suppliers!$D$2:$D$397,B7,Suppliers!$C$2:$C$397,"&gt;=4")</f>
        <v/>
      </c>
      <c r="G7" s="30">
        <f>COUNTIFS(Suppliers!$D$2:$D$397,B7,Suppliers!$AD$2:$AD$397,"&lt;&gt;Not contacted")</f>
        <v/>
      </c>
      <c r="H7" s="30">
        <f>COUNTIFS(Suppliers!$D$2:$D$397,B7,Suppliers!$AJ$2:$AJ$397,"Yes")</f>
        <v/>
      </c>
      <c r="I7" s="30">
        <f>COUNTIFS(Suppliers!$D$2:$D$397,B7,Suppliers!$J$2:$J$397,"Low-cost")</f>
        <v/>
      </c>
    </row>
    <row r="8">
      <c r="B8" s="30" t="inlineStr">
        <is>
          <t>Beauty</t>
        </is>
      </c>
      <c r="C8" s="30">
        <f>COUNTIF(Suppliers!$D$2:$D$397,B8)</f>
        <v/>
      </c>
      <c r="D8" s="30">
        <f>COUNTIFS(Suppliers!$D$2:$D$397,B8,Suppliers!$I$2:$I$397,"UK")</f>
        <v/>
      </c>
      <c r="E8" s="30">
        <f>COUNTIFS(Suppliers!$D$2:$D$397,B8,Suppliers!$I$2:$I$397,"&lt;&gt;UK")</f>
        <v/>
      </c>
      <c r="F8" s="30">
        <f>COUNTIFS(Suppliers!$D$2:$D$397,B8,Suppliers!$C$2:$C$397,"&gt;=4")</f>
        <v/>
      </c>
      <c r="G8" s="30">
        <f>COUNTIFS(Suppliers!$D$2:$D$397,B8,Suppliers!$AD$2:$AD$397,"&lt;&gt;Not contacted")</f>
        <v/>
      </c>
      <c r="H8" s="30">
        <f>COUNTIFS(Suppliers!$D$2:$D$397,B8,Suppliers!$AJ$2:$AJ$397,"Yes")</f>
        <v/>
      </c>
      <c r="I8" s="30">
        <f>COUNTIFS(Suppliers!$D$2:$D$397,B8,Suppliers!$J$2:$J$397,"Low-cost")</f>
        <v/>
      </c>
    </row>
    <row r="9">
      <c r="B9" s="30" t="inlineStr">
        <is>
          <t>DIY &amp; Tools</t>
        </is>
      </c>
      <c r="C9" s="30">
        <f>COUNTIF(Suppliers!$D$2:$D$397,B9)</f>
        <v/>
      </c>
      <c r="D9" s="30">
        <f>COUNTIFS(Suppliers!$D$2:$D$397,B9,Suppliers!$I$2:$I$397,"UK")</f>
        <v/>
      </c>
      <c r="E9" s="30">
        <f>COUNTIFS(Suppliers!$D$2:$D$397,B9,Suppliers!$I$2:$I$397,"&lt;&gt;UK")</f>
        <v/>
      </c>
      <c r="F9" s="30">
        <f>COUNTIFS(Suppliers!$D$2:$D$397,B9,Suppliers!$C$2:$C$397,"&gt;=4")</f>
        <v/>
      </c>
      <c r="G9" s="30">
        <f>COUNTIFS(Suppliers!$D$2:$D$397,B9,Suppliers!$AD$2:$AD$397,"&lt;&gt;Not contacted")</f>
        <v/>
      </c>
      <c r="H9" s="30">
        <f>COUNTIFS(Suppliers!$D$2:$D$397,B9,Suppliers!$AJ$2:$AJ$397,"Yes")</f>
        <v/>
      </c>
      <c r="I9" s="30">
        <f>COUNTIFS(Suppliers!$D$2:$D$397,B9,Suppliers!$J$2:$J$397,"Low-cost")</f>
        <v/>
      </c>
    </row>
    <row r="10">
      <c r="B10" s="30" t="inlineStr">
        <is>
          <t>Fragrance</t>
        </is>
      </c>
      <c r="C10" s="30">
        <f>COUNTIF(Suppliers!$D$2:$D$397,B10)</f>
        <v/>
      </c>
      <c r="D10" s="30">
        <f>COUNTIFS(Suppliers!$D$2:$D$397,B10,Suppliers!$I$2:$I$397,"UK")</f>
        <v/>
      </c>
      <c r="E10" s="30">
        <f>COUNTIFS(Suppliers!$D$2:$D$397,B10,Suppliers!$I$2:$I$397,"&lt;&gt;UK")</f>
        <v/>
      </c>
      <c r="F10" s="30">
        <f>COUNTIFS(Suppliers!$D$2:$D$397,B10,Suppliers!$C$2:$C$397,"&gt;=4")</f>
        <v/>
      </c>
      <c r="G10" s="30">
        <f>COUNTIFS(Suppliers!$D$2:$D$397,B10,Suppliers!$AD$2:$AD$397,"&lt;&gt;Not contacted")</f>
        <v/>
      </c>
      <c r="H10" s="30">
        <f>COUNTIFS(Suppliers!$D$2:$D$397,B10,Suppliers!$AJ$2:$AJ$397,"Yes")</f>
        <v/>
      </c>
      <c r="I10" s="30">
        <f>COUNTIFS(Suppliers!$D$2:$D$397,B10,Suppliers!$J$2:$J$397,"Low-cost")</f>
        <v/>
      </c>
    </row>
    <row r="11">
      <c r="B11" s="30" t="inlineStr">
        <is>
          <t>General Wholesale / FMCG</t>
        </is>
      </c>
      <c r="C11" s="30">
        <f>COUNTIF(Suppliers!$D$2:$D$397,B11)</f>
        <v/>
      </c>
      <c r="D11" s="30">
        <f>COUNTIFS(Suppliers!$D$2:$D$397,B11,Suppliers!$I$2:$I$397,"UK")</f>
        <v/>
      </c>
      <c r="E11" s="30">
        <f>COUNTIFS(Suppliers!$D$2:$D$397,B11,Suppliers!$I$2:$I$397,"&lt;&gt;UK")</f>
        <v/>
      </c>
      <c r="F11" s="30">
        <f>COUNTIFS(Suppliers!$D$2:$D$397,B11,Suppliers!$C$2:$C$397,"&gt;=4")</f>
        <v/>
      </c>
      <c r="G11" s="30">
        <f>COUNTIFS(Suppliers!$D$2:$D$397,B11,Suppliers!$AD$2:$AD$397,"&lt;&gt;Not contacted")</f>
        <v/>
      </c>
      <c r="H11" s="30">
        <f>COUNTIFS(Suppliers!$D$2:$D$397,B11,Suppliers!$AJ$2:$AJ$397,"Yes")</f>
        <v/>
      </c>
      <c r="I11" s="30">
        <f>COUNTIFS(Suppliers!$D$2:$D$397,B11,Suppliers!$J$2:$J$397,"Low-cost")</f>
        <v/>
      </c>
    </row>
    <row r="12">
      <c r="B12" s="30" t="inlineStr">
        <is>
          <t>Health &amp; Personal Care</t>
        </is>
      </c>
      <c r="C12" s="30">
        <f>COUNTIF(Suppliers!$D$2:$D$397,B12)</f>
        <v/>
      </c>
      <c r="D12" s="30">
        <f>COUNTIFS(Suppliers!$D$2:$D$397,B12,Suppliers!$I$2:$I$397,"UK")</f>
        <v/>
      </c>
      <c r="E12" s="30">
        <f>COUNTIFS(Suppliers!$D$2:$D$397,B12,Suppliers!$I$2:$I$397,"&lt;&gt;UK")</f>
        <v/>
      </c>
      <c r="F12" s="30">
        <f>COUNTIFS(Suppliers!$D$2:$D$397,B12,Suppliers!$C$2:$C$397,"&gt;=4")</f>
        <v/>
      </c>
      <c r="G12" s="30">
        <f>COUNTIFS(Suppliers!$D$2:$D$397,B12,Suppliers!$AD$2:$AD$397,"&lt;&gt;Not contacted")</f>
        <v/>
      </c>
      <c r="H12" s="30">
        <f>COUNTIFS(Suppliers!$D$2:$D$397,B12,Suppliers!$AJ$2:$AJ$397,"Yes")</f>
        <v/>
      </c>
      <c r="I12" s="30">
        <f>COUNTIFS(Suppliers!$D$2:$D$397,B12,Suppliers!$J$2:$J$397,"Low-cost")</f>
        <v/>
      </c>
    </row>
    <row r="13">
      <c r="B13" s="30" t="inlineStr">
        <is>
          <t>Home &amp; Kitchen</t>
        </is>
      </c>
      <c r="C13" s="30">
        <f>COUNTIF(Suppliers!$D$2:$D$397,B13)</f>
        <v/>
      </c>
      <c r="D13" s="30">
        <f>COUNTIFS(Suppliers!$D$2:$D$397,B13,Suppliers!$I$2:$I$397,"UK")</f>
        <v/>
      </c>
      <c r="E13" s="30">
        <f>COUNTIFS(Suppliers!$D$2:$D$397,B13,Suppliers!$I$2:$I$397,"&lt;&gt;UK")</f>
        <v/>
      </c>
      <c r="F13" s="30">
        <f>COUNTIFS(Suppliers!$D$2:$D$397,B13,Suppliers!$C$2:$C$397,"&gt;=4")</f>
        <v/>
      </c>
      <c r="G13" s="30">
        <f>COUNTIFS(Suppliers!$D$2:$D$397,B13,Suppliers!$AD$2:$AD$397,"&lt;&gt;Not contacted")</f>
        <v/>
      </c>
      <c r="H13" s="30">
        <f>COUNTIFS(Suppliers!$D$2:$D$397,B13,Suppliers!$AJ$2:$AJ$397,"Yes")</f>
        <v/>
      </c>
      <c r="I13" s="30">
        <f>COUNTIFS(Suppliers!$D$2:$D$397,B13,Suppliers!$J$2:$J$397,"Low-cost")</f>
        <v/>
      </c>
    </row>
    <row r="14">
      <c r="B14" s="30" t="inlineStr">
        <is>
          <t>Pet Supplies</t>
        </is>
      </c>
      <c r="C14" s="30">
        <f>COUNTIF(Suppliers!$D$2:$D$397,B14)</f>
        <v/>
      </c>
      <c r="D14" s="30">
        <f>COUNTIFS(Suppliers!$D$2:$D$397,B14,Suppliers!$I$2:$I$397,"UK")</f>
        <v/>
      </c>
      <c r="E14" s="30">
        <f>COUNTIFS(Suppliers!$D$2:$D$397,B14,Suppliers!$I$2:$I$397,"&lt;&gt;UK")</f>
        <v/>
      </c>
      <c r="F14" s="30">
        <f>COUNTIFS(Suppliers!$D$2:$D$397,B14,Suppliers!$C$2:$C$397,"&gt;=4")</f>
        <v/>
      </c>
      <c r="G14" s="30">
        <f>COUNTIFS(Suppliers!$D$2:$D$397,B14,Suppliers!$AD$2:$AD$397,"&lt;&gt;Not contacted")</f>
        <v/>
      </c>
      <c r="H14" s="30">
        <f>COUNTIFS(Suppliers!$D$2:$D$397,B14,Suppliers!$AJ$2:$AJ$397,"Yes")</f>
        <v/>
      </c>
      <c r="I14" s="30">
        <f>COUNTIFS(Suppliers!$D$2:$D$397,B14,Suppliers!$J$2:$J$397,"Low-cost")</f>
        <v/>
      </c>
    </row>
    <row r="15">
      <c r="B15" s="30" t="inlineStr">
        <is>
          <t>Sports &amp; Outdoors</t>
        </is>
      </c>
      <c r="C15" s="30">
        <f>COUNTIF(Suppliers!$D$2:$D$397,B15)</f>
        <v/>
      </c>
      <c r="D15" s="30">
        <f>COUNTIFS(Suppliers!$D$2:$D$397,B15,Suppliers!$I$2:$I$397,"UK")</f>
        <v/>
      </c>
      <c r="E15" s="30">
        <f>COUNTIFS(Suppliers!$D$2:$D$397,B15,Suppliers!$I$2:$I$397,"&lt;&gt;UK")</f>
        <v/>
      </c>
      <c r="F15" s="30">
        <f>COUNTIFS(Suppliers!$D$2:$D$397,B15,Suppliers!$C$2:$C$397,"&gt;=4")</f>
        <v/>
      </c>
      <c r="G15" s="30">
        <f>COUNTIFS(Suppliers!$D$2:$D$397,B15,Suppliers!$AD$2:$AD$397,"&lt;&gt;Not contacted")</f>
        <v/>
      </c>
      <c r="H15" s="30">
        <f>COUNTIFS(Suppliers!$D$2:$D$397,B15,Suppliers!$AJ$2:$AJ$397,"Yes")</f>
        <v/>
      </c>
      <c r="I15" s="30">
        <f>COUNTIFS(Suppliers!$D$2:$D$397,B15,Suppliers!$J$2:$J$397,"Low-cost")</f>
        <v/>
      </c>
    </row>
    <row r="16">
      <c r="B16" s="30" t="inlineStr">
        <is>
          <t>Stationery &amp; Office</t>
        </is>
      </c>
      <c r="C16" s="30">
        <f>COUNTIF(Suppliers!$D$2:$D$397,B16)</f>
        <v/>
      </c>
      <c r="D16" s="30">
        <f>COUNTIFS(Suppliers!$D$2:$D$397,B16,Suppliers!$I$2:$I$397,"UK")</f>
        <v/>
      </c>
      <c r="E16" s="30">
        <f>COUNTIFS(Suppliers!$D$2:$D$397,B16,Suppliers!$I$2:$I$397,"&lt;&gt;UK")</f>
        <v/>
      </c>
      <c r="F16" s="30">
        <f>COUNTIFS(Suppliers!$D$2:$D$397,B16,Suppliers!$C$2:$C$397,"&gt;=4")</f>
        <v/>
      </c>
      <c r="G16" s="30">
        <f>COUNTIFS(Suppliers!$D$2:$D$397,B16,Suppliers!$AD$2:$AD$397,"&lt;&gt;Not contacted")</f>
        <v/>
      </c>
      <c r="H16" s="30">
        <f>COUNTIFS(Suppliers!$D$2:$D$397,B16,Suppliers!$AJ$2:$AJ$397,"Yes")</f>
        <v/>
      </c>
      <c r="I16" s="30">
        <f>COUNTIFS(Suppliers!$D$2:$D$397,B16,Suppliers!$J$2:$J$397,"Low-cost")</f>
        <v/>
      </c>
    </row>
    <row r="17">
      <c r="B17" s="30" t="inlineStr">
        <is>
          <t>Toys &amp; Games</t>
        </is>
      </c>
      <c r="C17" s="30">
        <f>COUNTIF(Suppliers!$D$2:$D$397,B17)</f>
        <v/>
      </c>
      <c r="D17" s="30">
        <f>COUNTIFS(Suppliers!$D$2:$D$397,B17,Suppliers!$I$2:$I$397,"UK")</f>
        <v/>
      </c>
      <c r="E17" s="30">
        <f>COUNTIFS(Suppliers!$D$2:$D$397,B17,Suppliers!$I$2:$I$397,"&lt;&gt;UK")</f>
        <v/>
      </c>
      <c r="F17" s="30">
        <f>COUNTIFS(Suppliers!$D$2:$D$397,B17,Suppliers!$C$2:$C$397,"&gt;=4")</f>
        <v/>
      </c>
      <c r="G17" s="30">
        <f>COUNTIFS(Suppliers!$D$2:$D$397,B17,Suppliers!$AD$2:$AD$397,"&lt;&gt;Not contacted")</f>
        <v/>
      </c>
      <c r="H17" s="30">
        <f>COUNTIFS(Suppliers!$D$2:$D$397,B17,Suppliers!$AJ$2:$AJ$397,"Yes")</f>
        <v/>
      </c>
      <c r="I17" s="30">
        <f>COUNTIFS(Suppliers!$D$2:$D$397,B17,Suppliers!$J$2:$J$397,"Low-cost")</f>
        <v/>
      </c>
    </row>
    <row r="18">
      <c r="B18" s="51" t="inlineStr">
        <is>
          <t>Total</t>
        </is>
      </c>
      <c r="C18" s="51">
        <f>SUM(C6:C17)</f>
        <v/>
      </c>
      <c r="D18" s="51">
        <f>SUM(D6:D17)</f>
        <v/>
      </c>
      <c r="E18" s="51">
        <f>SUM(E6:E17)</f>
        <v/>
      </c>
      <c r="F18" s="51">
        <f>SUM(F6:F17)</f>
        <v/>
      </c>
      <c r="G18" s="51">
        <f>SUM(G6:G17)</f>
        <v/>
      </c>
      <c r="H18" s="51">
        <f>SUM(H6:H17)</f>
        <v/>
      </c>
      <c r="I18" s="51">
        <f>SUM(I6:I17)</f>
        <v/>
      </c>
    </row>
    <row r="21">
      <c r="B21" s="50" t="inlineStr">
        <is>
          <t>Outreach status</t>
        </is>
      </c>
      <c r="C21" s="50" t="inlineStr">
        <is>
          <t>Count</t>
        </is>
      </c>
      <c r="D21" s="50" t="inlineStr">
        <is>
          <t>% of list</t>
        </is>
      </c>
    </row>
    <row r="22">
      <c r="B22" s="30" t="inlineStr">
        <is>
          <t>Not contacted</t>
        </is>
      </c>
      <c r="C22" s="30">
        <f>COUNTIF(Suppliers!$AD$2:$AD$397,B22)</f>
        <v/>
      </c>
      <c r="D22" s="52">
        <f>IF(COUNTA(Suppliers!$D$2:$D$397)=0,0,C22/COUNTA(Suppliers!$D$2:$D$397))</f>
        <v/>
      </c>
    </row>
    <row r="23">
      <c r="B23" s="30" t="inlineStr">
        <is>
          <t>Contacted</t>
        </is>
      </c>
      <c r="C23" s="30">
        <f>COUNTIF(Suppliers!$AD$2:$AD$397,B23)</f>
        <v/>
      </c>
      <c r="D23" s="52">
        <f>IF(COUNTA(Suppliers!$D$2:$D$397)=0,0,C23/COUNTA(Suppliers!$D$2:$D$397))</f>
        <v/>
      </c>
    </row>
    <row r="24">
      <c r="B24" s="30" t="inlineStr">
        <is>
          <t>Follow-up sent</t>
        </is>
      </c>
      <c r="C24" s="30">
        <f>COUNTIF(Suppliers!$AD$2:$AD$397,B24)</f>
        <v/>
      </c>
      <c r="D24" s="52">
        <f>IF(COUNTA(Suppliers!$D$2:$D$397)=0,0,C24/COUNTA(Suppliers!$D$2:$D$397))</f>
        <v/>
      </c>
    </row>
    <row r="25">
      <c r="B25" s="30" t="inlineStr">
        <is>
          <t>Replied</t>
        </is>
      </c>
      <c r="C25" s="30">
        <f>COUNTIF(Suppliers!$AD$2:$AD$397,B25)</f>
        <v/>
      </c>
      <c r="D25" s="52">
        <f>IF(COUNTA(Suppliers!$D$2:$D$397)=0,0,C25/COUNTA(Suppliers!$D$2:$D$397))</f>
        <v/>
      </c>
    </row>
    <row r="26">
      <c r="B26" s="30" t="inlineStr">
        <is>
          <t>Application submitted</t>
        </is>
      </c>
      <c r="C26" s="30">
        <f>COUNTIF(Suppliers!$AD$2:$AD$397,B26)</f>
        <v/>
      </c>
      <c r="D26" s="52">
        <f>IF(COUNTA(Suppliers!$D$2:$D$397)=0,0,C26/COUNTA(Suppliers!$D$2:$D$397))</f>
        <v/>
      </c>
    </row>
    <row r="27">
      <c r="B27" s="30" t="inlineStr">
        <is>
          <t>Account approved</t>
        </is>
      </c>
      <c r="C27" s="30">
        <f>COUNTIF(Suppliers!$AD$2:$AD$397,B27)</f>
        <v/>
      </c>
      <c r="D27" s="52">
        <f>IF(COUNTA(Suppliers!$D$2:$D$397)=0,0,C27/COUNTA(Suppliers!$D$2:$D$397))</f>
        <v/>
      </c>
    </row>
    <row r="28">
      <c r="B28" s="30" t="inlineStr">
        <is>
          <t>Price list received</t>
        </is>
      </c>
      <c r="C28" s="30">
        <f>COUNTIF(Suppliers!$AD$2:$AD$397,B28)</f>
        <v/>
      </c>
      <c r="D28" s="52">
        <f>IF(COUNTA(Suppliers!$D$2:$D$397)=0,0,C28/COUNTA(Suppliers!$D$2:$D$397))</f>
        <v/>
      </c>
    </row>
    <row r="29">
      <c r="B29" s="30" t="inlineStr">
        <is>
          <t>First order placed</t>
        </is>
      </c>
      <c r="C29" s="30">
        <f>COUNTIF(Suppliers!$AD$2:$AD$397,B29)</f>
        <v/>
      </c>
      <c r="D29" s="52">
        <f>IF(COUNTA(Suppliers!$D$2:$D$397)=0,0,C29/COUNTA(Suppliers!$D$2:$D$397))</f>
        <v/>
      </c>
    </row>
    <row r="30">
      <c r="B30" s="30" t="inlineStr">
        <is>
          <t>Rejected</t>
        </is>
      </c>
      <c r="C30" s="30">
        <f>COUNTIF(Suppliers!$AD$2:$AD$397,B30)</f>
        <v/>
      </c>
      <c r="D30" s="52">
        <f>IF(COUNTA(Suppliers!$D$2:$D$397)=0,0,C30/COUNTA(Suppliers!$D$2:$D$397))</f>
        <v/>
      </c>
    </row>
    <row r="31">
      <c r="B31" s="30" t="inlineStr">
        <is>
          <t>Not suitable</t>
        </is>
      </c>
      <c r="C31" s="30">
        <f>COUNTIF(Suppliers!$AD$2:$AD$397,B31)</f>
        <v/>
      </c>
      <c r="D31" s="52">
        <f>IF(COUNTA(Suppliers!$D$2:$D$397)=0,0,C31/COUNTA(Suppliers!$D$2:$D$397))</f>
        <v/>
      </c>
    </row>
    <row r="33">
      <c r="B33" s="33" t="inlineStr">
        <is>
          <t>Follow-ups overdue</t>
        </is>
      </c>
      <c r="C33" s="33">
        <f>SUMPRODUCT((Suppliers!$AI$2:$AI$397&lt;&gt;"")*(Suppliers!$AI$2:$AI$397&lt;=TODAY())*((Suppliers!$AD$2:$AD$397="Contacted")+(Suppliers!$AD$2:$AD$397="Follow-up sent")))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62" customWidth="1" min="3" max="3"/>
    <col width="45" customWidth="1" min="4" max="4"/>
  </cols>
  <sheetData>
    <row r="1" ht="32" customHeight="1">
      <c r="A1" s="6" t="inlineStr">
        <is>
          <t>Resource</t>
        </is>
      </c>
      <c r="B1" s="6" t="inlineStr">
        <is>
          <t>Type</t>
        </is>
      </c>
      <c r="C1" s="6" t="inlineStr">
        <is>
          <t>Use it for</t>
        </is>
      </c>
      <c r="D1" s="6" t="inlineStr">
        <is>
          <t>Link</t>
        </is>
      </c>
    </row>
    <row r="2">
      <c r="A2" s="18" t="inlineStr">
        <is>
          <t>Companies House</t>
        </is>
      </c>
      <c r="B2" s="18" t="inlineStr">
        <is>
          <t>UK registry</t>
        </is>
      </c>
      <c r="C2" s="18" t="inlineStr">
        <is>
          <t>Verify any UK supplier: status, address, directors, SIC 46450 = perfume &amp; cosmetics wholesale</t>
        </is>
      </c>
      <c r="D2" s="29" t="inlineStr">
        <is>
          <t>https://find-and-update.company-information.service.gov.uk/</t>
        </is>
      </c>
    </row>
    <row r="3">
      <c r="A3" s="18" t="inlineStr">
        <is>
          <t>EU VIES VAT checker</t>
        </is>
      </c>
      <c r="B3" s="18" t="inlineStr">
        <is>
          <t>EU registry</t>
        </is>
      </c>
      <c r="C3" s="18" t="inlineStr">
        <is>
          <t>Confirm an EU supplier's VAT number is real and active</t>
        </is>
      </c>
      <c r="D3" s="29" t="inlineStr">
        <is>
          <t>https://ec.europa.eu/taxation_customs/vies/</t>
        </is>
      </c>
    </row>
    <row r="4">
      <c r="A4" s="18" t="inlineStr">
        <is>
          <t>KvK (Netherlands)</t>
        </is>
      </c>
      <c r="B4" s="18" t="inlineStr">
        <is>
          <t>EU registry</t>
        </is>
      </c>
      <c r="C4" s="18" t="inlineStr">
        <is>
          <t>Verify Dutch companies (many EU wholesalers are Dutch)</t>
        </is>
      </c>
      <c r="D4" s="29" t="inlineStr">
        <is>
          <t>https://www.kvk.nl/en/</t>
        </is>
      </c>
    </row>
    <row r="5">
      <c r="A5" s="18" t="inlineStr">
        <is>
          <t>KRS / rejestr.io (Poland)</t>
        </is>
      </c>
      <c r="B5" s="18" t="inlineStr">
        <is>
          <t>EU registry</t>
        </is>
      </c>
      <c r="C5" s="18" t="inlineStr">
        <is>
          <t>Verify Polish companies by KRS / NIP number</t>
        </is>
      </c>
      <c r="D5" s="29" t="inlineStr">
        <is>
          <t>https://rejestr.io/</t>
        </is>
      </c>
    </row>
    <row r="6">
      <c r="A6" s="18" t="inlineStr">
        <is>
          <t>Handelsregister (Germany)</t>
        </is>
      </c>
      <c r="B6" s="18" t="inlineStr">
        <is>
          <t>EU registry</t>
        </is>
      </c>
      <c r="C6" s="18" t="inlineStr">
        <is>
          <t>Verify German companies (also check the website 'Impressum')</t>
        </is>
      </c>
      <c r="D6" s="29" t="inlineStr">
        <is>
          <t>https://www.handelsregister.de/</t>
        </is>
      </c>
    </row>
    <row r="7">
      <c r="A7" s="18" t="inlineStr">
        <is>
          <t>GLEIF LEI search</t>
        </is>
      </c>
      <c r="B7" s="18" t="inlineStr">
        <is>
          <t>Global registry</t>
        </is>
      </c>
      <c r="C7" s="18" t="inlineStr">
        <is>
          <t>Check a company's Legal Entity Identifier</t>
        </is>
      </c>
      <c r="D7" s="29" t="inlineStr">
        <is>
          <t>https://search.gleif.org/</t>
        </is>
      </c>
    </row>
    <row r="8">
      <c r="A8" s="18" t="inlineStr">
        <is>
          <t>MHRA licence register</t>
        </is>
      </c>
      <c r="B8" s="18" t="inlineStr">
        <is>
          <t>UK regulator</t>
        </is>
      </c>
      <c r="C8" s="18" t="inlineStr">
        <is>
          <t>Check a health/pharma wholesaler holds a wholesale dealer licence</t>
        </is>
      </c>
      <c r="D8" s="29" t="inlineStr">
        <is>
          <t>https://cms.mhra.gov.uk/mhra/wholesale-dealer-licences</t>
        </is>
      </c>
    </row>
    <row r="9">
      <c r="A9" s="18" t="inlineStr">
        <is>
          <t>UK Trade Tariff</t>
        </is>
      </c>
      <c r="B9" s="18" t="inlineStr">
        <is>
          <t>UK gov tool</t>
        </is>
      </c>
      <c r="C9" s="18" t="inlineStr">
        <is>
          <t>Look up commodity codes &amp; import duty for EU purchases</t>
        </is>
      </c>
      <c r="D9" s="29" t="inlineStr">
        <is>
          <t>https://www.gov.uk/trade-tariff</t>
        </is>
      </c>
    </row>
    <row r="10">
      <c r="A10" s="18" t="inlineStr">
        <is>
          <t>Better Retailing Supplier Directory</t>
        </is>
      </c>
      <c r="B10" s="18" t="inlineStr">
        <is>
          <t>UK directory</t>
        </is>
      </c>
      <c r="C10" s="18" t="inlineStr">
        <is>
          <t>UK wholesalers incl. toys, health &amp; beauty, grocery</t>
        </is>
      </c>
      <c r="D10" s="29" t="inlineStr">
        <is>
          <t>https://supplier-directory.betterretailing.com/</t>
        </is>
      </c>
    </row>
    <row r="11">
      <c r="A11" s="18" t="inlineStr">
        <is>
          <t>Bira supplier directory</t>
        </is>
      </c>
      <c r="B11" s="18" t="inlineStr">
        <is>
          <t>UK directory</t>
        </is>
      </c>
      <c r="C11" s="18" t="inlineStr">
        <is>
          <t>Suppliers to independent retailers (housewares, DIY, toys, gifts)</t>
        </is>
      </c>
      <c r="D11" s="29" t="inlineStr">
        <is>
          <t>https://bira.co.uk/</t>
        </is>
      </c>
    </row>
    <row r="12">
      <c r="A12" s="18" t="inlineStr">
        <is>
          <t>BHETA (housewares association)</t>
        </is>
      </c>
      <c r="B12" s="18" t="inlineStr">
        <is>
          <t>UK directory</t>
        </is>
      </c>
      <c r="C12" s="18" t="inlineStr">
        <is>
          <t>UK housewares &amp; electrical suppliers</t>
        </is>
      </c>
      <c r="D12" s="29" t="inlineStr">
        <is>
          <t>https://www.bheta.co.uk/</t>
        </is>
      </c>
    </row>
    <row r="13">
      <c r="A13" s="18" t="inlineStr">
        <is>
          <t>Pet Business World trade directory</t>
        </is>
      </c>
      <c r="B13" s="18" t="inlineStr">
        <is>
          <t>UK directory</t>
        </is>
      </c>
      <c r="C13" s="18" t="inlineStr">
        <is>
          <t>Pet wholesalers &amp; distributors</t>
        </is>
      </c>
      <c r="D13" s="29" t="inlineStr">
        <is>
          <t>https://www.petbusinessworld.co.uk/trade-directory/</t>
        </is>
      </c>
    </row>
    <row r="14">
      <c r="A14" s="18" t="inlineStr">
        <is>
          <t>great.gov.uk Find a Supplier</t>
        </is>
      </c>
      <c r="B14" s="18" t="inlineStr">
        <is>
          <t>UK gov directory</t>
        </is>
      </c>
      <c r="C14" s="18" t="inlineStr">
        <is>
          <t>UK companies listing their supply capability</t>
        </is>
      </c>
      <c r="D14" s="29" t="inlineStr">
        <is>
          <t>https://www.great.gov.uk/international/buy-from-the-uk/find-a-supplier/</t>
        </is>
      </c>
    </row>
    <row r="15">
      <c r="A15" s="18" t="inlineStr">
        <is>
          <t>trade.gov.pl exporter catalogue</t>
        </is>
      </c>
      <c r="B15" s="18" t="inlineStr">
        <is>
          <t>PL gov directory</t>
        </is>
      </c>
      <c r="C15" s="18" t="inlineStr">
        <is>
          <t>Polish exporters &amp; wholesalers by sector</t>
        </is>
      </c>
      <c r="D15" s="29" t="inlineStr">
        <is>
          <t>https://www.trade.gov.pl/en/</t>
        </is>
      </c>
    </row>
    <row r="16">
      <c r="A16" s="18" t="inlineStr">
        <is>
          <t>CzechTrade exporters catalogue</t>
        </is>
      </c>
      <c r="B16" s="18" t="inlineStr">
        <is>
          <t>CZ gov directory</t>
        </is>
      </c>
      <c r="C16" s="18" t="inlineStr">
        <is>
          <t>Czech exporters (pet, toys, household)</t>
        </is>
      </c>
      <c r="D16" s="29" t="inlineStr">
        <is>
          <t>https://exporters.czechtrade.cz/en</t>
        </is>
      </c>
    </row>
    <row r="17">
      <c r="A17" s="18" t="inlineStr">
        <is>
          <t>Enterprise Europe Network partnering</t>
        </is>
      </c>
      <c r="B17" s="18" t="inlineStr">
        <is>
          <t>EU gov directory</t>
        </is>
      </c>
      <c r="C17" s="18" t="inlineStr">
        <is>
          <t>EU companies seeking distributors / buyers</t>
        </is>
      </c>
      <c r="D17" s="29" t="inlineStr">
        <is>
          <t>https://een.ec.europa.eu/partnering-opportunities</t>
        </is>
      </c>
    </row>
    <row r="18">
      <c r="A18" s="18" t="inlineStr">
        <is>
          <t>Europages</t>
        </is>
      </c>
      <c r="B18" s="18" t="inlineStr">
        <is>
          <t>EU directory</t>
        </is>
      </c>
      <c r="C18" s="18" t="inlineStr">
        <is>
          <t>Search EU wholesalers by product &amp; country</t>
        </is>
      </c>
      <c r="D18" s="29" t="inlineStr">
        <is>
          <t>https://www.europages.co.uk/</t>
        </is>
      </c>
    </row>
    <row r="19">
      <c r="A19" s="18" t="inlineStr">
        <is>
          <t>wer liefert was (wlw)</t>
        </is>
      </c>
      <c r="B19" s="18" t="inlineStr">
        <is>
          <t>DE directory</t>
        </is>
      </c>
      <c r="C19" s="18" t="inlineStr">
        <is>
          <t>German B2B supplier search</t>
        </is>
      </c>
      <c r="D19" s="29" t="inlineStr">
        <is>
          <t>https://www.wlw.de/</t>
        </is>
      </c>
    </row>
    <row r="20">
      <c r="A20" s="18" t="inlineStr">
        <is>
          <t>Kompass</t>
        </is>
      </c>
      <c r="B20" s="18" t="inlineStr">
        <is>
          <t>Global directory</t>
        </is>
      </c>
      <c r="C20" s="18" t="inlineStr">
        <is>
          <t>Company search by NACE code (e.g. 46.45 perfume &amp; cosmetics wholesale)</t>
        </is>
      </c>
      <c r="D20" s="29" t="inlineStr">
        <is>
          <t>https://www.kompass.com/</t>
        </is>
      </c>
    </row>
    <row r="21">
      <c r="A21" s="18" t="inlineStr">
        <is>
          <t>CosmeticIndex - EU distributors</t>
        </is>
      </c>
      <c r="B21" s="18" t="inlineStr">
        <is>
          <t>Beauty directory</t>
        </is>
      </c>
      <c r="C21" s="18" t="inlineStr">
        <is>
          <t>Cosmetic distributors &amp; wholesalers across Europe</t>
        </is>
      </c>
      <c r="D21" s="29" t="inlineStr">
        <is>
          <t>https://www.cosmeticindex.com/~cosmetic-distributors-wholesalers_Europe</t>
        </is>
      </c>
    </row>
    <row r="22">
      <c r="A22" s="18" t="inlineStr">
        <is>
          <t>Interzoo exhibitor list (Nuremberg)</t>
        </is>
      </c>
      <c r="B22" s="18" t="inlineStr">
        <is>
          <t>Trade show</t>
        </is>
      </c>
      <c r="C22" s="18" t="inlineStr">
        <is>
          <t>Every major EU pet brand &amp; distributor - exhibitor pages list contacts</t>
        </is>
      </c>
      <c r="D22" s="29" t="inlineStr">
        <is>
          <t>https://www.interzoo.com/en/exhibitors</t>
        </is>
      </c>
    </row>
    <row r="23">
      <c r="A23" s="18" t="inlineStr">
        <is>
          <t>Zoomark exhibitor catalogue (Bologna)</t>
        </is>
      </c>
      <c r="B23" s="18" t="inlineStr">
        <is>
          <t>Trade show</t>
        </is>
      </c>
      <c r="C23" s="18" t="inlineStr">
        <is>
          <t>Pet suppliers with full contact details</t>
        </is>
      </c>
      <c r="D23" s="29" t="inlineStr">
        <is>
          <t>https://www.zoomark.it/en/</t>
        </is>
      </c>
    </row>
    <row r="24">
      <c r="A24" s="18" t="inlineStr">
        <is>
          <t>Ambiente (Frankfurt, Feb)</t>
        </is>
      </c>
      <c r="B24" s="18" t="inlineStr">
        <is>
          <t>Trade show</t>
        </is>
      </c>
      <c r="C24" s="18" t="inlineStr">
        <is>
          <t>Housewares, kitchen &amp; home suppliers</t>
        </is>
      </c>
      <c r="D24" s="29" t="inlineStr">
        <is>
          <t>https://ambiente.messefrankfurt.com/</t>
        </is>
      </c>
    </row>
    <row r="25">
      <c r="A25" s="18" t="inlineStr">
        <is>
          <t>IFA Berlin (Sept)</t>
        </is>
      </c>
      <c r="B25" s="18" t="inlineStr">
        <is>
          <t>Trade show</t>
        </is>
      </c>
      <c r="C25" s="18" t="inlineStr">
        <is>
          <t>Consumer electronics &amp; small appliances wholesalers</t>
        </is>
      </c>
      <c r="D25" s="29" t="inlineStr">
        <is>
          <t>https://www.ifa-berlin.com/</t>
        </is>
      </c>
    </row>
    <row r="26">
      <c r="A26" s="18" t="inlineStr">
        <is>
          <t>FIBO Cologne (April)</t>
        </is>
      </c>
      <c r="B26" s="18" t="inlineStr">
        <is>
          <t>Trade show</t>
        </is>
      </c>
      <c r="C26" s="18" t="inlineStr">
        <is>
          <t>Fitness &amp; sports nutrition distributors</t>
        </is>
      </c>
      <c r="D26" s="29" t="inlineStr">
        <is>
          <t>https://www.fibo.com/</t>
        </is>
      </c>
    </row>
    <row r="27">
      <c r="A27" s="18" t="inlineStr">
        <is>
          <t>Eurobike Frankfurt</t>
        </is>
      </c>
      <c r="B27" s="18" t="inlineStr">
        <is>
          <t>Trade show</t>
        </is>
      </c>
      <c r="C27" s="18" t="inlineStr">
        <is>
          <t>Cycling brands &amp; distributors</t>
        </is>
      </c>
      <c r="D27" s="29" t="inlineStr">
        <is>
          <t>https://www.eurobike.com/</t>
        </is>
      </c>
    </row>
    <row r="28">
      <c r="A28" s="18" t="inlineStr">
        <is>
          <t>Kind + Jugend Cologne</t>
        </is>
      </c>
      <c r="B28" s="18" t="inlineStr">
        <is>
          <t>Trade show</t>
        </is>
      </c>
      <c r="C28" s="18" t="inlineStr">
        <is>
          <t>Baby &amp; nursery brands and distributors</t>
        </is>
      </c>
      <c r="D28" s="29" t="inlineStr">
        <is>
          <t>https://www.kindundjugend.com/</t>
        </is>
      </c>
    </row>
    <row r="29">
      <c r="A29" s="18" t="inlineStr">
        <is>
          <t>Paperworld / Creativeworld (Frankfurt)</t>
        </is>
      </c>
      <c r="B29" s="18" t="inlineStr">
        <is>
          <t>Trade show</t>
        </is>
      </c>
      <c r="C29" s="18" t="inlineStr">
        <is>
          <t>Stationery, office &amp; art/craft suppliers</t>
        </is>
      </c>
      <c r="D29" s="29" t="inlineStr">
        <is>
          <t>https://creativeworld.messefrankfurt.com/</t>
        </is>
      </c>
    </row>
    <row r="30">
      <c r="A30" s="18" t="inlineStr">
        <is>
          <t>London Toy Fair (January)</t>
        </is>
      </c>
      <c r="B30" s="18" t="inlineStr">
        <is>
          <t>Trade show</t>
        </is>
      </c>
      <c r="C30" s="18" t="inlineStr">
        <is>
          <t>UK toy distributors - exhibitor list is a ready-made supplier list</t>
        </is>
      </c>
      <c r="D30" s="29" t="inlineStr">
        <is>
          <t>https://www.toyfair.co.uk/</t>
        </is>
      </c>
    </row>
    <row r="31">
      <c r="A31" s="18" t="inlineStr">
        <is>
          <t>Spielwarenmesse Nuremberg (Jan/Feb)</t>
        </is>
      </c>
      <c r="B31" s="18" t="inlineStr">
        <is>
          <t>Trade show</t>
        </is>
      </c>
      <c r="C31" s="18" t="inlineStr">
        <is>
          <t>World's biggest toy fair - EU toy distributors</t>
        </is>
      </c>
      <c r="D31" s="29" t="inlineStr">
        <is>
          <t>https://www.spielwarenmesse.de/</t>
        </is>
      </c>
    </row>
    <row r="32">
      <c r="A32" s="18" t="inlineStr">
        <is>
          <t>Cosmoprof Worldwide Bologna (March)</t>
        </is>
      </c>
      <c r="B32" s="18" t="inlineStr">
        <is>
          <t>Trade show</t>
        </is>
      </c>
      <c r="C32" s="18" t="inlineStr">
        <is>
          <t>Beauty &amp; fragrance brands and distributors</t>
        </is>
      </c>
      <c r="D32" s="29" t="inlineStr">
        <is>
          <t>https://www.cosmoprof.com/</t>
        </is>
      </c>
    </row>
    <row r="33">
      <c r="A33" s="18" t="inlineStr">
        <is>
          <t>Spring Fair Birmingham (Feb)</t>
        </is>
      </c>
      <c r="B33" s="18" t="inlineStr">
        <is>
          <t>Trade show</t>
        </is>
      </c>
      <c r="C33" s="18" t="inlineStr">
        <is>
          <t>UK gifts, toys, beauty &amp; home wholesale</t>
        </is>
      </c>
      <c r="D33" s="29" t="inlineStr">
        <is>
          <t>https://www.springfair.com/</t>
        </is>
      </c>
    </row>
    <row r="34">
      <c r="A34" s="18" t="inlineStr">
        <is>
          <t>Brand 'Where to buy' / 'Trade' pages</t>
        </is>
      </c>
      <c r="B34" s="18" t="inlineStr">
        <is>
          <t>Method</t>
        </is>
      </c>
      <c r="C34" s="18" t="inlineStr">
        <is>
          <t>Go to a brand's UK site and look for 'Stockists', 'Trade' or 'Distributors' to find authorised wholesalers</t>
        </is>
      </c>
      <c r="D34" s="53" t="n"/>
    </row>
    <row r="35">
      <c r="A35" s="18" t="inlineStr">
        <is>
          <t>LinkedIn search: 'distributor' + brand</t>
        </is>
      </c>
      <c r="B35" s="18" t="inlineStr">
        <is>
          <t>Method</t>
        </is>
      </c>
      <c r="C35" s="18" t="inlineStr">
        <is>
          <t>e.g. 'Trixie distributor UK' or 'Hasbro distributor' and filter by Companies / People</t>
        </is>
      </c>
      <c r="D35" s="29" t="inlineStr">
        <is>
          <t>https://www.linkedin.com/search/results/companies/?keywords=distributor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5" r:id="rId3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60" customWidth="1" min="2" max="2"/>
    <col width="54" customWidth="1" min="3" max="3"/>
  </cols>
  <sheetData>
    <row r="1" ht="32" customHeight="1">
      <c r="A1" s="6" t="inlineStr">
        <is>
          <t>Check</t>
        </is>
      </c>
      <c r="B1" s="6" t="inlineStr">
        <is>
          <t>Why it matters</t>
        </is>
      </c>
      <c r="C1" s="6" t="inlineStr">
        <is>
          <t>How</t>
        </is>
      </c>
    </row>
    <row r="2">
      <c r="A2" s="18" t="inlineStr">
        <is>
          <t>Company is registered &amp; active</t>
        </is>
      </c>
      <c r="B2" s="18" t="inlineStr">
        <is>
          <t>Fake wholesalers often use made-up company names</t>
        </is>
      </c>
      <c r="C2" s="18" t="inlineStr">
        <is>
          <t>Companies House (UK), KvK (NL), KRS (PL), Handelsregister (DE), VIES VAT check (EU)</t>
        </is>
      </c>
    </row>
    <row r="3">
      <c r="A3" s="18" t="inlineStr">
        <is>
          <t>Physical address matches registry</t>
        </is>
      </c>
      <c r="B3" s="18" t="inlineStr">
        <is>
          <t>A real warehouse/office is a good sign; residential or virtual offices are a warning</t>
        </is>
      </c>
      <c r="C3" s="18" t="inlineStr">
        <is>
          <t>Google Maps Street View + registry address</t>
        </is>
      </c>
    </row>
    <row r="4">
      <c r="A4" s="18" t="inlineStr">
        <is>
          <t>Business email domain (not Gmail/Hotmail)</t>
        </is>
      </c>
      <c r="B4" s="18" t="inlineStr">
        <is>
          <t>Free email addresses are common with scam suppliers</t>
        </is>
      </c>
      <c r="C4" s="18" t="inlineStr">
        <is>
          <t>Ask for a contact on the company domain</t>
        </is>
      </c>
    </row>
    <row r="5">
      <c r="A5" s="18" t="inlineStr">
        <is>
          <t>VAT number on invoices</t>
        </is>
      </c>
      <c r="B5" s="18" t="inlineStr">
        <is>
          <t>Needed for Amazon ungating and your VAT reclaim</t>
        </is>
      </c>
      <c r="C5" s="18" t="inlineStr">
        <is>
          <t>Check the VAT number on HMRC / VIES</t>
        </is>
      </c>
    </row>
    <row r="6">
      <c r="A6" s="18" t="inlineStr">
        <is>
          <t>Brand authorisation (for gated brands)</t>
        </is>
      </c>
      <c r="B6" s="18" t="inlineStr">
        <is>
          <t>Authorised-distributor invoices are the most accepted for Amazon ungating</t>
        </is>
      </c>
      <c r="C6" s="18" t="inlineStr">
        <is>
          <t>Ask: 'Are you an authorised distributor for [brand]? Can you share a letter?'</t>
        </is>
      </c>
    </row>
    <row r="7">
      <c r="A7" s="18" t="inlineStr">
        <is>
          <t>Prices are realistic</t>
        </is>
      </c>
      <c r="B7" s="18" t="inlineStr">
        <is>
          <t>Prices far below other wholesalers suggest counterfeit or grey stock</t>
        </is>
      </c>
      <c r="C7" s="18" t="inlineStr">
        <is>
          <t>Compare to 2-3 other suppliers and the Amazon Buy Box</t>
        </is>
      </c>
    </row>
    <row r="8">
      <c r="A8" s="18" t="inlineStr">
        <is>
          <t>Reviews &amp; reputation</t>
        </is>
      </c>
      <c r="B8" s="18" t="inlineStr">
        <is>
          <t>Past complaints reveal problems</t>
        </is>
      </c>
      <c r="C8" s="18" t="inlineStr">
        <is>
          <t>Trustpilot, Google reviews, UK Business Forums, Amazon seller forums, council / Trading Standards news</t>
        </is>
      </c>
    </row>
    <row r="9">
      <c r="A9" s="18" t="inlineStr">
        <is>
          <t>Insolvency check</t>
        </is>
      </c>
      <c r="B9" s="18" t="inlineStr">
        <is>
          <t>Suppliers in administration may not deliver or honour returns</t>
        </is>
      </c>
      <c r="C9" s="18" t="inlineStr">
        <is>
          <t>Companies House filing history + The Gazette insolvency notices</t>
        </is>
      </c>
    </row>
    <row r="10">
      <c r="A10" s="18" t="inlineStr">
        <is>
          <t>Safe payment for first order</t>
        </is>
      </c>
      <c r="B10" s="18" t="inlineStr">
        <is>
          <t>Bank transfer to a new supplier is hard to recover</t>
        </is>
      </c>
      <c r="C10" s="18" t="inlineStr">
        <is>
          <t>Start small; use credit card / trade credit where possible; never pay a personal account</t>
        </is>
      </c>
    </row>
    <row r="11">
      <c r="A11" s="18" t="inlineStr">
        <is>
          <t>UK product compliance</t>
        </is>
      </c>
      <c r="B11" s="18" t="inlineStr">
        <is>
          <t>Non-compliant stock gets removed from Amazon</t>
        </is>
      </c>
      <c r="C11" s="18" t="inlineStr">
        <is>
          <t>Cosmetics: UK RP + SCPN. Toys: UKCA/CE + EN71. Electricals: UK plug + UKCA/CE. Fragrance/batteries: SDS</t>
        </is>
      </c>
    </row>
    <row r="12">
      <c r="A12" s="18" t="inlineStr">
        <is>
          <t>EU import paperwork</t>
        </is>
      </c>
      <c r="B12" s="18" t="inlineStr">
        <is>
          <t>Missing paperwork = customs delays and surprise charges</t>
        </is>
      </c>
      <c r="C12" s="18" t="inlineStr">
        <is>
          <t>Get EORI; ask for commercial invoice + statement of origin; agree Incoterms (DDP easiest)</t>
        </is>
      </c>
    </row>
    <row r="13">
      <c r="A13" s="18" t="inlineStr">
        <is>
          <t>Online / marketplace selling allowed</t>
        </is>
      </c>
      <c r="B13" s="18" t="inlineStr">
        <is>
          <t>Some suppliers cancel accounts that sell on Amazon</t>
        </is>
      </c>
      <c r="C13" s="18" t="inlineStr">
        <is>
          <t>Ask in your first email</t>
        </is>
      </c>
    </row>
    <row r="14">
      <c r="A14" s="18" t="inlineStr">
        <is>
          <t>Sealed retail stock (no testers / returns)</t>
        </is>
      </c>
      <c r="B14" s="18" t="inlineStr">
        <is>
          <t>Testers, unboxed or returned goods cannot be sold as new on Amazon</t>
        </is>
      </c>
      <c r="C14" s="18" t="inlineStr">
        <is>
          <t>Confirm in writing before ordering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2026-10-13T08:59:50Z</dcterms:created>
  <dcterms:modified xmlns:dcterms="http://purl.org/dc/terms/" xmlns:xsi="http://www.w3.org/2001/XMLSchema-instance" xsi:type="dcterms:W3CDTF">2026-10-13T08:59:51Z</dcterms:modified>
</cp:coreProperties>
</file>