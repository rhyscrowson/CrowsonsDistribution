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uppliers" sheetId="2" state="visible" r:id="rId4"/>
    <sheet name="LinkedIn Outreach" sheetId="3" state="visible" r:id="rId5"/>
    <sheet name="Templates" sheetId="4" state="visible" r:id="rId6"/>
    <sheet name="Dashboard" sheetId="5" state="visible" r:id="rId7"/>
    <sheet name="Find More Suppliers" sheetId="6" state="visible" r:id="rId8"/>
    <sheet name="Due Diligence" sheetId="7" state="visible" r:id="rId9"/>
  </sheets>
  <definedNames>
    <definedName function="false" hidden="true" localSheetId="2" name="_xlnm._FilterDatabase" vbProcedure="false">'LinkedIn Outreach'!$A$1:$N$67</definedName>
    <definedName function="false" hidden="true" localSheetId="1" name="_xlnm._FilterDatabase" vbProcedure="false">Suppliers!$A$1:$AD$67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<sst xmlns="http://schemas.openxmlformats.org/spreadsheetml/2006/main" count="1605" uniqueCount="960">
  <si>
    <t xml:space="preserve">Crowsons Distribution - Wholesale Supplier Sourcing List</t>
  </si>
  <si>
    <t xml:space="preserve">UK &amp; EU suppliers for Amazon UK wholesale: fragrance, health &amp; beauty, healthcare, toys, pet, baby, FMCG. Researched Oct 2026.</t>
  </si>
  <si>
    <t xml:space="preserve">How to use this workbook</t>
  </si>
  <si>
    <t xml:space="preserve">1. Suppliers</t>
  </si>
  <si>
    <t xml:space="preserve">The master list. Sorted by Priority (5 = best fit for Amazon). Use the filter arrows to filter by category, country or priority.</t>
  </si>
  <si>
    <t xml:space="preserve">2. Yellow columns</t>
  </si>
  <si>
    <t xml:space="preserve">Your outreach tracker - fill these in as you go. Status, Method and Account Approved have drop-down lists. 'Suggested Follow-up' fills in automatically (5 working days after Date Contacted) and turns red when overdue.</t>
  </si>
  <si>
    <t xml:space="preserve">3. LinkedIn Outreach</t>
  </si>
  <si>
    <t xml:space="preserve">One-click LinkedIn searches for each company page and its sales / account-manager staff, plus a tracker. Message templates are on the Templates tab.</t>
  </si>
  <si>
    <t xml:space="preserve">4. Templates</t>
  </si>
  <si>
    <t xml:space="preserve">Copy-paste first-contact email, follow-up, LinkedIn connection note, LinkedIn message and invoice / ungating request.</t>
  </si>
  <si>
    <t xml:space="preserve">5. Dashboard</t>
  </si>
  <si>
    <t xml:space="preserve">Live counts of suppliers by category and outreach status (updates automatically from the Suppliers tab).</t>
  </si>
  <si>
    <t xml:space="preserve">6. Find More Suppliers</t>
  </si>
  <si>
    <t xml:space="preserve">Directories, registries and trade shows to keep growing the list.</t>
  </si>
  <si>
    <t xml:space="preserve">7. Due Diligence</t>
  </si>
  <si>
    <t xml:space="preserve">Checklist to confirm a supplier is legitimate BEFORE you send money.</t>
  </si>
  <si>
    <t xml:space="preserve">Priority score (1-5)</t>
  </si>
  <si>
    <t xml:space="preserve">5</t>
  </si>
  <si>
    <t xml:space="preserve">Established, branded stock, sells to online / Amazon sellers or provides invoices suitable for ungating. Contact first.</t>
  </si>
  <si>
    <t xml:space="preserve">4</t>
  </si>
  <si>
    <t xml:space="preserve">Established and branded, but may have higher MOQs, selective accounts or a narrower range.</t>
  </si>
  <si>
    <t xml:space="preserve">3</t>
  </si>
  <si>
    <t xml:space="preserve">Credible, worth contacting - confirm terms, online-selling policy and invoice details.</t>
  </si>
  <si>
    <t xml:space="preserve">2</t>
  </si>
  <si>
    <t xml:space="preserve">Lower fit (EU-only focus, pro-only brands, limited info) or larger-scale target for later.</t>
  </si>
  <si>
    <t xml:space="preserve">1</t>
  </si>
  <si>
    <t xml:space="preserve">Low confidence, known red flag, or not suitable for Amazon - kept so you know to avoid / verify.</t>
  </si>
  <si>
    <t xml:space="preserve">Data confidence</t>
  </si>
  <si>
    <t xml:space="preserve">Official / company website</t>
  </si>
  <si>
    <t xml:space="preserve">Details came from the supplier's own site or an official register (Companies House, MHRA).</t>
  </si>
  <si>
    <t xml:space="preserve">Directory / press</t>
  </si>
  <si>
    <t xml:space="preserve">Details came from trade press or business directories - confirm on the company website before relying on them.</t>
  </si>
  <si>
    <t xml:space="preserve">Marketplace / unverified</t>
  </si>
  <si>
    <t xml:space="preserve">Self-published profile only. Verify company registration (Companies House / KvK / VIES VAT) before engaging.</t>
  </si>
  <si>
    <t xml:space="preserve">Blank cells</t>
  </si>
  <si>
    <t xml:space="preserve">Information was not publicly available. MOQ is usually only given once a trade account is approved - ask in your first email.</t>
  </si>
  <si>
    <t xml:space="preserve">Key Amazon UK considerations</t>
  </si>
  <si>
    <t xml:space="preserve">Brand / category gating</t>
  </si>
  <si>
    <t xml:space="preserve">Fragrance, beauty, toys (Q4), baby and health have gated brands/categories. Amazon wants invoices from a real wholesaler/distributor (not a retailer) dated within 180 days, showing supplier name, address, phone, website, your business name/address, and 10+ units.</t>
  </si>
  <si>
    <t xml:space="preserve">Hazmat (fragrance)</t>
  </si>
  <si>
    <t xml:space="preserve">Perfume / aftershave is flammable dangerous goods. You need a Safety Data Sheet (SDS) per product for Amazon's hazmat review - ask suppliers if they provide them.</t>
  </si>
  <si>
    <t xml:space="preserve">No testers / unboxed</t>
  </si>
  <si>
    <t xml:space="preserve">Amazon does not allow testers or unboxed fragrance. Ask for sealed retail stock only.</t>
  </si>
  <si>
    <t xml:space="preserve">Online-selling policies</t>
  </si>
  <si>
    <t xml:space="preserve">Some suppliers (e.g. CLF, We.pet, Faire brands) forbid Amazon resale - ask before applying so you don't waste time.</t>
  </si>
  <si>
    <t xml:space="preserve">EU suppliers after Brexit</t>
  </si>
  <si>
    <t xml:space="preserve">Buying from the EU into the UK means import VAT, possible duty and customs paperwork. Ask EU suppliers for DDP (delivered duty paid) or use a freight forwarder. Toys/cosmetics need UK compliance (UKCA/CE, UK Responsible Person for cosmetics).</t>
  </si>
  <si>
    <t xml:space="preserve">Medicines</t>
  </si>
  <si>
    <t xml:space="preserve">GSL medicines need care on Amazon (category approval). Licensed pharma wholesalers may only supply pharmacies.</t>
  </si>
  <si>
    <t xml:space="preserve">About LinkedIn outreach</t>
  </si>
  <si>
    <t xml:space="preserve">Messages must be sent from your own LinkedIn account. Automation tools break LinkedIn's terms and risk a ban, so this workbook gives you one-click searches + templates to make manual outreach fast. Tip: send ~15-25 connection requests per day, personalise the first line, and follow up after 4-5 working days.</t>
  </si>
  <si>
    <t xml:space="preserve">ID</t>
  </si>
  <si>
    <t xml:space="preserve">Priority (1-5)</t>
  </si>
  <si>
    <t xml:space="preserve">Category</t>
  </si>
  <si>
    <t xml:space="preserve">Company</t>
  </si>
  <si>
    <t xml:space="preserve">Website</t>
  </si>
  <si>
    <t xml:space="preserve">Country</t>
  </si>
  <si>
    <t xml:space="preserve">City / Region</t>
  </si>
  <si>
    <t xml:space="preserve">Address</t>
  </si>
  <si>
    <t xml:space="preserve">Phone</t>
  </si>
  <si>
    <t xml:space="preserve">Email</t>
  </si>
  <si>
    <t xml:space="preserve">Supplier Type</t>
  </si>
  <si>
    <t xml:space="preserve">Key Brands / Products</t>
  </si>
  <si>
    <t xml:space="preserve">Segment</t>
  </si>
  <si>
    <t xml:space="preserve">MOQ / Min. Order</t>
  </si>
  <si>
    <t xml:space="preserve">Account Requirements</t>
  </si>
  <si>
    <t xml:space="preserve">Ships to UK?</t>
  </si>
  <si>
    <t xml:space="preserve">Legitimacy Evidence</t>
  </si>
  <si>
    <t xml:space="preserve">Amazon Fit Notes</t>
  </si>
  <si>
    <t xml:space="preserve">Notes / Red Flags</t>
  </si>
  <si>
    <t xml:space="preserve">Data Confidence</t>
  </si>
  <si>
    <t xml:space="preserve">Source</t>
  </si>
  <si>
    <t xml:space="preserve">LinkedIn Company Search</t>
  </si>
  <si>
    <t xml:space="preserve">Status</t>
  </si>
  <si>
    <t xml:space="preserve">Date Contacted</t>
  </si>
  <si>
    <t xml:space="preserve">Method</t>
  </si>
  <si>
    <t xml:space="preserve">Contact Name</t>
  </si>
  <si>
    <t xml:space="preserve">Response / Notes</t>
  </si>
  <si>
    <t xml:space="preserve">Suggested Follow-up</t>
  </si>
  <si>
    <t xml:space="preserve">Account Approved?</t>
  </si>
  <si>
    <t xml:space="preserve">Next Step</t>
  </si>
  <si>
    <t xml:space="preserve">B2B Marketplace</t>
  </si>
  <si>
    <t xml:space="preserve">Qogita</t>
  </si>
  <si>
    <t xml:space="preserve">https://www.qogita.com</t>
  </si>
  <si>
    <t xml:space="preserve">UK / EU</t>
  </si>
  <si>
    <t xml:space="preserve">London (HQ)</t>
  </si>
  <si>
    <t xml:space="preserve">via website</t>
  </si>
  <si>
    <t xml:space="preserve">B2B wholesale marketplace</t>
  </si>
  <si>
    <t xml:space="preserve">10k+ brands, 500k+ products from 500+ vetted suppliers - health, beauty, fragrance, household</t>
  </si>
  <si>
    <t xml:space="preserve">H&amp;B / fragrance / household</t>
  </si>
  <si>
    <t xml:space="preserve">Low (historically from ~€1k) - check current</t>
  </si>
  <si>
    <t xml:space="preserve">Business registration</t>
  </si>
  <si>
    <t xml:space="preserve">Yes</t>
  </si>
  <si>
    <t xml:space="preserve">Raised $86m Series B (Dawn Capital, 2023)</t>
  </si>
  <si>
    <t xml:space="preserve">Provides commercial invoices that can support ungating - built for Amazon sellers</t>
  </si>
  <si>
    <t xml:space="preserve">Best single starting point for branded fragrance &amp; beauty.</t>
  </si>
  <si>
    <t xml:space="preserve">Company website + TechCrunch</t>
  </si>
  <si>
    <t xml:space="preserve">Source link</t>
  </si>
  <si>
    <t xml:space="preserve">Search LinkedIn</t>
  </si>
  <si>
    <t xml:space="preserve">Not contacted</t>
  </si>
  <si>
    <t xml:space="preserve">Fragrance</t>
  </si>
  <si>
    <t xml:space="preserve">BJUTIP a.s.</t>
  </si>
  <si>
    <t xml:space="preserve">https://www.bjutip.com</t>
  </si>
  <si>
    <t xml:space="preserve">Czech Republic</t>
  </si>
  <si>
    <t xml:space="preserve">Brno - Modřice</t>
  </si>
  <si>
    <t xml:space="preserve">Tyršova 1182, 664 42 Brno - Modřice (visit: Vintrovna 395/25, Popůvky 664 41)</t>
  </si>
  <si>
    <t xml:space="preserve">+420 724 076 367</t>
  </si>
  <si>
    <t xml:space="preserve">sales@bjutip.com (wholesale); info@bjutip.com</t>
  </si>
  <si>
    <t xml:space="preserve">Distributor</t>
  </si>
  <si>
    <t xml:space="preserve">Armaf, Afnan, Lattafa, Paris Corner, French Avenue, Khadlaj, Maison Asrar + others</t>
  </si>
  <si>
    <t xml:space="preserve">Arabian / niche fragrance</t>
  </si>
  <si>
    <t xml:space="preserve">Min. order value €1,000</t>
  </si>
  <si>
    <t xml:space="preserve">B2B registration on website</t>
  </si>
  <si>
    <t xml:space="preserve">Check - EU based (post-Brexit customs apply)</t>
  </si>
  <si>
    <t xml:space="preserve">Registered Regional Court Brno, B 8541; dedicated e-commerce seller programme</t>
  </si>
  <si>
    <t xml:space="preserve">Has an e-commerce seller programme - Arabian brands popular &amp; often easier to list on Amazon</t>
  </si>
  <si>
    <t xml:space="preserve">Strong fit for Lattafa/Armaf etc. Register at bjutip.com/register.</t>
  </si>
  <si>
    <t xml:space="preserve">Company website (via search)</t>
  </si>
  <si>
    <t xml:space="preserve">Knights Fragrances</t>
  </si>
  <si>
    <t xml:space="preserve">https://www.knights-fragrances.co.uk</t>
  </si>
  <si>
    <t xml:space="preserve">UK</t>
  </si>
  <si>
    <t xml:space="preserve">Redditch, Worcestershire</t>
  </si>
  <si>
    <t xml:space="preserve">18 Oxleasow Road, Redditch, Worcestershire, B98 0RE</t>
  </si>
  <si>
    <t xml:space="preserve">Wholesaler / Distributor</t>
  </si>
  <si>
    <t xml:space="preserve">Prestige &amp; mass-market branded fragrances</t>
  </si>
  <si>
    <t xml:space="preserve">Designer / mass fragrance</t>
  </si>
  <si>
    <t xml:space="preserve">On request</t>
  </si>
  <si>
    <t xml:space="preserve">Trade only</t>
  </si>
  <si>
    <t xml:space="preserve">Yes (UK based); also international</t>
  </si>
  <si>
    <t xml:space="preserve">Established 1984; supplies pharmacies, department stores &amp; online retailers. Same address as Lexon (UK) Ltd (MHRA-licensed wholesaler)</t>
  </si>
  <si>
    <t xml:space="preserve">Supplies online retailers - good fit</t>
  </si>
  <si>
    <t xml:space="preserve">Appears to share premises with Lexon UK group.</t>
  </si>
  <si>
    <t xml:space="preserve">Directory - confirm on website</t>
  </si>
  <si>
    <t xml:space="preserve">Star Perfumes (Star Global Trading Ltd)</t>
  </si>
  <si>
    <t xml:space="preserve">https://www.starperfumes.com</t>
  </si>
  <si>
    <t xml:space="preserve">Salford, Greater Manchester</t>
  </si>
  <si>
    <t xml:space="preserve">Unit 6 Dallas Court, Salford, M50 2GF</t>
  </si>
  <si>
    <t xml:space="preserve">+44 161 877 1222</t>
  </si>
  <si>
    <t xml:space="preserve">sales@starperfumes.com</t>
  </si>
  <si>
    <t xml:space="preserve">700+ fragrance brands, 4,000+ lines: perfumes, aftershaves, gift sets</t>
  </si>
  <si>
    <t xml:space="preserve">Trade only - company details required</t>
  </si>
  <si>
    <t xml:space="preserve">Yes (UK based); exports to 50+ countries</t>
  </si>
  <si>
    <t xml:space="preserve">Founded 1999 (co-founders Dipak Thakrar &amp; Neil Barron); showroom &amp; DC tours by appointment; press coverage (TheBusinessDesk)</t>
  </si>
  <si>
    <t xml:space="preserve">Ask for UK VAT invoices with full company details for ungating</t>
  </si>
  <si>
    <t xml:space="preserve">One of the largest UK fragrance wholesalers. Do NOT confuse with Scent Global Ltd (nearby address, entered administration Oct 2023).</t>
  </si>
  <si>
    <t xml:space="preserve">Directory + press - confirm on website</t>
  </si>
  <si>
    <t xml:space="preserve">Health &amp; Beauty</t>
  </si>
  <si>
    <t xml:space="preserve">Harrisons Direct (Albert Harrison &amp; Co Ltd)</t>
  </si>
  <si>
    <t xml:space="preserve">https://www.harrisonsdirect.co.uk</t>
  </si>
  <si>
    <t xml:space="preserve">Padiham, Burnley, Lancashire</t>
  </si>
  <si>
    <t xml:space="preserve">Unit 14A Mead Way, Shuttleworth Mead Business Park, Padiham, BB12 7NG</t>
  </si>
  <si>
    <t xml:space="preserve">+44 1254 306840</t>
  </si>
  <si>
    <t xml:space="preserve">Wholesaler</t>
  </si>
  <si>
    <t xml:space="preserve">Health &amp; beauty, GSL medicines (pain relief, hay fever), toiletries, household</t>
  </si>
  <si>
    <t xml:space="preserve">Health / OTC / toiletries</t>
  </si>
  <si>
    <t xml:space="preserve">No minimum order in UK; free delivery over £200 ex VAT</t>
  </si>
  <si>
    <t xml:space="preserve">Open trade account to see prices</t>
  </si>
  <si>
    <t xml:space="preserve">Yes; also ships to IE/NI/EU</t>
  </si>
  <si>
    <t xml:space="preserve">Long-established family wholesaler; listed in Better Retailing supplier directory</t>
  </si>
  <si>
    <t xml:space="preserve">Branded FMCG lines - good for wholesale arbitrage; note Amazon rules on medicines</t>
  </si>
  <si>
    <t xml:space="preserve">Low barrier to start - good first account.</t>
  </si>
  <si>
    <t xml:space="preserve">Toys</t>
  </si>
  <si>
    <t xml:space="preserve">A.B. Gee of Ripley Ltd</t>
  </si>
  <si>
    <t xml:space="preserve">https://www.abgee.co.uk</t>
  </si>
  <si>
    <t xml:space="preserve">Ripley, Derbyshire</t>
  </si>
  <si>
    <t xml:space="preserve">Asher Lane Business Park, Ripley, DE5 3SW</t>
  </si>
  <si>
    <t xml:space="preserve">+44 1773 570444</t>
  </si>
  <si>
    <t xml:space="preserve">sales@abgee.co.uk</t>
  </si>
  <si>
    <t xml:space="preserve">Official distributor / wholesaler</t>
  </si>
  <si>
    <t xml:space="preserve">Hasbro, Mattel, Funko, MGA, Zapf + more</t>
  </si>
  <si>
    <t xml:space="preserve">Branded toys</t>
  </si>
  <si>
    <t xml:space="preserve">Trade account</t>
  </si>
  <si>
    <t xml:space="preserve">Companies House 01936299; official distributor status for major brands</t>
  </si>
  <si>
    <t xml:space="preserve">Supplies online stores - excellent invoices for toy ungating</t>
  </si>
  <si>
    <t xml:space="preserve">Top pick for branded toys.</t>
  </si>
  <si>
    <t xml:space="preserve">Companies House + trade press</t>
  </si>
  <si>
    <t xml:space="preserve">NDA Toys</t>
  </si>
  <si>
    <t xml:space="preserve">https://www.nda-toys.com</t>
  </si>
  <si>
    <t xml:space="preserve">Runcorn, Cheshire</t>
  </si>
  <si>
    <t xml:space="preserve">Runcorn, Cheshire (see website)</t>
  </si>
  <si>
    <t xml:space="preserve">Online wholesale distributor</t>
  </si>
  <si>
    <t xml:space="preserve">Hasbro, Mattel, Funko, Playmobil</t>
  </si>
  <si>
    <t xml:space="preserve">Trade - retailers &amp; online sellers</t>
  </si>
  <si>
    <t xml:space="preserve">800+ Trustpilot reviews; Toy Fair exhibitor</t>
  </si>
  <si>
    <t xml:space="preserve">Actively serves online sellers - very good fit</t>
  </si>
  <si>
    <t xml:space="preserve">Trustpilot + Toy Fair</t>
  </si>
  <si>
    <t xml:space="preserve">Wind Designs Ltd</t>
  </si>
  <si>
    <t xml:space="preserve">https://www.wind-designs.com</t>
  </si>
  <si>
    <t xml:space="preserve">Soham, Ely, Cambridgeshire</t>
  </si>
  <si>
    <t xml:space="preserve">27 Regal Drive, Soham, Ely, CB7 5BE</t>
  </si>
  <si>
    <t xml:space="preserve">+44 1353 724140</t>
  </si>
  <si>
    <t xml:space="preserve">National distributor</t>
  </si>
  <si>
    <t xml:space="preserve">Hasbro, Mattel, Basic Fun!, Bandai, John Adams, PlayMonster, Moose; exclusive for Trends UK</t>
  </si>
  <si>
    <t xml:space="preserve">Branded toys &amp; games</t>
  </si>
  <si>
    <t xml:space="preserve">On request (B2B website)</t>
  </si>
  <si>
    <t xml:space="preserve">Trade account via B2B site</t>
  </si>
  <si>
    <t xml:space="preserve">28+ years; supplies key online retailers &amp; buying groups</t>
  </si>
  <si>
    <t xml:space="preserve">Order online via B2B site.</t>
  </si>
  <si>
    <t xml:space="preserve">Directory + Toy Fair listing</t>
  </si>
  <si>
    <t xml:space="preserve">Affinity Fragrances</t>
  </si>
  <si>
    <t xml:space="preserve">https://www.affinityfragrances.com</t>
  </si>
  <si>
    <t xml:space="preserve">Iver, Buckinghamshire</t>
  </si>
  <si>
    <t xml:space="preserve">Iver, Buckinghamshire (confirm full address)</t>
  </si>
  <si>
    <t xml:space="preserve">Branded perfumes &amp; beauty</t>
  </si>
  <si>
    <t xml:space="preserve">Designer fragrance</t>
  </si>
  <si>
    <t xml:space="preserve">Yes (UK based); international expansion</t>
  </si>
  <si>
    <t xml:space="preserve">Founded 2016; reported revenue £125m+ (Retail Merchandiser feature)</t>
  </si>
  <si>
    <t xml:space="preserve">Large volume player - ask about smaller starter orders</t>
  </si>
  <si>
    <t xml:space="preserve">Big supplier - MOQs may be high for a new account.</t>
  </si>
  <si>
    <t xml:space="preserve">Press + directory - confirm contacts on website</t>
  </si>
  <si>
    <t xml:space="preserve">Shaneel Group (Shaneel Enterprises Ltd)</t>
  </si>
  <si>
    <t xml:space="preserve">https://www.shaneel.com/shaneel-enterprises</t>
  </si>
  <si>
    <t xml:space="preserve">Wembley / Watford (outskirts of London)</t>
  </si>
  <si>
    <t xml:space="preserve">Reg. office: 78 Wembley Park Drive, Wembley, HA9 8HE (trade site may be Amertrans Park, Bushey Mill Lane, Watford WD24 7JG)</t>
  </si>
  <si>
    <t xml:space="preserve">Wholesaler / Distributor / Brand owner</t>
  </si>
  <si>
    <t xml:space="preserve">Branded fragrance supply; group incl. Mayfair Perfumes, Designer Parfums, Worth Paris, DDF Skincare</t>
  </si>
  <si>
    <t xml:space="preserve">Yes (UK based)</t>
  </si>
  <si>
    <t xml:space="preserve">Family business since 1986; Companies House 02171783, SIC 46450 (wholesale of perfume &amp; cosmetics)</t>
  </si>
  <si>
    <t xml:space="preserve">Owns some brands - ask about brand authorisation for those</t>
  </si>
  <si>
    <t xml:space="preserve">Confirm which address is current before visiting.</t>
  </si>
  <si>
    <t xml:space="preserve">Companies House + job listing</t>
  </si>
  <si>
    <t xml:space="preserve">General Wholesale / FMCG</t>
  </si>
  <si>
    <t xml:space="preserve">Booker Wholesale (incl. Makro UK)</t>
  </si>
  <si>
    <t xml:space="preserve">https://www.booker.co.uk</t>
  </si>
  <si>
    <t xml:space="preserve">Nationwide branches</t>
  </si>
  <si>
    <t xml:space="preserve">See branch finder</t>
  </si>
  <si>
    <t xml:space="preserve">Cash &amp; carry / delivered wholesale</t>
  </si>
  <si>
    <t xml:space="preserve">Grocery, household, health &amp; beauty, confectionery, pet</t>
  </si>
  <si>
    <t xml:space="preserve">FMCG</t>
  </si>
  <si>
    <t xml:space="preserve">None in branch</t>
  </si>
  <si>
    <t xml:space="preserve">Business registration; VAT no. for some credit tiers</t>
  </si>
  <si>
    <t xml:space="preserve">UK's largest cash &amp; carry (Tesco group)</t>
  </si>
  <si>
    <t xml:space="preserve">Fine for invoices; margins tight - use promo deals</t>
  </si>
  <si>
    <t xml:space="preserve">Register online at booker.co.uk.</t>
  </si>
  <si>
    <t xml:space="preserve">Well-known</t>
  </si>
  <si>
    <t xml:space="preserve">PB Wholesale (Protein Bargain Wholesale)</t>
  </si>
  <si>
    <t xml:space="preserve">https://www.proteinbargainwholesale.co.uk</t>
  </si>
  <si>
    <t xml:space="preserve">Liverpool</t>
  </si>
  <si>
    <t xml:space="preserve">7 Webber Road, Liverpool (verify)</t>
  </si>
  <si>
    <t xml:space="preserve">Sports nutrition wholesaler</t>
  </si>
  <si>
    <t xml:space="preserve">CNP, Mountain Joe's, Per4M + other sports nutrition brands</t>
  </si>
  <si>
    <t xml:space="preserve">Sports nutrition / supplements</t>
  </si>
  <si>
    <t xml:space="preserve">Registered trade account</t>
  </si>
  <si>
    <t xml:space="preserve">Part of PB Group; dedicated account managers</t>
  </si>
  <si>
    <t xml:space="preserve">Supplies online retailers - supplements sell well on Amazon UK</t>
  </si>
  <si>
    <t xml:space="preserve">Trustpilot + trade press</t>
  </si>
  <si>
    <t xml:space="preserve">West Coast Supply Group</t>
  </si>
  <si>
    <t xml:space="preserve">https://www.westcoastsupplygroup.com</t>
  </si>
  <si>
    <t xml:space="preserve">Netherlands</t>
  </si>
  <si>
    <t xml:space="preserve">Leiden</t>
  </si>
  <si>
    <t xml:space="preserve">12 Admiraal Banckertweg, Leiden (verify)</t>
  </si>
  <si>
    <t xml:space="preserve">sales@westcoastsupplygroup.com</t>
  </si>
  <si>
    <t xml:space="preserve">A-brand FMCG distributor</t>
  </si>
  <si>
    <t xml:space="preserve">A-brands: personal care, beauty, home care, food, drinks, medical, electronics</t>
  </si>
  <si>
    <t xml:space="preserve">FMCG A-brands</t>
  </si>
  <si>
    <t xml:space="preserve">Pallet / container level likely</t>
  </si>
  <si>
    <t xml:space="preserve">B2B</t>
  </si>
  <si>
    <t xml:space="preserve">Exports to 75+ countries</t>
  </si>
  <si>
    <t xml:space="preserve">40+ years in business; LinkedIn company page</t>
  </si>
  <si>
    <t xml:space="preserve">A-brand FMCG - strong Amazon sellers</t>
  </si>
  <si>
    <t xml:space="preserve">LinkedIn + directories</t>
  </si>
  <si>
    <t xml:space="preserve">Healthcare / Medical</t>
  </si>
  <si>
    <t xml:space="preserve">Reliance Medical Ltd</t>
  </si>
  <si>
    <t xml:space="preserve">https://www.reliancemedical.co.uk</t>
  </si>
  <si>
    <t xml:space="preserve">Talke, Staffordshire (older address: Congleton, Cheshire)</t>
  </si>
  <si>
    <t xml:space="preserve">Older listing: The Radnor Building, Radnor Park Trading Estate, Back Lane, Congleton CW12 4XP</t>
  </si>
  <si>
    <t xml:space="preserve">Trade-only distributor / manufacturer</t>
  </si>
  <si>
    <t xml:space="preserve">First aid kits (BS 8599), dressings, first aid consumables</t>
  </si>
  <si>
    <t xml:space="preserve">First aid / healthcare</t>
  </si>
  <si>
    <t xml:space="preserve">Trade only - sells to distributors</t>
  </si>
  <si>
    <t xml:space="preserve">Supplies NHS &amp; government; largest UK first aid distributor network</t>
  </si>
  <si>
    <t xml:space="preserve">First aid kits sell well on Amazon UK</t>
  </si>
  <si>
    <t xml:space="preserve">Directory + trade press</t>
  </si>
  <si>
    <t xml:space="preserve">Pet</t>
  </si>
  <si>
    <t xml:space="preserve">Pedigree Wholesale</t>
  </si>
  <si>
    <t xml:space="preserve">https://www.petproducts.co.uk</t>
  </si>
  <si>
    <t xml:space="preserve">Gamston, Nottingham</t>
  </si>
  <si>
    <t xml:space="preserve">Pedigree House, Ambleside, Gamston, Nottingham NG2 6NQ</t>
  </si>
  <si>
    <t xml:space="preserve">+44 115 982 3900</t>
  </si>
  <si>
    <t xml:space="preserve">sales@petproducts.co.uk</t>
  </si>
  <si>
    <t xml:space="preserve">Pet wholesaler</t>
  </si>
  <si>
    <t xml:space="preserve">KONG, Chuckit!, James Wellbeloved, Forthglade, Nutriment, Carnilove - 10,000+ products</t>
  </si>
  <si>
    <t xml:space="preserve">Pet food &amp; accessories</t>
  </si>
  <si>
    <t xml:space="preserve">Box or pallet accounts</t>
  </si>
  <si>
    <t xml:space="preserve">Register at petproducts.co.uk/register</t>
  </si>
  <si>
    <t xml:space="preserve">50+ years supplying UK pet retailers; Companies House 01047681</t>
  </si>
  <si>
    <t xml:space="preserve">Pet supplies is a top Amazon UK category</t>
  </si>
  <si>
    <t xml:space="preserve">Company website + price guide</t>
  </si>
  <si>
    <t xml:space="preserve">John Adams Leisure Ltd</t>
  </si>
  <si>
    <t xml:space="preserve">https://www.johnadams.co.uk</t>
  </si>
  <si>
    <t xml:space="preserve">Huntingdon, Cambridgeshire</t>
  </si>
  <si>
    <t xml:space="preserve">Hercules House, Pierson Road, Enterprise Campus, Alconbury Weald, Huntingdon PE28 4YA</t>
  </si>
  <si>
    <t xml:space="preserve">+44 1480 414361</t>
  </si>
  <si>
    <t xml:space="preserve">Brand owner / distributor</t>
  </si>
  <si>
    <t xml:space="preserve">Games, science &amp; craft kits, Peterkin brands</t>
  </si>
  <si>
    <t xml:space="preserve">Toys &amp; games</t>
  </si>
  <si>
    <t xml:space="preserve">Trade</t>
  </si>
  <si>
    <t xml:space="preserve">Companies House 01761275; London Toy Fair exhibitor</t>
  </si>
  <si>
    <t xml:space="preserve">Brand owner - direct invoices</t>
  </si>
  <si>
    <t xml:space="preserve">Companies House + gov supplier directory</t>
  </si>
  <si>
    <t xml:space="preserve">One For Fun</t>
  </si>
  <si>
    <t xml:space="preserve">Not confirmed - search company name</t>
  </si>
  <si>
    <t xml:space="preserve">Cambuslang, Glasgow</t>
  </si>
  <si>
    <t xml:space="preserve">3-5 Cambuslang Way, Gateway Office Park, Cambuslang, Glasgow G32 8ND</t>
  </si>
  <si>
    <t xml:space="preserve">+44 141 613 2525</t>
  </si>
  <si>
    <t xml:space="preserve">Wholesaler / distributor</t>
  </si>
  <si>
    <t xml:space="preserve">HGL, Tobar, Ozbozz; licensed Maisto, Bburago, Dream Beams, Dino Collecto</t>
  </si>
  <si>
    <t xml:space="preserve">Toys, games, gifts, gadgets</t>
  </si>
  <si>
    <t xml:space="preserve">45-50+ years; ~81 staff; showrooms Glasgow/LA/HK</t>
  </si>
  <si>
    <t xml:space="preserve">Route to Tobar products.</t>
  </si>
  <si>
    <t xml:space="preserve">Directory + Toy Fair</t>
  </si>
  <si>
    <t xml:space="preserve">Peterkin UK Ltd (John Adams group)</t>
  </si>
  <si>
    <t xml:space="preserve">https://www.peterkin.co.uk</t>
  </si>
  <si>
    <t xml:space="preserve">Henley-on-Thames (reg.)</t>
  </si>
  <si>
    <t xml:space="preserve">Old London House, Stoke Row, Henley-on-Thames RG9 5QL</t>
  </si>
  <si>
    <t xml:space="preserve">sales@peterkin.co.uk</t>
  </si>
  <si>
    <t xml:space="preserve">Manufacturer / distributor</t>
  </si>
  <si>
    <t xml:space="preserve">Dolls World, Brookite, Action Man + distributed brands</t>
  </si>
  <si>
    <t xml:space="preserve">Trade - via local rep</t>
  </si>
  <si>
    <t xml:space="preserve">Companies House 00566155 (est. 1956)</t>
  </si>
  <si>
    <t xml:space="preserve">Brand owner - ask about authorised reseller status</t>
  </si>
  <si>
    <t xml:space="preserve">BigBuy</t>
  </si>
  <si>
    <t xml:space="preserve">https://www.bigbuy.eu</t>
  </si>
  <si>
    <t xml:space="preserve">Spain</t>
  </si>
  <si>
    <t xml:space="preserve">Valencia</t>
  </si>
  <si>
    <t xml:space="preserve">B2B wholesale / dropship platform</t>
  </si>
  <si>
    <t xml:space="preserve">~5,000 brands, 200k+ products</t>
  </si>
  <si>
    <t xml:space="preserve">General merchandise / beauty / toys</t>
  </si>
  <si>
    <t xml:space="preserve">Very low (€0.01 on B2B packs) - subscription packs apply</t>
  </si>
  <si>
    <t xml:space="preserve">Business account + pack</t>
  </si>
  <si>
    <t xml:space="preserve">Check post-Brexit shipping</t>
  </si>
  <si>
    <t xml:space="preserve">Established 2010-2012; marketplace integrations incl. Amazon</t>
  </si>
  <si>
    <t xml:space="preserve">Has a marketplace pack with Amazon integration</t>
  </si>
  <si>
    <t xml:space="preserve">Check brand restrictions per item.</t>
  </si>
  <si>
    <t xml:space="preserve">Company website + reviews</t>
  </si>
  <si>
    <t xml:space="preserve">Baby</t>
  </si>
  <si>
    <t xml:space="preserve">Wholesale Baby Products (W.B.P)</t>
  </si>
  <si>
    <t xml:space="preserve">https://www.wholesalebabyproducts.co.uk</t>
  </si>
  <si>
    <t xml:space="preserve">Oldbury, West Midlands</t>
  </si>
  <si>
    <t xml:space="preserve">Unit 21, Fountain Business Park, Fountain Lane, Oldbury B69 3BH</t>
  </si>
  <si>
    <t xml:space="preserve">Wholesaler / exporter</t>
  </si>
  <si>
    <t xml:space="preserve">Baby products 0-36 months</t>
  </si>
  <si>
    <t xml:space="preserve">15+ years exporting</t>
  </si>
  <si>
    <t xml:space="preserve">Baby is gated on Amazon - get invoices</t>
  </si>
  <si>
    <t xml:space="preserve">Directory</t>
  </si>
  <si>
    <t xml:space="preserve">Agence de Parfumerie</t>
  </si>
  <si>
    <t xml:space="preserve">https://www.agencedeparfumerie.co.uk</t>
  </si>
  <si>
    <t xml:space="preserve">Welwyn Garden City, Hertfordshire</t>
  </si>
  <si>
    <t xml:space="preserve">Unit 10 Bridge Gate Centre, Welwyn Garden City, Hertfordshire</t>
  </si>
  <si>
    <t xml:space="preserve">+44 20 3198 4600</t>
  </si>
  <si>
    <t xml:space="preserve">Wholesaler + online retailer</t>
  </si>
  <si>
    <t xml:space="preserve">Branded fragrances</t>
  </si>
  <si>
    <t xml:space="preserve">Business purchasing account</t>
  </si>
  <si>
    <t xml:space="preserve">Founded 2014; small firm (2-10 staff)</t>
  </si>
  <si>
    <t xml:space="preserve">Small supplier - good for low starter quantities</t>
  </si>
  <si>
    <t xml:space="preserve">Also sells retail, so check wholesale pricing is competitive.</t>
  </si>
  <si>
    <t xml:space="preserve">Beautinow B.V.</t>
  </si>
  <si>
    <t xml:space="preserve">https://beautinow.com/wholesale-perfume-supplier-europe/</t>
  </si>
  <si>
    <t xml:space="preserve">+31 684 714 856 (WhatsApp - verify)</t>
  </si>
  <si>
    <t xml:space="preserve">via website wholesale form</t>
  </si>
  <si>
    <t xml:space="preserve">2,000+ fragrances, 200+ designer &amp; niche brands</t>
  </si>
  <si>
    <t xml:space="preserve">Designer / niche fragrance</t>
  </si>
  <si>
    <t xml:space="preserve">Enquiry form - account manager responds within 1 working day</t>
  </si>
  <si>
    <t xml:space="preserve">Check</t>
  </si>
  <si>
    <t xml:space="preserve">Parent company is a beauty wholesaler</t>
  </si>
  <si>
    <t xml:space="preserve">Also offers dropshipping</t>
  </si>
  <si>
    <t xml:space="preserve">Beautylux</t>
  </si>
  <si>
    <t xml:space="preserve">https://www.beautylux.be</t>
  </si>
  <si>
    <t xml:space="preserve">Belgium</t>
  </si>
  <si>
    <t xml:space="preserve">Brussels (Schaerbeek)</t>
  </si>
  <si>
    <t xml:space="preserve">Rue François Bossaerts, Schaerbeek, Brussels (confirm)</t>
  </si>
  <si>
    <t xml:space="preserve">+32 2 732 .... (see website)</t>
  </si>
  <si>
    <t xml:space="preserve">Importer / Distributor</t>
  </si>
  <si>
    <t xml:space="preserve">Pure Altitude, Berdoues, Ariana Grande, Bentley + others; 2,500+ refs</t>
  </si>
  <si>
    <t xml:space="preserve">Designer / celebrity fragrance</t>
  </si>
  <si>
    <t xml:space="preserve">Retail accounts</t>
  </si>
  <si>
    <t xml:space="preserve">Established 1980; 450+ points of sale in Benelux</t>
  </si>
  <si>
    <t xml:space="preserve">Official importer for some brands - good invoices</t>
  </si>
  <si>
    <t xml:space="preserve">Emporium Handels &amp; Vertriebs GmbH (B&amp;S Group)</t>
  </si>
  <si>
    <t xml:space="preserve">Germany</t>
  </si>
  <si>
    <t xml:space="preserve">Rodenbach (near Hanau)</t>
  </si>
  <si>
    <t xml:space="preserve">Industriestr. 15, 63517 Rodenbach</t>
  </si>
  <si>
    <t xml:space="preserve">8,000+ perfume &amp; cosmetics products</t>
  </si>
  <si>
    <t xml:space="preserve">Designer fragrance / cosmetics</t>
  </si>
  <si>
    <t xml:space="preserve">Part of B&amp;S Group (listed Dutch distributor); one of the leading DACH perfume wholesalers</t>
  </si>
  <si>
    <t xml:space="preserve">Parfumtrend listed at same address.</t>
  </si>
  <si>
    <t xml:space="preserve">Job listing + directory - find website/Impressum</t>
  </si>
  <si>
    <t xml:space="preserve">MisterM Plus Sp. z o.o. Sp.k.</t>
  </si>
  <si>
    <t xml:space="preserve">Poland</t>
  </si>
  <si>
    <t xml:space="preserve">Kraków</t>
  </si>
  <si>
    <t xml:space="preserve">Trybuny Ludów 15, 30-660 Kraków (KRS 0000567077, NIP 6793113882)</t>
  </si>
  <si>
    <t xml:space="preserve">Wholesaler / Exporter</t>
  </si>
  <si>
    <t xml:space="preserve">Coty, P&amp;G, Reckitt Benckiser - perfumes, cosmetics, hygiene</t>
  </si>
  <si>
    <t xml:space="preserve">Mass fragrance / FMCG</t>
  </si>
  <si>
    <t xml:space="preserve">Exports - check UK</t>
  </si>
  <si>
    <t xml:space="preserve">20+ years in wholesale perfume &amp; cosmetics</t>
  </si>
  <si>
    <t xml:space="preserve">FMCG brands (P&amp;G/Coty) - strong Amazon sellers</t>
  </si>
  <si>
    <t xml:space="preserve">Registry data - find website</t>
  </si>
  <si>
    <t xml:space="preserve">OrientFragance</t>
  </si>
  <si>
    <t xml:space="preserve">https://www.orientfragance.com</t>
  </si>
  <si>
    <t xml:space="preserve">Santa Perpètua de la Mogoda, Barcelona</t>
  </si>
  <si>
    <t xml:space="preserve">C/ Berguedà 15, Nave 17, Bloc A, 08130 Santa Perpètua de la Mogoda (visits by appointment)</t>
  </si>
  <si>
    <t xml:space="preserve">+34 623 109 380 (also WhatsApp)</t>
  </si>
  <si>
    <t xml:space="preserve">Orientfragance@gmail.com</t>
  </si>
  <si>
    <t xml:space="preserve">Distributor (Arabian perfumes)</t>
  </si>
  <si>
    <t xml:space="preserve">Lattafa, Armaf, Afnan, Rasasi, Al Haramain, Ajmal, Swiss Arabian, French Avenue + K-beauty</t>
  </si>
  <si>
    <t xml:space="preserve">Arabian fragrance / K-beauty</t>
  </si>
  <si>
    <t xml:space="preserve">On request (wholesale portal)</t>
  </si>
  <si>
    <t xml:space="preserve">Register via wholesale form - reply &lt; 24 working hrs</t>
  </si>
  <si>
    <t xml:space="preserve">Check - EU based</t>
  </si>
  <si>
    <t xml:space="preserve">Claims official distributor status in Spain/Portugal - unverified</t>
  </si>
  <si>
    <t xml:space="preserve">Ask for brand authorisation letters</t>
  </si>
  <si>
    <t xml:space="preserve">Uses a Gmail address - verify company registration (CIF) before paying.</t>
  </si>
  <si>
    <t xml:space="preserve">Parfum Company Sp. z o.o. S.K.A.</t>
  </si>
  <si>
    <t xml:space="preserve">Zakręt (near Warsaw)</t>
  </si>
  <si>
    <t xml:space="preserve">Lubelska 42, 05-077 Zakręt (NIP 1132861515)</t>
  </si>
  <si>
    <t xml:space="preserve">Hundreds of thousands of perfumes in stock; B2B platform</t>
  </si>
  <si>
    <t xml:space="preserve">B2B platform registration</t>
  </si>
  <si>
    <t xml:space="preserve">15+ years trading; claims largest perfume wholesaler in Poland</t>
  </si>
  <si>
    <t xml:space="preserve">Job portal listing - find website</t>
  </si>
  <si>
    <t xml:space="preserve">Bestway Wholesale</t>
  </si>
  <si>
    <t xml:space="preserve">https://www.bestwaywholesale.co.uk</t>
  </si>
  <si>
    <t xml:space="preserve">HQ Park Royal, London + depots</t>
  </si>
  <si>
    <t xml:space="preserve">2 Abbey Road, Park Royal, London NW10 7BW</t>
  </si>
  <si>
    <t xml:space="preserve">+44 1738 646666 (Wholesale) / +44 20 8453 1234 (Group)</t>
  </si>
  <si>
    <t xml:space="preserve">bestway.group@bestway.co.uk</t>
  </si>
  <si>
    <t xml:space="preserve">Cash &amp; carry / delivered</t>
  </si>
  <si>
    <t xml:space="preserve">Grocery, household, H&amp;B</t>
  </si>
  <si>
    <t xml:space="preserve">None in depot</t>
  </si>
  <si>
    <t xml:space="preserve">Trade registration</t>
  </si>
  <si>
    <t xml:space="preserve">Companies House 01207120; major UK wholesaler</t>
  </si>
  <si>
    <t xml:space="preserve">Official website</t>
  </si>
  <si>
    <t xml:space="preserve">Costco UK (Business Membership)</t>
  </si>
  <si>
    <t xml:space="preserve">https://www.costco.co.uk</t>
  </si>
  <si>
    <t xml:space="preserve">Nationwide warehouses</t>
  </si>
  <si>
    <t xml:space="preserve">+44 1923 830477 (Central Membership)</t>
  </si>
  <si>
    <t xml:space="preserve">Warehouse club</t>
  </si>
  <si>
    <t xml:space="preserve">Grocery, household, health &amp; beauty, toys, electronics</t>
  </si>
  <si>
    <t xml:space="preserve">FMCG / general</t>
  </si>
  <si>
    <t xml:space="preserve">None</t>
  </si>
  <si>
    <t xml:space="preserve">One business document &lt;3 months old (VAT cert, Companies House cert or business bank statement) + photo ID, in person</t>
  </si>
  <si>
    <t xml:space="preserve">Official membership page</t>
  </si>
  <si>
    <t xml:space="preserve">Business membership allows resale; receipts show Costco details</t>
  </si>
  <si>
    <t xml:space="preserve">Dhamecha Cash &amp; Carry</t>
  </si>
  <si>
    <t xml:space="preserve">https://www.dhamecha.com</t>
  </si>
  <si>
    <t xml:space="preserve">London, Midlands, North West (13 depots)</t>
  </si>
  <si>
    <t xml:space="preserve">Wembley: Wembley Stadium Ind. Est., First Way, HA9 0TU</t>
  </si>
  <si>
    <t xml:space="preserve">+44 20 8903 8181 (Wembley)</t>
  </si>
  <si>
    <t xml:space="preserve">Cash &amp; carry</t>
  </si>
  <si>
    <t xml:space="preserve">Strictly trade only</t>
  </si>
  <si>
    <t xml:space="preserve">~14,000 trade customers; acquired Hyperama depots</t>
  </si>
  <si>
    <t xml:space="preserve">Trade press / Unitas listing</t>
  </si>
  <si>
    <t xml:space="preserve">Hancocks (World of Sweets)</t>
  </si>
  <si>
    <t xml:space="preserve">https://www.hancocks.co.uk</t>
  </si>
  <si>
    <t xml:space="preserve">Loughborough (HQ) + depots</t>
  </si>
  <si>
    <t xml:space="preserve">25 Jubilee Drive, Loughborough LE11 5TX</t>
  </si>
  <si>
    <t xml:space="preserve">Confectionery cash &amp; carry</t>
  </si>
  <si>
    <t xml:space="preserve">5,000+ sweets &amp; chocolate SKUs, novelty</t>
  </si>
  <si>
    <t xml:space="preserve">Confectionery / grocery</t>
  </si>
  <si>
    <t xml:space="preserve">Any business requiring wholesale confectionery</t>
  </si>
  <si>
    <t xml:space="preserve">Companies House 00868097; est. 1962</t>
  </si>
  <si>
    <t xml:space="preserve">Grocery is a huge Amazon UK category; watch expiry dates (FBA rules)</t>
  </si>
  <si>
    <t xml:space="preserve">Parfetts (Parfett &amp; Sons Ltd)</t>
  </si>
  <si>
    <t xml:space="preserve">https://www.parfetts.co.uk</t>
  </si>
  <si>
    <t xml:space="preserve">Stockport (HQ) + depots incl. Sheffield</t>
  </si>
  <si>
    <t xml:space="preserve">Sheffield depot: Europa Drive, Shepcote Business Park, S9 1XT</t>
  </si>
  <si>
    <t xml:space="preserve">+44 114 251 8888 (Sheffield)</t>
  </si>
  <si>
    <t xml:space="preserve">Grocery, household, H&amp;B, confectionery</t>
  </si>
  <si>
    <t xml:space="preserve">Family-owned independent wholesaler</t>
  </si>
  <si>
    <t xml:space="preserve">CLF Distribution</t>
  </si>
  <si>
    <t xml:space="preserve">https://www.clfdistribution.com</t>
  </si>
  <si>
    <t xml:space="preserve">Southampton</t>
  </si>
  <si>
    <t xml:space="preserve">Reg: Unit 3, Quest 271 Test Lane, Southampton SO16 9SD (licensed site: Building 210, Nursling Ind. Est., Mauretania Rd, SO16 0YS)</t>
  </si>
  <si>
    <t xml:space="preserve">+44 23 8127 7000</t>
  </si>
  <si>
    <t xml:space="preserve">customerservices@clfdistribution.com</t>
  </si>
  <si>
    <t xml:space="preserve">Hundreds of health, wellness, natural beauty &amp; lifestyle brands</t>
  </si>
  <si>
    <t xml:space="preserve">Health / natural beauty / supplements</t>
  </si>
  <si>
    <t xml:space="preserve">Independent retailers - trade account</t>
  </si>
  <si>
    <t xml:space="preserve">Employee-owned; MHRA wholesale licence site listed</t>
  </si>
  <si>
    <t xml:space="preserve">CAUTION: says its brands are exclusive to independents &amp; not discounted online - ask about online/Amazon policy before applying</t>
  </si>
  <si>
    <t xml:space="preserve">Great range but may restrict marketplace selling.</t>
  </si>
  <si>
    <t xml:space="preserve">Directory + MHRA doc</t>
  </si>
  <si>
    <t xml:space="preserve">DK Wholesale</t>
  </si>
  <si>
    <t xml:space="preserve">https://www.dkwholesale.com</t>
  </si>
  <si>
    <t xml:space="preserve">Manchester</t>
  </si>
  <si>
    <t xml:space="preserve">4 Harthill Street, Manchester M8 8AG</t>
  </si>
  <si>
    <t xml:space="preserve">+44 161 832 5200</t>
  </si>
  <si>
    <t xml:space="preserve">dkwholesaleltd@gmail.com</t>
  </si>
  <si>
    <t xml:space="preserve">General wholesaler</t>
  </si>
  <si>
    <t xml:space="preserve">Beauty, toys, electronics, gifts, household</t>
  </si>
  <si>
    <t xml:space="preserve">General merchandise</t>
  </si>
  <si>
    <t xml:space="preserve">Founded 1983; Trustpilot profile</t>
  </si>
  <si>
    <t xml:space="preserve">Gmail address - confirm company number.</t>
  </si>
  <si>
    <t xml:space="preserve">Trustpilot listing</t>
  </si>
  <si>
    <t xml:space="preserve">Lexon (UK) Ltd</t>
  </si>
  <si>
    <t xml:space="preserve">18 Oxleasow Road, Moons Moat East, Redditch, B98 0RE</t>
  </si>
  <si>
    <t xml:space="preserve">+44 1527 501900</t>
  </si>
  <si>
    <t xml:space="preserve">Pharmaceutical / healthcare wholesaler (MHRA licensed)</t>
  </si>
  <si>
    <t xml:space="preserve">OTC, fragrances, parallel imports, generics</t>
  </si>
  <si>
    <t xml:space="preserve">Health / OTC / fragrance</t>
  </si>
  <si>
    <t xml:space="preserve">Primarily pharmacies - ask about non-pharmacy retail accounts</t>
  </si>
  <si>
    <t xml:space="preserve">Companies House 03076698; MHRA WDA(H) 15184 (sites: Redditch, Leeds, East Kilbride, Ferryhill)</t>
  </si>
  <si>
    <t xml:space="preserve">Licensed wholesaler = strong invoices; may only supply pharmacies for medicines</t>
  </si>
  <si>
    <t xml:space="preserve">Sister business to Knights Fragrances (same address).</t>
  </si>
  <si>
    <t xml:space="preserve">Companies House + MHRA</t>
  </si>
  <si>
    <t xml:space="preserve">Paws Products Wholesale</t>
  </si>
  <si>
    <t xml:space="preserve">https://www.pawsproducts.com</t>
  </si>
  <si>
    <t xml:space="preserve">Keighley area, West Yorkshire</t>
  </si>
  <si>
    <t xml:space="preserve">+44 1535 517334</t>
  </si>
  <si>
    <t xml:space="preserve">info@pawsproducts.com</t>
  </si>
  <si>
    <t xml:space="preserve">Pet accessories &amp; products</t>
  </si>
  <si>
    <t xml:space="preserve">Trade-only clientele</t>
  </si>
  <si>
    <t xml:space="preserve">Pet Business World directory listing</t>
  </si>
  <si>
    <t xml:space="preserve">Accepts card/PayPal.</t>
  </si>
  <si>
    <t xml:space="preserve">Trade directory</t>
  </si>
  <si>
    <t xml:space="preserve">Character Options Ltd</t>
  </si>
  <si>
    <t xml:space="preserve">https://www.character-online.com</t>
  </si>
  <si>
    <t xml:space="preserve">Oldham</t>
  </si>
  <si>
    <t xml:space="preserve">Lees Brook Mill, Lees Road, Oldham OL4 5JL</t>
  </si>
  <si>
    <t xml:space="preserve">+44 161 633 9800</t>
  </si>
  <si>
    <t xml:space="preserve">Licensed &amp; own-brand toys (Peppa Pig, Doctor Who etc. - check current)</t>
  </si>
  <si>
    <t xml:space="preserve">Branded / licensed toys</t>
  </si>
  <si>
    <t xml:space="preserve">Trade - national accounts</t>
  </si>
  <si>
    <t xml:space="preserve">Part of The Character Group plc (LSE listed); Toy Industry Award winner</t>
  </si>
  <si>
    <t xml:space="preserve">Sales Director listed as David Bramford.</t>
  </si>
  <si>
    <t xml:space="preserve">Trade press + directory</t>
  </si>
  <si>
    <t xml:space="preserve">Keycraft</t>
  </si>
  <si>
    <t xml:space="preserve">https://gb.keycraftglobal.com</t>
  </si>
  <si>
    <t xml:space="preserve">UK / France</t>
  </si>
  <si>
    <t xml:space="preserve">Peterhead, Scotland (UK) / La Garde (FR)</t>
  </si>
  <si>
    <t xml:space="preserve">Blackhouse Industrial Estate, Peterhead AB42 1BN</t>
  </si>
  <si>
    <t xml:space="preserve">+33 1 44 29 03 52 (customer service)</t>
  </si>
  <si>
    <t xml:space="preserve">Wholesaler / manufacturer</t>
  </si>
  <si>
    <t xml:space="preserve">Pocket money toys, science &amp; craft kits, plush, stationery</t>
  </si>
  <si>
    <t xml:space="preserve">Pocket money toys</t>
  </si>
  <si>
    <t xml:space="preserve">On request (counter display units)</t>
  </si>
  <si>
    <t xml:space="preserve">Founded 1974</t>
  </si>
  <si>
    <t xml:space="preserve">Own brands - low price point, check FBA fees</t>
  </si>
  <si>
    <t xml:space="preserve">Trade show listing</t>
  </si>
  <si>
    <t xml:space="preserve">Puckator Ltd</t>
  </si>
  <si>
    <t xml:space="preserve">https://www.puckator.co.uk</t>
  </si>
  <si>
    <t xml:space="preserve">Cornwall</t>
  </si>
  <si>
    <t xml:space="preserve">See website</t>
  </si>
  <si>
    <t xml:space="preserve">Gift &amp; novelty wholesaler</t>
  </si>
  <si>
    <t xml:space="preserve">Licensed gifts, novelty toys, stationery</t>
  </si>
  <si>
    <t xml:space="preserve">Gifts / novelty</t>
  </si>
  <si>
    <t xml:space="preserve">£50 minimum (£75 shown on toy pages); free delivery over £100</t>
  </si>
  <si>
    <t xml:space="preserve">Trade account - VAT number NOT required</t>
  </si>
  <si>
    <t xml:space="preserve">Toy Fair exhibitor; same-day dispatch before 11am</t>
  </si>
  <si>
    <t xml:space="preserve">Low MOQ - good for testing products</t>
  </si>
  <si>
    <t xml:space="preserve">Spectron The Toy Company</t>
  </si>
  <si>
    <t xml:space="preserve">https://www.spectrontoys.com</t>
  </si>
  <si>
    <t xml:space="preserve">Deventer</t>
  </si>
  <si>
    <t xml:space="preserve">Solingenstraat 53, 7421 ZR Deventer</t>
  </si>
  <si>
    <t xml:space="preserve">Exclusive Benelux distributor</t>
  </si>
  <si>
    <t xml:space="preserve">Silverlit, IMC Toys, TOMY, Lamaze, 3Doodler, XQ Toys, Gear2Play, Tech4Kids</t>
  </si>
  <si>
    <t xml:space="preserve">Retailers, online retailers, buying groups</t>
  </si>
  <si>
    <t xml:space="preserve">Benelux/DE focus - check</t>
  </si>
  <si>
    <t xml:space="preserve">Offices NL/DE/BE; MD John Boeyen</t>
  </si>
  <si>
    <t xml:space="preserve">Supplies online retailers</t>
  </si>
  <si>
    <t xml:space="preserve">For Amazon EU (DE/NL) more than UK.</t>
  </si>
  <si>
    <t xml:space="preserve">Ankorstore</t>
  </si>
  <si>
    <t xml:space="preserve">https://www.ankorstore.com</t>
  </si>
  <si>
    <t xml:space="preserve">France / EU</t>
  </si>
  <si>
    <t xml:space="preserve">Paris</t>
  </si>
  <si>
    <t xml:space="preserve">Wholesale marketplace (independent brands)</t>
  </si>
  <si>
    <t xml:space="preserve">~30,000 independent brands - beauty, toys, gifts, home</t>
  </si>
  <si>
    <t xml:space="preserve">Independent brands</t>
  </si>
  <si>
    <t xml:space="preserve">€100 per brand</t>
  </si>
  <si>
    <t xml:space="preserve">Retailer account</t>
  </si>
  <si>
    <t xml:space="preserve">Unicorn-valued; 300k+ retailers</t>
  </si>
  <si>
    <t xml:space="preserve">CAUTION: many brands prohibit marketplace resale - check each brand</t>
  </si>
  <si>
    <t xml:space="preserve">60-day payment terms.</t>
  </si>
  <si>
    <t xml:space="preserve">Investor &amp; press articles</t>
  </si>
  <si>
    <t xml:space="preserve">Brandsdistribution</t>
  </si>
  <si>
    <t xml:space="preserve">https://www.brandsdistribution.com</t>
  </si>
  <si>
    <t xml:space="preserve">Italy</t>
  </si>
  <si>
    <t xml:space="preserve">Turin</t>
  </si>
  <si>
    <t xml:space="preserve">Via Varallo 24/B, 10153 Torino</t>
  </si>
  <si>
    <t xml:space="preserve">+39 011 198 292 34</t>
  </si>
  <si>
    <t xml:space="preserve">B2B fashion wholesale / dropship</t>
  </si>
  <si>
    <t xml:space="preserve">120+ fashion brands: clothing, shoes, bags, accessories</t>
  </si>
  <si>
    <t xml:space="preserve">Branded fashion</t>
  </si>
  <si>
    <t xml:space="preserve">VAT number holders</t>
  </si>
  <si>
    <t xml:space="preserve">Founded 2006</t>
  </si>
  <si>
    <t xml:space="preserve">Fashion rather than core niches.</t>
  </si>
  <si>
    <t xml:space="preserve">CB Insights profile</t>
  </si>
  <si>
    <t xml:space="preserve">B&amp;S Group (B&amp;S Beauty)</t>
  </si>
  <si>
    <t xml:space="preserve">Netherlands / Luxembourg</t>
  </si>
  <si>
    <t xml:space="preserve">Dordrecht (NL)</t>
  </si>
  <si>
    <t xml:space="preserve">Rijksstraatweg 7, 3316 EE Dordrecht</t>
  </si>
  <si>
    <t xml:space="preserve">+352 26870881 (Luxembourg)</t>
  </si>
  <si>
    <t xml:space="preserve">Large distributor</t>
  </si>
  <si>
    <t xml:space="preserve">Beauty, personal care, health, food, liquor - major fragrance distributor</t>
  </si>
  <si>
    <t xml:space="preserve">Designer fragrance / FMCG</t>
  </si>
  <si>
    <t xml:space="preserve">High (large volume)</t>
  </si>
  <si>
    <t xml:space="preserve">Business accounts</t>
  </si>
  <si>
    <t xml:space="preserve">Publicly listed (Frankfurt) distributor; owns FragranceNet stake</t>
  </si>
  <si>
    <t xml:space="preserve">Major player - better for later scale</t>
  </si>
  <si>
    <t xml:space="preserve">Investor profiles - confirm website</t>
  </si>
  <si>
    <t xml:space="preserve">EleganceWholesale</t>
  </si>
  <si>
    <t xml:space="preserve">https://elegancewholesale.co.nl</t>
  </si>
  <si>
    <t xml:space="preserve">Bergen op Zoom</t>
  </si>
  <si>
    <t xml:space="preserve">Luxury perfumes, cosmetics, designer clothing</t>
  </si>
  <si>
    <t xml:space="preserve">Verified businesses only</t>
  </si>
  <si>
    <t xml:space="preserve">States full EU VAT compliance - no KVK found in search</t>
  </si>
  <si>
    <t xml:space="preserve">RED FLAG check: confirm KvK number at kvk.nl.</t>
  </si>
  <si>
    <t xml:space="preserve">Company website only - VERIFY KVK before ordering</t>
  </si>
  <si>
    <t xml:space="preserve">NOBILIS Group GmbH</t>
  </si>
  <si>
    <t xml:space="preserve">Wiesbaden</t>
  </si>
  <si>
    <t xml:space="preserve">Rheingaustraße 32, 65201 Wiesbaden</t>
  </si>
  <si>
    <t xml:space="preserve">Authorised brand distributor</t>
  </si>
  <si>
    <t xml:space="preserve">Lacoste (DACH), Xerjoff, Casamorati + prestige &amp; lifestyle fragrances</t>
  </si>
  <si>
    <t xml:space="preserve">Prestige / designer fragrance</t>
  </si>
  <si>
    <t xml:space="preserve">High - account based</t>
  </si>
  <si>
    <t xml:space="preserve">Established retailers; authorised distribution</t>
  </si>
  <si>
    <t xml:space="preserve">No - DACH region focus</t>
  </si>
  <si>
    <t xml:space="preserve">Founded 1993; 37.5% owned by Gebr. Heinemann; major German distributor</t>
  </si>
  <si>
    <t xml:space="preserve">Authorised distributor - best invoice quality but selective about accounts</t>
  </si>
  <si>
    <t xml:space="preserve">Long-term target once you have a track record.</t>
  </si>
  <si>
    <t xml:space="preserve">Press + job listing; website domain to confirm</t>
  </si>
  <si>
    <t xml:space="preserve">Profumerie P &amp; P Srl</t>
  </si>
  <si>
    <t xml:space="preserve">https://www.profumeriepep.it</t>
  </si>
  <si>
    <t xml:space="preserve">Grottaglie (TA)</t>
  </si>
  <si>
    <t xml:space="preserve">Via Paganini 73, 74023 Grottaglie (TA)</t>
  </si>
  <si>
    <t xml:space="preserve">Wholesaler + retail</t>
  </si>
  <si>
    <t xml:space="preserve">Perfumes</t>
  </si>
  <si>
    <t xml:space="preserve">~30 years in perfume wholesale</t>
  </si>
  <si>
    <t xml:space="preserve">Registry + directory</t>
  </si>
  <si>
    <t xml:space="preserve">The Italian Factory</t>
  </si>
  <si>
    <t xml:space="preserve">https://www.italianmoda.com/italy-FASHION%2DACCESSORIES%5FPerfumes%5FCosmetics</t>
  </si>
  <si>
    <t xml:space="preserve">Sesto Fiorentino (Florence)</t>
  </si>
  <si>
    <t xml:space="preserve">Sesto Fiorentino, Firenze</t>
  </si>
  <si>
    <t xml:space="preserve">+39 055 341136</t>
  </si>
  <si>
    <t xml:space="preserve">via ItalianModa request form</t>
  </si>
  <si>
    <t xml:space="preserve">Branded perfumes &amp; cosmetics (Italian &amp; international)</t>
  </si>
  <si>
    <t xml:space="preserve">Resellers only</t>
  </si>
  <si>
    <t xml:space="preserve">ItalianModa B2B directory listing</t>
  </si>
  <si>
    <t xml:space="preserve">Directory only - call to confirm</t>
  </si>
  <si>
    <t xml:space="preserve">METRO / Makro (EU cash &amp; carry)</t>
  </si>
  <si>
    <t xml:space="preserve">https://www.makro.nl</t>
  </si>
  <si>
    <t xml:space="preserve">Netherlands / Germany / EU</t>
  </si>
  <si>
    <t xml:space="preserve">Nationwide</t>
  </si>
  <si>
    <t xml:space="preserve">FMCG, household, H&amp;B, toys, electronics</t>
  </si>
  <si>
    <t xml:space="preserve">Business customer card; foreign businesses need ID + proof of business (Chamber of Commerce extract)</t>
  </si>
  <si>
    <t xml:space="preserve">Collect only</t>
  </si>
  <si>
    <t xml:space="preserve">Metro AG group</t>
  </si>
  <si>
    <t xml:space="preserve">Useful for Amazon EU sellers</t>
  </si>
  <si>
    <t xml:space="preserve">Official help centre</t>
  </si>
  <si>
    <t xml:space="preserve">Wholesale Clearance UK</t>
  </si>
  <si>
    <t xml:space="preserve">https://www.wholesaleclearance.co.uk</t>
  </si>
  <si>
    <t xml:space="preserve">Clearance / surplus wholesaler</t>
  </si>
  <si>
    <t xml:space="preserve">Branded clearance &amp; surplus</t>
  </si>
  <si>
    <t xml:space="preserve">Clearance</t>
  </si>
  <si>
    <t xml:space="preserve">No minimum order</t>
  </si>
  <si>
    <t xml:space="preserve">Founded 2005 (per blog)</t>
  </si>
  <si>
    <t xml:space="preserve">CAUTION: clearance stock may be damaged/expired - check condition</t>
  </si>
  <si>
    <t xml:space="preserve">Blog article</t>
  </si>
  <si>
    <t xml:space="preserve">Aston &amp; Fincher</t>
  </si>
  <si>
    <t xml:space="preserve">https://www.astonandfincher.co.uk</t>
  </si>
  <si>
    <t xml:space="preserve">Nationwide stores (HQ Sheffield area)</t>
  </si>
  <si>
    <t xml:space="preserve">See store locator on website</t>
  </si>
  <si>
    <t xml:space="preserve">Hair &amp; beauty trade wholesaler</t>
  </si>
  <si>
    <t xml:space="preserve">Professional hair, beauty, barbering &amp; nail brands</t>
  </si>
  <si>
    <t xml:space="preserve">Professional beauty</t>
  </si>
  <si>
    <t xml:space="preserve">Free delivery over £60</t>
  </si>
  <si>
    <t xml:space="preserve">Proof of professional status (trade body, insurance or qualification)</t>
  </si>
  <si>
    <t xml:space="preserve">Trading since 1959; NHBF trade member</t>
  </si>
  <si>
    <t xml:space="preserve">CAUTION: many pro brands forbid online/Amazon resale - check per brand</t>
  </si>
  <si>
    <t xml:space="preserve">Better for beauty consumables than gated pro brands.</t>
  </si>
  <si>
    <t xml:space="preserve">Capital Hair &amp; Beauty</t>
  </si>
  <si>
    <t xml:space="preserve">https://www.capitalhairandbeauty.co.uk</t>
  </si>
  <si>
    <t xml:space="preserve">Brighton (HQ) + stores</t>
  </si>
  <si>
    <t xml:space="preserve">Crowhurst Corner, Crowhurst Road, Brighton, BN1 8AP</t>
  </si>
  <si>
    <t xml:space="preserve">+44 330 094 0450 (verify)</t>
  </si>
  <si>
    <t xml:space="preserve">Professional hair &amp; beauty</t>
  </si>
  <si>
    <t xml:space="preserve">Companies House 00530201 (SIC 46900)</t>
  </si>
  <si>
    <t xml:space="preserve">Same caution as other pro-beauty suppliers</t>
  </si>
  <si>
    <t xml:space="preserve">Companies House + data aggregator</t>
  </si>
  <si>
    <t xml:space="preserve">Cherry Cosmetics</t>
  </si>
  <si>
    <t xml:space="preserve">https://www.cherrycosmetics.co.uk</t>
  </si>
  <si>
    <t xml:space="preserve">Leicester</t>
  </si>
  <si>
    <t xml:space="preserve">Unit B15 Troon Way Business Centre, Leicester</t>
  </si>
  <si>
    <t xml:space="preserve">Makeup and beauty</t>
  </si>
  <si>
    <t xml:space="preserve">Mass cosmetics</t>
  </si>
  <si>
    <t xml:space="preserve">Small firm (2-10 staff)</t>
  </si>
  <si>
    <t xml:space="preserve">Directory only</t>
  </si>
  <si>
    <t xml:space="preserve">Exquisite Cosmetics Ltd</t>
  </si>
  <si>
    <t xml:space="preserve">https://www.exquisitecosmetics.co.uk</t>
  </si>
  <si>
    <t xml:space="preserve">68A Station Road, Leicester</t>
  </si>
  <si>
    <t xml:space="preserve">Makeup and skincare</t>
  </si>
  <si>
    <t xml:space="preserve">Companies House 01315797 (est. 1977)</t>
  </si>
  <si>
    <t xml:space="preserve">Companies House + directory</t>
  </si>
  <si>
    <t xml:space="preserve">Kinetic Natural Product Distributor (Kinetic Enterprises Ltd)</t>
  </si>
  <si>
    <t xml:space="preserve">https://www.kinetic4health.co.uk</t>
  </si>
  <si>
    <t xml:space="preserve">London area</t>
  </si>
  <si>
    <t xml:space="preserve">Natural &amp; organic beauty, nutrition, superfoods</t>
  </si>
  <si>
    <t xml:space="preserve">Natural health / beauty</t>
  </si>
  <si>
    <t xml:space="preserve">Trade (health stores, pharmacies, spas)</t>
  </si>
  <si>
    <t xml:space="preserve">Yes; also Europe</t>
  </si>
  <si>
    <t xml:space="preserve">23+ years trading</t>
  </si>
  <si>
    <t xml:space="preserve">Ask about online-seller policy</t>
  </si>
  <si>
    <t xml:space="preserve">Trade press</t>
  </si>
  <si>
    <t xml:space="preserve">LookinStyle</t>
  </si>
  <si>
    <t xml:space="preserve">https://www.lookinstyle.co.uk</t>
  </si>
  <si>
    <t xml:space="preserve">Troon Way Business Centre, Humberstone Lane, Leicester</t>
  </si>
  <si>
    <t xml:space="preserve">Trade supplier</t>
  </si>
  <si>
    <t xml:space="preserve">Branded cosmetics, skincare, fragrance, shaving</t>
  </si>
  <si>
    <t xml:space="preserve">Mass beauty / fragrance</t>
  </si>
  <si>
    <t xml:space="preserve">Trade customers</t>
  </si>
  <si>
    <t xml:space="preserve">Directory listing</t>
  </si>
  <si>
    <t xml:space="preserve">Directory only - confirm on website</t>
  </si>
  <si>
    <t xml:space="preserve">Ludonex Ltd</t>
  </si>
  <si>
    <t xml:space="preserve">https://www.beautetrade.com/suppliers/ludonex-ltd-108314/</t>
  </si>
  <si>
    <t xml:space="preserve">Supplier / exporter</t>
  </si>
  <si>
    <t xml:space="preserve">Cosmetics, perfumes, skincare, oral care</t>
  </si>
  <si>
    <t xml:space="preserve">Mixed beauty</t>
  </si>
  <si>
    <t xml:space="preserve">Self-described: 100+ business customers internationally</t>
  </si>
  <si>
    <t xml:space="preserve">Check Companies House.</t>
  </si>
  <si>
    <t xml:space="preserve">Marketplace profile only</t>
  </si>
  <si>
    <t xml:space="preserve">Suma Wholefoods</t>
  </si>
  <si>
    <t xml:space="preserve">https://www.suma.coop</t>
  </si>
  <si>
    <t xml:space="preserve">Elland, West Yorkshire</t>
  </si>
  <si>
    <t xml:space="preserve">Wholesaler (co-op)</t>
  </si>
  <si>
    <t xml:space="preserve">Natural/organic food, health &amp; eco beauty/household</t>
  </si>
  <si>
    <t xml:space="preserve">Natural health / grocery</t>
  </si>
  <si>
    <t xml:space="preserve">Approx £250-£350 + VAT (per customer reviews - confirm)</t>
  </si>
  <si>
    <t xml:space="preserve">Large UK workers' co-operative</t>
  </si>
  <si>
    <t xml:space="preserve">Reviews - confirm terms</t>
  </si>
  <si>
    <t xml:space="preserve">W Pharma Europe</t>
  </si>
  <si>
    <t xml:space="preserve">https://w-pharma-europe3.odoo.com</t>
  </si>
  <si>
    <t xml:space="preserve">Schiphol / Rotterdam</t>
  </si>
  <si>
    <t xml:space="preserve">via 'Request Wholesale Access' form</t>
  </si>
  <si>
    <t xml:space="preserve">Health &amp; beauty wholesaler</t>
  </si>
  <si>
    <t xml:space="preserve">Medical devices, para-pharma, dermo-cosmetics, personal care, duty-free</t>
  </si>
  <si>
    <t xml:space="preserve">Health / dermo-cosmetics</t>
  </si>
  <si>
    <t xml:space="preserve">B2B only</t>
  </si>
  <si>
    <t xml:space="preserve">Claims GDP-compliant; founder Nikki Wong</t>
  </si>
  <si>
    <t xml:space="preserve">Young/unverified - check KvK.</t>
  </si>
  <si>
    <t xml:space="preserve">Company website only - VERIFY KvK</t>
  </si>
  <si>
    <t xml:space="preserve">GP Supplies</t>
  </si>
  <si>
    <t xml:space="preserve">London</t>
  </si>
  <si>
    <t xml:space="preserve">Medical supplier</t>
  </si>
  <si>
    <t xml:space="preserve">BP monitors, diagnostics, mobility aids, dressings - 25,000+ lines</t>
  </si>
  <si>
    <t xml:space="preserve">Medical / mobility</t>
  </si>
  <si>
    <t xml:space="preserve">Trade &amp; healthcare accounts</t>
  </si>
  <si>
    <t xml:space="preserve">Supplies all areas of healthcare</t>
  </si>
  <si>
    <t xml:space="preserve">Also sells retail.</t>
  </si>
  <si>
    <t xml:space="preserve">Landahl &amp; Baumann Spielwaren GmbH</t>
  </si>
  <si>
    <t xml:space="preserve">Borstel-Hohenraden (Schleswig-Holstein)</t>
  </si>
  <si>
    <t xml:space="preserve">Toy wholesaler</t>
  </si>
  <si>
    <t xml:space="preserve">Branded toys - Europe-wide</t>
  </si>
  <si>
    <t xml:space="preserve">Established toy wholesaler</t>
  </si>
  <si>
    <t xml:space="preserve">Job portal</t>
  </si>
  <si>
    <t xml:space="preserve">Nomaco Spain</t>
  </si>
  <si>
    <t xml:space="preserve">Coslada (Madrid)</t>
  </si>
  <si>
    <t xml:space="preserve">Avenida de las Américas 6, 28823 Coslada, Madrid</t>
  </si>
  <si>
    <t xml:space="preserve">+34 917 462 601</t>
  </si>
  <si>
    <t xml:space="preserve">Wholesale distributor</t>
  </si>
  <si>
    <t xml:space="preserve">Meccano, Crayola, Nikko, Bontempi, Welly, K's Kids</t>
  </si>
  <si>
    <t xml:space="preserve">Retailers</t>
  </si>
  <si>
    <t xml:space="preserve">Since 2007; supplies El Corte Inglés, Carrefour</t>
  </si>
  <si>
    <t xml:space="preserve">Faire</t>
  </si>
  <si>
    <t xml:space="preserve">https://www.faire.com</t>
  </si>
  <si>
    <t xml:space="preserve">Global (UK site)</t>
  </si>
  <si>
    <t xml:space="preserve">Wholesale marketplace</t>
  </si>
  <si>
    <t xml:space="preserve">100,000+ brands incl. Bigjigs Toys</t>
  </si>
  <si>
    <t xml:space="preserve">Brand-set</t>
  </si>
  <si>
    <t xml:space="preserve">Major marketplace</t>
  </si>
  <si>
    <t xml:space="preserve">NOT SUITABLE: Faire states it cannot fulfil orders for retailers selling on Amazon/eBay/Etsy</t>
  </si>
  <si>
    <t xml:space="preserve">Listed so you know to avoid it for Amazon.</t>
  </si>
  <si>
    <t xml:space="preserve">Faire help centre</t>
  </si>
  <si>
    <t xml:space="preserve">Merkandi</t>
  </si>
  <si>
    <t xml:space="preserve">https://merkandi.com</t>
  </si>
  <si>
    <t xml:space="preserve">Poland / EU</t>
  </si>
  <si>
    <t xml:space="preserve">Stock-lot / liquidation marketplace</t>
  </si>
  <si>
    <t xml:space="preserve">Overstock, clearance, returns (mixed condition)</t>
  </si>
  <si>
    <t xml:space="preserve">Clearance lots</t>
  </si>
  <si>
    <t xml:space="preserve">Per lot</t>
  </si>
  <si>
    <t xml:space="preserve">Annual subscription</t>
  </si>
  <si>
    <t xml:space="preserve">Large EU platform</t>
  </si>
  <si>
    <t xml:space="preserve">CAUTION: filter for 'New' grade only; vet each seller</t>
  </si>
  <si>
    <t xml:space="preserve">Reviews</t>
  </si>
  <si>
    <t xml:space="preserve">Join Stadskanaal B.V.</t>
  </si>
  <si>
    <t xml:space="preserve">https://www.beautetrade.com/products/global-wholesale-distributor-of-cosmetics-skincare-fragrances/75837</t>
  </si>
  <si>
    <t xml:space="preserve">Gasselternijveen</t>
  </si>
  <si>
    <t xml:space="preserve">Dollard 4, 9514 CR Gasselternijveen</t>
  </si>
  <si>
    <t xml:space="preserve">(on Beautetrade listing)</t>
  </si>
  <si>
    <t xml:space="preserve">Cosmetics, skincare, fragrances, personal care - claims 10,000+ SKUs</t>
  </si>
  <si>
    <t xml:space="preserve">No MOQ listed</t>
  </si>
  <si>
    <t xml:space="preserve">Marketplace profile only; contact Johan Smit</t>
  </si>
  <si>
    <t xml:space="preserve">Low confidence - verify before engaging.</t>
  </si>
  <si>
    <t xml:space="preserve">Marketplace listing only - VERIFY KvK</t>
  </si>
  <si>
    <t xml:space="preserve">Europe Pharma Group B.V.</t>
  </si>
  <si>
    <t xml:space="preserve">https://www.beautetrade.com/suppliers/europe-pharma-group-bv-83659/</t>
  </si>
  <si>
    <t xml:space="preserve">Schiphol-Rijk</t>
  </si>
  <si>
    <t xml:space="preserve">Cosmetics, skincare, healthcare</t>
  </si>
  <si>
    <t xml:space="preserve">Health / skincare</t>
  </si>
  <si>
    <t xml:space="preserve">Marketplace profile</t>
  </si>
  <si>
    <t xml:space="preserve">Shure Cosmetics (Shure Enterprises UK Ltd)</t>
  </si>
  <si>
    <t xml:space="preserve">https://www.shure-cosmetics.co.uk</t>
  </si>
  <si>
    <t xml:space="preserve">Woolwich, London</t>
  </si>
  <si>
    <t xml:space="preserve">Unit 6, Skeffington Street, Royal Arsenal, Woolwich, London SE18 6SR</t>
  </si>
  <si>
    <t xml:space="preserve">L'Oréal, Max Factor, Rimmel, Bourjois, W7, Technic</t>
  </si>
  <si>
    <t xml:space="preserve">Yes - ships UK in 2-3 days</t>
  </si>
  <si>
    <t xml:space="preserve">Companies House 05388664 (SIC 46450)</t>
  </si>
  <si>
    <t xml:space="preserve">RED FLAG: Royal Greenwich Council fined Shure Enterprises (UK) Ltd ~£23k in 2025 for selling unapproved perfume. Do extra due diligence.</t>
  </si>
  <si>
    <t xml:space="preserve">Directory + council press release</t>
  </si>
  <si>
    <t xml:space="preserve">Company Page Search</t>
  </si>
  <si>
    <t xml:space="preserve">Find Sales / Account Managers</t>
  </si>
  <si>
    <t xml:space="preserve">Person Name</t>
  </si>
  <si>
    <t xml:space="preserve">Job Title</t>
  </si>
  <si>
    <t xml:space="preserve">Profile URL</t>
  </si>
  <si>
    <t xml:space="preserve">Connection Sent</t>
  </si>
  <si>
    <t xml:space="preserve">Accepted?</t>
  </si>
  <si>
    <t xml:space="preserve">Message Sent</t>
  </si>
  <si>
    <t xml:space="preserve">Reply?</t>
  </si>
  <si>
    <t xml:space="preserve">Notes</t>
  </si>
  <si>
    <t xml:space="preserve">Company page</t>
  </si>
  <si>
    <t xml:space="preserve">Find people</t>
  </si>
  <si>
    <t xml:space="preserve">Outreach templates - replace [brackets] before sending</t>
  </si>
  <si>
    <t xml:space="preserve">Email 1 - First contact</t>
  </si>
  <si>
    <t xml:space="preserve">Subject: Trade account enquiry - Crowsons Distribution (UK online retailer)</t>
  </si>
  <si>
    <t xml:space="preserve">Hi [Name / Sales Team],
I'm [Your Name], founder of Crowsons Distribution, a UK-registered online retailer (Company No. [xxxx], VAT No. [xxxx]). We sell branded [fragrance / health &amp; beauty / toys] to UK customers through our online channels, including Amazon UK.
We're looking for reliable, long-term suppliers and would like to open a trade account with [Company]. Could you please let me know:
  1. Your trade account application process and requirements
  2. Minimum order quantity / minimum order value
  3. Current price list or stock list
  4. Payment terms and delivery options to the UK
  5. Whether you're happy to supply retailers who sell online / on marketplaces
We place repeat orders on lines that sell well, and we're happy to start with a test order.
Kind regards,
[Your Name]
Crowsons Distribution
[Phone] | [Email] | [Website]</t>
  </si>
  <si>
    <t xml:space="preserve">Email 2 - Follow-up (5 working days)</t>
  </si>
  <si>
    <t xml:space="preserve">Subject: Re: Trade account enquiry - Crowsons Distribution</t>
  </si>
  <si>
    <t xml:space="preserve">Hi [Name],
Just following up on my email from [day] about opening a trade account. We're keen to place an initial order in the next few weeks - is there a price list or application form you could share?
If there's a better person to speak to, I'd be grateful if you could point me in the right direction.
Thanks,
[Your Name]</t>
  </si>
  <si>
    <t xml:space="preserve">LinkedIn connection note (max 300 chars)</t>
  </si>
  <si>
    <t xml:space="preserve">Hi [First name], I run Crowsons Distribution, a UK online retailer of branded [fragrance/beauty/toys]. I'm looking to open trade accounts with established distributors like [Company] and would love to connect.</t>
  </si>
  <si>
    <t xml:space="preserve">LinkedIn message (after they accept)</t>
  </si>
  <si>
    <t xml:space="preserve">Thanks for connecting, [First name]!
We're a UK-registered online retailer (Amazon UK + own channels) growing our range of branded [category]. I'd love to explore opening a trade account with [Company]. Who's the best person to speak to about new accounts, and is there a price list or application form you could share?
Happy to jump on a quick call if easier.</t>
  </si>
  <si>
    <t xml:space="preserve">Invoice / Amazon ungating request</t>
  </si>
  <si>
    <t xml:space="preserve">Subject: Invoice requirements for our order</t>
  </si>
  <si>
    <t xml:space="preserve">Hi [Name],
Thanks for processing our order. For our records, could you please make sure the invoice shows:
  - Your company name, full address, phone number and website
  - Our company name and address: [Crowsons Distribution, address]
  - Invoice date, product names/descriptions and quantities (in units)
  - Prices are optional and can be hidden if you prefer
If available, could you also send the Safety Data Sheets (SDS) for the fragrance lines?
Many thanks,
[Your Name]</t>
  </si>
  <si>
    <t xml:space="preserve">Outreach dashboard</t>
  </si>
  <si>
    <t xml:space="preserve">All figures are formulas linked to the Suppliers tab.</t>
  </si>
  <si>
    <t xml:space="preserve">Suppliers</t>
  </si>
  <si>
    <t xml:space="preserve">Priority 4-5</t>
  </si>
  <si>
    <t xml:space="preserve">Contacted+</t>
  </si>
  <si>
    <t xml:space="preserve">Approved</t>
  </si>
  <si>
    <t xml:space="preserve">Total</t>
  </si>
  <si>
    <t xml:space="preserve">Outreach status</t>
  </si>
  <si>
    <t xml:space="preserve">Count</t>
  </si>
  <si>
    <t xml:space="preserve">% of list</t>
  </si>
  <si>
    <t xml:space="preserve">Contacted</t>
  </si>
  <si>
    <t xml:space="preserve">Follow-up sent</t>
  </si>
  <si>
    <t xml:space="preserve">Replied</t>
  </si>
  <si>
    <t xml:space="preserve">Application submitted</t>
  </si>
  <si>
    <t xml:space="preserve">Account approved</t>
  </si>
  <si>
    <t xml:space="preserve">Price list received</t>
  </si>
  <si>
    <t xml:space="preserve">First order placed</t>
  </si>
  <si>
    <t xml:space="preserve">Rejected</t>
  </si>
  <si>
    <t xml:space="preserve">Not suitable</t>
  </si>
  <si>
    <t xml:space="preserve">Follow-ups overdue</t>
  </si>
  <si>
    <t xml:space="preserve">Resource</t>
  </si>
  <si>
    <t xml:space="preserve">Type</t>
  </si>
  <si>
    <t xml:space="preserve">Use it for</t>
  </si>
  <si>
    <t xml:space="preserve">Link</t>
  </si>
  <si>
    <t xml:space="preserve">Companies House</t>
  </si>
  <si>
    <t xml:space="preserve">UK registry</t>
  </si>
  <si>
    <t xml:space="preserve">Verify any UK supplier: status, address, directors, SIC 46450 = perfume &amp; cosmetics wholesale</t>
  </si>
  <si>
    <t xml:space="preserve">https://find-and-update.company-information.service.gov.uk/</t>
  </si>
  <si>
    <t xml:space="preserve">EU VIES VAT checker</t>
  </si>
  <si>
    <t xml:space="preserve">EU registry</t>
  </si>
  <si>
    <t xml:space="preserve">Confirm an EU supplier's VAT number is real and active</t>
  </si>
  <si>
    <t xml:space="preserve">https://ec.europa.eu/taxation_customs/vies/</t>
  </si>
  <si>
    <t xml:space="preserve">KvK (Netherlands)</t>
  </si>
  <si>
    <t xml:space="preserve">Verify Dutch companies (many EU beauty wholesalers are Dutch)</t>
  </si>
  <si>
    <t xml:space="preserve">https://www.kvk.nl/en/</t>
  </si>
  <si>
    <t xml:space="preserve">MHRA licence register</t>
  </si>
  <si>
    <t xml:space="preserve">UK regulator</t>
  </si>
  <si>
    <t xml:space="preserve">Check a health/pharma wholesaler holds a wholesale dealer licence</t>
  </si>
  <si>
    <t xml:space="preserve">https://cms.mhra.gov.uk/mhra/wholesale-dealer-licences</t>
  </si>
  <si>
    <t xml:space="preserve">Better Retailing Supplier Directory</t>
  </si>
  <si>
    <t xml:space="preserve">UK directory</t>
  </si>
  <si>
    <t xml:space="preserve">UK wholesalers incl. toys, health &amp; beauty, grocery</t>
  </si>
  <si>
    <t xml:space="preserve">https://supplier-directory.betterretailing.com/</t>
  </si>
  <si>
    <t xml:space="preserve">Unitas Wholesale - find a wholesaler</t>
  </si>
  <si>
    <t xml:space="preserve">Independent UK cash &amp; carry / delivered wholesalers</t>
  </si>
  <si>
    <t xml:space="preserve">https://unitaswholesale.co.uk/</t>
  </si>
  <si>
    <t xml:space="preserve">Pet Business World trade directory</t>
  </si>
  <si>
    <t xml:space="preserve">Pet wholesalers &amp; distributors</t>
  </si>
  <si>
    <t xml:space="preserve">https://www.petbusinessworld.co.uk/trade-directory/</t>
  </si>
  <si>
    <t xml:space="preserve">great.gov.uk Find a Supplier</t>
  </si>
  <si>
    <t xml:space="preserve">UK gov directory</t>
  </si>
  <si>
    <t xml:space="preserve">UK companies listing their export / supply capability</t>
  </si>
  <si>
    <t xml:space="preserve">https://www.great.gov.uk/international/buy-from-the-uk/find-a-supplier/</t>
  </si>
  <si>
    <t xml:space="preserve">Europages</t>
  </si>
  <si>
    <t xml:space="preserve">EU directory</t>
  </si>
  <si>
    <t xml:space="preserve">Search EU wholesalers by product &amp; country</t>
  </si>
  <si>
    <t xml:space="preserve">https://www.europages.co.uk/</t>
  </si>
  <si>
    <t xml:space="preserve">Kompass</t>
  </si>
  <si>
    <t xml:space="preserve">Global directory</t>
  </si>
  <si>
    <t xml:space="preserve">Company search by NACE code (e.g. 46.45 perfume &amp; cosmetics wholesale)</t>
  </si>
  <si>
    <t xml:space="preserve">https://www.kompass.com/</t>
  </si>
  <si>
    <t xml:space="preserve">CosmeticIndex - EU distributors</t>
  </si>
  <si>
    <t xml:space="preserve">Beauty directory</t>
  </si>
  <si>
    <t xml:space="preserve">Cosmetic distributors &amp; wholesalers across Europe</t>
  </si>
  <si>
    <t xml:space="preserve">https://www.cosmeticindex.com/~cosmetic-distributors-wholesalers_Europe</t>
  </si>
  <si>
    <t xml:space="preserve">Qogita blog - UK &amp; EU H&amp;B suppliers</t>
  </si>
  <si>
    <t xml:space="preserve">Guide</t>
  </si>
  <si>
    <t xml:space="preserve">Lists of health &amp; beauty wholesalers (marketing content, but useful leads)</t>
  </si>
  <si>
    <t xml:space="preserve">https://www.qogita.com/blog/top-10-wholesale-health-beauty-suppliers-in-the-uk-eu/</t>
  </si>
  <si>
    <t xml:space="preserve">London Toy Fair (January)</t>
  </si>
  <si>
    <t xml:space="preserve">Trade show</t>
  </si>
  <si>
    <t xml:space="preserve">Meet UK toy distributors - exhibitor list is a ready-made supplier list</t>
  </si>
  <si>
    <t xml:space="preserve">https://www.toyfair.co.uk/</t>
  </si>
  <si>
    <t xml:space="preserve">Spielwarenmesse Nuremberg (Jan/Feb)</t>
  </si>
  <si>
    <t xml:space="preserve">World's biggest toy fair - EU toy distributors</t>
  </si>
  <si>
    <t xml:space="preserve">https://www.spielwarenmesse.de/</t>
  </si>
  <si>
    <t xml:space="preserve">Cosmoprof Worldwide Bologna (March)</t>
  </si>
  <si>
    <t xml:space="preserve">Beauty &amp; fragrance brands and distributors</t>
  </si>
  <si>
    <t xml:space="preserve">https://www.cosmoprof.com/</t>
  </si>
  <si>
    <t xml:space="preserve">Esxence Milan</t>
  </si>
  <si>
    <t xml:space="preserve">Niche / artistic perfumery brands and distributors</t>
  </si>
  <si>
    <t xml:space="preserve">https://www.esxence.com/</t>
  </si>
  <si>
    <t xml:space="preserve">Spring Fair Birmingham (Feb)</t>
  </si>
  <si>
    <t xml:space="preserve">UK gifts, toys, beauty &amp; home wholesale</t>
  </si>
  <si>
    <t xml:space="preserve">https://www.springfair.com/</t>
  </si>
  <si>
    <t xml:space="preserve">Brand 'Where to buy' / 'Trade' pages</t>
  </si>
  <si>
    <t xml:space="preserve">Go to a brand's UK site and look for 'Stockists', 'Trade' or 'Distributors' to find authorised wholesalers</t>
  </si>
  <si>
    <t xml:space="preserve">LinkedIn search: 'distributor' + brand</t>
  </si>
  <si>
    <t xml:space="preserve">e.g. search 'Lattafa distributor UK' or 'Hasbro distributor' and filter by Companies / People</t>
  </si>
  <si>
    <t xml:space="preserve">https://www.linkedin.com/search/results/companies/?keywords=fragrance%20distributor</t>
  </si>
  <si>
    <t xml:space="preserve">Why it matters</t>
  </si>
  <si>
    <t xml:space="preserve">How</t>
  </si>
  <si>
    <t xml:space="preserve">Company is registered &amp; active</t>
  </si>
  <si>
    <t xml:space="preserve">Fake wholesalers often use made-up company names</t>
  </si>
  <si>
    <t xml:space="preserve">Companies House (UK), KvK (NL), VIES VAT check (EU)</t>
  </si>
  <si>
    <t xml:space="preserve">Physical address matches registry</t>
  </si>
  <si>
    <t xml:space="preserve">A real warehouse/office is a good sign; residential or virtual offices are a warning</t>
  </si>
  <si>
    <t xml:space="preserve">Google Maps Street View + registry address</t>
  </si>
  <si>
    <t xml:space="preserve">Business email domain (not Gmail/Hotmail)</t>
  </si>
  <si>
    <t xml:space="preserve">Free email addresses are common with scam suppliers</t>
  </si>
  <si>
    <t xml:space="preserve">Ask for a contact on the company domain</t>
  </si>
  <si>
    <t xml:space="preserve">VAT number on invoices</t>
  </si>
  <si>
    <t xml:space="preserve">Needed for Amazon ungating and your VAT reclaim</t>
  </si>
  <si>
    <t xml:space="preserve">Check the VAT number on HMRC / VIES</t>
  </si>
  <si>
    <t xml:space="preserve">Brand authorisation (for gated brands)</t>
  </si>
  <si>
    <t xml:space="preserve">Authorised-distributor invoices are the most accepted for Amazon ungating</t>
  </si>
  <si>
    <t xml:space="preserve">Ask: 'Are you an authorised distributor for [brand]? Can you share a letter?'</t>
  </si>
  <si>
    <t xml:space="preserve">Prices are realistic</t>
  </si>
  <si>
    <t xml:space="preserve">Prices far below other wholesalers suggest counterfeit or grey stock</t>
  </si>
  <si>
    <t xml:space="preserve">Compare to 2-3 other suppliers and the Amazon Buy Box</t>
  </si>
  <si>
    <t xml:space="preserve">Reviews &amp; reputation</t>
  </si>
  <si>
    <t xml:space="preserve">Past complaints reveal problems</t>
  </si>
  <si>
    <t xml:space="preserve">Trustpilot, Google reviews, UK Business Forums, Amazon seller forums, council / Trading Standards news</t>
  </si>
  <si>
    <t xml:space="preserve">Safe payment for first order</t>
  </si>
  <si>
    <t xml:space="preserve">Bank transfer to a new supplier is hard to recover</t>
  </si>
  <si>
    <t xml:space="preserve">Start small; use credit card / trade credit where possible; never pay a personal account</t>
  </si>
  <si>
    <t xml:space="preserve">Product compliance</t>
  </si>
  <si>
    <t xml:space="preserve">Non-compliant stock gets removed from Amazon</t>
  </si>
  <si>
    <t xml:space="preserve">Fragrance: SDS + UK Responsible Person on pack. Toys: UKCA/CE marks. Cosmetics: CPNP / SCPN registered</t>
  </si>
  <si>
    <t xml:space="preserve">Online / marketplace selling allowed</t>
  </si>
  <si>
    <t xml:space="preserve">Some suppliers cancel accounts that sell on Amazon</t>
  </si>
  <si>
    <t xml:space="preserve">Ask in your first email</t>
  </si>
  <si>
    <t xml:space="preserve">Sealed retail stock (no testers)</t>
  </si>
  <si>
    <t xml:space="preserve">Testers / unboxed fragrance cannot be sold as new on Amazon</t>
  </si>
  <si>
    <t xml:space="preserve">Confirm in writing before ordering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</si>
</sst>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BF8F00"/>
        <bgColor rgb="FF808000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63BE7B"/>
        </patternFill>
      </fill>
    </dxf>
    <dxf>
      <fill>
        <patternFill>
          <bgColor rgb="FFB1D580"/>
        </patternFill>
      </fill>
    </dxf>
    <dxf>
      <fill>
        <patternFill>
          <bgColor rgb="FFF8696B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F8696B"/>
        </patternFill>
      </fill>
    </dxf>
    <dxf>
      <fill>
        <patternFill>
          <bgColor rgb="FFFCE4D6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8696B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1D580"/>
      <rgbColor rgb="FFFFFF99"/>
      <rgbColor rgb="FF99CCFF"/>
      <rgbColor rgb="FFFF99CC"/>
      <rgbColor rgb="FFCC99FF"/>
      <rgbColor rgb="FFFCE4D6"/>
      <rgbColor rgb="FF3366FF"/>
      <rgbColor rgb="FF63BE7B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qogita.com/" TargetMode="External"/><Relationship Id="rId2" Type="http://schemas.openxmlformats.org/officeDocument/2006/relationships/hyperlink" Target="https://www.qogita.com/blog/amazon-fba-wholesale-tips-for-retailers/" TargetMode="External"/><Relationship Id="rId3" Type="http://schemas.openxmlformats.org/officeDocument/2006/relationships/hyperlink" Target="https://www.linkedin.com/search/results/companies/?keywords=Qogita" TargetMode="External"/><Relationship Id="rId4" Type="http://schemas.openxmlformats.org/officeDocument/2006/relationships/hyperlink" Target="https://www.bjutip.com/" TargetMode="External"/><Relationship Id="rId5" Type="http://schemas.openxmlformats.org/officeDocument/2006/relationships/hyperlink" Target="https://bjutip.com/contact_us" TargetMode="External"/><Relationship Id="rId6" Type="http://schemas.openxmlformats.org/officeDocument/2006/relationships/hyperlink" Target="https://www.linkedin.com/search/results/companies/?keywords=BJUTIP+a.s." TargetMode="External"/><Relationship Id="rId7" Type="http://schemas.openxmlformats.org/officeDocument/2006/relationships/hyperlink" Target="https://www.knights-fragrances.co.uk/" TargetMode="External"/><Relationship Id="rId8" Type="http://schemas.openxmlformats.org/officeDocument/2006/relationships/hyperlink" Target="https://oncosmetics.com/company/knights-fragrances/" TargetMode="External"/><Relationship Id="rId9" Type="http://schemas.openxmlformats.org/officeDocument/2006/relationships/hyperlink" Target="https://www.linkedin.com/search/results/companies/?keywords=Knights+Fragrances" TargetMode="External"/><Relationship Id="rId10" Type="http://schemas.openxmlformats.org/officeDocument/2006/relationships/hyperlink" Target="https://www.starperfumes.com/" TargetMode="External"/><Relationship Id="rId11" Type="http://schemas.openxmlformats.org/officeDocument/2006/relationships/hyperlink" Target="https://panjiva.com/Star-Global-Trading-Ltd/1274977" TargetMode="External"/><Relationship Id="rId12" Type="http://schemas.openxmlformats.org/officeDocument/2006/relationships/hyperlink" Target="https://www.linkedin.com/search/results/companies/?keywords=Star+Perfumes" TargetMode="External"/><Relationship Id="rId13" Type="http://schemas.openxmlformats.org/officeDocument/2006/relationships/hyperlink" Target="https://www.harrisonsdirect.co.uk/" TargetMode="External"/><Relationship Id="rId14" Type="http://schemas.openxmlformats.org/officeDocument/2006/relationships/hyperlink" Target="https://www.harrisonsdirect.co.uk/why-choose-harrisons/" TargetMode="External"/><Relationship Id="rId15" Type="http://schemas.openxmlformats.org/officeDocument/2006/relationships/hyperlink" Target="https://www.linkedin.com/search/results/companies/?keywords=Harrisons+Direct" TargetMode="External"/><Relationship Id="rId16" Type="http://schemas.openxmlformats.org/officeDocument/2006/relationships/hyperlink" Target="https://www.abgee.co.uk/" TargetMode="External"/><Relationship Id="rId17" Type="http://schemas.openxmlformats.org/officeDocument/2006/relationships/hyperlink" Target="https://www.great.gov.uk/international/buy-from-the-uk/find-a-supplier/supplier/01936299" TargetMode="External"/><Relationship Id="rId18" Type="http://schemas.openxmlformats.org/officeDocument/2006/relationships/hyperlink" Target="https://www.linkedin.com/search/results/companies/?keywords=A.B.+Gee+of+Ripley+Ltd" TargetMode="External"/><Relationship Id="rId19" Type="http://schemas.openxmlformats.org/officeDocument/2006/relationships/hyperlink" Target="https://www.nda-toys.com/" TargetMode="External"/><Relationship Id="rId20" Type="http://schemas.openxmlformats.org/officeDocument/2006/relationships/hyperlink" Target="https://www.toyfair.co.uk/?p=62314" TargetMode="External"/><Relationship Id="rId21" Type="http://schemas.openxmlformats.org/officeDocument/2006/relationships/hyperlink" Target="https://www.linkedin.com/search/results/companies/?keywords=NDA+Toys" TargetMode="External"/><Relationship Id="rId22" Type="http://schemas.openxmlformats.org/officeDocument/2006/relationships/hyperlink" Target="https://www.wind-designs.com/" TargetMode="External"/><Relationship Id="rId23" Type="http://schemas.openxmlformats.org/officeDocument/2006/relationships/hyperlink" Target="https://www.toyfair.co.uk/?p=44154" TargetMode="External"/><Relationship Id="rId24" Type="http://schemas.openxmlformats.org/officeDocument/2006/relationships/hyperlink" Target="https://www.linkedin.com/search/results/companies/?keywords=Wind+Designs+Ltd" TargetMode="External"/><Relationship Id="rId25" Type="http://schemas.openxmlformats.org/officeDocument/2006/relationships/hyperlink" Target="https://www.affinityfragrances.com/" TargetMode="External"/><Relationship Id="rId26" Type="http://schemas.openxmlformats.org/officeDocument/2006/relationships/hyperlink" Target="https://retail-merchandiser.com/news/affinity-fragrances-focus-on-trust-agility-and-long-term-partnerships-is-driving-its-international-expansion/" TargetMode="External"/><Relationship Id="rId27" Type="http://schemas.openxmlformats.org/officeDocument/2006/relationships/hyperlink" Target="https://www.linkedin.com/search/results/companies/?keywords=Affinity+Fragrances" TargetMode="External"/><Relationship Id="rId28" Type="http://schemas.openxmlformats.org/officeDocument/2006/relationships/hyperlink" Target="https://www.shaneel.com/shaneel-enterprises" TargetMode="External"/><Relationship Id="rId29" Type="http://schemas.openxmlformats.org/officeDocument/2006/relationships/hyperlink" Target="https://jobs.workable.com/companies/iKxrmDgx2D2P41Cmp6pAvV.md" TargetMode="External"/><Relationship Id="rId30" Type="http://schemas.openxmlformats.org/officeDocument/2006/relationships/hyperlink" Target="https://www.linkedin.com/search/results/companies/?keywords=Shaneel+Group" TargetMode="External"/><Relationship Id="rId31" Type="http://schemas.openxmlformats.org/officeDocument/2006/relationships/hyperlink" Target="https://www.booker.co.uk/" TargetMode="External"/><Relationship Id="rId32" Type="http://schemas.openxmlformats.org/officeDocument/2006/relationships/hyperlink" Target="https://www.parentkind.org.uk/for-ptas/supplier-directory/booker" TargetMode="External"/><Relationship Id="rId33" Type="http://schemas.openxmlformats.org/officeDocument/2006/relationships/hyperlink" Target="https://www.linkedin.com/search/results/companies/?keywords=Booker+Wholesale" TargetMode="External"/><Relationship Id="rId34" Type="http://schemas.openxmlformats.org/officeDocument/2006/relationships/hyperlink" Target="https://www.proteinbargainwholesale.co.uk/" TargetMode="External"/><Relationship Id="rId35" Type="http://schemas.openxmlformats.org/officeDocument/2006/relationships/hyperlink" Target="https://uk.trustpilot.com/review/proteinbargainwholesale.co.uk" TargetMode="External"/><Relationship Id="rId36" Type="http://schemas.openxmlformats.org/officeDocument/2006/relationships/hyperlink" Target="https://www.linkedin.com/search/results/companies/?keywords=PB+Wholesale" TargetMode="External"/><Relationship Id="rId37" Type="http://schemas.openxmlformats.org/officeDocument/2006/relationships/hyperlink" Target="https://www.westcoastsupplygroup.com/" TargetMode="External"/><Relationship Id="rId38" Type="http://schemas.openxmlformats.org/officeDocument/2006/relationships/hyperlink" Target="https://linkedin.com/company/wcsg" TargetMode="External"/><Relationship Id="rId39" Type="http://schemas.openxmlformats.org/officeDocument/2006/relationships/hyperlink" Target="https://www.linkedin.com/search/results/companies/?keywords=West+Coast+Supply+Group" TargetMode="External"/><Relationship Id="rId40" Type="http://schemas.openxmlformats.org/officeDocument/2006/relationships/hyperlink" Target="https://www.reliancemedical.co.uk/" TargetMode="External"/><Relationship Id="rId41" Type="http://schemas.openxmlformats.org/officeDocument/2006/relationships/hyperlink" Target="https://healthmanagement.org/site/p/reliance-medical-ltd" TargetMode="External"/><Relationship Id="rId42" Type="http://schemas.openxmlformats.org/officeDocument/2006/relationships/hyperlink" Target="https://www.linkedin.com/search/results/companies/?keywords=Reliance+Medical+Ltd" TargetMode="External"/><Relationship Id="rId43" Type="http://schemas.openxmlformats.org/officeDocument/2006/relationships/hyperlink" Target="https://www.petproducts.co.uk/" TargetMode="External"/><Relationship Id="rId44" Type="http://schemas.openxmlformats.org/officeDocument/2006/relationships/hyperlink" Target="https://petproducts.co.uk/pet-supplies-wholesale/" TargetMode="External"/><Relationship Id="rId45" Type="http://schemas.openxmlformats.org/officeDocument/2006/relationships/hyperlink" Target="https://www.linkedin.com/search/results/companies/?keywords=Pedigree+Wholesale" TargetMode="External"/><Relationship Id="rId46" Type="http://schemas.openxmlformats.org/officeDocument/2006/relationships/hyperlink" Target="https://www.johnadams.co.uk/" TargetMode="External"/><Relationship Id="rId47" Type="http://schemas.openxmlformats.org/officeDocument/2006/relationships/hyperlink" Target="https://www.great.gov.uk/international/buy-from-the-uk/find-a-supplier/supplier/01761275" TargetMode="External"/><Relationship Id="rId48" Type="http://schemas.openxmlformats.org/officeDocument/2006/relationships/hyperlink" Target="https://www.linkedin.com/search/results/companies/?keywords=John+Adams+Leisure+Ltd" TargetMode="External"/><Relationship Id="rId49" Type="http://schemas.openxmlformats.org/officeDocument/2006/relationships/hyperlink" Target="https://open.endole.co.uk/insight/brand/146629-one-for-fun" TargetMode="External"/><Relationship Id="rId50" Type="http://schemas.openxmlformats.org/officeDocument/2006/relationships/hyperlink" Target="https://www.linkedin.com/search/results/companies/?keywords=One+For+Fun" TargetMode="External"/><Relationship Id="rId51" Type="http://schemas.openxmlformats.org/officeDocument/2006/relationships/hyperlink" Target="https://www.peterkin.co.uk/" TargetMode="External"/><Relationship Id="rId52" Type="http://schemas.openxmlformats.org/officeDocument/2006/relationships/hyperlink" Target="https://pay.company-information.service.gov.uk/company/00566155" TargetMode="External"/><Relationship Id="rId53" Type="http://schemas.openxmlformats.org/officeDocument/2006/relationships/hyperlink" Target="https://www.linkedin.com/search/results/companies/?keywords=Peterkin+UK+Ltd" TargetMode="External"/><Relationship Id="rId54" Type="http://schemas.openxmlformats.org/officeDocument/2006/relationships/hyperlink" Target="https://www.bigbuy.eu/" TargetMode="External"/><Relationship Id="rId55" Type="http://schemas.openxmlformats.org/officeDocument/2006/relationships/hyperlink" Target="https://bigbuy.eu/en/what-is-bigbuy.html" TargetMode="External"/><Relationship Id="rId56" Type="http://schemas.openxmlformats.org/officeDocument/2006/relationships/hyperlink" Target="https://www.linkedin.com/search/results/companies/?keywords=BigBuy" TargetMode="External"/><Relationship Id="rId57" Type="http://schemas.openxmlformats.org/officeDocument/2006/relationships/hyperlink" Target="https://www.wholesalebabyproducts.co.uk/" TargetMode="External"/><Relationship Id="rId58" Type="http://schemas.openxmlformats.org/officeDocument/2006/relationships/hyperlink" Target="https://directory.coventrytelegraph.net/company/889881836294144" TargetMode="External"/><Relationship Id="rId59" Type="http://schemas.openxmlformats.org/officeDocument/2006/relationships/hyperlink" Target="https://www.linkedin.com/search/results/companies/?keywords=Wholesale+Baby+Products" TargetMode="External"/><Relationship Id="rId60" Type="http://schemas.openxmlformats.org/officeDocument/2006/relationships/hyperlink" Target="https://www.agencedeparfumerie.co.uk/" TargetMode="External"/><Relationship Id="rId61" Type="http://schemas.openxmlformats.org/officeDocument/2006/relationships/hyperlink" Target="https://oncosmetics.com/company/agence-de-parfumerie" TargetMode="External"/><Relationship Id="rId62" Type="http://schemas.openxmlformats.org/officeDocument/2006/relationships/hyperlink" Target="https://www.linkedin.com/search/results/companies/?keywords=Agence+de+Parfumerie" TargetMode="External"/><Relationship Id="rId63" Type="http://schemas.openxmlformats.org/officeDocument/2006/relationships/hyperlink" Target="https://beautinow.com/wholesale-perfume-supplier-europe/" TargetMode="External"/><Relationship Id="rId64" Type="http://schemas.openxmlformats.org/officeDocument/2006/relationships/hyperlink" Target="https://beautinow.com/wholesale-perfume-supplier-europe/" TargetMode="External"/><Relationship Id="rId65" Type="http://schemas.openxmlformats.org/officeDocument/2006/relationships/hyperlink" Target="https://www.linkedin.com/search/results/companies/?keywords=Beautinow+B.V." TargetMode="External"/><Relationship Id="rId66" Type="http://schemas.openxmlformats.org/officeDocument/2006/relationships/hyperlink" Target="https://www.beautylux.be/" TargetMode="External"/><Relationship Id="rId67" Type="http://schemas.openxmlformats.org/officeDocument/2006/relationships/hyperlink" Target="https://oncosmetics.com/company/desa-beautylux/" TargetMode="External"/><Relationship Id="rId68" Type="http://schemas.openxmlformats.org/officeDocument/2006/relationships/hyperlink" Target="https://www.linkedin.com/search/results/companies/?keywords=Beautylux" TargetMode="External"/><Relationship Id="rId69" Type="http://schemas.openxmlformats.org/officeDocument/2006/relationships/hyperlink" Target="https://www.remotely.de/job/emporium-handels-vertriebs-gmbh-sales-representative-mwd-im-internationalen-grosshandel-vollzeit" TargetMode="External"/><Relationship Id="rId70" Type="http://schemas.openxmlformats.org/officeDocument/2006/relationships/hyperlink" Target="https://www.linkedin.com/search/results/companies/?keywords=Emporium+Handels+%26+Vertriebs+GmbH" TargetMode="External"/><Relationship Id="rId71" Type="http://schemas.openxmlformats.org/officeDocument/2006/relationships/hyperlink" Target="https://www.aplikuj.pl/pracodawca/80046/misterm-plus-sp-z-o-o-spolka-komandytowa" TargetMode="External"/><Relationship Id="rId72" Type="http://schemas.openxmlformats.org/officeDocument/2006/relationships/hyperlink" Target="https://www.linkedin.com/search/results/companies/?keywords=MisterM+Plus+Sp.+z+o.o.+Sp.k." TargetMode="External"/><Relationship Id="rId73" Type="http://schemas.openxmlformats.org/officeDocument/2006/relationships/hyperlink" Target="https://www.orientfragance.com/" TargetMode="External"/><Relationship Id="rId74" Type="http://schemas.openxmlformats.org/officeDocument/2006/relationships/hyperlink" Target="https://www.orientfragance.com/pages/contacto" TargetMode="External"/><Relationship Id="rId75" Type="http://schemas.openxmlformats.org/officeDocument/2006/relationships/hyperlink" Target="https://www.linkedin.com/search/results/companies/?keywords=OrientFragance" TargetMode="External"/><Relationship Id="rId76" Type="http://schemas.openxmlformats.org/officeDocument/2006/relationships/hyperlink" Target="https://pracodawcy.pracuj.pl/company/1074126923" TargetMode="External"/><Relationship Id="rId77" Type="http://schemas.openxmlformats.org/officeDocument/2006/relationships/hyperlink" Target="https://www.linkedin.com/search/results/companies/?keywords=Parfum+Company+Sp.+z+o.o.+S.K.A." TargetMode="External"/><Relationship Id="rId78" Type="http://schemas.openxmlformats.org/officeDocument/2006/relationships/hyperlink" Target="https://www.bestwaywholesale.co.uk/" TargetMode="External"/><Relationship Id="rId79" Type="http://schemas.openxmlformats.org/officeDocument/2006/relationships/hyperlink" Target="https://www.bestwaygroup.co.uk/contact-us" TargetMode="External"/><Relationship Id="rId80" Type="http://schemas.openxmlformats.org/officeDocument/2006/relationships/hyperlink" Target="https://www.linkedin.com/search/results/companies/?keywords=Bestway+Wholesale" TargetMode="External"/><Relationship Id="rId81" Type="http://schemas.openxmlformats.org/officeDocument/2006/relationships/hyperlink" Target="https://www.costco.co.uk/" TargetMode="External"/><Relationship Id="rId82" Type="http://schemas.openxmlformats.org/officeDocument/2006/relationships/hyperlink" Target="https://www.costco.co.uk/membership-business-questions" TargetMode="External"/><Relationship Id="rId83" Type="http://schemas.openxmlformats.org/officeDocument/2006/relationships/hyperlink" Target="https://www.linkedin.com/search/results/companies/?keywords=Costco+UK" TargetMode="External"/><Relationship Id="rId84" Type="http://schemas.openxmlformats.org/officeDocument/2006/relationships/hyperlink" Target="https://www.dhamecha.com/" TargetMode="External"/><Relationship Id="rId85" Type="http://schemas.openxmlformats.org/officeDocument/2006/relationships/hyperlink" Target="https://unitaswholesale.co.uk/retailer/wholesaler-search-2/page/8/" TargetMode="External"/><Relationship Id="rId86" Type="http://schemas.openxmlformats.org/officeDocument/2006/relationships/hyperlink" Target="https://www.linkedin.com/search/results/companies/?keywords=Dhamecha+Cash+%26+Carry" TargetMode="External"/><Relationship Id="rId87" Type="http://schemas.openxmlformats.org/officeDocument/2006/relationships/hyperlink" Target="https://www.hancocks.co.uk/" TargetMode="External"/><Relationship Id="rId88" Type="http://schemas.openxmlformats.org/officeDocument/2006/relationships/hyperlink" Target="https://hancocks.co.uk/about" TargetMode="External"/><Relationship Id="rId89" Type="http://schemas.openxmlformats.org/officeDocument/2006/relationships/hyperlink" Target="https://www.linkedin.com/search/results/companies/?keywords=Hancocks" TargetMode="External"/><Relationship Id="rId90" Type="http://schemas.openxmlformats.org/officeDocument/2006/relationships/hyperlink" Target="https://www.parfetts.co.uk/" TargetMode="External"/><Relationship Id="rId91" Type="http://schemas.openxmlformats.org/officeDocument/2006/relationships/hyperlink" Target="https://barandkitchenmagazine.com/?p=20919" TargetMode="External"/><Relationship Id="rId92" Type="http://schemas.openxmlformats.org/officeDocument/2006/relationships/hyperlink" Target="https://www.linkedin.com/search/results/companies/?keywords=Parfetts" TargetMode="External"/><Relationship Id="rId93" Type="http://schemas.openxmlformats.org/officeDocument/2006/relationships/hyperlink" Target="https://www.clfdistribution.com/" TargetMode="External"/><Relationship Id="rId94" Type="http://schemas.openxmlformats.org/officeDocument/2006/relationships/hyperlink" Target="https://retail-merchandiser.com/news/with-hundreds-of-leading-lifestyle-brands-clf-distribution-offers-uk-retailers-a-comprehensive-choice/" TargetMode="External"/><Relationship Id="rId95" Type="http://schemas.openxmlformats.org/officeDocument/2006/relationships/hyperlink" Target="https://www.linkedin.com/search/results/companies/?keywords=CLF+Distribution" TargetMode="External"/><Relationship Id="rId96" Type="http://schemas.openxmlformats.org/officeDocument/2006/relationships/hyperlink" Target="https://www.dkwholesale.com/" TargetMode="External"/><Relationship Id="rId97" Type="http://schemas.openxmlformats.org/officeDocument/2006/relationships/hyperlink" Target="https://es.trustpilot.com/review/dkwholesale.com" TargetMode="External"/><Relationship Id="rId98" Type="http://schemas.openxmlformats.org/officeDocument/2006/relationships/hyperlink" Target="https://www.linkedin.com/search/results/companies/?keywords=DK+Wholesale" TargetMode="External"/><Relationship Id="rId99" Type="http://schemas.openxmlformats.org/officeDocument/2006/relationships/hyperlink" Target="https://pay.company-information.service.gov.uk/company/03076698" TargetMode="External"/><Relationship Id="rId100" Type="http://schemas.openxmlformats.org/officeDocument/2006/relationships/hyperlink" Target="https://www.linkedin.com/search/results/companies/?keywords=Lexon" TargetMode="External"/><Relationship Id="rId101" Type="http://schemas.openxmlformats.org/officeDocument/2006/relationships/hyperlink" Target="https://www.pawsproducts.com/" TargetMode="External"/><Relationship Id="rId102" Type="http://schemas.openxmlformats.org/officeDocument/2006/relationships/hyperlink" Target="https://www.petbusinessworld.co.uk/trade-directory/list/wholesalers/page/2?l=p" TargetMode="External"/><Relationship Id="rId103" Type="http://schemas.openxmlformats.org/officeDocument/2006/relationships/hyperlink" Target="https://www.linkedin.com/search/results/companies/?keywords=Paws+Products+Wholesale" TargetMode="External"/><Relationship Id="rId104" Type="http://schemas.openxmlformats.org/officeDocument/2006/relationships/hyperlink" Target="https://www.character-online.com/" TargetMode="External"/><Relationship Id="rId105" Type="http://schemas.openxmlformats.org/officeDocument/2006/relationships/hyperlink" Target="https://toysnplaythings.media/new-appointments-at-character" TargetMode="External"/><Relationship Id="rId106" Type="http://schemas.openxmlformats.org/officeDocument/2006/relationships/hyperlink" Target="https://www.linkedin.com/search/results/companies/?keywords=Character+Options+Ltd" TargetMode="External"/><Relationship Id="rId107" Type="http://schemas.openxmlformats.org/officeDocument/2006/relationships/hyperlink" Target="https://gb.keycraftglobal.com/" TargetMode="External"/><Relationship Id="rId108" Type="http://schemas.openxmlformats.org/officeDocument/2006/relationships/hyperlink" Target="https://mom.maison-objet.com/en/brand/10830/keycraft" TargetMode="External"/><Relationship Id="rId109" Type="http://schemas.openxmlformats.org/officeDocument/2006/relationships/hyperlink" Target="https://www.linkedin.com/search/results/companies/?keywords=Keycraft" TargetMode="External"/><Relationship Id="rId110" Type="http://schemas.openxmlformats.org/officeDocument/2006/relationships/hyperlink" Target="https://www.puckator.co.uk/" TargetMode="External"/><Relationship Id="rId111" Type="http://schemas.openxmlformats.org/officeDocument/2006/relationships/hyperlink" Target="https://www.puckator.co.uk/faq" TargetMode="External"/><Relationship Id="rId112" Type="http://schemas.openxmlformats.org/officeDocument/2006/relationships/hyperlink" Target="https://www.linkedin.com/search/results/companies/?keywords=Puckator+Ltd" TargetMode="External"/><Relationship Id="rId113" Type="http://schemas.openxmlformats.org/officeDocument/2006/relationships/hyperlink" Target="https://www.spectrontoys.com/" TargetMode="External"/><Relationship Id="rId114" Type="http://schemas.openxmlformats.org/officeDocument/2006/relationships/hyperlink" Target="https://iceclog.com/dutch-toy-company-spectron-publishes-brands-in-icecats-toy-data-model" TargetMode="External"/><Relationship Id="rId115" Type="http://schemas.openxmlformats.org/officeDocument/2006/relationships/hyperlink" Target="https://www.linkedin.com/search/results/companies/?keywords=Spectron+The+Toy+Company" TargetMode="External"/><Relationship Id="rId116" Type="http://schemas.openxmlformats.org/officeDocument/2006/relationships/hyperlink" Target="https://www.ankorstore.com/" TargetMode="External"/><Relationship Id="rId117" Type="http://schemas.openxmlformats.org/officeDocument/2006/relationships/hyperlink" Target="https://alven.co/news/ankorstore-reaches-unicorn-status-in-only-two-years-with-its-last-e250-million-series-c-funding-round" TargetMode="External"/><Relationship Id="rId118" Type="http://schemas.openxmlformats.org/officeDocument/2006/relationships/hyperlink" Target="https://www.linkedin.com/search/results/companies/?keywords=Ankorstore" TargetMode="External"/><Relationship Id="rId119" Type="http://schemas.openxmlformats.org/officeDocument/2006/relationships/hyperlink" Target="https://www.brandsdistribution.com/" TargetMode="External"/><Relationship Id="rId120" Type="http://schemas.openxmlformats.org/officeDocument/2006/relationships/hyperlink" Target="https://www.cbinsights.com/company/brandsdistributioncom/" TargetMode="External"/><Relationship Id="rId121" Type="http://schemas.openxmlformats.org/officeDocument/2006/relationships/hyperlink" Target="https://www.linkedin.com/search/results/companies/?keywords=Brandsdistribution" TargetMode="External"/><Relationship Id="rId122" Type="http://schemas.openxmlformats.org/officeDocument/2006/relationships/hyperlink" Target="https://www.morningstar.com.au/investments/security/fra/70B" TargetMode="External"/><Relationship Id="rId123" Type="http://schemas.openxmlformats.org/officeDocument/2006/relationships/hyperlink" Target="https://www.linkedin.com/search/results/companies/?keywords=B%26S+Group" TargetMode="External"/><Relationship Id="rId124" Type="http://schemas.openxmlformats.org/officeDocument/2006/relationships/hyperlink" Target="https://elegancewholesale.co.nl/" TargetMode="External"/><Relationship Id="rId125" Type="http://schemas.openxmlformats.org/officeDocument/2006/relationships/hyperlink" Target="https://elegancewholesale.co.nl/partner-with-us" TargetMode="External"/><Relationship Id="rId126" Type="http://schemas.openxmlformats.org/officeDocument/2006/relationships/hyperlink" Target="https://www.linkedin.com/search/results/companies/?keywords=EleganceWholesale" TargetMode="External"/><Relationship Id="rId127" Type="http://schemas.openxmlformats.org/officeDocument/2006/relationships/hyperlink" Target="https://fashionunited.de/nachrichten/business/lacoste-gibt-parfum-vertrieb-fuer-dach-region-an-die-nobilis-group-ab/2024010554623" TargetMode="External"/><Relationship Id="rId128" Type="http://schemas.openxmlformats.org/officeDocument/2006/relationships/hyperlink" Target="https://www.linkedin.com/search/results/companies/?keywords=NOBILIS+Group+GmbH" TargetMode="External"/><Relationship Id="rId129" Type="http://schemas.openxmlformats.org/officeDocument/2006/relationships/hyperlink" Target="https://www.profumeriepep.it/" TargetMode="External"/><Relationship Id="rId130" Type="http://schemas.openxmlformats.org/officeDocument/2006/relationships/hyperlink" Target="https://atoka.io/public/it/azienda/profumerie-p-p-srl/b936935a4339" TargetMode="External"/><Relationship Id="rId131" Type="http://schemas.openxmlformats.org/officeDocument/2006/relationships/hyperlink" Target="https://www.linkedin.com/search/results/companies/?keywords=Profumerie+P+%26+P+Srl" TargetMode="External"/><Relationship Id="rId132" Type="http://schemas.openxmlformats.org/officeDocument/2006/relationships/hyperlink" Target="https://www.italianmoda.com/italy-FASHION%2DACCESSORIES%5FPerfumes%5FCosmetics" TargetMode="External"/><Relationship Id="rId133" Type="http://schemas.openxmlformats.org/officeDocument/2006/relationships/hyperlink" Target="https://www.italianmoda.com/italy-FASHION%2DACCESSORIES%5FPerfumes%5FCosmetics" TargetMode="External"/><Relationship Id="rId134" Type="http://schemas.openxmlformats.org/officeDocument/2006/relationships/hyperlink" Target="https://www.linkedin.com/search/results/companies/?keywords=The+Italian+Factory" TargetMode="External"/><Relationship Id="rId135" Type="http://schemas.openxmlformats.org/officeDocument/2006/relationships/hyperlink" Target="https://www.makro.nl/" TargetMode="External"/><Relationship Id="rId136" Type="http://schemas.openxmlformats.org/officeDocument/2006/relationships/hyperlink" Target="https://help.makro.nl/en/support/solutions/articles/77000586989-can-i-use-a-foreign-makro-or-metro-card-" TargetMode="External"/><Relationship Id="rId137" Type="http://schemas.openxmlformats.org/officeDocument/2006/relationships/hyperlink" Target="https://www.linkedin.com/search/results/companies/?keywords=METRO+%2F+Makro" TargetMode="External"/><Relationship Id="rId138" Type="http://schemas.openxmlformats.org/officeDocument/2006/relationships/hyperlink" Target="https://www.wholesaleclearance.co.uk/" TargetMode="External"/><Relationship Id="rId139" Type="http://schemas.openxmlformats.org/officeDocument/2006/relationships/hyperlink" Target="https://wholesalehelper.io/es/blog/Los-10-principales-proveedores-mayoristas-del-Reino-Unido/" TargetMode="External"/><Relationship Id="rId140" Type="http://schemas.openxmlformats.org/officeDocument/2006/relationships/hyperlink" Target="https://www.linkedin.com/search/results/companies/?keywords=Wholesale+Clearance+UK" TargetMode="External"/><Relationship Id="rId141" Type="http://schemas.openxmlformats.org/officeDocument/2006/relationships/hyperlink" Target="https://www.astonandfincher.co.uk/" TargetMode="External"/><Relationship Id="rId142" Type="http://schemas.openxmlformats.org/officeDocument/2006/relationships/hyperlink" Target="https://www.astonandfincher.co.uk/pages/new-customers" TargetMode="External"/><Relationship Id="rId143" Type="http://schemas.openxmlformats.org/officeDocument/2006/relationships/hyperlink" Target="https://www.linkedin.com/search/results/companies/?keywords=Aston+%26+Fincher" TargetMode="External"/><Relationship Id="rId144" Type="http://schemas.openxmlformats.org/officeDocument/2006/relationships/hyperlink" Target="https://www.capitalhairandbeauty.co.uk/" TargetMode="External"/><Relationship Id="rId145" Type="http://schemas.openxmlformats.org/officeDocument/2006/relationships/hyperlink" Target="https://pay.company-information.service.gov.uk/company/00530201" TargetMode="External"/><Relationship Id="rId146" Type="http://schemas.openxmlformats.org/officeDocument/2006/relationships/hyperlink" Target="https://www.linkedin.com/search/results/companies/?keywords=Capital+Hair+%26+Beauty" TargetMode="External"/><Relationship Id="rId147" Type="http://schemas.openxmlformats.org/officeDocument/2006/relationships/hyperlink" Target="https://www.cherrycosmetics.co.uk/" TargetMode="External"/><Relationship Id="rId148" Type="http://schemas.openxmlformats.org/officeDocument/2006/relationships/hyperlink" Target="https://oncosmetics.com/company/cherry-cosmetics/" TargetMode="External"/><Relationship Id="rId149" Type="http://schemas.openxmlformats.org/officeDocument/2006/relationships/hyperlink" Target="https://www.linkedin.com/search/results/companies/?keywords=Cherry+Cosmetics" TargetMode="External"/><Relationship Id="rId150" Type="http://schemas.openxmlformats.org/officeDocument/2006/relationships/hyperlink" Target="https://www.exquisitecosmetics.co.uk/" TargetMode="External"/><Relationship Id="rId151" Type="http://schemas.openxmlformats.org/officeDocument/2006/relationships/hyperlink" Target="https://pay.company-information.service.gov.uk/company/01315797" TargetMode="External"/><Relationship Id="rId152" Type="http://schemas.openxmlformats.org/officeDocument/2006/relationships/hyperlink" Target="https://www.linkedin.com/search/results/companies/?keywords=Exquisite+Cosmetics+Ltd" TargetMode="External"/><Relationship Id="rId153" Type="http://schemas.openxmlformats.org/officeDocument/2006/relationships/hyperlink" Target="https://www.kinetic4health.co.uk/" TargetMode="External"/><Relationship Id="rId154" Type="http://schemas.openxmlformats.org/officeDocument/2006/relationships/hyperlink" Target="https://cosmeticsbusiness.com/kinetic-natural-products-distributor-120192" TargetMode="External"/><Relationship Id="rId155" Type="http://schemas.openxmlformats.org/officeDocument/2006/relationships/hyperlink" Target="https://www.linkedin.com/search/results/companies/?keywords=Kinetic+Natural+Product+Distributor" TargetMode="External"/><Relationship Id="rId156" Type="http://schemas.openxmlformats.org/officeDocument/2006/relationships/hyperlink" Target="https://www.lookinstyle.co.uk/" TargetMode="External"/><Relationship Id="rId157" Type="http://schemas.openxmlformats.org/officeDocument/2006/relationships/hyperlink" Target="https://oncosmetics.com/company/lookinstyle/" TargetMode="External"/><Relationship Id="rId158" Type="http://schemas.openxmlformats.org/officeDocument/2006/relationships/hyperlink" Target="https://www.linkedin.com/search/results/companies/?keywords=LookinStyle" TargetMode="External"/><Relationship Id="rId159" Type="http://schemas.openxmlformats.org/officeDocument/2006/relationships/hyperlink" Target="https://www.beautetrade.com/suppliers/ludonex-ltd-108314/" TargetMode="External"/><Relationship Id="rId160" Type="http://schemas.openxmlformats.org/officeDocument/2006/relationships/hyperlink" Target="https://www.beautetrade.com/suppliers/ludonex-ltd-108314/" TargetMode="External"/><Relationship Id="rId161" Type="http://schemas.openxmlformats.org/officeDocument/2006/relationships/hyperlink" Target="https://www.linkedin.com/search/results/companies/?keywords=Ludonex+Ltd" TargetMode="External"/><Relationship Id="rId162" Type="http://schemas.openxmlformats.org/officeDocument/2006/relationships/hyperlink" Target="https://www.suma.coop/" TargetMode="External"/><Relationship Id="rId163" Type="http://schemas.openxmlformats.org/officeDocument/2006/relationships/hyperlink" Target="https://de.trustpilot.com/review/www.suma.coop?page=3" TargetMode="External"/><Relationship Id="rId164" Type="http://schemas.openxmlformats.org/officeDocument/2006/relationships/hyperlink" Target="https://www.linkedin.com/search/results/companies/?keywords=Suma+Wholefoods" TargetMode="External"/><Relationship Id="rId165" Type="http://schemas.openxmlformats.org/officeDocument/2006/relationships/hyperlink" Target="https://w-pharma-europe3.odoo.com/" TargetMode="External"/><Relationship Id="rId166" Type="http://schemas.openxmlformats.org/officeDocument/2006/relationships/hyperlink" Target="https://w-pharma-europe3.odoo.com/about-us" TargetMode="External"/><Relationship Id="rId167" Type="http://schemas.openxmlformats.org/officeDocument/2006/relationships/hyperlink" Target="https://www.linkedin.com/search/results/companies/?keywords=W+Pharma+Europe" TargetMode="External"/><Relationship Id="rId168" Type="http://schemas.openxmlformats.org/officeDocument/2006/relationships/hyperlink" Target="https://www.devex.com/organizations/gp-supplies-154743" TargetMode="External"/><Relationship Id="rId169" Type="http://schemas.openxmlformats.org/officeDocument/2006/relationships/hyperlink" Target="https://www.linkedin.com/search/results/companies/?keywords=GP+Supplies" TargetMode="External"/><Relationship Id="rId170" Type="http://schemas.openxmlformats.org/officeDocument/2006/relationships/hyperlink" Target="https://www.ausbildung.de/unternehmen/landahl-baumann-spielwaren-gmbh/stellen/" TargetMode="External"/><Relationship Id="rId171" Type="http://schemas.openxmlformats.org/officeDocument/2006/relationships/hyperlink" Target="https://www.linkedin.com/search/results/companies/?keywords=Landahl+%26+Baumann+Spielwaren+GmbH" TargetMode="External"/><Relationship Id="rId172" Type="http://schemas.openxmlformats.org/officeDocument/2006/relationships/hyperlink" Target="https://proveedores.com/proveedores/nomaco/" TargetMode="External"/><Relationship Id="rId173" Type="http://schemas.openxmlformats.org/officeDocument/2006/relationships/hyperlink" Target="https://www.linkedin.com/search/results/companies/?keywords=Nomaco+Spain" TargetMode="External"/><Relationship Id="rId174" Type="http://schemas.openxmlformats.org/officeDocument/2006/relationships/hyperlink" Target="https://www.faire.com/" TargetMode="External"/><Relationship Id="rId175" Type="http://schemas.openxmlformats.org/officeDocument/2006/relationships/hyperlink" Target="https://faire.com/support/articles/29881314074139" TargetMode="External"/><Relationship Id="rId176" Type="http://schemas.openxmlformats.org/officeDocument/2006/relationships/hyperlink" Target="https://www.linkedin.com/search/results/companies/?keywords=Faire" TargetMode="External"/><Relationship Id="rId177" Type="http://schemas.openxmlformats.org/officeDocument/2006/relationships/hyperlink" Target="https://merkandi.com/" TargetMode="External"/><Relationship Id="rId178" Type="http://schemas.openxmlformats.org/officeDocument/2006/relationships/hyperlink" Target="https://tr-web.dev.trustradius.com/products/merkandi-com" TargetMode="External"/><Relationship Id="rId179" Type="http://schemas.openxmlformats.org/officeDocument/2006/relationships/hyperlink" Target="https://www.linkedin.com/search/results/companies/?keywords=Merkandi" TargetMode="External"/><Relationship Id="rId180" Type="http://schemas.openxmlformats.org/officeDocument/2006/relationships/hyperlink" Target="https://www.beautetrade.com/products/global-wholesale-distributor-of-cosmetics-skincare-fragrances/75837" TargetMode="External"/><Relationship Id="rId181" Type="http://schemas.openxmlformats.org/officeDocument/2006/relationships/hyperlink" Target="https://freshdi.com/supplier/Join-Stadskanaal-B-V-" TargetMode="External"/><Relationship Id="rId182" Type="http://schemas.openxmlformats.org/officeDocument/2006/relationships/hyperlink" Target="https://www.linkedin.com/search/results/companies/?keywords=Join+Stadskanaal+B.V." TargetMode="External"/><Relationship Id="rId183" Type="http://schemas.openxmlformats.org/officeDocument/2006/relationships/hyperlink" Target="https://www.beautetrade.com/suppliers/europe-pharma-group-bv-83659/" TargetMode="External"/><Relationship Id="rId184" Type="http://schemas.openxmlformats.org/officeDocument/2006/relationships/hyperlink" Target="https://www.beautetrade.com/suppliers/europe-pharma-group-bv-83659/" TargetMode="External"/><Relationship Id="rId185" Type="http://schemas.openxmlformats.org/officeDocument/2006/relationships/hyperlink" Target="https://www.linkedin.com/search/results/companies/?keywords=Europe+Pharma+Group+B.V." TargetMode="External"/><Relationship Id="rId186" Type="http://schemas.openxmlformats.org/officeDocument/2006/relationships/hyperlink" Target="https://www.shure-cosmetics.co.uk/" TargetMode="External"/><Relationship Id="rId187" Type="http://schemas.openxmlformats.org/officeDocument/2006/relationships/hyperlink" Target="https://www.royalgreenwich.gov.uk/news/2025/woolwich-based-cosmetics-wholesaler-fined-selling-unapproved-perfume" TargetMode="External"/><Relationship Id="rId188" Type="http://schemas.openxmlformats.org/officeDocument/2006/relationships/hyperlink" Target="https://www.linkedin.com/search/results/companies/?keywords=Shure+Cosmetics" TargetMode="External"/><Relationship Id="rId189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linkedin.com/search/results/companies/?keywords=Qogita" TargetMode="External"/><Relationship Id="rId2" Type="http://schemas.openxmlformats.org/officeDocument/2006/relationships/hyperlink" Target="https://www.linkedin.com/search/results/people/?keywords=Qogita+sales+OR+%22account+manager%22+OR+%22business+development%22" TargetMode="External"/><Relationship Id="rId3" Type="http://schemas.openxmlformats.org/officeDocument/2006/relationships/hyperlink" Target="https://www.linkedin.com/search/results/companies/?keywords=BJUTIP+a.s." TargetMode="External"/><Relationship Id="rId4" Type="http://schemas.openxmlformats.org/officeDocument/2006/relationships/hyperlink" Target="https://www.linkedin.com/search/results/people/?keywords=BJUTIP+a.s.+sales+OR+%22account+manager%22+OR+%22business+development%22" TargetMode="External"/><Relationship Id="rId5" Type="http://schemas.openxmlformats.org/officeDocument/2006/relationships/hyperlink" Target="https://www.linkedin.com/search/results/companies/?keywords=Knights+Fragrances" TargetMode="External"/><Relationship Id="rId6" Type="http://schemas.openxmlformats.org/officeDocument/2006/relationships/hyperlink" Target="https://www.linkedin.com/search/results/people/?keywords=Knights+Fragrances+sales+OR+%22account+manager%22+OR+%22business+development%22" TargetMode="External"/><Relationship Id="rId7" Type="http://schemas.openxmlformats.org/officeDocument/2006/relationships/hyperlink" Target="https://www.linkedin.com/search/results/companies/?keywords=Star+Perfumes" TargetMode="External"/><Relationship Id="rId8" Type="http://schemas.openxmlformats.org/officeDocument/2006/relationships/hyperlink" Target="https://www.linkedin.com/search/results/people/?keywords=Star+Perfumes+sales+OR+%22account+manager%22+OR+%22business+development%22" TargetMode="External"/><Relationship Id="rId9" Type="http://schemas.openxmlformats.org/officeDocument/2006/relationships/hyperlink" Target="https://www.linkedin.com/search/results/companies/?keywords=Harrisons+Direct" TargetMode="External"/><Relationship Id="rId10" Type="http://schemas.openxmlformats.org/officeDocument/2006/relationships/hyperlink" Target="https://www.linkedin.com/search/results/people/?keywords=Harrisons+Direct+sales+OR+%22account+manager%22+OR+%22business+development%22" TargetMode="External"/><Relationship Id="rId11" Type="http://schemas.openxmlformats.org/officeDocument/2006/relationships/hyperlink" Target="https://www.linkedin.com/search/results/companies/?keywords=A.B.+Gee+of+Ripley+Ltd" TargetMode="External"/><Relationship Id="rId12" Type="http://schemas.openxmlformats.org/officeDocument/2006/relationships/hyperlink" Target="https://www.linkedin.com/search/results/people/?keywords=A.B.+Gee+of+Ripley+Ltd+sales+OR+%22account+manager%22+OR+%22business+development%22" TargetMode="External"/><Relationship Id="rId13" Type="http://schemas.openxmlformats.org/officeDocument/2006/relationships/hyperlink" Target="https://www.linkedin.com/search/results/companies/?keywords=NDA+Toys" TargetMode="External"/><Relationship Id="rId14" Type="http://schemas.openxmlformats.org/officeDocument/2006/relationships/hyperlink" Target="https://www.linkedin.com/search/results/people/?keywords=NDA+Toys+sales+OR+%22account+manager%22+OR+%22business+development%22" TargetMode="External"/><Relationship Id="rId15" Type="http://schemas.openxmlformats.org/officeDocument/2006/relationships/hyperlink" Target="https://www.linkedin.com/search/results/companies/?keywords=Wind+Designs+Ltd" TargetMode="External"/><Relationship Id="rId16" Type="http://schemas.openxmlformats.org/officeDocument/2006/relationships/hyperlink" Target="https://www.linkedin.com/search/results/people/?keywords=Wind+Designs+Ltd+sales+OR+%22account+manager%22+OR+%22business+development%22" TargetMode="External"/><Relationship Id="rId17" Type="http://schemas.openxmlformats.org/officeDocument/2006/relationships/hyperlink" Target="https://www.linkedin.com/search/results/companies/?keywords=Affinity+Fragrances" TargetMode="External"/><Relationship Id="rId18" Type="http://schemas.openxmlformats.org/officeDocument/2006/relationships/hyperlink" Target="https://www.linkedin.com/search/results/people/?keywords=Affinity+Fragrances+sales+OR+%22account+manager%22+OR+%22business+development%22" TargetMode="External"/><Relationship Id="rId19" Type="http://schemas.openxmlformats.org/officeDocument/2006/relationships/hyperlink" Target="https://www.linkedin.com/search/results/companies/?keywords=Shaneel+Group" TargetMode="External"/><Relationship Id="rId20" Type="http://schemas.openxmlformats.org/officeDocument/2006/relationships/hyperlink" Target="https://www.linkedin.com/search/results/people/?keywords=Shaneel+Group+sales+OR+%22account+manager%22+OR+%22business+development%22" TargetMode="External"/><Relationship Id="rId21" Type="http://schemas.openxmlformats.org/officeDocument/2006/relationships/hyperlink" Target="https://www.linkedin.com/search/results/companies/?keywords=Booker+Wholesale" TargetMode="External"/><Relationship Id="rId22" Type="http://schemas.openxmlformats.org/officeDocument/2006/relationships/hyperlink" Target="https://www.linkedin.com/search/results/people/?keywords=Booker+Wholesale+sales+OR+%22account+manager%22+OR+%22business+development%22" TargetMode="External"/><Relationship Id="rId23" Type="http://schemas.openxmlformats.org/officeDocument/2006/relationships/hyperlink" Target="https://www.linkedin.com/search/results/companies/?keywords=PB+Wholesale" TargetMode="External"/><Relationship Id="rId24" Type="http://schemas.openxmlformats.org/officeDocument/2006/relationships/hyperlink" Target="https://www.linkedin.com/search/results/people/?keywords=PB+Wholesale+sales+OR+%22account+manager%22+OR+%22business+development%22" TargetMode="External"/><Relationship Id="rId25" Type="http://schemas.openxmlformats.org/officeDocument/2006/relationships/hyperlink" Target="https://www.linkedin.com/search/results/companies/?keywords=West+Coast+Supply+Group" TargetMode="External"/><Relationship Id="rId26" Type="http://schemas.openxmlformats.org/officeDocument/2006/relationships/hyperlink" Target="https://www.linkedin.com/search/results/people/?keywords=West+Coast+Supply+Group+sales+OR+%22account+manager%22+OR+%22business+development%22" TargetMode="External"/><Relationship Id="rId27" Type="http://schemas.openxmlformats.org/officeDocument/2006/relationships/hyperlink" Target="https://www.linkedin.com/search/results/companies/?keywords=Reliance+Medical+Ltd" TargetMode="External"/><Relationship Id="rId28" Type="http://schemas.openxmlformats.org/officeDocument/2006/relationships/hyperlink" Target="https://www.linkedin.com/search/results/people/?keywords=Reliance+Medical+Ltd+sales+OR+%22account+manager%22+OR+%22business+development%22" TargetMode="External"/><Relationship Id="rId29" Type="http://schemas.openxmlformats.org/officeDocument/2006/relationships/hyperlink" Target="https://www.linkedin.com/search/results/companies/?keywords=Pedigree+Wholesale" TargetMode="External"/><Relationship Id="rId30" Type="http://schemas.openxmlformats.org/officeDocument/2006/relationships/hyperlink" Target="https://www.linkedin.com/search/results/people/?keywords=Pedigree+Wholesale+sales+OR+%22account+manager%22+OR+%22business+development%22" TargetMode="External"/><Relationship Id="rId31" Type="http://schemas.openxmlformats.org/officeDocument/2006/relationships/hyperlink" Target="https://www.linkedin.com/search/results/companies/?keywords=John+Adams+Leisure+Ltd" TargetMode="External"/><Relationship Id="rId32" Type="http://schemas.openxmlformats.org/officeDocument/2006/relationships/hyperlink" Target="https://www.linkedin.com/search/results/people/?keywords=John+Adams+Leisure+Ltd+sales+OR+%22account+manager%22+OR+%22business+development%22" TargetMode="External"/><Relationship Id="rId33" Type="http://schemas.openxmlformats.org/officeDocument/2006/relationships/hyperlink" Target="https://www.linkedin.com/search/results/companies/?keywords=One+For+Fun" TargetMode="External"/><Relationship Id="rId34" Type="http://schemas.openxmlformats.org/officeDocument/2006/relationships/hyperlink" Target="https://www.linkedin.com/search/results/people/?keywords=One+For+Fun+sales+OR+%22account+manager%22+OR+%22business+development%22" TargetMode="External"/><Relationship Id="rId35" Type="http://schemas.openxmlformats.org/officeDocument/2006/relationships/hyperlink" Target="https://www.linkedin.com/search/results/companies/?keywords=Peterkin+UK+Ltd" TargetMode="External"/><Relationship Id="rId36" Type="http://schemas.openxmlformats.org/officeDocument/2006/relationships/hyperlink" Target="https://www.linkedin.com/search/results/people/?keywords=Peterkin+UK+Ltd+sales+OR+%22account+manager%22+OR+%22business+development%22" TargetMode="External"/><Relationship Id="rId37" Type="http://schemas.openxmlformats.org/officeDocument/2006/relationships/hyperlink" Target="https://www.linkedin.com/search/results/companies/?keywords=BigBuy" TargetMode="External"/><Relationship Id="rId38" Type="http://schemas.openxmlformats.org/officeDocument/2006/relationships/hyperlink" Target="https://www.linkedin.com/search/results/people/?keywords=BigBuy+sales+OR+%22account+manager%22+OR+%22business+development%22" TargetMode="External"/><Relationship Id="rId39" Type="http://schemas.openxmlformats.org/officeDocument/2006/relationships/hyperlink" Target="https://www.linkedin.com/search/results/companies/?keywords=Wholesale+Baby+Products" TargetMode="External"/><Relationship Id="rId40" Type="http://schemas.openxmlformats.org/officeDocument/2006/relationships/hyperlink" Target="https://www.linkedin.com/search/results/people/?keywords=Wholesale+Baby+Products+sales+OR+%22account+manager%22+OR+%22business+development%22" TargetMode="External"/><Relationship Id="rId41" Type="http://schemas.openxmlformats.org/officeDocument/2006/relationships/hyperlink" Target="https://www.linkedin.com/search/results/companies/?keywords=Agence+de+Parfumerie" TargetMode="External"/><Relationship Id="rId42" Type="http://schemas.openxmlformats.org/officeDocument/2006/relationships/hyperlink" Target="https://www.linkedin.com/search/results/people/?keywords=Agence+de+Parfumerie+sales+OR+%22account+manager%22+OR+%22business+development%22" TargetMode="External"/><Relationship Id="rId43" Type="http://schemas.openxmlformats.org/officeDocument/2006/relationships/hyperlink" Target="https://www.linkedin.com/search/results/companies/?keywords=Beautinow+B.V." TargetMode="External"/><Relationship Id="rId44" Type="http://schemas.openxmlformats.org/officeDocument/2006/relationships/hyperlink" Target="https://www.linkedin.com/search/results/people/?keywords=Beautinow+B.V.+sales+OR+%22account+manager%22+OR+%22business+development%22" TargetMode="External"/><Relationship Id="rId45" Type="http://schemas.openxmlformats.org/officeDocument/2006/relationships/hyperlink" Target="https://www.linkedin.com/search/results/companies/?keywords=Beautylux" TargetMode="External"/><Relationship Id="rId46" Type="http://schemas.openxmlformats.org/officeDocument/2006/relationships/hyperlink" Target="https://www.linkedin.com/search/results/people/?keywords=Beautylux+sales+OR+%22account+manager%22+OR+%22business+development%22" TargetMode="External"/><Relationship Id="rId47" Type="http://schemas.openxmlformats.org/officeDocument/2006/relationships/hyperlink" Target="https://www.linkedin.com/search/results/companies/?keywords=Emporium+Handels+%26+Vertriebs+GmbH" TargetMode="External"/><Relationship Id="rId48" Type="http://schemas.openxmlformats.org/officeDocument/2006/relationships/hyperlink" Target="https://www.linkedin.com/search/results/people/?keywords=Emporium+Handels+%26+Vertriebs+GmbH+sales+OR+%22account+manager%22+OR+%22business+development%22" TargetMode="External"/><Relationship Id="rId49" Type="http://schemas.openxmlformats.org/officeDocument/2006/relationships/hyperlink" Target="https://www.linkedin.com/search/results/companies/?keywords=MisterM+Plus+Sp.+z+o.o.+Sp.k." TargetMode="External"/><Relationship Id="rId50" Type="http://schemas.openxmlformats.org/officeDocument/2006/relationships/hyperlink" Target="https://www.linkedin.com/search/results/people/?keywords=MisterM+Plus+Sp.+z+o.o.+Sp.k.+sales+OR+%22account+manager%22+OR+%22business+development%22" TargetMode="External"/><Relationship Id="rId51" Type="http://schemas.openxmlformats.org/officeDocument/2006/relationships/hyperlink" Target="https://www.linkedin.com/search/results/companies/?keywords=OrientFragance" TargetMode="External"/><Relationship Id="rId52" Type="http://schemas.openxmlformats.org/officeDocument/2006/relationships/hyperlink" Target="https://www.linkedin.com/search/results/people/?keywords=OrientFragance+sales+OR+%22account+manager%22+OR+%22business+development%22" TargetMode="External"/><Relationship Id="rId53" Type="http://schemas.openxmlformats.org/officeDocument/2006/relationships/hyperlink" Target="https://www.linkedin.com/search/results/companies/?keywords=Parfum+Company+Sp.+z+o.o.+S.K.A." TargetMode="External"/><Relationship Id="rId54" Type="http://schemas.openxmlformats.org/officeDocument/2006/relationships/hyperlink" Target="https://www.linkedin.com/search/results/people/?keywords=Parfum+Company+Sp.+z+o.o.+S.K.A.+sales+OR+%22account+manager%22+OR+%22business+development%22" TargetMode="External"/><Relationship Id="rId55" Type="http://schemas.openxmlformats.org/officeDocument/2006/relationships/hyperlink" Target="https://www.linkedin.com/search/results/companies/?keywords=Bestway+Wholesale" TargetMode="External"/><Relationship Id="rId56" Type="http://schemas.openxmlformats.org/officeDocument/2006/relationships/hyperlink" Target="https://www.linkedin.com/search/results/people/?keywords=Bestway+Wholesale+sales+OR+%22account+manager%22+OR+%22business+development%22" TargetMode="External"/><Relationship Id="rId57" Type="http://schemas.openxmlformats.org/officeDocument/2006/relationships/hyperlink" Target="https://www.linkedin.com/search/results/companies/?keywords=Costco+UK" TargetMode="External"/><Relationship Id="rId58" Type="http://schemas.openxmlformats.org/officeDocument/2006/relationships/hyperlink" Target="https://www.linkedin.com/search/results/people/?keywords=Costco+UK+sales+OR+%22account+manager%22+OR+%22business+development%22" TargetMode="External"/><Relationship Id="rId59" Type="http://schemas.openxmlformats.org/officeDocument/2006/relationships/hyperlink" Target="https://www.linkedin.com/search/results/companies/?keywords=Dhamecha+Cash+%26+Carry" TargetMode="External"/><Relationship Id="rId60" Type="http://schemas.openxmlformats.org/officeDocument/2006/relationships/hyperlink" Target="https://www.linkedin.com/search/results/people/?keywords=Dhamecha+Cash+%26+Carry+sales+OR+%22account+manager%22+OR+%22business+development%22" TargetMode="External"/><Relationship Id="rId61" Type="http://schemas.openxmlformats.org/officeDocument/2006/relationships/hyperlink" Target="https://www.linkedin.com/search/results/companies/?keywords=Hancocks" TargetMode="External"/><Relationship Id="rId62" Type="http://schemas.openxmlformats.org/officeDocument/2006/relationships/hyperlink" Target="https://www.linkedin.com/search/results/people/?keywords=Hancocks+sales+OR+%22account+manager%22+OR+%22business+development%22" TargetMode="External"/><Relationship Id="rId63" Type="http://schemas.openxmlformats.org/officeDocument/2006/relationships/hyperlink" Target="https://www.linkedin.com/search/results/companies/?keywords=Parfetts" TargetMode="External"/><Relationship Id="rId64" Type="http://schemas.openxmlformats.org/officeDocument/2006/relationships/hyperlink" Target="https://www.linkedin.com/search/results/people/?keywords=Parfetts+sales+OR+%22account+manager%22+OR+%22business+development%22" TargetMode="External"/><Relationship Id="rId65" Type="http://schemas.openxmlformats.org/officeDocument/2006/relationships/hyperlink" Target="https://www.linkedin.com/search/results/companies/?keywords=CLF+Distribution" TargetMode="External"/><Relationship Id="rId66" Type="http://schemas.openxmlformats.org/officeDocument/2006/relationships/hyperlink" Target="https://www.linkedin.com/search/results/people/?keywords=CLF+Distribution+sales+OR+%22account+manager%22+OR+%22business+development%22" TargetMode="External"/><Relationship Id="rId67" Type="http://schemas.openxmlformats.org/officeDocument/2006/relationships/hyperlink" Target="https://www.linkedin.com/search/results/companies/?keywords=DK+Wholesale" TargetMode="External"/><Relationship Id="rId68" Type="http://schemas.openxmlformats.org/officeDocument/2006/relationships/hyperlink" Target="https://www.linkedin.com/search/results/people/?keywords=DK+Wholesale+sales+OR+%22account+manager%22+OR+%22business+development%22" TargetMode="External"/><Relationship Id="rId69" Type="http://schemas.openxmlformats.org/officeDocument/2006/relationships/hyperlink" Target="https://www.linkedin.com/search/results/companies/?keywords=Lexon" TargetMode="External"/><Relationship Id="rId70" Type="http://schemas.openxmlformats.org/officeDocument/2006/relationships/hyperlink" Target="https://www.linkedin.com/search/results/people/?keywords=Lexon+sales+OR+%22account+manager%22+OR+%22business+development%22" TargetMode="External"/><Relationship Id="rId71" Type="http://schemas.openxmlformats.org/officeDocument/2006/relationships/hyperlink" Target="https://www.linkedin.com/search/results/companies/?keywords=Paws+Products+Wholesale" TargetMode="External"/><Relationship Id="rId72" Type="http://schemas.openxmlformats.org/officeDocument/2006/relationships/hyperlink" Target="https://www.linkedin.com/search/results/people/?keywords=Paws+Products+Wholesale+sales+OR+%22account+manager%22+OR+%22business+development%22" TargetMode="External"/><Relationship Id="rId73" Type="http://schemas.openxmlformats.org/officeDocument/2006/relationships/hyperlink" Target="https://www.linkedin.com/search/results/companies/?keywords=Character+Options+Ltd" TargetMode="External"/><Relationship Id="rId74" Type="http://schemas.openxmlformats.org/officeDocument/2006/relationships/hyperlink" Target="https://www.linkedin.com/search/results/people/?keywords=Character+Options+Ltd+sales+OR+%22account+manager%22+OR+%22business+development%22" TargetMode="External"/><Relationship Id="rId75" Type="http://schemas.openxmlformats.org/officeDocument/2006/relationships/hyperlink" Target="https://www.linkedin.com/search/results/companies/?keywords=Keycraft" TargetMode="External"/><Relationship Id="rId76" Type="http://schemas.openxmlformats.org/officeDocument/2006/relationships/hyperlink" Target="https://www.linkedin.com/search/results/people/?keywords=Keycraft+sales+OR+%22account+manager%22+OR+%22business+development%22" TargetMode="External"/><Relationship Id="rId77" Type="http://schemas.openxmlformats.org/officeDocument/2006/relationships/hyperlink" Target="https://www.linkedin.com/search/results/companies/?keywords=Puckator+Ltd" TargetMode="External"/><Relationship Id="rId78" Type="http://schemas.openxmlformats.org/officeDocument/2006/relationships/hyperlink" Target="https://www.linkedin.com/search/results/people/?keywords=Puckator+Ltd+sales+OR+%22account+manager%22+OR+%22business+development%22" TargetMode="External"/><Relationship Id="rId79" Type="http://schemas.openxmlformats.org/officeDocument/2006/relationships/hyperlink" Target="https://www.linkedin.com/search/results/companies/?keywords=Spectron+The+Toy+Company" TargetMode="External"/><Relationship Id="rId80" Type="http://schemas.openxmlformats.org/officeDocument/2006/relationships/hyperlink" Target="https://www.linkedin.com/search/results/people/?keywords=Spectron+The+Toy+Company+sales+OR+%22account+manager%22+OR+%22business+development%22" TargetMode="External"/><Relationship Id="rId81" Type="http://schemas.openxmlformats.org/officeDocument/2006/relationships/hyperlink" Target="https://www.linkedin.com/search/results/companies/?keywords=Ankorstore" TargetMode="External"/><Relationship Id="rId82" Type="http://schemas.openxmlformats.org/officeDocument/2006/relationships/hyperlink" Target="https://www.linkedin.com/search/results/people/?keywords=Ankorstore+sales+OR+%22account+manager%22+OR+%22business+development%22" TargetMode="External"/><Relationship Id="rId83" Type="http://schemas.openxmlformats.org/officeDocument/2006/relationships/hyperlink" Target="https://www.linkedin.com/search/results/companies/?keywords=Brandsdistribution" TargetMode="External"/><Relationship Id="rId84" Type="http://schemas.openxmlformats.org/officeDocument/2006/relationships/hyperlink" Target="https://www.linkedin.com/search/results/people/?keywords=Brandsdistribution+sales+OR+%22account+manager%22+OR+%22business+development%22" TargetMode="External"/><Relationship Id="rId85" Type="http://schemas.openxmlformats.org/officeDocument/2006/relationships/hyperlink" Target="https://www.linkedin.com/search/results/companies/?keywords=B%26S+Group" TargetMode="External"/><Relationship Id="rId86" Type="http://schemas.openxmlformats.org/officeDocument/2006/relationships/hyperlink" Target="https://www.linkedin.com/search/results/people/?keywords=B%26S+Group+sales+OR+%22account+manager%22+OR+%22business+development%22" TargetMode="External"/><Relationship Id="rId87" Type="http://schemas.openxmlformats.org/officeDocument/2006/relationships/hyperlink" Target="https://www.linkedin.com/search/results/companies/?keywords=EleganceWholesale" TargetMode="External"/><Relationship Id="rId88" Type="http://schemas.openxmlformats.org/officeDocument/2006/relationships/hyperlink" Target="https://www.linkedin.com/search/results/people/?keywords=EleganceWholesale+sales+OR+%22account+manager%22+OR+%22business+development%22" TargetMode="External"/><Relationship Id="rId89" Type="http://schemas.openxmlformats.org/officeDocument/2006/relationships/hyperlink" Target="https://www.linkedin.com/search/results/companies/?keywords=NOBILIS+Group+GmbH" TargetMode="External"/><Relationship Id="rId90" Type="http://schemas.openxmlformats.org/officeDocument/2006/relationships/hyperlink" Target="https://www.linkedin.com/search/results/people/?keywords=NOBILIS+Group+GmbH+sales+OR+%22account+manager%22+OR+%22business+development%22" TargetMode="External"/><Relationship Id="rId91" Type="http://schemas.openxmlformats.org/officeDocument/2006/relationships/hyperlink" Target="https://www.linkedin.com/search/results/companies/?keywords=Profumerie+P+%26+P+Srl" TargetMode="External"/><Relationship Id="rId92" Type="http://schemas.openxmlformats.org/officeDocument/2006/relationships/hyperlink" Target="https://www.linkedin.com/search/results/people/?keywords=Profumerie+P+%26+P+Srl+sales+OR+%22account+manager%22+OR+%22business+development%22" TargetMode="External"/><Relationship Id="rId93" Type="http://schemas.openxmlformats.org/officeDocument/2006/relationships/hyperlink" Target="https://www.linkedin.com/search/results/companies/?keywords=The+Italian+Factory" TargetMode="External"/><Relationship Id="rId94" Type="http://schemas.openxmlformats.org/officeDocument/2006/relationships/hyperlink" Target="https://www.linkedin.com/search/results/people/?keywords=The+Italian+Factory+sales+OR+%22account+manager%22+OR+%22business+development%22" TargetMode="External"/><Relationship Id="rId95" Type="http://schemas.openxmlformats.org/officeDocument/2006/relationships/hyperlink" Target="https://www.linkedin.com/search/results/companies/?keywords=METRO+%2F+Makro" TargetMode="External"/><Relationship Id="rId96" Type="http://schemas.openxmlformats.org/officeDocument/2006/relationships/hyperlink" Target="https://www.linkedin.com/search/results/people/?keywords=METRO+%2F+Makro+sales+OR+%22account+manager%22+OR+%22business+development%22" TargetMode="External"/><Relationship Id="rId97" Type="http://schemas.openxmlformats.org/officeDocument/2006/relationships/hyperlink" Target="https://www.linkedin.com/search/results/companies/?keywords=Wholesale+Clearance+UK" TargetMode="External"/><Relationship Id="rId98" Type="http://schemas.openxmlformats.org/officeDocument/2006/relationships/hyperlink" Target="https://www.linkedin.com/search/results/people/?keywords=Wholesale+Clearance+UK+sales+OR+%22account+manager%22+OR+%22business+development%22" TargetMode="External"/><Relationship Id="rId99" Type="http://schemas.openxmlformats.org/officeDocument/2006/relationships/hyperlink" Target="https://www.linkedin.com/search/results/companies/?keywords=Aston+%26+Fincher" TargetMode="External"/><Relationship Id="rId100" Type="http://schemas.openxmlformats.org/officeDocument/2006/relationships/hyperlink" Target="https://www.linkedin.com/search/results/people/?keywords=Aston+%26+Fincher+sales+OR+%22account+manager%22+OR+%22business+development%22" TargetMode="External"/><Relationship Id="rId101" Type="http://schemas.openxmlformats.org/officeDocument/2006/relationships/hyperlink" Target="https://www.linkedin.com/search/results/companies/?keywords=Capital+Hair+%26+Beauty" TargetMode="External"/><Relationship Id="rId102" Type="http://schemas.openxmlformats.org/officeDocument/2006/relationships/hyperlink" Target="https://www.linkedin.com/search/results/people/?keywords=Capital+Hair+%26+Beauty+sales+OR+%22account+manager%22+OR+%22business+development%22" TargetMode="External"/><Relationship Id="rId103" Type="http://schemas.openxmlformats.org/officeDocument/2006/relationships/hyperlink" Target="https://www.linkedin.com/search/results/companies/?keywords=Cherry+Cosmetics" TargetMode="External"/><Relationship Id="rId104" Type="http://schemas.openxmlformats.org/officeDocument/2006/relationships/hyperlink" Target="https://www.linkedin.com/search/results/people/?keywords=Cherry+Cosmetics+sales+OR+%22account+manager%22+OR+%22business+development%22" TargetMode="External"/><Relationship Id="rId105" Type="http://schemas.openxmlformats.org/officeDocument/2006/relationships/hyperlink" Target="https://www.linkedin.com/search/results/companies/?keywords=Exquisite+Cosmetics+Ltd" TargetMode="External"/><Relationship Id="rId106" Type="http://schemas.openxmlformats.org/officeDocument/2006/relationships/hyperlink" Target="https://www.linkedin.com/search/results/people/?keywords=Exquisite+Cosmetics+Ltd+sales+OR+%22account+manager%22+OR+%22business+development%22" TargetMode="External"/><Relationship Id="rId107" Type="http://schemas.openxmlformats.org/officeDocument/2006/relationships/hyperlink" Target="https://www.linkedin.com/search/results/companies/?keywords=Kinetic+Natural+Product+Distributor" TargetMode="External"/><Relationship Id="rId108" Type="http://schemas.openxmlformats.org/officeDocument/2006/relationships/hyperlink" Target="https://www.linkedin.com/search/results/people/?keywords=Kinetic+Natural+Product+Distributor+sales+OR+%22account+manager%22+OR+%22business+development%22" TargetMode="External"/><Relationship Id="rId109" Type="http://schemas.openxmlformats.org/officeDocument/2006/relationships/hyperlink" Target="https://www.linkedin.com/search/results/companies/?keywords=LookinStyle" TargetMode="External"/><Relationship Id="rId110" Type="http://schemas.openxmlformats.org/officeDocument/2006/relationships/hyperlink" Target="https://www.linkedin.com/search/results/people/?keywords=LookinStyle+sales+OR+%22account+manager%22+OR+%22business+development%22" TargetMode="External"/><Relationship Id="rId111" Type="http://schemas.openxmlformats.org/officeDocument/2006/relationships/hyperlink" Target="https://www.linkedin.com/search/results/companies/?keywords=Ludonex+Ltd" TargetMode="External"/><Relationship Id="rId112" Type="http://schemas.openxmlformats.org/officeDocument/2006/relationships/hyperlink" Target="https://www.linkedin.com/search/results/people/?keywords=Ludonex+Ltd+sales+OR+%22account+manager%22+OR+%22business+development%22" TargetMode="External"/><Relationship Id="rId113" Type="http://schemas.openxmlformats.org/officeDocument/2006/relationships/hyperlink" Target="https://www.linkedin.com/search/results/companies/?keywords=Suma+Wholefoods" TargetMode="External"/><Relationship Id="rId114" Type="http://schemas.openxmlformats.org/officeDocument/2006/relationships/hyperlink" Target="https://www.linkedin.com/search/results/people/?keywords=Suma+Wholefoods+sales+OR+%22account+manager%22+OR+%22business+development%22" TargetMode="External"/><Relationship Id="rId115" Type="http://schemas.openxmlformats.org/officeDocument/2006/relationships/hyperlink" Target="https://www.linkedin.com/search/results/companies/?keywords=W+Pharma+Europe" TargetMode="External"/><Relationship Id="rId116" Type="http://schemas.openxmlformats.org/officeDocument/2006/relationships/hyperlink" Target="https://www.linkedin.com/search/results/people/?keywords=W+Pharma+Europe+sales+OR+%22account+manager%22+OR+%22business+development%22" TargetMode="External"/><Relationship Id="rId117" Type="http://schemas.openxmlformats.org/officeDocument/2006/relationships/hyperlink" Target="https://www.linkedin.com/search/results/companies/?keywords=GP+Supplies" TargetMode="External"/><Relationship Id="rId118" Type="http://schemas.openxmlformats.org/officeDocument/2006/relationships/hyperlink" Target="https://www.linkedin.com/search/results/people/?keywords=GP+Supplies+sales+OR+%22account+manager%22+OR+%22business+development%22" TargetMode="External"/><Relationship Id="rId119" Type="http://schemas.openxmlformats.org/officeDocument/2006/relationships/hyperlink" Target="https://www.linkedin.com/search/results/companies/?keywords=Landahl+%26+Baumann+Spielwaren+GmbH" TargetMode="External"/><Relationship Id="rId120" Type="http://schemas.openxmlformats.org/officeDocument/2006/relationships/hyperlink" Target="https://www.linkedin.com/search/results/people/?keywords=Landahl+%26+Baumann+Spielwaren+GmbH+sales+OR+%22account+manager%22+OR+%22business+development%22" TargetMode="External"/><Relationship Id="rId121" Type="http://schemas.openxmlformats.org/officeDocument/2006/relationships/hyperlink" Target="https://www.linkedin.com/search/results/companies/?keywords=Nomaco+Spain" TargetMode="External"/><Relationship Id="rId122" Type="http://schemas.openxmlformats.org/officeDocument/2006/relationships/hyperlink" Target="https://www.linkedin.com/search/results/people/?keywords=Nomaco+Spain+sales+OR+%22account+manager%22+OR+%22business+development%22" TargetMode="External"/><Relationship Id="rId123" Type="http://schemas.openxmlformats.org/officeDocument/2006/relationships/hyperlink" Target="https://www.linkedin.com/search/results/companies/?keywords=Faire" TargetMode="External"/><Relationship Id="rId124" Type="http://schemas.openxmlformats.org/officeDocument/2006/relationships/hyperlink" Target="https://www.linkedin.com/search/results/people/?keywords=Faire+sales+OR+%22account+manager%22+OR+%22business+development%22" TargetMode="External"/><Relationship Id="rId125" Type="http://schemas.openxmlformats.org/officeDocument/2006/relationships/hyperlink" Target="https://www.linkedin.com/search/results/companies/?keywords=Merkandi" TargetMode="External"/><Relationship Id="rId126" Type="http://schemas.openxmlformats.org/officeDocument/2006/relationships/hyperlink" Target="https://www.linkedin.com/search/results/people/?keywords=Merkandi+sales+OR+%22account+manager%22+OR+%22business+development%22" TargetMode="External"/><Relationship Id="rId127" Type="http://schemas.openxmlformats.org/officeDocument/2006/relationships/hyperlink" Target="https://www.linkedin.com/search/results/companies/?keywords=Join+Stadskanaal+B.V." TargetMode="External"/><Relationship Id="rId128" Type="http://schemas.openxmlformats.org/officeDocument/2006/relationships/hyperlink" Target="https://www.linkedin.com/search/results/people/?keywords=Join+Stadskanaal+B.V.+sales+OR+%22account+manager%22+OR+%22business+development%22" TargetMode="External"/><Relationship Id="rId129" Type="http://schemas.openxmlformats.org/officeDocument/2006/relationships/hyperlink" Target="https://www.linkedin.com/search/results/companies/?keywords=Europe+Pharma+Group+B.V." TargetMode="External"/><Relationship Id="rId130" Type="http://schemas.openxmlformats.org/officeDocument/2006/relationships/hyperlink" Target="https://www.linkedin.com/search/results/people/?keywords=Europe+Pharma+Group+B.V.+sales+OR+%22account+manager%22+OR+%22business+development%22" TargetMode="External"/><Relationship Id="rId131" Type="http://schemas.openxmlformats.org/officeDocument/2006/relationships/hyperlink" Target="https://www.linkedin.com/search/results/companies/?keywords=Shure+Cosmetics" TargetMode="External"/><Relationship Id="rId132" Type="http://schemas.openxmlformats.org/officeDocument/2006/relationships/hyperlink" Target="https://www.linkedin.com/search/results/people/?keywords=Shure+Cosmetics+sales+OR+%22account+manager%22+OR+%22business+development%22" TargetMode="External"/><Relationship Id="rId133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find-and-update.company-information.service.gov.uk/" TargetMode="External"/><Relationship Id="rId2" Type="http://schemas.openxmlformats.org/officeDocument/2006/relationships/hyperlink" Target="https://ec.europa.eu/taxation_customs/vies/" TargetMode="External"/><Relationship Id="rId3" Type="http://schemas.openxmlformats.org/officeDocument/2006/relationships/hyperlink" Target="https://www.kvk.nl/en/" TargetMode="External"/><Relationship Id="rId4" Type="http://schemas.openxmlformats.org/officeDocument/2006/relationships/hyperlink" Target="https://cms.mhra.gov.uk/mhra/wholesale-dealer-licences" TargetMode="External"/><Relationship Id="rId5" Type="http://schemas.openxmlformats.org/officeDocument/2006/relationships/hyperlink" Target="https://supplier-directory.betterretailing.com/" TargetMode="External"/><Relationship Id="rId6" Type="http://schemas.openxmlformats.org/officeDocument/2006/relationships/hyperlink" Target="https://unitaswholesale.co.uk/" TargetMode="External"/><Relationship Id="rId7" Type="http://schemas.openxmlformats.org/officeDocument/2006/relationships/hyperlink" Target="https://www.petbusinessworld.co.uk/trade-directory/" TargetMode="External"/><Relationship Id="rId8" Type="http://schemas.openxmlformats.org/officeDocument/2006/relationships/hyperlink" Target="https://www.great.gov.uk/international/buy-from-the-uk/find-a-supplier/" TargetMode="External"/><Relationship Id="rId9" Type="http://schemas.openxmlformats.org/officeDocument/2006/relationships/hyperlink" Target="https://www.europages.co.uk/" TargetMode="External"/><Relationship Id="rId10" Type="http://schemas.openxmlformats.org/officeDocument/2006/relationships/hyperlink" Target="https://www.kompass.com/" TargetMode="External"/><Relationship Id="rId11" Type="http://schemas.openxmlformats.org/officeDocument/2006/relationships/hyperlink" Target="https://www.cosmeticindex.com/~cosmetic-distributors-wholesalers_Europe" TargetMode="External"/><Relationship Id="rId12" Type="http://schemas.openxmlformats.org/officeDocument/2006/relationships/hyperlink" Target="https://www.qogita.com/blog/top-10-wholesale-health-beauty-suppliers-in-the-uk-eu/" TargetMode="External"/><Relationship Id="rId13" Type="http://schemas.openxmlformats.org/officeDocument/2006/relationships/hyperlink" Target="https://www.toyfair.co.uk/" TargetMode="External"/><Relationship Id="rId14" Type="http://schemas.openxmlformats.org/officeDocument/2006/relationships/hyperlink" Target="https://www.spielwarenmesse.de/" TargetMode="External"/><Relationship Id="rId15" Type="http://schemas.openxmlformats.org/officeDocument/2006/relationships/hyperlink" Target="https://www.cosmoprof.com/" TargetMode="External"/><Relationship Id="rId16" Type="http://schemas.openxmlformats.org/officeDocument/2006/relationships/hyperlink" Target="https://www.esxence.com/" TargetMode="External"/><Relationship Id="rId17" Type="http://schemas.openxmlformats.org/officeDocument/2006/relationships/hyperlink" Target="https://www.springfair.com/" TargetMode="External"/><Relationship Id="rId18" Type="http://schemas.openxmlformats.org/officeDocument/2006/relationships/hyperlink" Target="https://www.linkedin.com/search/results/companies/?keywords=fragrance%20distributor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95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23.85" hidden="false" customHeight="false" outlineLevel="0" collapsed="false">
      <c r="B6" s="4" t="s">
        <v>3</v>
      </c>
      <c r="C6" s="5" t="s">
        <v>4</v>
      </c>
    </row>
    <row r="7" customFormat="false" ht="23.85" hidden="false" customHeight="false" outlineLevel="0" collapsed="false">
      <c r="B7" s="4" t="s">
        <v>5</v>
      </c>
      <c r="C7" s="5" t="s">
        <v>6</v>
      </c>
    </row>
    <row r="8" customFormat="false" ht="23.85" hidden="false" customHeight="false" outlineLevel="0" collapsed="false">
      <c r="B8" s="4" t="s">
        <v>7</v>
      </c>
      <c r="C8" s="5" t="s">
        <v>8</v>
      </c>
    </row>
    <row r="9" customFormat="false" ht="15" hidden="false" customHeight="false" outlineLevel="0" collapsed="false">
      <c r="B9" s="4" t="s">
        <v>9</v>
      </c>
      <c r="C9" s="5" t="s">
        <v>10</v>
      </c>
    </row>
    <row r="10" customFormat="false" ht="15" hidden="false" customHeight="false" outlineLevel="0" collapsed="false">
      <c r="B10" s="4" t="s">
        <v>11</v>
      </c>
      <c r="C10" s="5" t="s">
        <v>12</v>
      </c>
    </row>
    <row r="11" customFormat="false" ht="15" hidden="false" customHeight="false" outlineLevel="0" collapsed="false">
      <c r="B11" s="4" t="s">
        <v>13</v>
      </c>
      <c r="C11" s="5" t="s">
        <v>14</v>
      </c>
    </row>
    <row r="12" customFormat="false" ht="15" hidden="false" customHeight="false" outlineLevel="0" collapsed="false">
      <c r="B12" s="4" t="s">
        <v>15</v>
      </c>
      <c r="C12" s="5" t="s">
        <v>16</v>
      </c>
    </row>
    <row r="14" customFormat="false" ht="15" hidden="false" customHeight="false" outlineLevel="0" collapsed="false">
      <c r="B14" s="3" t="s">
        <v>17</v>
      </c>
    </row>
    <row r="15" customFormat="false" ht="15" hidden="false" customHeight="false" outlineLevel="0" collapsed="false">
      <c r="B15" s="4" t="s">
        <v>18</v>
      </c>
      <c r="C15" s="5" t="s">
        <v>19</v>
      </c>
    </row>
    <row r="16" customFormat="false" ht="15" hidden="false" customHeight="false" outlineLevel="0" collapsed="false">
      <c r="B16" s="4" t="s">
        <v>20</v>
      </c>
      <c r="C16" s="5" t="s">
        <v>21</v>
      </c>
    </row>
    <row r="17" customFormat="false" ht="15" hidden="false" customHeight="false" outlineLevel="0" collapsed="false">
      <c r="B17" s="4" t="s">
        <v>22</v>
      </c>
      <c r="C17" s="5" t="s">
        <v>23</v>
      </c>
    </row>
    <row r="18" customFormat="false" ht="15" hidden="false" customHeight="false" outlineLevel="0" collapsed="false">
      <c r="B18" s="4" t="s">
        <v>24</v>
      </c>
      <c r="C18" s="5" t="s">
        <v>25</v>
      </c>
    </row>
    <row r="19" customFormat="false" ht="15" hidden="false" customHeight="false" outlineLevel="0" collapsed="false">
      <c r="B19" s="4" t="s">
        <v>26</v>
      </c>
      <c r="C19" s="5" t="s">
        <v>27</v>
      </c>
    </row>
    <row r="21" customFormat="false" ht="15" hidden="false" customHeight="false" outlineLevel="0" collapsed="false">
      <c r="B21" s="3" t="s">
        <v>28</v>
      </c>
    </row>
    <row r="22" customFormat="false" ht="15" hidden="false" customHeight="false" outlineLevel="0" collapsed="false">
      <c r="B22" s="4" t="s">
        <v>29</v>
      </c>
      <c r="C22" s="5" t="s">
        <v>30</v>
      </c>
    </row>
    <row r="23" customFormat="false" ht="15" hidden="false" customHeight="false" outlineLevel="0" collapsed="false">
      <c r="B23" s="4" t="s">
        <v>31</v>
      </c>
      <c r="C23" s="5" t="s">
        <v>32</v>
      </c>
    </row>
    <row r="24" customFormat="false" ht="15" hidden="false" customHeight="false" outlineLevel="0" collapsed="false">
      <c r="B24" s="4" t="s">
        <v>33</v>
      </c>
      <c r="C24" s="5" t="s">
        <v>34</v>
      </c>
    </row>
    <row r="25" customFormat="false" ht="23.85" hidden="false" customHeight="false" outlineLevel="0" collapsed="false">
      <c r="B25" s="4" t="s">
        <v>35</v>
      </c>
      <c r="C25" s="5" t="s">
        <v>36</v>
      </c>
    </row>
    <row r="27" customFormat="false" ht="15" hidden="false" customHeight="false" outlineLevel="0" collapsed="false">
      <c r="B27" s="3" t="s">
        <v>37</v>
      </c>
    </row>
    <row r="28" customFormat="false" ht="42" hidden="false" customHeight="true" outlineLevel="0" collapsed="false">
      <c r="B28" s="4" t="s">
        <v>38</v>
      </c>
      <c r="C28" s="5" t="s">
        <v>39</v>
      </c>
    </row>
    <row r="29" customFormat="false" ht="42" hidden="false" customHeight="true" outlineLevel="0" collapsed="false">
      <c r="B29" s="4" t="s">
        <v>40</v>
      </c>
      <c r="C29" s="5" t="s">
        <v>41</v>
      </c>
    </row>
    <row r="30" customFormat="false" ht="42" hidden="false" customHeight="true" outlineLevel="0" collapsed="false">
      <c r="B30" s="4" t="s">
        <v>42</v>
      </c>
      <c r="C30" s="5" t="s">
        <v>43</v>
      </c>
    </row>
    <row r="31" customFormat="false" ht="42" hidden="false" customHeight="true" outlineLevel="0" collapsed="false">
      <c r="B31" s="4" t="s">
        <v>44</v>
      </c>
      <c r="C31" s="5" t="s">
        <v>45</v>
      </c>
    </row>
    <row r="32" customFormat="false" ht="42" hidden="false" customHeight="true" outlineLevel="0" collapsed="false">
      <c r="B32" s="4" t="s">
        <v>46</v>
      </c>
      <c r="C32" s="5" t="s">
        <v>47</v>
      </c>
    </row>
    <row r="33" customFormat="false" ht="42" hidden="false" customHeight="true" outlineLevel="0" collapsed="false">
      <c r="B33" s="4" t="s">
        <v>48</v>
      </c>
      <c r="C33" s="5" t="s">
        <v>49</v>
      </c>
    </row>
    <row r="35" customFormat="false" ht="15" hidden="false" customHeight="false" outlineLevel="0" collapsed="false">
      <c r="B35" s="3" t="s">
        <v>50</v>
      </c>
    </row>
    <row r="36" customFormat="false" ht="45" hidden="false" customHeight="true" outlineLevel="0" collapsed="false">
      <c r="C36" s="5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3"/>
    <col collapsed="false" customWidth="true" hidden="false" outlineLevel="0" max="7" min="7" style="0" width="20"/>
    <col collapsed="false" customWidth="true" hidden="false" outlineLevel="0" max="8" min="8" style="0" width="34"/>
    <col collapsed="false" customWidth="true" hidden="false" outlineLevel="0" max="9" min="9" style="0" width="18"/>
    <col collapsed="false" customWidth="true" hidden="false" outlineLevel="0" max="10" min="10" style="0" width="28"/>
    <col collapsed="false" customWidth="true" hidden="false" outlineLevel="0" max="11" min="11" style="0" width="20"/>
    <col collapsed="false" customWidth="true" hidden="false" outlineLevel="0" max="12" min="12" style="0" width="38"/>
    <col collapsed="false" customWidth="true" hidden="false" outlineLevel="0" max="13" min="13" style="0" width="20"/>
    <col collapsed="false" customWidth="true" hidden="false" outlineLevel="0" max="14" min="14" style="0" width="22"/>
    <col collapsed="false" customWidth="true" hidden="false" outlineLevel="0" max="15" min="15" style="0" width="28"/>
    <col collapsed="false" customWidth="true" hidden="false" outlineLevel="0" max="16" min="16" style="0" width="18"/>
    <col collapsed="false" customWidth="true" hidden="false" outlineLevel="0" max="17" min="17" style="0" width="34"/>
    <col collapsed="false" customWidth="true" hidden="false" outlineLevel="0" max="19" min="18" style="0" width="36"/>
    <col collapsed="false" customWidth="true" hidden="false" outlineLevel="0" max="21" min="20" style="0" width="22"/>
    <col collapsed="false" customWidth="true" hidden="false" outlineLevel="0" max="23" min="22" style="0" width="18"/>
    <col collapsed="false" customWidth="true" hidden="false" outlineLevel="0" max="25" min="24" style="0" width="13"/>
    <col collapsed="false" customWidth="true" hidden="false" outlineLevel="0" max="26" min="26" style="0" width="18"/>
    <col collapsed="false" customWidth="true" hidden="false" outlineLevel="0" max="27" min="27" style="0" width="30"/>
    <col collapsed="false" customWidth="true" hidden="false" outlineLevel="0" max="28" min="28" style="0" width="13"/>
    <col collapsed="false" customWidth="true" hidden="false" outlineLevel="0" max="29" min="29" style="0" width="12"/>
    <col collapsed="false" customWidth="true" hidden="false" outlineLevel="0" max="30" min="30" style="0" width="26"/>
  </cols>
  <sheetData>
    <row r="1" customFormat="false" ht="31.5" hidden="false" customHeight="true" outlineLevel="0" collapsed="false">
      <c r="A1" s="6" t="s">
        <v>52</v>
      </c>
      <c r="B1" s="6" t="s">
        <v>53</v>
      </c>
      <c r="C1" s="6" t="s">
        <v>54</v>
      </c>
      <c r="D1" s="6" t="s">
        <v>55</v>
      </c>
      <c r="E1" s="6" t="s">
        <v>56</v>
      </c>
      <c r="F1" s="6" t="s">
        <v>57</v>
      </c>
      <c r="G1" s="6" t="s">
        <v>58</v>
      </c>
      <c r="H1" s="6" t="s">
        <v>59</v>
      </c>
      <c r="I1" s="6" t="s">
        <v>60</v>
      </c>
      <c r="J1" s="6" t="s">
        <v>61</v>
      </c>
      <c r="K1" s="6" t="s">
        <v>62</v>
      </c>
      <c r="L1" s="6" t="s">
        <v>63</v>
      </c>
      <c r="M1" s="6" t="s">
        <v>64</v>
      </c>
      <c r="N1" s="6" t="s">
        <v>65</v>
      </c>
      <c r="O1" s="6" t="s">
        <v>66</v>
      </c>
      <c r="P1" s="6" t="s">
        <v>67</v>
      </c>
      <c r="Q1" s="6" t="s">
        <v>68</v>
      </c>
      <c r="R1" s="6" t="s">
        <v>69</v>
      </c>
      <c r="S1" s="6" t="s">
        <v>70</v>
      </c>
      <c r="T1" s="6" t="s">
        <v>71</v>
      </c>
      <c r="U1" s="6" t="s">
        <v>72</v>
      </c>
      <c r="V1" s="6" t="s">
        <v>73</v>
      </c>
      <c r="W1" s="7" t="s">
        <v>74</v>
      </c>
      <c r="X1" s="7" t="s">
        <v>75</v>
      </c>
      <c r="Y1" s="7" t="s">
        <v>76</v>
      </c>
      <c r="Z1" s="7" t="s">
        <v>77</v>
      </c>
      <c r="AA1" s="7" t="s">
        <v>78</v>
      </c>
      <c r="AB1" s="7" t="s">
        <v>79</v>
      </c>
      <c r="AC1" s="7" t="s">
        <v>80</v>
      </c>
      <c r="AD1" s="7" t="s">
        <v>81</v>
      </c>
    </row>
    <row r="2" customFormat="false" ht="35.05" hidden="false" customHeight="false" outlineLevel="0" collapsed="false">
      <c r="A2" s="8" t="n">
        <v>1</v>
      </c>
      <c r="B2" s="9" t="n">
        <v>5</v>
      </c>
      <c r="C2" s="8" t="s">
        <v>82</v>
      </c>
      <c r="D2" s="8" t="s">
        <v>83</v>
      </c>
      <c r="E2" s="10" t="s">
        <v>84</v>
      </c>
      <c r="F2" s="8" t="s">
        <v>85</v>
      </c>
      <c r="G2" s="8" t="s">
        <v>86</v>
      </c>
      <c r="H2" s="8"/>
      <c r="I2" s="8"/>
      <c r="J2" s="8" t="s">
        <v>87</v>
      </c>
      <c r="K2" s="8" t="s">
        <v>88</v>
      </c>
      <c r="L2" s="8" t="s">
        <v>89</v>
      </c>
      <c r="M2" s="8" t="s">
        <v>90</v>
      </c>
      <c r="N2" s="8" t="s">
        <v>91</v>
      </c>
      <c r="O2" s="8" t="s">
        <v>92</v>
      </c>
      <c r="P2" s="8" t="s">
        <v>93</v>
      </c>
      <c r="Q2" s="8" t="s">
        <v>94</v>
      </c>
      <c r="R2" s="8" t="s">
        <v>95</v>
      </c>
      <c r="S2" s="8" t="s">
        <v>96</v>
      </c>
      <c r="T2" s="8" t="s">
        <v>97</v>
      </c>
      <c r="U2" s="10" t="s">
        <v>98</v>
      </c>
      <c r="V2" s="10" t="s">
        <v>99</v>
      </c>
      <c r="W2" s="11" t="s">
        <v>100</v>
      </c>
      <c r="X2" s="12"/>
      <c r="Y2" s="11"/>
      <c r="Z2" s="11"/>
      <c r="AA2" s="11"/>
      <c r="AB2" s="12" t="str">
        <f aca="false">IF(X2="","",WORKDAY(X2,5))</f>
        <v/>
      </c>
      <c r="AC2" s="11"/>
      <c r="AD2" s="11"/>
    </row>
    <row r="3" customFormat="false" ht="35.05" hidden="false" customHeight="false" outlineLevel="0" collapsed="false">
      <c r="A3" s="8" t="n">
        <v>2</v>
      </c>
      <c r="B3" s="9" t="n">
        <v>5</v>
      </c>
      <c r="C3" s="8" t="s">
        <v>101</v>
      </c>
      <c r="D3" s="8" t="s">
        <v>102</v>
      </c>
      <c r="E3" s="10" t="s">
        <v>103</v>
      </c>
      <c r="F3" s="8" t="s">
        <v>104</v>
      </c>
      <c r="G3" s="8" t="s">
        <v>105</v>
      </c>
      <c r="H3" s="8" t="s">
        <v>106</v>
      </c>
      <c r="I3" s="8" t="s">
        <v>107</v>
      </c>
      <c r="J3" s="8" t="s">
        <v>108</v>
      </c>
      <c r="K3" s="8" t="s">
        <v>109</v>
      </c>
      <c r="L3" s="8" t="s">
        <v>110</v>
      </c>
      <c r="M3" s="8" t="s">
        <v>111</v>
      </c>
      <c r="N3" s="8" t="s">
        <v>112</v>
      </c>
      <c r="O3" s="8" t="s">
        <v>113</v>
      </c>
      <c r="P3" s="8" t="s">
        <v>114</v>
      </c>
      <c r="Q3" s="8" t="s">
        <v>115</v>
      </c>
      <c r="R3" s="8" t="s">
        <v>116</v>
      </c>
      <c r="S3" s="8" t="s">
        <v>117</v>
      </c>
      <c r="T3" s="8" t="s">
        <v>118</v>
      </c>
      <c r="U3" s="10" t="s">
        <v>98</v>
      </c>
      <c r="V3" s="10" t="s">
        <v>99</v>
      </c>
      <c r="W3" s="11" t="s">
        <v>100</v>
      </c>
      <c r="X3" s="12"/>
      <c r="Y3" s="11"/>
      <c r="Z3" s="11"/>
      <c r="AA3" s="11"/>
      <c r="AB3" s="12" t="str">
        <f aca="false">IF(X3="","",WORKDAY(X3,5))</f>
        <v/>
      </c>
      <c r="AC3" s="11"/>
      <c r="AD3" s="11"/>
    </row>
    <row r="4" customFormat="false" ht="46.25" hidden="false" customHeight="false" outlineLevel="0" collapsed="false">
      <c r="A4" s="8" t="n">
        <v>3</v>
      </c>
      <c r="B4" s="9" t="n">
        <v>5</v>
      </c>
      <c r="C4" s="8" t="s">
        <v>101</v>
      </c>
      <c r="D4" s="8" t="s">
        <v>119</v>
      </c>
      <c r="E4" s="10" t="s">
        <v>120</v>
      </c>
      <c r="F4" s="8" t="s">
        <v>121</v>
      </c>
      <c r="G4" s="8" t="s">
        <v>122</v>
      </c>
      <c r="H4" s="8" t="s">
        <v>123</v>
      </c>
      <c r="I4" s="8"/>
      <c r="J4" s="8"/>
      <c r="K4" s="8" t="s">
        <v>124</v>
      </c>
      <c r="L4" s="8" t="s">
        <v>125</v>
      </c>
      <c r="M4" s="8" t="s">
        <v>126</v>
      </c>
      <c r="N4" s="8" t="s">
        <v>127</v>
      </c>
      <c r="O4" s="8" t="s">
        <v>128</v>
      </c>
      <c r="P4" s="8" t="s">
        <v>129</v>
      </c>
      <c r="Q4" s="8" t="s">
        <v>130</v>
      </c>
      <c r="R4" s="8" t="s">
        <v>131</v>
      </c>
      <c r="S4" s="8" t="s">
        <v>132</v>
      </c>
      <c r="T4" s="8" t="s">
        <v>133</v>
      </c>
      <c r="U4" s="10" t="s">
        <v>98</v>
      </c>
      <c r="V4" s="10" t="s">
        <v>99</v>
      </c>
      <c r="W4" s="11" t="s">
        <v>100</v>
      </c>
      <c r="X4" s="12"/>
      <c r="Y4" s="11"/>
      <c r="Z4" s="11"/>
      <c r="AA4" s="11"/>
      <c r="AB4" s="12" t="str">
        <f aca="false">IF(X4="","",WORKDAY(X4,5))</f>
        <v/>
      </c>
      <c r="AC4" s="11"/>
      <c r="AD4" s="11"/>
    </row>
    <row r="5" customFormat="false" ht="46.25" hidden="false" customHeight="false" outlineLevel="0" collapsed="false">
      <c r="A5" s="8" t="n">
        <v>4</v>
      </c>
      <c r="B5" s="9" t="n">
        <v>5</v>
      </c>
      <c r="C5" s="8" t="s">
        <v>101</v>
      </c>
      <c r="D5" s="8" t="s">
        <v>134</v>
      </c>
      <c r="E5" s="10" t="s">
        <v>135</v>
      </c>
      <c r="F5" s="8" t="s">
        <v>121</v>
      </c>
      <c r="G5" s="8" t="s">
        <v>136</v>
      </c>
      <c r="H5" s="8" t="s">
        <v>137</v>
      </c>
      <c r="I5" s="8" t="s">
        <v>138</v>
      </c>
      <c r="J5" s="8" t="s">
        <v>139</v>
      </c>
      <c r="K5" s="8" t="s">
        <v>124</v>
      </c>
      <c r="L5" s="8" t="s">
        <v>140</v>
      </c>
      <c r="M5" s="8" t="s">
        <v>126</v>
      </c>
      <c r="N5" s="8" t="s">
        <v>127</v>
      </c>
      <c r="O5" s="8" t="s">
        <v>141</v>
      </c>
      <c r="P5" s="8" t="s">
        <v>142</v>
      </c>
      <c r="Q5" s="8" t="s">
        <v>143</v>
      </c>
      <c r="R5" s="8" t="s">
        <v>144</v>
      </c>
      <c r="S5" s="8" t="s">
        <v>145</v>
      </c>
      <c r="T5" s="8" t="s">
        <v>146</v>
      </c>
      <c r="U5" s="10" t="s">
        <v>98</v>
      </c>
      <c r="V5" s="10" t="s">
        <v>99</v>
      </c>
      <c r="W5" s="11" t="s">
        <v>100</v>
      </c>
      <c r="X5" s="12"/>
      <c r="Y5" s="11"/>
      <c r="Z5" s="11"/>
      <c r="AA5" s="11"/>
      <c r="AB5" s="12" t="str">
        <f aca="false">IF(X5="","",WORKDAY(X5,5))</f>
        <v/>
      </c>
      <c r="AC5" s="11"/>
      <c r="AD5" s="11"/>
    </row>
    <row r="6" customFormat="false" ht="35.05" hidden="false" customHeight="false" outlineLevel="0" collapsed="false">
      <c r="A6" s="8" t="n">
        <v>5</v>
      </c>
      <c r="B6" s="9" t="n">
        <v>5</v>
      </c>
      <c r="C6" s="8" t="s">
        <v>147</v>
      </c>
      <c r="D6" s="8" t="s">
        <v>148</v>
      </c>
      <c r="E6" s="10" t="s">
        <v>149</v>
      </c>
      <c r="F6" s="8" t="s">
        <v>121</v>
      </c>
      <c r="G6" s="8" t="s">
        <v>150</v>
      </c>
      <c r="H6" s="8" t="s">
        <v>151</v>
      </c>
      <c r="I6" s="8" t="s">
        <v>152</v>
      </c>
      <c r="J6" s="8"/>
      <c r="K6" s="8" t="s">
        <v>153</v>
      </c>
      <c r="L6" s="8" t="s">
        <v>154</v>
      </c>
      <c r="M6" s="8" t="s">
        <v>155</v>
      </c>
      <c r="N6" s="8" t="s">
        <v>156</v>
      </c>
      <c r="O6" s="8" t="s">
        <v>157</v>
      </c>
      <c r="P6" s="8" t="s">
        <v>158</v>
      </c>
      <c r="Q6" s="8" t="s">
        <v>159</v>
      </c>
      <c r="R6" s="8" t="s">
        <v>160</v>
      </c>
      <c r="S6" s="8" t="s">
        <v>161</v>
      </c>
      <c r="T6" s="8" t="s">
        <v>118</v>
      </c>
      <c r="U6" s="10" t="s">
        <v>98</v>
      </c>
      <c r="V6" s="10" t="s">
        <v>99</v>
      </c>
      <c r="W6" s="11" t="s">
        <v>100</v>
      </c>
      <c r="X6" s="12"/>
      <c r="Y6" s="11"/>
      <c r="Z6" s="11"/>
      <c r="AA6" s="11"/>
      <c r="AB6" s="12" t="str">
        <f aca="false">IF(X6="","",WORKDAY(X6,5))</f>
        <v/>
      </c>
      <c r="AC6" s="11"/>
      <c r="AD6" s="11"/>
    </row>
    <row r="7" customFormat="false" ht="23.85" hidden="false" customHeight="false" outlineLevel="0" collapsed="false">
      <c r="A7" s="8" t="n">
        <v>6</v>
      </c>
      <c r="B7" s="9" t="n">
        <v>5</v>
      </c>
      <c r="C7" s="8" t="s">
        <v>162</v>
      </c>
      <c r="D7" s="8" t="s">
        <v>163</v>
      </c>
      <c r="E7" s="10" t="s">
        <v>164</v>
      </c>
      <c r="F7" s="8" t="s">
        <v>121</v>
      </c>
      <c r="G7" s="8" t="s">
        <v>165</v>
      </c>
      <c r="H7" s="8" t="s">
        <v>166</v>
      </c>
      <c r="I7" s="8" t="s">
        <v>167</v>
      </c>
      <c r="J7" s="8" t="s">
        <v>168</v>
      </c>
      <c r="K7" s="8" t="s">
        <v>169</v>
      </c>
      <c r="L7" s="8" t="s">
        <v>170</v>
      </c>
      <c r="M7" s="8" t="s">
        <v>171</v>
      </c>
      <c r="N7" s="8" t="s">
        <v>127</v>
      </c>
      <c r="O7" s="8" t="s">
        <v>172</v>
      </c>
      <c r="P7" s="8" t="s">
        <v>93</v>
      </c>
      <c r="Q7" s="8" t="s">
        <v>173</v>
      </c>
      <c r="R7" s="8" t="s">
        <v>174</v>
      </c>
      <c r="S7" s="8" t="s">
        <v>175</v>
      </c>
      <c r="T7" s="8" t="s">
        <v>176</v>
      </c>
      <c r="U7" s="10" t="s">
        <v>98</v>
      </c>
      <c r="V7" s="10" t="s">
        <v>99</v>
      </c>
      <c r="W7" s="11" t="s">
        <v>100</v>
      </c>
      <c r="X7" s="12"/>
      <c r="Y7" s="11"/>
      <c r="Z7" s="11"/>
      <c r="AA7" s="11"/>
      <c r="AB7" s="12" t="str">
        <f aca="false">IF(X7="","",WORKDAY(X7,5))</f>
        <v/>
      </c>
      <c r="AC7" s="11"/>
      <c r="AD7" s="11"/>
    </row>
    <row r="8" customFormat="false" ht="23.85" hidden="false" customHeight="false" outlineLevel="0" collapsed="false">
      <c r="A8" s="8" t="n">
        <v>7</v>
      </c>
      <c r="B8" s="9" t="n">
        <v>5</v>
      </c>
      <c r="C8" s="8" t="s">
        <v>162</v>
      </c>
      <c r="D8" s="8" t="s">
        <v>177</v>
      </c>
      <c r="E8" s="10" t="s">
        <v>178</v>
      </c>
      <c r="F8" s="8" t="s">
        <v>121</v>
      </c>
      <c r="G8" s="8" t="s">
        <v>179</v>
      </c>
      <c r="H8" s="8" t="s">
        <v>180</v>
      </c>
      <c r="I8" s="8"/>
      <c r="J8" s="8"/>
      <c r="K8" s="8" t="s">
        <v>181</v>
      </c>
      <c r="L8" s="8" t="s">
        <v>182</v>
      </c>
      <c r="M8" s="8" t="s">
        <v>171</v>
      </c>
      <c r="N8" s="8" t="s">
        <v>127</v>
      </c>
      <c r="O8" s="8" t="s">
        <v>183</v>
      </c>
      <c r="P8" s="8" t="s">
        <v>93</v>
      </c>
      <c r="Q8" s="8" t="s">
        <v>184</v>
      </c>
      <c r="R8" s="8" t="s">
        <v>185</v>
      </c>
      <c r="S8" s="8"/>
      <c r="T8" s="8" t="s">
        <v>186</v>
      </c>
      <c r="U8" s="10" t="s">
        <v>98</v>
      </c>
      <c r="V8" s="10" t="s">
        <v>99</v>
      </c>
      <c r="W8" s="11" t="s">
        <v>100</v>
      </c>
      <c r="X8" s="12"/>
      <c r="Y8" s="11"/>
      <c r="Z8" s="11"/>
      <c r="AA8" s="11"/>
      <c r="AB8" s="12" t="str">
        <f aca="false">IF(X8="","",WORKDAY(X8,5))</f>
        <v/>
      </c>
      <c r="AC8" s="11"/>
      <c r="AD8" s="11"/>
    </row>
    <row r="9" customFormat="false" ht="35.05" hidden="false" customHeight="false" outlineLevel="0" collapsed="false">
      <c r="A9" s="8" t="n">
        <v>8</v>
      </c>
      <c r="B9" s="9" t="n">
        <v>5</v>
      </c>
      <c r="C9" s="8" t="s">
        <v>162</v>
      </c>
      <c r="D9" s="8" t="s">
        <v>187</v>
      </c>
      <c r="E9" s="10" t="s">
        <v>188</v>
      </c>
      <c r="F9" s="8" t="s">
        <v>121</v>
      </c>
      <c r="G9" s="8" t="s">
        <v>189</v>
      </c>
      <c r="H9" s="8" t="s">
        <v>190</v>
      </c>
      <c r="I9" s="8" t="s">
        <v>191</v>
      </c>
      <c r="J9" s="8"/>
      <c r="K9" s="8" t="s">
        <v>192</v>
      </c>
      <c r="L9" s="8" t="s">
        <v>193</v>
      </c>
      <c r="M9" s="8" t="s">
        <v>194</v>
      </c>
      <c r="N9" s="8" t="s">
        <v>195</v>
      </c>
      <c r="O9" s="8" t="s">
        <v>196</v>
      </c>
      <c r="P9" s="8" t="s">
        <v>93</v>
      </c>
      <c r="Q9" s="8" t="s">
        <v>197</v>
      </c>
      <c r="R9" s="8" t="s">
        <v>131</v>
      </c>
      <c r="S9" s="8" t="s">
        <v>198</v>
      </c>
      <c r="T9" s="8" t="s">
        <v>199</v>
      </c>
      <c r="U9" s="10" t="s">
        <v>98</v>
      </c>
      <c r="V9" s="10" t="s">
        <v>99</v>
      </c>
      <c r="W9" s="11" t="s">
        <v>100</v>
      </c>
      <c r="X9" s="12"/>
      <c r="Y9" s="11"/>
      <c r="Z9" s="11"/>
      <c r="AA9" s="11"/>
      <c r="AB9" s="12" t="str">
        <f aca="false">IF(X9="","",WORKDAY(X9,5))</f>
        <v/>
      </c>
      <c r="AC9" s="11"/>
      <c r="AD9" s="11"/>
    </row>
    <row r="10" customFormat="false" ht="35.05" hidden="false" customHeight="false" outlineLevel="0" collapsed="false">
      <c r="A10" s="8" t="n">
        <v>9</v>
      </c>
      <c r="B10" s="9" t="n">
        <v>4</v>
      </c>
      <c r="C10" s="8" t="s">
        <v>101</v>
      </c>
      <c r="D10" s="8" t="s">
        <v>200</v>
      </c>
      <c r="E10" s="10" t="s">
        <v>201</v>
      </c>
      <c r="F10" s="8" t="s">
        <v>121</v>
      </c>
      <c r="G10" s="8" t="s">
        <v>202</v>
      </c>
      <c r="H10" s="8" t="s">
        <v>203</v>
      </c>
      <c r="I10" s="8"/>
      <c r="J10" s="8"/>
      <c r="K10" s="8" t="s">
        <v>124</v>
      </c>
      <c r="L10" s="8" t="s">
        <v>204</v>
      </c>
      <c r="M10" s="8" t="s">
        <v>205</v>
      </c>
      <c r="N10" s="8" t="s">
        <v>127</v>
      </c>
      <c r="O10" s="8" t="s">
        <v>128</v>
      </c>
      <c r="P10" s="8" t="s">
        <v>206</v>
      </c>
      <c r="Q10" s="8" t="s">
        <v>207</v>
      </c>
      <c r="R10" s="8" t="s">
        <v>208</v>
      </c>
      <c r="S10" s="8" t="s">
        <v>209</v>
      </c>
      <c r="T10" s="8" t="s">
        <v>210</v>
      </c>
      <c r="U10" s="10" t="s">
        <v>98</v>
      </c>
      <c r="V10" s="10" t="s">
        <v>99</v>
      </c>
      <c r="W10" s="11" t="s">
        <v>100</v>
      </c>
      <c r="X10" s="12"/>
      <c r="Y10" s="11"/>
      <c r="Z10" s="11"/>
      <c r="AA10" s="11"/>
      <c r="AB10" s="12" t="str">
        <f aca="false">IF(X10="","",WORKDAY(X10,5))</f>
        <v/>
      </c>
      <c r="AC10" s="11"/>
      <c r="AD10" s="11"/>
    </row>
    <row r="11" customFormat="false" ht="46.25" hidden="false" customHeight="false" outlineLevel="0" collapsed="false">
      <c r="A11" s="8" t="n">
        <v>10</v>
      </c>
      <c r="B11" s="9" t="n">
        <v>4</v>
      </c>
      <c r="C11" s="8" t="s">
        <v>101</v>
      </c>
      <c r="D11" s="8" t="s">
        <v>211</v>
      </c>
      <c r="E11" s="10" t="s">
        <v>212</v>
      </c>
      <c r="F11" s="8" t="s">
        <v>121</v>
      </c>
      <c r="G11" s="8" t="s">
        <v>213</v>
      </c>
      <c r="H11" s="8" t="s">
        <v>214</v>
      </c>
      <c r="I11" s="8"/>
      <c r="J11" s="8"/>
      <c r="K11" s="8" t="s">
        <v>215</v>
      </c>
      <c r="L11" s="8" t="s">
        <v>216</v>
      </c>
      <c r="M11" s="8" t="s">
        <v>126</v>
      </c>
      <c r="N11" s="8" t="s">
        <v>127</v>
      </c>
      <c r="O11" s="8" t="s">
        <v>128</v>
      </c>
      <c r="P11" s="8" t="s">
        <v>217</v>
      </c>
      <c r="Q11" s="8" t="s">
        <v>218</v>
      </c>
      <c r="R11" s="8" t="s">
        <v>219</v>
      </c>
      <c r="S11" s="8" t="s">
        <v>220</v>
      </c>
      <c r="T11" s="8" t="s">
        <v>221</v>
      </c>
      <c r="U11" s="10" t="s">
        <v>98</v>
      </c>
      <c r="V11" s="10" t="s">
        <v>99</v>
      </c>
      <c r="W11" s="11" t="s">
        <v>100</v>
      </c>
      <c r="X11" s="12"/>
      <c r="Y11" s="11"/>
      <c r="Z11" s="11"/>
      <c r="AA11" s="11"/>
      <c r="AB11" s="12" t="str">
        <f aca="false">IF(X11="","",WORKDAY(X11,5))</f>
        <v/>
      </c>
      <c r="AC11" s="11"/>
      <c r="AD11" s="11"/>
    </row>
    <row r="12" customFormat="false" ht="23.85" hidden="false" customHeight="false" outlineLevel="0" collapsed="false">
      <c r="A12" s="8" t="n">
        <v>11</v>
      </c>
      <c r="B12" s="9" t="n">
        <v>4</v>
      </c>
      <c r="C12" s="8" t="s">
        <v>222</v>
      </c>
      <c r="D12" s="8" t="s">
        <v>223</v>
      </c>
      <c r="E12" s="10" t="s">
        <v>224</v>
      </c>
      <c r="F12" s="8" t="s">
        <v>121</v>
      </c>
      <c r="G12" s="8" t="s">
        <v>225</v>
      </c>
      <c r="H12" s="8" t="s">
        <v>226</v>
      </c>
      <c r="I12" s="8"/>
      <c r="J12" s="8"/>
      <c r="K12" s="8" t="s">
        <v>227</v>
      </c>
      <c r="L12" s="8" t="s">
        <v>228</v>
      </c>
      <c r="M12" s="8" t="s">
        <v>229</v>
      </c>
      <c r="N12" s="8" t="s">
        <v>230</v>
      </c>
      <c r="O12" s="8" t="s">
        <v>231</v>
      </c>
      <c r="P12" s="8" t="s">
        <v>93</v>
      </c>
      <c r="Q12" s="8" t="s">
        <v>232</v>
      </c>
      <c r="R12" s="8" t="s">
        <v>233</v>
      </c>
      <c r="S12" s="8" t="s">
        <v>234</v>
      </c>
      <c r="T12" s="8" t="s">
        <v>235</v>
      </c>
      <c r="U12" s="10" t="s">
        <v>98</v>
      </c>
      <c r="V12" s="10" t="s">
        <v>99</v>
      </c>
      <c r="W12" s="11" t="s">
        <v>100</v>
      </c>
      <c r="X12" s="12"/>
      <c r="Y12" s="11"/>
      <c r="Z12" s="11"/>
      <c r="AA12" s="11"/>
      <c r="AB12" s="12" t="str">
        <f aca="false">IF(X12="","",WORKDAY(X12,5))</f>
        <v/>
      </c>
      <c r="AC12" s="11"/>
      <c r="AD12" s="11"/>
    </row>
    <row r="13" customFormat="false" ht="23.85" hidden="false" customHeight="false" outlineLevel="0" collapsed="false">
      <c r="A13" s="8" t="n">
        <v>12</v>
      </c>
      <c r="B13" s="9" t="n">
        <v>4</v>
      </c>
      <c r="C13" s="8" t="s">
        <v>147</v>
      </c>
      <c r="D13" s="8" t="s">
        <v>236</v>
      </c>
      <c r="E13" s="10" t="s">
        <v>237</v>
      </c>
      <c r="F13" s="8" t="s">
        <v>121</v>
      </c>
      <c r="G13" s="8" t="s">
        <v>238</v>
      </c>
      <c r="H13" s="8" t="s">
        <v>239</v>
      </c>
      <c r="I13" s="8"/>
      <c r="J13" s="8"/>
      <c r="K13" s="8" t="s">
        <v>240</v>
      </c>
      <c r="L13" s="8" t="s">
        <v>241</v>
      </c>
      <c r="M13" s="8" t="s">
        <v>242</v>
      </c>
      <c r="N13" s="8" t="s">
        <v>127</v>
      </c>
      <c r="O13" s="8" t="s">
        <v>243</v>
      </c>
      <c r="P13" s="8" t="s">
        <v>93</v>
      </c>
      <c r="Q13" s="8" t="s">
        <v>244</v>
      </c>
      <c r="R13" s="8" t="s">
        <v>245</v>
      </c>
      <c r="S13" s="8"/>
      <c r="T13" s="8" t="s">
        <v>246</v>
      </c>
      <c r="U13" s="10" t="s">
        <v>98</v>
      </c>
      <c r="V13" s="10" t="s">
        <v>99</v>
      </c>
      <c r="W13" s="11" t="s">
        <v>100</v>
      </c>
      <c r="X13" s="12"/>
      <c r="Y13" s="11"/>
      <c r="Z13" s="11"/>
      <c r="AA13" s="11"/>
      <c r="AB13" s="12" t="str">
        <f aca="false">IF(X13="","",WORKDAY(X13,5))</f>
        <v/>
      </c>
      <c r="AC13" s="11"/>
      <c r="AD13" s="11"/>
    </row>
    <row r="14" customFormat="false" ht="23.85" hidden="false" customHeight="false" outlineLevel="0" collapsed="false">
      <c r="A14" s="8" t="n">
        <v>13</v>
      </c>
      <c r="B14" s="9" t="n">
        <v>4</v>
      </c>
      <c r="C14" s="8" t="s">
        <v>147</v>
      </c>
      <c r="D14" s="8" t="s">
        <v>247</v>
      </c>
      <c r="E14" s="10" t="s">
        <v>248</v>
      </c>
      <c r="F14" s="8" t="s">
        <v>249</v>
      </c>
      <c r="G14" s="8" t="s">
        <v>250</v>
      </c>
      <c r="H14" s="8" t="s">
        <v>251</v>
      </c>
      <c r="I14" s="8"/>
      <c r="J14" s="8" t="s">
        <v>252</v>
      </c>
      <c r="K14" s="8" t="s">
        <v>253</v>
      </c>
      <c r="L14" s="8" t="s">
        <v>254</v>
      </c>
      <c r="M14" s="8" t="s">
        <v>255</v>
      </c>
      <c r="N14" s="8" t="s">
        <v>256</v>
      </c>
      <c r="O14" s="8" t="s">
        <v>257</v>
      </c>
      <c r="P14" s="8" t="s">
        <v>258</v>
      </c>
      <c r="Q14" s="8" t="s">
        <v>259</v>
      </c>
      <c r="R14" s="8" t="s">
        <v>260</v>
      </c>
      <c r="S14" s="8"/>
      <c r="T14" s="8" t="s">
        <v>261</v>
      </c>
      <c r="U14" s="10" t="s">
        <v>98</v>
      </c>
      <c r="V14" s="10" t="s">
        <v>99</v>
      </c>
      <c r="W14" s="11" t="s">
        <v>100</v>
      </c>
      <c r="X14" s="12"/>
      <c r="Y14" s="11"/>
      <c r="Z14" s="11"/>
      <c r="AA14" s="11"/>
      <c r="AB14" s="12" t="str">
        <f aca="false">IF(X14="","",WORKDAY(X14,5))</f>
        <v/>
      </c>
      <c r="AC14" s="11"/>
      <c r="AD14" s="11"/>
    </row>
    <row r="15" customFormat="false" ht="35.05" hidden="false" customHeight="false" outlineLevel="0" collapsed="false">
      <c r="A15" s="8" t="n">
        <v>14</v>
      </c>
      <c r="B15" s="9" t="n">
        <v>4</v>
      </c>
      <c r="C15" s="8" t="s">
        <v>262</v>
      </c>
      <c r="D15" s="8" t="s">
        <v>263</v>
      </c>
      <c r="E15" s="10" t="s">
        <v>264</v>
      </c>
      <c r="F15" s="8" t="s">
        <v>121</v>
      </c>
      <c r="G15" s="8" t="s">
        <v>265</v>
      </c>
      <c r="H15" s="8" t="s">
        <v>266</v>
      </c>
      <c r="I15" s="8"/>
      <c r="J15" s="8"/>
      <c r="K15" s="8" t="s">
        <v>267</v>
      </c>
      <c r="L15" s="8" t="s">
        <v>268</v>
      </c>
      <c r="M15" s="8" t="s">
        <v>269</v>
      </c>
      <c r="N15" s="8" t="s">
        <v>127</v>
      </c>
      <c r="O15" s="8" t="s">
        <v>270</v>
      </c>
      <c r="P15" s="8" t="s">
        <v>93</v>
      </c>
      <c r="Q15" s="8" t="s">
        <v>271</v>
      </c>
      <c r="R15" s="8" t="s">
        <v>272</v>
      </c>
      <c r="S15" s="8"/>
      <c r="T15" s="8" t="s">
        <v>273</v>
      </c>
      <c r="U15" s="10" t="s">
        <v>98</v>
      </c>
      <c r="V15" s="10" t="s">
        <v>99</v>
      </c>
      <c r="W15" s="11" t="s">
        <v>100</v>
      </c>
      <c r="X15" s="12"/>
      <c r="Y15" s="11"/>
      <c r="Z15" s="11"/>
      <c r="AA15" s="11"/>
      <c r="AB15" s="12" t="str">
        <f aca="false">IF(X15="","",WORKDAY(X15,5))</f>
        <v/>
      </c>
      <c r="AC15" s="11"/>
      <c r="AD15" s="11"/>
    </row>
    <row r="16" customFormat="false" ht="35.05" hidden="false" customHeight="false" outlineLevel="0" collapsed="false">
      <c r="A16" s="8" t="n">
        <v>15</v>
      </c>
      <c r="B16" s="9" t="n">
        <v>4</v>
      </c>
      <c r="C16" s="8" t="s">
        <v>274</v>
      </c>
      <c r="D16" s="8" t="s">
        <v>275</v>
      </c>
      <c r="E16" s="10" t="s">
        <v>276</v>
      </c>
      <c r="F16" s="8" t="s">
        <v>121</v>
      </c>
      <c r="G16" s="8" t="s">
        <v>277</v>
      </c>
      <c r="H16" s="8" t="s">
        <v>278</v>
      </c>
      <c r="I16" s="8" t="s">
        <v>279</v>
      </c>
      <c r="J16" s="8" t="s">
        <v>280</v>
      </c>
      <c r="K16" s="8" t="s">
        <v>281</v>
      </c>
      <c r="L16" s="8" t="s">
        <v>282</v>
      </c>
      <c r="M16" s="8" t="s">
        <v>283</v>
      </c>
      <c r="N16" s="8" t="s">
        <v>284</v>
      </c>
      <c r="O16" s="8" t="s">
        <v>285</v>
      </c>
      <c r="P16" s="8" t="s">
        <v>93</v>
      </c>
      <c r="Q16" s="8" t="s">
        <v>286</v>
      </c>
      <c r="R16" s="8" t="s">
        <v>287</v>
      </c>
      <c r="S16" s="8"/>
      <c r="T16" s="8" t="s">
        <v>288</v>
      </c>
      <c r="U16" s="10" t="s">
        <v>98</v>
      </c>
      <c r="V16" s="10" t="s">
        <v>99</v>
      </c>
      <c r="W16" s="11" t="s">
        <v>100</v>
      </c>
      <c r="X16" s="12"/>
      <c r="Y16" s="11"/>
      <c r="Z16" s="11"/>
      <c r="AA16" s="11"/>
      <c r="AB16" s="12" t="str">
        <f aca="false">IF(X16="","",WORKDAY(X16,5))</f>
        <v/>
      </c>
      <c r="AC16" s="11"/>
      <c r="AD16" s="11"/>
    </row>
    <row r="17" customFormat="false" ht="35.05" hidden="false" customHeight="false" outlineLevel="0" collapsed="false">
      <c r="A17" s="8" t="n">
        <v>16</v>
      </c>
      <c r="B17" s="9" t="n">
        <v>4</v>
      </c>
      <c r="C17" s="8" t="s">
        <v>162</v>
      </c>
      <c r="D17" s="8" t="s">
        <v>289</v>
      </c>
      <c r="E17" s="10" t="s">
        <v>290</v>
      </c>
      <c r="F17" s="8" t="s">
        <v>121</v>
      </c>
      <c r="G17" s="8" t="s">
        <v>291</v>
      </c>
      <c r="H17" s="8" t="s">
        <v>292</v>
      </c>
      <c r="I17" s="8" t="s">
        <v>293</v>
      </c>
      <c r="J17" s="8"/>
      <c r="K17" s="8" t="s">
        <v>294</v>
      </c>
      <c r="L17" s="8" t="s">
        <v>295</v>
      </c>
      <c r="M17" s="8" t="s">
        <v>296</v>
      </c>
      <c r="N17" s="8" t="s">
        <v>127</v>
      </c>
      <c r="O17" s="8" t="s">
        <v>297</v>
      </c>
      <c r="P17" s="8" t="s">
        <v>93</v>
      </c>
      <c r="Q17" s="8" t="s">
        <v>298</v>
      </c>
      <c r="R17" s="8" t="s">
        <v>299</v>
      </c>
      <c r="S17" s="8"/>
      <c r="T17" s="8" t="s">
        <v>300</v>
      </c>
      <c r="U17" s="10" t="s">
        <v>98</v>
      </c>
      <c r="V17" s="10" t="s">
        <v>99</v>
      </c>
      <c r="W17" s="11" t="s">
        <v>100</v>
      </c>
      <c r="X17" s="12"/>
      <c r="Y17" s="11"/>
      <c r="Z17" s="11"/>
      <c r="AA17" s="11"/>
      <c r="AB17" s="12" t="str">
        <f aca="false">IF(X17="","",WORKDAY(X17,5))</f>
        <v/>
      </c>
      <c r="AC17" s="11"/>
      <c r="AD17" s="11"/>
    </row>
    <row r="18" customFormat="false" ht="23.85" hidden="false" customHeight="false" outlineLevel="0" collapsed="false">
      <c r="A18" s="8" t="n">
        <v>17</v>
      </c>
      <c r="B18" s="9" t="n">
        <v>4</v>
      </c>
      <c r="C18" s="8" t="s">
        <v>162</v>
      </c>
      <c r="D18" s="8" t="s">
        <v>301</v>
      </c>
      <c r="E18" s="8" t="s">
        <v>302</v>
      </c>
      <c r="F18" s="8" t="s">
        <v>121</v>
      </c>
      <c r="G18" s="8" t="s">
        <v>303</v>
      </c>
      <c r="H18" s="8" t="s">
        <v>304</v>
      </c>
      <c r="I18" s="8" t="s">
        <v>305</v>
      </c>
      <c r="J18" s="8"/>
      <c r="K18" s="8" t="s">
        <v>306</v>
      </c>
      <c r="L18" s="8" t="s">
        <v>307</v>
      </c>
      <c r="M18" s="8" t="s">
        <v>308</v>
      </c>
      <c r="N18" s="8" t="s">
        <v>127</v>
      </c>
      <c r="O18" s="8" t="s">
        <v>297</v>
      </c>
      <c r="P18" s="8" t="s">
        <v>93</v>
      </c>
      <c r="Q18" s="8" t="s">
        <v>309</v>
      </c>
      <c r="R18" s="8"/>
      <c r="S18" s="8" t="s">
        <v>310</v>
      </c>
      <c r="T18" s="8" t="s">
        <v>311</v>
      </c>
      <c r="U18" s="10" t="s">
        <v>98</v>
      </c>
      <c r="V18" s="10" t="s">
        <v>99</v>
      </c>
      <c r="W18" s="11" t="s">
        <v>100</v>
      </c>
      <c r="X18" s="12"/>
      <c r="Y18" s="11"/>
      <c r="Z18" s="11"/>
      <c r="AA18" s="11"/>
      <c r="AB18" s="12" t="str">
        <f aca="false">IF(X18="","",WORKDAY(X18,5))</f>
        <v/>
      </c>
      <c r="AC18" s="11"/>
      <c r="AD18" s="11"/>
    </row>
    <row r="19" customFormat="false" ht="23.85" hidden="false" customHeight="false" outlineLevel="0" collapsed="false">
      <c r="A19" s="8" t="n">
        <v>18</v>
      </c>
      <c r="B19" s="9" t="n">
        <v>4</v>
      </c>
      <c r="C19" s="8" t="s">
        <v>162</v>
      </c>
      <c r="D19" s="8" t="s">
        <v>312</v>
      </c>
      <c r="E19" s="10" t="s">
        <v>313</v>
      </c>
      <c r="F19" s="8" t="s">
        <v>121</v>
      </c>
      <c r="G19" s="8" t="s">
        <v>314</v>
      </c>
      <c r="H19" s="8" t="s">
        <v>315</v>
      </c>
      <c r="I19" s="8"/>
      <c r="J19" s="8" t="s">
        <v>316</v>
      </c>
      <c r="K19" s="8" t="s">
        <v>317</v>
      </c>
      <c r="L19" s="8" t="s">
        <v>318</v>
      </c>
      <c r="M19" s="8" t="s">
        <v>171</v>
      </c>
      <c r="N19" s="8" t="s">
        <v>127</v>
      </c>
      <c r="O19" s="8" t="s">
        <v>319</v>
      </c>
      <c r="P19" s="8" t="s">
        <v>93</v>
      </c>
      <c r="Q19" s="8" t="s">
        <v>320</v>
      </c>
      <c r="R19" s="8" t="s">
        <v>321</v>
      </c>
      <c r="S19" s="8"/>
      <c r="T19" s="8" t="s">
        <v>176</v>
      </c>
      <c r="U19" s="10" t="s">
        <v>98</v>
      </c>
      <c r="V19" s="10" t="s">
        <v>99</v>
      </c>
      <c r="W19" s="11" t="s">
        <v>100</v>
      </c>
      <c r="X19" s="12"/>
      <c r="Y19" s="11"/>
      <c r="Z19" s="11"/>
      <c r="AA19" s="11"/>
      <c r="AB19" s="12" t="str">
        <f aca="false">IF(X19="","",WORKDAY(X19,5))</f>
        <v/>
      </c>
      <c r="AC19" s="11"/>
      <c r="AD19" s="11"/>
    </row>
    <row r="20" customFormat="false" ht="35.05" hidden="false" customHeight="false" outlineLevel="0" collapsed="false">
      <c r="A20" s="8" t="n">
        <v>19</v>
      </c>
      <c r="B20" s="9" t="n">
        <v>3</v>
      </c>
      <c r="C20" s="8" t="s">
        <v>82</v>
      </c>
      <c r="D20" s="8" t="s">
        <v>322</v>
      </c>
      <c r="E20" s="10" t="s">
        <v>323</v>
      </c>
      <c r="F20" s="8" t="s">
        <v>324</v>
      </c>
      <c r="G20" s="8" t="s">
        <v>325</v>
      </c>
      <c r="H20" s="8"/>
      <c r="I20" s="8"/>
      <c r="J20" s="8"/>
      <c r="K20" s="8" t="s">
        <v>326</v>
      </c>
      <c r="L20" s="8" t="s">
        <v>327</v>
      </c>
      <c r="M20" s="8" t="s">
        <v>328</v>
      </c>
      <c r="N20" s="8" t="s">
        <v>329</v>
      </c>
      <c r="O20" s="8" t="s">
        <v>330</v>
      </c>
      <c r="P20" s="8" t="s">
        <v>331</v>
      </c>
      <c r="Q20" s="8" t="s">
        <v>332</v>
      </c>
      <c r="R20" s="8" t="s">
        <v>333</v>
      </c>
      <c r="S20" s="8" t="s">
        <v>334</v>
      </c>
      <c r="T20" s="8" t="s">
        <v>335</v>
      </c>
      <c r="U20" s="10" t="s">
        <v>98</v>
      </c>
      <c r="V20" s="10" t="s">
        <v>99</v>
      </c>
      <c r="W20" s="11" t="s">
        <v>100</v>
      </c>
      <c r="X20" s="12"/>
      <c r="Y20" s="11"/>
      <c r="Z20" s="11"/>
      <c r="AA20" s="11"/>
      <c r="AB20" s="12" t="str">
        <f aca="false">IF(X20="","",WORKDAY(X20,5))</f>
        <v/>
      </c>
      <c r="AC20" s="11"/>
      <c r="AD20" s="11"/>
    </row>
    <row r="21" customFormat="false" ht="23.85" hidden="false" customHeight="false" outlineLevel="0" collapsed="false">
      <c r="A21" s="8" t="n">
        <v>20</v>
      </c>
      <c r="B21" s="9" t="n">
        <v>3</v>
      </c>
      <c r="C21" s="8" t="s">
        <v>336</v>
      </c>
      <c r="D21" s="8" t="s">
        <v>337</v>
      </c>
      <c r="E21" s="10" t="s">
        <v>338</v>
      </c>
      <c r="F21" s="8" t="s">
        <v>121</v>
      </c>
      <c r="G21" s="8" t="s">
        <v>339</v>
      </c>
      <c r="H21" s="8" t="s">
        <v>340</v>
      </c>
      <c r="I21" s="8"/>
      <c r="J21" s="8"/>
      <c r="K21" s="8" t="s">
        <v>341</v>
      </c>
      <c r="L21" s="8" t="s">
        <v>342</v>
      </c>
      <c r="M21" s="8" t="s">
        <v>336</v>
      </c>
      <c r="N21" s="8" t="s">
        <v>127</v>
      </c>
      <c r="O21" s="8" t="s">
        <v>297</v>
      </c>
      <c r="P21" s="8" t="s">
        <v>93</v>
      </c>
      <c r="Q21" s="8" t="s">
        <v>343</v>
      </c>
      <c r="R21" s="8" t="s">
        <v>344</v>
      </c>
      <c r="S21" s="8"/>
      <c r="T21" s="8" t="s">
        <v>345</v>
      </c>
      <c r="U21" s="10" t="s">
        <v>98</v>
      </c>
      <c r="V21" s="10" t="s">
        <v>99</v>
      </c>
      <c r="W21" s="11" t="s">
        <v>100</v>
      </c>
      <c r="X21" s="12"/>
      <c r="Y21" s="11"/>
      <c r="Z21" s="11"/>
      <c r="AA21" s="11"/>
      <c r="AB21" s="12" t="str">
        <f aca="false">IF(X21="","",WORKDAY(X21,5))</f>
        <v/>
      </c>
      <c r="AC21" s="11"/>
      <c r="AD21" s="11"/>
    </row>
    <row r="22" customFormat="false" ht="23.85" hidden="false" customHeight="false" outlineLevel="0" collapsed="false">
      <c r="A22" s="8" t="n">
        <v>21</v>
      </c>
      <c r="B22" s="9" t="n">
        <v>3</v>
      </c>
      <c r="C22" s="8" t="s">
        <v>101</v>
      </c>
      <c r="D22" s="8" t="s">
        <v>346</v>
      </c>
      <c r="E22" s="10" t="s">
        <v>347</v>
      </c>
      <c r="F22" s="8" t="s">
        <v>121</v>
      </c>
      <c r="G22" s="8" t="s">
        <v>348</v>
      </c>
      <c r="H22" s="8" t="s">
        <v>349</v>
      </c>
      <c r="I22" s="8" t="s">
        <v>350</v>
      </c>
      <c r="J22" s="8"/>
      <c r="K22" s="8" t="s">
        <v>351</v>
      </c>
      <c r="L22" s="8" t="s">
        <v>352</v>
      </c>
      <c r="M22" s="8" t="s">
        <v>205</v>
      </c>
      <c r="N22" s="8" t="s">
        <v>127</v>
      </c>
      <c r="O22" s="8" t="s">
        <v>353</v>
      </c>
      <c r="P22" s="8" t="s">
        <v>217</v>
      </c>
      <c r="Q22" s="8" t="s">
        <v>354</v>
      </c>
      <c r="R22" s="8" t="s">
        <v>355</v>
      </c>
      <c r="S22" s="8" t="s">
        <v>356</v>
      </c>
      <c r="T22" s="8" t="s">
        <v>133</v>
      </c>
      <c r="U22" s="10" t="s">
        <v>98</v>
      </c>
      <c r="V22" s="10" t="s">
        <v>99</v>
      </c>
      <c r="W22" s="11" t="s">
        <v>100</v>
      </c>
      <c r="X22" s="12"/>
      <c r="Y22" s="11"/>
      <c r="Z22" s="11"/>
      <c r="AA22" s="11"/>
      <c r="AB22" s="12" t="str">
        <f aca="false">IF(X22="","",WORKDAY(X22,5))</f>
        <v/>
      </c>
      <c r="AC22" s="11"/>
      <c r="AD22" s="11"/>
    </row>
    <row r="23" customFormat="false" ht="23.85" hidden="false" customHeight="false" outlineLevel="0" collapsed="false">
      <c r="A23" s="8" t="n">
        <v>22</v>
      </c>
      <c r="B23" s="9" t="n">
        <v>3</v>
      </c>
      <c r="C23" s="8" t="s">
        <v>101</v>
      </c>
      <c r="D23" s="8" t="s">
        <v>357</v>
      </c>
      <c r="E23" s="10" t="s">
        <v>358</v>
      </c>
      <c r="F23" s="8" t="s">
        <v>249</v>
      </c>
      <c r="G23" s="8" t="s">
        <v>249</v>
      </c>
      <c r="H23" s="8"/>
      <c r="I23" s="8" t="s">
        <v>359</v>
      </c>
      <c r="J23" s="8" t="s">
        <v>360</v>
      </c>
      <c r="K23" s="8" t="s">
        <v>351</v>
      </c>
      <c r="L23" s="8" t="s">
        <v>361</v>
      </c>
      <c r="M23" s="8" t="s">
        <v>362</v>
      </c>
      <c r="N23" s="8" t="s">
        <v>127</v>
      </c>
      <c r="O23" s="8" t="s">
        <v>363</v>
      </c>
      <c r="P23" s="8" t="s">
        <v>364</v>
      </c>
      <c r="Q23" s="8" t="s">
        <v>365</v>
      </c>
      <c r="R23" s="8" t="s">
        <v>366</v>
      </c>
      <c r="S23" s="8"/>
      <c r="T23" s="8" t="s">
        <v>118</v>
      </c>
      <c r="U23" s="10" t="s">
        <v>98</v>
      </c>
      <c r="V23" s="10" t="s">
        <v>99</v>
      </c>
      <c r="W23" s="11" t="s">
        <v>100</v>
      </c>
      <c r="X23" s="12"/>
      <c r="Y23" s="11"/>
      <c r="Z23" s="11"/>
      <c r="AA23" s="11"/>
      <c r="AB23" s="12" t="str">
        <f aca="false">IF(X23="","",WORKDAY(X23,5))</f>
        <v/>
      </c>
      <c r="AC23" s="11"/>
      <c r="AD23" s="11"/>
    </row>
    <row r="24" customFormat="false" ht="23.85" hidden="false" customHeight="false" outlineLevel="0" collapsed="false">
      <c r="A24" s="8" t="n">
        <v>23</v>
      </c>
      <c r="B24" s="9" t="n">
        <v>3</v>
      </c>
      <c r="C24" s="8" t="s">
        <v>101</v>
      </c>
      <c r="D24" s="8" t="s">
        <v>367</v>
      </c>
      <c r="E24" s="10" t="s">
        <v>368</v>
      </c>
      <c r="F24" s="8" t="s">
        <v>369</v>
      </c>
      <c r="G24" s="8" t="s">
        <v>370</v>
      </c>
      <c r="H24" s="8" t="s">
        <v>371</v>
      </c>
      <c r="I24" s="8" t="s">
        <v>372</v>
      </c>
      <c r="J24" s="8"/>
      <c r="K24" s="8" t="s">
        <v>373</v>
      </c>
      <c r="L24" s="8" t="s">
        <v>374</v>
      </c>
      <c r="M24" s="8" t="s">
        <v>375</v>
      </c>
      <c r="N24" s="8" t="s">
        <v>127</v>
      </c>
      <c r="O24" s="8" t="s">
        <v>376</v>
      </c>
      <c r="P24" s="8" t="s">
        <v>364</v>
      </c>
      <c r="Q24" s="8" t="s">
        <v>377</v>
      </c>
      <c r="R24" s="8" t="s">
        <v>378</v>
      </c>
      <c r="S24" s="8"/>
      <c r="T24" s="8" t="s">
        <v>133</v>
      </c>
      <c r="U24" s="10" t="s">
        <v>98</v>
      </c>
      <c r="V24" s="10" t="s">
        <v>99</v>
      </c>
      <c r="W24" s="11" t="s">
        <v>100</v>
      </c>
      <c r="X24" s="12"/>
      <c r="Y24" s="11"/>
      <c r="Z24" s="11"/>
      <c r="AA24" s="11"/>
      <c r="AB24" s="12" t="str">
        <f aca="false">IF(X24="","",WORKDAY(X24,5))</f>
        <v/>
      </c>
      <c r="AC24" s="11"/>
      <c r="AD24" s="11"/>
    </row>
    <row r="25" customFormat="false" ht="35.05" hidden="false" customHeight="false" outlineLevel="0" collapsed="false">
      <c r="A25" s="8" t="n">
        <v>24</v>
      </c>
      <c r="B25" s="9" t="n">
        <v>3</v>
      </c>
      <c r="C25" s="8" t="s">
        <v>101</v>
      </c>
      <c r="D25" s="8" t="s">
        <v>379</v>
      </c>
      <c r="E25" s="8" t="s">
        <v>302</v>
      </c>
      <c r="F25" s="8" t="s">
        <v>380</v>
      </c>
      <c r="G25" s="8" t="s">
        <v>381</v>
      </c>
      <c r="H25" s="8" t="s">
        <v>382</v>
      </c>
      <c r="I25" s="8"/>
      <c r="J25" s="8"/>
      <c r="K25" s="8" t="s">
        <v>153</v>
      </c>
      <c r="L25" s="8" t="s">
        <v>383</v>
      </c>
      <c r="M25" s="8" t="s">
        <v>384</v>
      </c>
      <c r="N25" s="8" t="s">
        <v>127</v>
      </c>
      <c r="O25" s="8" t="s">
        <v>128</v>
      </c>
      <c r="P25" s="8" t="s">
        <v>364</v>
      </c>
      <c r="Q25" s="8" t="s">
        <v>385</v>
      </c>
      <c r="R25" s="8"/>
      <c r="S25" s="8" t="s">
        <v>386</v>
      </c>
      <c r="T25" s="8" t="s">
        <v>387</v>
      </c>
      <c r="U25" s="10" t="s">
        <v>98</v>
      </c>
      <c r="V25" s="10" t="s">
        <v>99</v>
      </c>
      <c r="W25" s="11" t="s">
        <v>100</v>
      </c>
      <c r="X25" s="12"/>
      <c r="Y25" s="11"/>
      <c r="Z25" s="11"/>
      <c r="AA25" s="11"/>
      <c r="AB25" s="12" t="str">
        <f aca="false">IF(X25="","",WORKDAY(X25,5))</f>
        <v/>
      </c>
      <c r="AC25" s="11"/>
      <c r="AD25" s="11"/>
    </row>
    <row r="26" customFormat="false" ht="23.85" hidden="false" customHeight="false" outlineLevel="0" collapsed="false">
      <c r="A26" s="8" t="n">
        <v>25</v>
      </c>
      <c r="B26" s="9" t="n">
        <v>3</v>
      </c>
      <c r="C26" s="8" t="s">
        <v>101</v>
      </c>
      <c r="D26" s="8" t="s">
        <v>388</v>
      </c>
      <c r="E26" s="8" t="s">
        <v>302</v>
      </c>
      <c r="F26" s="8" t="s">
        <v>389</v>
      </c>
      <c r="G26" s="8" t="s">
        <v>390</v>
      </c>
      <c r="H26" s="8" t="s">
        <v>391</v>
      </c>
      <c r="I26" s="8"/>
      <c r="J26" s="8"/>
      <c r="K26" s="8" t="s">
        <v>392</v>
      </c>
      <c r="L26" s="8" t="s">
        <v>393</v>
      </c>
      <c r="M26" s="8" t="s">
        <v>394</v>
      </c>
      <c r="N26" s="8" t="s">
        <v>127</v>
      </c>
      <c r="O26" s="8" t="s">
        <v>128</v>
      </c>
      <c r="P26" s="8" t="s">
        <v>395</v>
      </c>
      <c r="Q26" s="8" t="s">
        <v>396</v>
      </c>
      <c r="R26" s="8" t="s">
        <v>397</v>
      </c>
      <c r="S26" s="8"/>
      <c r="T26" s="8" t="s">
        <v>398</v>
      </c>
      <c r="U26" s="10" t="s">
        <v>98</v>
      </c>
      <c r="V26" s="10" t="s">
        <v>99</v>
      </c>
      <c r="W26" s="11" t="s">
        <v>100</v>
      </c>
      <c r="X26" s="12"/>
      <c r="Y26" s="11"/>
      <c r="Z26" s="11"/>
      <c r="AA26" s="11"/>
      <c r="AB26" s="12" t="str">
        <f aca="false">IF(X26="","",WORKDAY(X26,5))</f>
        <v/>
      </c>
      <c r="AC26" s="11"/>
      <c r="AD26" s="11"/>
    </row>
    <row r="27" customFormat="false" ht="35.05" hidden="false" customHeight="false" outlineLevel="0" collapsed="false">
      <c r="A27" s="8" t="n">
        <v>26</v>
      </c>
      <c r="B27" s="9" t="n">
        <v>3</v>
      </c>
      <c r="C27" s="8" t="s">
        <v>101</v>
      </c>
      <c r="D27" s="8" t="s">
        <v>399</v>
      </c>
      <c r="E27" s="10" t="s">
        <v>400</v>
      </c>
      <c r="F27" s="8" t="s">
        <v>324</v>
      </c>
      <c r="G27" s="8" t="s">
        <v>401</v>
      </c>
      <c r="H27" s="8" t="s">
        <v>402</v>
      </c>
      <c r="I27" s="8" t="s">
        <v>403</v>
      </c>
      <c r="J27" s="8" t="s">
        <v>404</v>
      </c>
      <c r="K27" s="8" t="s">
        <v>405</v>
      </c>
      <c r="L27" s="8" t="s">
        <v>406</v>
      </c>
      <c r="M27" s="8" t="s">
        <v>407</v>
      </c>
      <c r="N27" s="8" t="s">
        <v>408</v>
      </c>
      <c r="O27" s="8" t="s">
        <v>409</v>
      </c>
      <c r="P27" s="8" t="s">
        <v>410</v>
      </c>
      <c r="Q27" s="8" t="s">
        <v>411</v>
      </c>
      <c r="R27" s="8" t="s">
        <v>412</v>
      </c>
      <c r="S27" s="8" t="s">
        <v>413</v>
      </c>
      <c r="T27" s="8" t="s">
        <v>118</v>
      </c>
      <c r="U27" s="10" t="s">
        <v>98</v>
      </c>
      <c r="V27" s="10" t="s">
        <v>99</v>
      </c>
      <c r="W27" s="11" t="s">
        <v>100</v>
      </c>
      <c r="X27" s="12"/>
      <c r="Y27" s="11"/>
      <c r="Z27" s="11"/>
      <c r="AA27" s="11"/>
      <c r="AB27" s="12" t="str">
        <f aca="false">IF(X27="","",WORKDAY(X27,5))</f>
        <v/>
      </c>
      <c r="AC27" s="11"/>
      <c r="AD27" s="11"/>
    </row>
    <row r="28" customFormat="false" ht="23.85" hidden="false" customHeight="false" outlineLevel="0" collapsed="false">
      <c r="A28" s="8" t="n">
        <v>27</v>
      </c>
      <c r="B28" s="9" t="n">
        <v>3</v>
      </c>
      <c r="C28" s="8" t="s">
        <v>101</v>
      </c>
      <c r="D28" s="8" t="s">
        <v>414</v>
      </c>
      <c r="E28" s="8" t="s">
        <v>302</v>
      </c>
      <c r="F28" s="8" t="s">
        <v>389</v>
      </c>
      <c r="G28" s="8" t="s">
        <v>415</v>
      </c>
      <c r="H28" s="8" t="s">
        <v>416</v>
      </c>
      <c r="I28" s="8"/>
      <c r="J28" s="8"/>
      <c r="K28" s="8" t="s">
        <v>153</v>
      </c>
      <c r="L28" s="8" t="s">
        <v>417</v>
      </c>
      <c r="M28" s="8" t="s">
        <v>205</v>
      </c>
      <c r="N28" s="8" t="s">
        <v>127</v>
      </c>
      <c r="O28" s="8" t="s">
        <v>418</v>
      </c>
      <c r="P28" s="8" t="s">
        <v>364</v>
      </c>
      <c r="Q28" s="8" t="s">
        <v>419</v>
      </c>
      <c r="R28" s="8"/>
      <c r="S28" s="8"/>
      <c r="T28" s="8" t="s">
        <v>420</v>
      </c>
      <c r="U28" s="10" t="s">
        <v>98</v>
      </c>
      <c r="V28" s="10" t="s">
        <v>99</v>
      </c>
      <c r="W28" s="11" t="s">
        <v>100</v>
      </c>
      <c r="X28" s="12"/>
      <c r="Y28" s="11"/>
      <c r="Z28" s="11"/>
      <c r="AA28" s="11"/>
      <c r="AB28" s="12" t="str">
        <f aca="false">IF(X28="","",WORKDAY(X28,5))</f>
        <v/>
      </c>
      <c r="AC28" s="11"/>
      <c r="AD28" s="11"/>
    </row>
    <row r="29" customFormat="false" ht="35.05" hidden="false" customHeight="false" outlineLevel="0" collapsed="false">
      <c r="A29" s="8" t="n">
        <v>28</v>
      </c>
      <c r="B29" s="9" t="n">
        <v>3</v>
      </c>
      <c r="C29" s="8" t="s">
        <v>222</v>
      </c>
      <c r="D29" s="8" t="s">
        <v>421</v>
      </c>
      <c r="E29" s="10" t="s">
        <v>422</v>
      </c>
      <c r="F29" s="8" t="s">
        <v>121</v>
      </c>
      <c r="G29" s="8" t="s">
        <v>423</v>
      </c>
      <c r="H29" s="8" t="s">
        <v>424</v>
      </c>
      <c r="I29" s="8" t="s">
        <v>425</v>
      </c>
      <c r="J29" s="8" t="s">
        <v>426</v>
      </c>
      <c r="K29" s="8" t="s">
        <v>427</v>
      </c>
      <c r="L29" s="8" t="s">
        <v>428</v>
      </c>
      <c r="M29" s="8" t="s">
        <v>229</v>
      </c>
      <c r="N29" s="8" t="s">
        <v>429</v>
      </c>
      <c r="O29" s="8" t="s">
        <v>430</v>
      </c>
      <c r="P29" s="8" t="s">
        <v>93</v>
      </c>
      <c r="Q29" s="8" t="s">
        <v>431</v>
      </c>
      <c r="R29" s="8"/>
      <c r="S29" s="8"/>
      <c r="T29" s="8" t="s">
        <v>432</v>
      </c>
      <c r="U29" s="10" t="s">
        <v>98</v>
      </c>
      <c r="V29" s="10" t="s">
        <v>99</v>
      </c>
      <c r="W29" s="11" t="s">
        <v>100</v>
      </c>
      <c r="X29" s="12"/>
      <c r="Y29" s="11"/>
      <c r="Z29" s="11"/>
      <c r="AA29" s="11"/>
      <c r="AB29" s="12" t="str">
        <f aca="false">IF(X29="","",WORKDAY(X29,5))</f>
        <v/>
      </c>
      <c r="AC29" s="11"/>
      <c r="AD29" s="11"/>
    </row>
    <row r="30" customFormat="false" ht="46.25" hidden="false" customHeight="false" outlineLevel="0" collapsed="false">
      <c r="A30" s="8" t="n">
        <v>29</v>
      </c>
      <c r="B30" s="9" t="n">
        <v>3</v>
      </c>
      <c r="C30" s="8" t="s">
        <v>222</v>
      </c>
      <c r="D30" s="8" t="s">
        <v>433</v>
      </c>
      <c r="E30" s="10" t="s">
        <v>434</v>
      </c>
      <c r="F30" s="8" t="s">
        <v>121</v>
      </c>
      <c r="G30" s="8" t="s">
        <v>435</v>
      </c>
      <c r="H30" s="8"/>
      <c r="I30" s="8" t="s">
        <v>436</v>
      </c>
      <c r="J30" s="8"/>
      <c r="K30" s="8" t="s">
        <v>437</v>
      </c>
      <c r="L30" s="8" t="s">
        <v>438</v>
      </c>
      <c r="M30" s="8" t="s">
        <v>439</v>
      </c>
      <c r="N30" s="8" t="s">
        <v>440</v>
      </c>
      <c r="O30" s="8" t="s">
        <v>441</v>
      </c>
      <c r="P30" s="8" t="s">
        <v>93</v>
      </c>
      <c r="Q30" s="8" t="s">
        <v>442</v>
      </c>
      <c r="R30" s="8" t="s">
        <v>443</v>
      </c>
      <c r="S30" s="8"/>
      <c r="T30" s="8" t="s">
        <v>432</v>
      </c>
      <c r="U30" s="10" t="s">
        <v>98</v>
      </c>
      <c r="V30" s="10" t="s">
        <v>99</v>
      </c>
      <c r="W30" s="11" t="s">
        <v>100</v>
      </c>
      <c r="X30" s="12"/>
      <c r="Y30" s="11"/>
      <c r="Z30" s="11"/>
      <c r="AA30" s="11"/>
      <c r="AB30" s="12" t="str">
        <f aca="false">IF(X30="","",WORKDAY(X30,5))</f>
        <v/>
      </c>
      <c r="AC30" s="11"/>
      <c r="AD30" s="11"/>
    </row>
    <row r="31" customFormat="false" ht="23.85" hidden="false" customHeight="false" outlineLevel="0" collapsed="false">
      <c r="A31" s="8" t="n">
        <v>30</v>
      </c>
      <c r="B31" s="9" t="n">
        <v>3</v>
      </c>
      <c r="C31" s="8" t="s">
        <v>222</v>
      </c>
      <c r="D31" s="8" t="s">
        <v>444</v>
      </c>
      <c r="E31" s="10" t="s">
        <v>445</v>
      </c>
      <c r="F31" s="8" t="s">
        <v>121</v>
      </c>
      <c r="G31" s="8" t="s">
        <v>446</v>
      </c>
      <c r="H31" s="8" t="s">
        <v>447</v>
      </c>
      <c r="I31" s="8" t="s">
        <v>448</v>
      </c>
      <c r="J31" s="8"/>
      <c r="K31" s="8" t="s">
        <v>449</v>
      </c>
      <c r="L31" s="8" t="s">
        <v>428</v>
      </c>
      <c r="M31" s="8" t="s">
        <v>229</v>
      </c>
      <c r="N31" s="8" t="s">
        <v>440</v>
      </c>
      <c r="O31" s="8" t="s">
        <v>450</v>
      </c>
      <c r="P31" s="8" t="s">
        <v>93</v>
      </c>
      <c r="Q31" s="8" t="s">
        <v>451</v>
      </c>
      <c r="R31" s="8"/>
      <c r="S31" s="8"/>
      <c r="T31" s="8" t="s">
        <v>452</v>
      </c>
      <c r="U31" s="10" t="s">
        <v>98</v>
      </c>
      <c r="V31" s="10" t="s">
        <v>99</v>
      </c>
      <c r="W31" s="11" t="s">
        <v>100</v>
      </c>
      <c r="X31" s="12"/>
      <c r="Y31" s="11"/>
      <c r="Z31" s="11"/>
      <c r="AA31" s="11"/>
      <c r="AB31" s="12" t="str">
        <f aca="false">IF(X31="","",WORKDAY(X31,5))</f>
        <v/>
      </c>
      <c r="AC31" s="11"/>
      <c r="AD31" s="11"/>
    </row>
    <row r="32" customFormat="false" ht="23.85" hidden="false" customHeight="false" outlineLevel="0" collapsed="false">
      <c r="A32" s="8" t="n">
        <v>31</v>
      </c>
      <c r="B32" s="9" t="n">
        <v>3</v>
      </c>
      <c r="C32" s="8" t="s">
        <v>222</v>
      </c>
      <c r="D32" s="8" t="s">
        <v>453</v>
      </c>
      <c r="E32" s="10" t="s">
        <v>454</v>
      </c>
      <c r="F32" s="8" t="s">
        <v>121</v>
      </c>
      <c r="G32" s="8" t="s">
        <v>455</v>
      </c>
      <c r="H32" s="8" t="s">
        <v>456</v>
      </c>
      <c r="I32" s="8"/>
      <c r="J32" s="8"/>
      <c r="K32" s="8" t="s">
        <v>457</v>
      </c>
      <c r="L32" s="8" t="s">
        <v>458</v>
      </c>
      <c r="M32" s="8" t="s">
        <v>459</v>
      </c>
      <c r="N32" s="8" t="s">
        <v>127</v>
      </c>
      <c r="O32" s="8" t="s">
        <v>460</v>
      </c>
      <c r="P32" s="8" t="s">
        <v>93</v>
      </c>
      <c r="Q32" s="8" t="s">
        <v>461</v>
      </c>
      <c r="R32" s="8" t="s">
        <v>462</v>
      </c>
      <c r="S32" s="8"/>
      <c r="T32" s="8" t="s">
        <v>176</v>
      </c>
      <c r="U32" s="10" t="s">
        <v>98</v>
      </c>
      <c r="V32" s="10" t="s">
        <v>99</v>
      </c>
      <c r="W32" s="11" t="s">
        <v>100</v>
      </c>
      <c r="X32" s="12"/>
      <c r="Y32" s="11"/>
      <c r="Z32" s="11"/>
      <c r="AA32" s="11"/>
      <c r="AB32" s="12" t="str">
        <f aca="false">IF(X32="","",WORKDAY(X32,5))</f>
        <v/>
      </c>
      <c r="AC32" s="11"/>
      <c r="AD32" s="11"/>
    </row>
    <row r="33" customFormat="false" ht="23.85" hidden="false" customHeight="false" outlineLevel="0" collapsed="false">
      <c r="A33" s="8" t="n">
        <v>32</v>
      </c>
      <c r="B33" s="9" t="n">
        <v>3</v>
      </c>
      <c r="C33" s="8" t="s">
        <v>222</v>
      </c>
      <c r="D33" s="8" t="s">
        <v>463</v>
      </c>
      <c r="E33" s="10" t="s">
        <v>464</v>
      </c>
      <c r="F33" s="8" t="s">
        <v>121</v>
      </c>
      <c r="G33" s="8" t="s">
        <v>465</v>
      </c>
      <c r="H33" s="8" t="s">
        <v>466</v>
      </c>
      <c r="I33" s="8" t="s">
        <v>467</v>
      </c>
      <c r="J33" s="8"/>
      <c r="K33" s="8" t="s">
        <v>449</v>
      </c>
      <c r="L33" s="8" t="s">
        <v>468</v>
      </c>
      <c r="M33" s="8" t="s">
        <v>229</v>
      </c>
      <c r="N33" s="8" t="s">
        <v>440</v>
      </c>
      <c r="O33" s="8" t="s">
        <v>430</v>
      </c>
      <c r="P33" s="8" t="s">
        <v>93</v>
      </c>
      <c r="Q33" s="8" t="s">
        <v>469</v>
      </c>
      <c r="R33" s="8"/>
      <c r="S33" s="8"/>
      <c r="T33" s="8" t="s">
        <v>345</v>
      </c>
      <c r="U33" s="10" t="s">
        <v>98</v>
      </c>
      <c r="V33" s="10" t="s">
        <v>99</v>
      </c>
      <c r="W33" s="11" t="s">
        <v>100</v>
      </c>
      <c r="X33" s="12"/>
      <c r="Y33" s="11"/>
      <c r="Z33" s="11"/>
      <c r="AA33" s="11"/>
      <c r="AB33" s="12" t="str">
        <f aca="false">IF(X33="","",WORKDAY(X33,5))</f>
        <v/>
      </c>
      <c r="AC33" s="11"/>
      <c r="AD33" s="11"/>
    </row>
    <row r="34" customFormat="false" ht="46.25" hidden="false" customHeight="false" outlineLevel="0" collapsed="false">
      <c r="A34" s="8" t="n">
        <v>33</v>
      </c>
      <c r="B34" s="9" t="n">
        <v>3</v>
      </c>
      <c r="C34" s="8" t="s">
        <v>147</v>
      </c>
      <c r="D34" s="8" t="s">
        <v>470</v>
      </c>
      <c r="E34" s="10" t="s">
        <v>471</v>
      </c>
      <c r="F34" s="8" t="s">
        <v>121</v>
      </c>
      <c r="G34" s="8" t="s">
        <v>472</v>
      </c>
      <c r="H34" s="8" t="s">
        <v>473</v>
      </c>
      <c r="I34" s="8" t="s">
        <v>474</v>
      </c>
      <c r="J34" s="8" t="s">
        <v>475</v>
      </c>
      <c r="K34" s="8" t="s">
        <v>124</v>
      </c>
      <c r="L34" s="8" t="s">
        <v>476</v>
      </c>
      <c r="M34" s="8" t="s">
        <v>477</v>
      </c>
      <c r="N34" s="8" t="s">
        <v>127</v>
      </c>
      <c r="O34" s="8" t="s">
        <v>478</v>
      </c>
      <c r="P34" s="8" t="s">
        <v>217</v>
      </c>
      <c r="Q34" s="8" t="s">
        <v>479</v>
      </c>
      <c r="R34" s="8" t="s">
        <v>480</v>
      </c>
      <c r="S34" s="8" t="s">
        <v>481</v>
      </c>
      <c r="T34" s="8" t="s">
        <v>482</v>
      </c>
      <c r="U34" s="10" t="s">
        <v>98</v>
      </c>
      <c r="V34" s="10" t="s">
        <v>99</v>
      </c>
      <c r="W34" s="11" t="s">
        <v>100</v>
      </c>
      <c r="X34" s="12"/>
      <c r="Y34" s="11"/>
      <c r="Z34" s="11"/>
      <c r="AA34" s="11"/>
      <c r="AB34" s="12" t="str">
        <f aca="false">IF(X34="","",WORKDAY(X34,5))</f>
        <v/>
      </c>
      <c r="AC34" s="11"/>
      <c r="AD34" s="11"/>
    </row>
    <row r="35" customFormat="false" ht="15" hidden="false" customHeight="false" outlineLevel="0" collapsed="false">
      <c r="A35" s="8" t="n">
        <v>34</v>
      </c>
      <c r="B35" s="9" t="n">
        <v>3</v>
      </c>
      <c r="C35" s="8" t="s">
        <v>147</v>
      </c>
      <c r="D35" s="8" t="s">
        <v>483</v>
      </c>
      <c r="E35" s="10" t="s">
        <v>484</v>
      </c>
      <c r="F35" s="8" t="s">
        <v>121</v>
      </c>
      <c r="G35" s="8" t="s">
        <v>485</v>
      </c>
      <c r="H35" s="8" t="s">
        <v>486</v>
      </c>
      <c r="I35" s="8" t="s">
        <v>487</v>
      </c>
      <c r="J35" s="8" t="s">
        <v>488</v>
      </c>
      <c r="K35" s="8" t="s">
        <v>489</v>
      </c>
      <c r="L35" s="8" t="s">
        <v>490</v>
      </c>
      <c r="M35" s="8" t="s">
        <v>491</v>
      </c>
      <c r="N35" s="8" t="s">
        <v>127</v>
      </c>
      <c r="O35" s="8" t="s">
        <v>297</v>
      </c>
      <c r="P35" s="8" t="s">
        <v>93</v>
      </c>
      <c r="Q35" s="8" t="s">
        <v>492</v>
      </c>
      <c r="R35" s="8"/>
      <c r="S35" s="8" t="s">
        <v>493</v>
      </c>
      <c r="T35" s="8" t="s">
        <v>494</v>
      </c>
      <c r="U35" s="10" t="s">
        <v>98</v>
      </c>
      <c r="V35" s="10" t="s">
        <v>99</v>
      </c>
      <c r="W35" s="11" t="s">
        <v>100</v>
      </c>
      <c r="X35" s="12"/>
      <c r="Y35" s="11"/>
      <c r="Z35" s="11"/>
      <c r="AA35" s="11"/>
      <c r="AB35" s="12" t="str">
        <f aca="false">IF(X35="","",WORKDAY(X35,5))</f>
        <v/>
      </c>
      <c r="AC35" s="11"/>
      <c r="AD35" s="11"/>
    </row>
    <row r="36" customFormat="false" ht="35.05" hidden="false" customHeight="false" outlineLevel="0" collapsed="false">
      <c r="A36" s="8" t="n">
        <v>35</v>
      </c>
      <c r="B36" s="9" t="n">
        <v>3</v>
      </c>
      <c r="C36" s="8" t="s">
        <v>147</v>
      </c>
      <c r="D36" s="8" t="s">
        <v>495</v>
      </c>
      <c r="E36" s="8" t="s">
        <v>302</v>
      </c>
      <c r="F36" s="8" t="s">
        <v>121</v>
      </c>
      <c r="G36" s="8" t="s">
        <v>122</v>
      </c>
      <c r="H36" s="8" t="s">
        <v>496</v>
      </c>
      <c r="I36" s="8" t="s">
        <v>497</v>
      </c>
      <c r="J36" s="8"/>
      <c r="K36" s="8" t="s">
        <v>498</v>
      </c>
      <c r="L36" s="8" t="s">
        <v>499</v>
      </c>
      <c r="M36" s="8" t="s">
        <v>500</v>
      </c>
      <c r="N36" s="8" t="s">
        <v>127</v>
      </c>
      <c r="O36" s="8" t="s">
        <v>501</v>
      </c>
      <c r="P36" s="8" t="s">
        <v>93</v>
      </c>
      <c r="Q36" s="8" t="s">
        <v>502</v>
      </c>
      <c r="R36" s="8" t="s">
        <v>503</v>
      </c>
      <c r="S36" s="8" t="s">
        <v>504</v>
      </c>
      <c r="T36" s="8" t="s">
        <v>505</v>
      </c>
      <c r="U36" s="10" t="s">
        <v>98</v>
      </c>
      <c r="V36" s="10" t="s">
        <v>99</v>
      </c>
      <c r="W36" s="11" t="s">
        <v>100</v>
      </c>
      <c r="X36" s="12"/>
      <c r="Y36" s="11"/>
      <c r="Z36" s="11"/>
      <c r="AA36" s="11"/>
      <c r="AB36" s="12" t="str">
        <f aca="false">IF(X36="","",WORKDAY(X36,5))</f>
        <v/>
      </c>
      <c r="AC36" s="11"/>
      <c r="AD36" s="11"/>
    </row>
    <row r="37" customFormat="false" ht="23.85" hidden="false" customHeight="false" outlineLevel="0" collapsed="false">
      <c r="A37" s="8" t="n">
        <v>36</v>
      </c>
      <c r="B37" s="9" t="n">
        <v>3</v>
      </c>
      <c r="C37" s="8" t="s">
        <v>274</v>
      </c>
      <c r="D37" s="8" t="s">
        <v>506</v>
      </c>
      <c r="E37" s="10" t="s">
        <v>507</v>
      </c>
      <c r="F37" s="8" t="s">
        <v>121</v>
      </c>
      <c r="G37" s="8" t="s">
        <v>508</v>
      </c>
      <c r="H37" s="8"/>
      <c r="I37" s="8" t="s">
        <v>509</v>
      </c>
      <c r="J37" s="8" t="s">
        <v>510</v>
      </c>
      <c r="K37" s="8" t="s">
        <v>281</v>
      </c>
      <c r="L37" s="8" t="s">
        <v>511</v>
      </c>
      <c r="M37" s="8" t="s">
        <v>274</v>
      </c>
      <c r="N37" s="8" t="s">
        <v>127</v>
      </c>
      <c r="O37" s="8" t="s">
        <v>512</v>
      </c>
      <c r="P37" s="8" t="s">
        <v>93</v>
      </c>
      <c r="Q37" s="8" t="s">
        <v>513</v>
      </c>
      <c r="R37" s="8"/>
      <c r="S37" s="8" t="s">
        <v>514</v>
      </c>
      <c r="T37" s="8" t="s">
        <v>515</v>
      </c>
      <c r="U37" s="10" t="s">
        <v>98</v>
      </c>
      <c r="V37" s="10" t="s">
        <v>99</v>
      </c>
      <c r="W37" s="11" t="s">
        <v>100</v>
      </c>
      <c r="X37" s="12"/>
      <c r="Y37" s="11"/>
      <c r="Z37" s="11"/>
      <c r="AA37" s="11"/>
      <c r="AB37" s="12" t="str">
        <f aca="false">IF(X37="","",WORKDAY(X37,5))</f>
        <v/>
      </c>
      <c r="AC37" s="11"/>
      <c r="AD37" s="11"/>
    </row>
    <row r="38" customFormat="false" ht="23.85" hidden="false" customHeight="false" outlineLevel="0" collapsed="false">
      <c r="A38" s="8" t="n">
        <v>37</v>
      </c>
      <c r="B38" s="9" t="n">
        <v>3</v>
      </c>
      <c r="C38" s="8" t="s">
        <v>162</v>
      </c>
      <c r="D38" s="8" t="s">
        <v>516</v>
      </c>
      <c r="E38" s="10" t="s">
        <v>517</v>
      </c>
      <c r="F38" s="8" t="s">
        <v>121</v>
      </c>
      <c r="G38" s="8" t="s">
        <v>518</v>
      </c>
      <c r="H38" s="8" t="s">
        <v>519</v>
      </c>
      <c r="I38" s="8" t="s">
        <v>520</v>
      </c>
      <c r="J38" s="8"/>
      <c r="K38" s="8" t="s">
        <v>294</v>
      </c>
      <c r="L38" s="8" t="s">
        <v>521</v>
      </c>
      <c r="M38" s="8" t="s">
        <v>522</v>
      </c>
      <c r="N38" s="8" t="s">
        <v>127</v>
      </c>
      <c r="O38" s="8" t="s">
        <v>523</v>
      </c>
      <c r="P38" s="8" t="s">
        <v>93</v>
      </c>
      <c r="Q38" s="8" t="s">
        <v>524</v>
      </c>
      <c r="R38" s="8"/>
      <c r="S38" s="8" t="s">
        <v>525</v>
      </c>
      <c r="T38" s="8" t="s">
        <v>526</v>
      </c>
      <c r="U38" s="10" t="s">
        <v>98</v>
      </c>
      <c r="V38" s="10" t="s">
        <v>99</v>
      </c>
      <c r="W38" s="11" t="s">
        <v>100</v>
      </c>
      <c r="X38" s="12"/>
      <c r="Y38" s="11"/>
      <c r="Z38" s="11"/>
      <c r="AA38" s="11"/>
      <c r="AB38" s="12" t="str">
        <f aca="false">IF(X38="","",WORKDAY(X38,5))</f>
        <v/>
      </c>
      <c r="AC38" s="11"/>
      <c r="AD38" s="11"/>
    </row>
    <row r="39" customFormat="false" ht="23.85" hidden="false" customHeight="false" outlineLevel="0" collapsed="false">
      <c r="A39" s="8" t="n">
        <v>38</v>
      </c>
      <c r="B39" s="9" t="n">
        <v>3</v>
      </c>
      <c r="C39" s="8" t="s">
        <v>162</v>
      </c>
      <c r="D39" s="8" t="s">
        <v>527</v>
      </c>
      <c r="E39" s="10" t="s">
        <v>528</v>
      </c>
      <c r="F39" s="8" t="s">
        <v>529</v>
      </c>
      <c r="G39" s="8" t="s">
        <v>530</v>
      </c>
      <c r="H39" s="8" t="s">
        <v>531</v>
      </c>
      <c r="I39" s="8" t="s">
        <v>532</v>
      </c>
      <c r="J39" s="8"/>
      <c r="K39" s="8" t="s">
        <v>533</v>
      </c>
      <c r="L39" s="8" t="s">
        <v>534</v>
      </c>
      <c r="M39" s="8" t="s">
        <v>535</v>
      </c>
      <c r="N39" s="8" t="s">
        <v>536</v>
      </c>
      <c r="O39" s="8" t="s">
        <v>172</v>
      </c>
      <c r="P39" s="8" t="s">
        <v>93</v>
      </c>
      <c r="Q39" s="8" t="s">
        <v>537</v>
      </c>
      <c r="R39" s="8" t="s">
        <v>538</v>
      </c>
      <c r="S39" s="8"/>
      <c r="T39" s="8" t="s">
        <v>539</v>
      </c>
      <c r="U39" s="10" t="s">
        <v>98</v>
      </c>
      <c r="V39" s="10" t="s">
        <v>99</v>
      </c>
      <c r="W39" s="11" t="s">
        <v>100</v>
      </c>
      <c r="X39" s="12"/>
      <c r="Y39" s="11"/>
      <c r="Z39" s="11"/>
      <c r="AA39" s="11"/>
      <c r="AB39" s="12" t="str">
        <f aca="false">IF(X39="","",WORKDAY(X39,5))</f>
        <v/>
      </c>
      <c r="AC39" s="11"/>
      <c r="AD39" s="11"/>
    </row>
    <row r="40" customFormat="false" ht="35.05" hidden="false" customHeight="false" outlineLevel="0" collapsed="false">
      <c r="A40" s="8" t="n">
        <v>39</v>
      </c>
      <c r="B40" s="9" t="n">
        <v>3</v>
      </c>
      <c r="C40" s="8" t="s">
        <v>162</v>
      </c>
      <c r="D40" s="8" t="s">
        <v>540</v>
      </c>
      <c r="E40" s="10" t="s">
        <v>541</v>
      </c>
      <c r="F40" s="8" t="s">
        <v>121</v>
      </c>
      <c r="G40" s="8" t="s">
        <v>542</v>
      </c>
      <c r="H40" s="8" t="s">
        <v>543</v>
      </c>
      <c r="I40" s="8"/>
      <c r="J40" s="8"/>
      <c r="K40" s="8" t="s">
        <v>544</v>
      </c>
      <c r="L40" s="8" t="s">
        <v>545</v>
      </c>
      <c r="M40" s="8" t="s">
        <v>546</v>
      </c>
      <c r="N40" s="8" t="s">
        <v>547</v>
      </c>
      <c r="O40" s="8" t="s">
        <v>548</v>
      </c>
      <c r="P40" s="8" t="s">
        <v>93</v>
      </c>
      <c r="Q40" s="8" t="s">
        <v>549</v>
      </c>
      <c r="R40" s="8" t="s">
        <v>550</v>
      </c>
      <c r="S40" s="8"/>
      <c r="T40" s="8" t="s">
        <v>118</v>
      </c>
      <c r="U40" s="10" t="s">
        <v>98</v>
      </c>
      <c r="V40" s="10" t="s">
        <v>99</v>
      </c>
      <c r="W40" s="11" t="s">
        <v>100</v>
      </c>
      <c r="X40" s="12"/>
      <c r="Y40" s="11"/>
      <c r="Z40" s="11"/>
      <c r="AA40" s="11"/>
      <c r="AB40" s="12" t="str">
        <f aca="false">IF(X40="","",WORKDAY(X40,5))</f>
        <v/>
      </c>
      <c r="AC40" s="11"/>
      <c r="AD40" s="11"/>
    </row>
    <row r="41" customFormat="false" ht="23.85" hidden="false" customHeight="false" outlineLevel="0" collapsed="false">
      <c r="A41" s="8" t="n">
        <v>40</v>
      </c>
      <c r="B41" s="9" t="n">
        <v>3</v>
      </c>
      <c r="C41" s="8" t="s">
        <v>162</v>
      </c>
      <c r="D41" s="8" t="s">
        <v>551</v>
      </c>
      <c r="E41" s="10" t="s">
        <v>552</v>
      </c>
      <c r="F41" s="8" t="s">
        <v>249</v>
      </c>
      <c r="G41" s="8" t="s">
        <v>553</v>
      </c>
      <c r="H41" s="8" t="s">
        <v>554</v>
      </c>
      <c r="I41" s="8"/>
      <c r="J41" s="8"/>
      <c r="K41" s="8" t="s">
        <v>555</v>
      </c>
      <c r="L41" s="8" t="s">
        <v>556</v>
      </c>
      <c r="M41" s="8" t="s">
        <v>171</v>
      </c>
      <c r="N41" s="8" t="s">
        <v>127</v>
      </c>
      <c r="O41" s="8" t="s">
        <v>557</v>
      </c>
      <c r="P41" s="8" t="s">
        <v>558</v>
      </c>
      <c r="Q41" s="8" t="s">
        <v>559</v>
      </c>
      <c r="R41" s="8" t="s">
        <v>560</v>
      </c>
      <c r="S41" s="8" t="s">
        <v>561</v>
      </c>
      <c r="T41" s="8" t="s">
        <v>273</v>
      </c>
      <c r="U41" s="10" t="s">
        <v>98</v>
      </c>
      <c r="V41" s="10" t="s">
        <v>99</v>
      </c>
      <c r="W41" s="11" t="s">
        <v>100</v>
      </c>
      <c r="X41" s="12"/>
      <c r="Y41" s="11"/>
      <c r="Z41" s="11"/>
      <c r="AA41" s="11"/>
      <c r="AB41" s="12" t="str">
        <f aca="false">IF(X41="","",WORKDAY(X41,5))</f>
        <v/>
      </c>
      <c r="AC41" s="11"/>
      <c r="AD41" s="11"/>
    </row>
    <row r="42" customFormat="false" ht="23.85" hidden="false" customHeight="false" outlineLevel="0" collapsed="false">
      <c r="A42" s="8" t="n">
        <v>41</v>
      </c>
      <c r="B42" s="9" t="n">
        <v>2</v>
      </c>
      <c r="C42" s="8" t="s">
        <v>82</v>
      </c>
      <c r="D42" s="8" t="s">
        <v>562</v>
      </c>
      <c r="E42" s="10" t="s">
        <v>563</v>
      </c>
      <c r="F42" s="8" t="s">
        <v>564</v>
      </c>
      <c r="G42" s="8" t="s">
        <v>565</v>
      </c>
      <c r="H42" s="8"/>
      <c r="I42" s="8"/>
      <c r="J42" s="8"/>
      <c r="K42" s="8" t="s">
        <v>566</v>
      </c>
      <c r="L42" s="8" t="s">
        <v>567</v>
      </c>
      <c r="M42" s="8" t="s">
        <v>568</v>
      </c>
      <c r="N42" s="8" t="s">
        <v>569</v>
      </c>
      <c r="O42" s="8" t="s">
        <v>570</v>
      </c>
      <c r="P42" s="8" t="s">
        <v>93</v>
      </c>
      <c r="Q42" s="8" t="s">
        <v>571</v>
      </c>
      <c r="R42" s="8" t="s">
        <v>572</v>
      </c>
      <c r="S42" s="8" t="s">
        <v>573</v>
      </c>
      <c r="T42" s="8" t="s">
        <v>574</v>
      </c>
      <c r="U42" s="10" t="s">
        <v>98</v>
      </c>
      <c r="V42" s="10" t="s">
        <v>99</v>
      </c>
      <c r="W42" s="11" t="s">
        <v>100</v>
      </c>
      <c r="X42" s="12"/>
      <c r="Y42" s="11"/>
      <c r="Z42" s="11"/>
      <c r="AA42" s="11"/>
      <c r="AB42" s="12" t="str">
        <f aca="false">IF(X42="","",WORKDAY(X42,5))</f>
        <v/>
      </c>
      <c r="AC42" s="11"/>
      <c r="AD42" s="11"/>
    </row>
    <row r="43" customFormat="false" ht="23.85" hidden="false" customHeight="false" outlineLevel="0" collapsed="false">
      <c r="A43" s="8" t="n">
        <v>42</v>
      </c>
      <c r="B43" s="9" t="n">
        <v>2</v>
      </c>
      <c r="C43" s="8" t="s">
        <v>82</v>
      </c>
      <c r="D43" s="8" t="s">
        <v>575</v>
      </c>
      <c r="E43" s="10" t="s">
        <v>576</v>
      </c>
      <c r="F43" s="8" t="s">
        <v>577</v>
      </c>
      <c r="G43" s="8" t="s">
        <v>578</v>
      </c>
      <c r="H43" s="8" t="s">
        <v>579</v>
      </c>
      <c r="I43" s="8" t="s">
        <v>580</v>
      </c>
      <c r="J43" s="8"/>
      <c r="K43" s="8" t="s">
        <v>581</v>
      </c>
      <c r="L43" s="8" t="s">
        <v>582</v>
      </c>
      <c r="M43" s="8" t="s">
        <v>583</v>
      </c>
      <c r="N43" s="8" t="s">
        <v>127</v>
      </c>
      <c r="O43" s="8" t="s">
        <v>584</v>
      </c>
      <c r="P43" s="8" t="s">
        <v>364</v>
      </c>
      <c r="Q43" s="8" t="s">
        <v>585</v>
      </c>
      <c r="R43" s="8"/>
      <c r="S43" s="8" t="s">
        <v>586</v>
      </c>
      <c r="T43" s="8" t="s">
        <v>587</v>
      </c>
      <c r="U43" s="10" t="s">
        <v>98</v>
      </c>
      <c r="V43" s="10" t="s">
        <v>99</v>
      </c>
      <c r="W43" s="11" t="s">
        <v>100</v>
      </c>
      <c r="X43" s="12"/>
      <c r="Y43" s="11"/>
      <c r="Z43" s="11"/>
      <c r="AA43" s="11"/>
      <c r="AB43" s="12" t="str">
        <f aca="false">IF(X43="","",WORKDAY(X43,5))</f>
        <v/>
      </c>
      <c r="AC43" s="11"/>
      <c r="AD43" s="11"/>
    </row>
    <row r="44" customFormat="false" ht="23.85" hidden="false" customHeight="false" outlineLevel="0" collapsed="false">
      <c r="A44" s="8" t="n">
        <v>43</v>
      </c>
      <c r="B44" s="9" t="n">
        <v>2</v>
      </c>
      <c r="C44" s="8" t="s">
        <v>101</v>
      </c>
      <c r="D44" s="8" t="s">
        <v>588</v>
      </c>
      <c r="E44" s="8" t="s">
        <v>302</v>
      </c>
      <c r="F44" s="8" t="s">
        <v>589</v>
      </c>
      <c r="G44" s="8" t="s">
        <v>590</v>
      </c>
      <c r="H44" s="8" t="s">
        <v>591</v>
      </c>
      <c r="I44" s="8" t="s">
        <v>592</v>
      </c>
      <c r="J44" s="8"/>
      <c r="K44" s="8" t="s">
        <v>593</v>
      </c>
      <c r="L44" s="8" t="s">
        <v>594</v>
      </c>
      <c r="M44" s="8" t="s">
        <v>595</v>
      </c>
      <c r="N44" s="8" t="s">
        <v>596</v>
      </c>
      <c r="O44" s="8" t="s">
        <v>597</v>
      </c>
      <c r="P44" s="8" t="s">
        <v>364</v>
      </c>
      <c r="Q44" s="8" t="s">
        <v>598</v>
      </c>
      <c r="R44" s="8" t="s">
        <v>599</v>
      </c>
      <c r="S44" s="8"/>
      <c r="T44" s="8" t="s">
        <v>600</v>
      </c>
      <c r="U44" s="10" t="s">
        <v>98</v>
      </c>
      <c r="V44" s="10" t="s">
        <v>99</v>
      </c>
      <c r="W44" s="11" t="s">
        <v>100</v>
      </c>
      <c r="X44" s="12"/>
      <c r="Y44" s="11"/>
      <c r="Z44" s="11"/>
      <c r="AA44" s="11"/>
      <c r="AB44" s="12" t="str">
        <f aca="false">IF(X44="","",WORKDAY(X44,5))</f>
        <v/>
      </c>
      <c r="AC44" s="11"/>
      <c r="AD44" s="11"/>
    </row>
    <row r="45" customFormat="false" ht="35.05" hidden="false" customHeight="false" outlineLevel="0" collapsed="false">
      <c r="A45" s="8" t="n">
        <v>44</v>
      </c>
      <c r="B45" s="9" t="n">
        <v>2</v>
      </c>
      <c r="C45" s="8" t="s">
        <v>101</v>
      </c>
      <c r="D45" s="8" t="s">
        <v>601</v>
      </c>
      <c r="E45" s="10" t="s">
        <v>602</v>
      </c>
      <c r="F45" s="8" t="s">
        <v>249</v>
      </c>
      <c r="G45" s="8" t="s">
        <v>603</v>
      </c>
      <c r="H45" s="8"/>
      <c r="I45" s="8"/>
      <c r="J45" s="8" t="s">
        <v>87</v>
      </c>
      <c r="K45" s="8" t="s">
        <v>153</v>
      </c>
      <c r="L45" s="8" t="s">
        <v>604</v>
      </c>
      <c r="M45" s="8" t="s">
        <v>205</v>
      </c>
      <c r="N45" s="8" t="s">
        <v>127</v>
      </c>
      <c r="O45" s="8" t="s">
        <v>605</v>
      </c>
      <c r="P45" s="8" t="s">
        <v>364</v>
      </c>
      <c r="Q45" s="8" t="s">
        <v>606</v>
      </c>
      <c r="R45" s="8"/>
      <c r="S45" s="8" t="s">
        <v>607</v>
      </c>
      <c r="T45" s="8" t="s">
        <v>608</v>
      </c>
      <c r="U45" s="10" t="s">
        <v>98</v>
      </c>
      <c r="V45" s="10" t="s">
        <v>99</v>
      </c>
      <c r="W45" s="11" t="s">
        <v>100</v>
      </c>
      <c r="X45" s="12"/>
      <c r="Y45" s="11"/>
      <c r="Z45" s="11"/>
      <c r="AA45" s="11"/>
      <c r="AB45" s="12" t="str">
        <f aca="false">IF(X45="","",WORKDAY(X45,5))</f>
        <v/>
      </c>
      <c r="AC45" s="11"/>
      <c r="AD45" s="11"/>
    </row>
    <row r="46" customFormat="false" ht="23.85" hidden="false" customHeight="false" outlineLevel="0" collapsed="false">
      <c r="A46" s="8" t="n">
        <v>45</v>
      </c>
      <c r="B46" s="9" t="n">
        <v>2</v>
      </c>
      <c r="C46" s="8" t="s">
        <v>101</v>
      </c>
      <c r="D46" s="8" t="s">
        <v>609</v>
      </c>
      <c r="E46" s="8" t="s">
        <v>302</v>
      </c>
      <c r="F46" s="8" t="s">
        <v>380</v>
      </c>
      <c r="G46" s="8" t="s">
        <v>610</v>
      </c>
      <c r="H46" s="8" t="s">
        <v>611</v>
      </c>
      <c r="I46" s="8"/>
      <c r="J46" s="8"/>
      <c r="K46" s="8" t="s">
        <v>612</v>
      </c>
      <c r="L46" s="8" t="s">
        <v>613</v>
      </c>
      <c r="M46" s="8" t="s">
        <v>614</v>
      </c>
      <c r="N46" s="8" t="s">
        <v>615</v>
      </c>
      <c r="O46" s="8" t="s">
        <v>616</v>
      </c>
      <c r="P46" s="8" t="s">
        <v>617</v>
      </c>
      <c r="Q46" s="8" t="s">
        <v>618</v>
      </c>
      <c r="R46" s="8" t="s">
        <v>619</v>
      </c>
      <c r="S46" s="8" t="s">
        <v>620</v>
      </c>
      <c r="T46" s="8" t="s">
        <v>621</v>
      </c>
      <c r="U46" s="10" t="s">
        <v>98</v>
      </c>
      <c r="V46" s="10" t="s">
        <v>99</v>
      </c>
      <c r="W46" s="11" t="s">
        <v>100</v>
      </c>
      <c r="X46" s="12"/>
      <c r="Y46" s="11"/>
      <c r="Z46" s="11"/>
      <c r="AA46" s="11"/>
      <c r="AB46" s="12" t="str">
        <f aca="false">IF(X46="","",WORKDAY(X46,5))</f>
        <v/>
      </c>
      <c r="AC46" s="11"/>
      <c r="AD46" s="11"/>
    </row>
    <row r="47" customFormat="false" ht="15" hidden="false" customHeight="false" outlineLevel="0" collapsed="false">
      <c r="A47" s="8" t="n">
        <v>46</v>
      </c>
      <c r="B47" s="9" t="n">
        <v>2</v>
      </c>
      <c r="C47" s="8" t="s">
        <v>101</v>
      </c>
      <c r="D47" s="8" t="s">
        <v>622</v>
      </c>
      <c r="E47" s="10" t="s">
        <v>623</v>
      </c>
      <c r="F47" s="8" t="s">
        <v>577</v>
      </c>
      <c r="G47" s="8" t="s">
        <v>624</v>
      </c>
      <c r="H47" s="8" t="s">
        <v>625</v>
      </c>
      <c r="I47" s="8"/>
      <c r="J47" s="8"/>
      <c r="K47" s="8" t="s">
        <v>626</v>
      </c>
      <c r="L47" s="8" t="s">
        <v>627</v>
      </c>
      <c r="M47" s="8" t="s">
        <v>205</v>
      </c>
      <c r="N47" s="8" t="s">
        <v>127</v>
      </c>
      <c r="O47" s="8"/>
      <c r="P47" s="8" t="s">
        <v>364</v>
      </c>
      <c r="Q47" s="8" t="s">
        <v>628</v>
      </c>
      <c r="R47" s="8"/>
      <c r="S47" s="8"/>
      <c r="T47" s="8" t="s">
        <v>629</v>
      </c>
      <c r="U47" s="10" t="s">
        <v>98</v>
      </c>
      <c r="V47" s="10" t="s">
        <v>99</v>
      </c>
      <c r="W47" s="11" t="s">
        <v>100</v>
      </c>
      <c r="X47" s="12"/>
      <c r="Y47" s="11"/>
      <c r="Z47" s="11"/>
      <c r="AA47" s="11"/>
      <c r="AB47" s="12" t="str">
        <f aca="false">IF(X47="","",WORKDAY(X47,5))</f>
        <v/>
      </c>
      <c r="AC47" s="11"/>
      <c r="AD47" s="11"/>
    </row>
    <row r="48" customFormat="false" ht="23.85" hidden="false" customHeight="false" outlineLevel="0" collapsed="false">
      <c r="A48" s="8" t="n">
        <v>47</v>
      </c>
      <c r="B48" s="9" t="n">
        <v>2</v>
      </c>
      <c r="C48" s="8" t="s">
        <v>101</v>
      </c>
      <c r="D48" s="8" t="s">
        <v>630</v>
      </c>
      <c r="E48" s="10" t="s">
        <v>631</v>
      </c>
      <c r="F48" s="8" t="s">
        <v>577</v>
      </c>
      <c r="G48" s="8" t="s">
        <v>632</v>
      </c>
      <c r="H48" s="8" t="s">
        <v>633</v>
      </c>
      <c r="I48" s="8" t="s">
        <v>634</v>
      </c>
      <c r="J48" s="8" t="s">
        <v>635</v>
      </c>
      <c r="K48" s="8" t="s">
        <v>109</v>
      </c>
      <c r="L48" s="8" t="s">
        <v>636</v>
      </c>
      <c r="M48" s="8" t="s">
        <v>205</v>
      </c>
      <c r="N48" s="8" t="s">
        <v>127</v>
      </c>
      <c r="O48" s="8" t="s">
        <v>637</v>
      </c>
      <c r="P48" s="8" t="s">
        <v>364</v>
      </c>
      <c r="Q48" s="8" t="s">
        <v>638</v>
      </c>
      <c r="R48" s="8"/>
      <c r="S48" s="8"/>
      <c r="T48" s="8" t="s">
        <v>639</v>
      </c>
      <c r="U48" s="10" t="s">
        <v>98</v>
      </c>
      <c r="V48" s="10" t="s">
        <v>99</v>
      </c>
      <c r="W48" s="11" t="s">
        <v>100</v>
      </c>
      <c r="X48" s="12"/>
      <c r="Y48" s="11"/>
      <c r="Z48" s="11"/>
      <c r="AA48" s="11"/>
      <c r="AB48" s="12" t="str">
        <f aca="false">IF(X48="","",WORKDAY(X48,5))</f>
        <v/>
      </c>
      <c r="AC48" s="11"/>
      <c r="AD48" s="11"/>
    </row>
    <row r="49" customFormat="false" ht="46.25" hidden="false" customHeight="false" outlineLevel="0" collapsed="false">
      <c r="A49" s="8" t="n">
        <v>48</v>
      </c>
      <c r="B49" s="9" t="n">
        <v>2</v>
      </c>
      <c r="C49" s="8" t="s">
        <v>222</v>
      </c>
      <c r="D49" s="8" t="s">
        <v>640</v>
      </c>
      <c r="E49" s="10" t="s">
        <v>641</v>
      </c>
      <c r="F49" s="8" t="s">
        <v>642</v>
      </c>
      <c r="G49" s="8" t="s">
        <v>643</v>
      </c>
      <c r="H49" s="8"/>
      <c r="I49" s="8"/>
      <c r="J49" s="8"/>
      <c r="K49" s="8" t="s">
        <v>449</v>
      </c>
      <c r="L49" s="8" t="s">
        <v>644</v>
      </c>
      <c r="M49" s="8" t="s">
        <v>229</v>
      </c>
      <c r="N49" s="8" t="s">
        <v>440</v>
      </c>
      <c r="O49" s="8" t="s">
        <v>645</v>
      </c>
      <c r="P49" s="8" t="s">
        <v>646</v>
      </c>
      <c r="Q49" s="8" t="s">
        <v>647</v>
      </c>
      <c r="R49" s="8" t="s">
        <v>648</v>
      </c>
      <c r="S49" s="8"/>
      <c r="T49" s="8" t="s">
        <v>649</v>
      </c>
      <c r="U49" s="10" t="s">
        <v>98</v>
      </c>
      <c r="V49" s="10" t="s">
        <v>99</v>
      </c>
      <c r="W49" s="11" t="s">
        <v>100</v>
      </c>
      <c r="X49" s="12"/>
      <c r="Y49" s="11"/>
      <c r="Z49" s="11"/>
      <c r="AA49" s="11"/>
      <c r="AB49" s="12" t="str">
        <f aca="false">IF(X49="","",WORKDAY(X49,5))</f>
        <v/>
      </c>
      <c r="AC49" s="11"/>
      <c r="AD49" s="11"/>
    </row>
    <row r="50" customFormat="false" ht="23.85" hidden="false" customHeight="false" outlineLevel="0" collapsed="false">
      <c r="A50" s="8" t="n">
        <v>49</v>
      </c>
      <c r="B50" s="9" t="n">
        <v>2</v>
      </c>
      <c r="C50" s="8" t="s">
        <v>222</v>
      </c>
      <c r="D50" s="8" t="s">
        <v>650</v>
      </c>
      <c r="E50" s="10" t="s">
        <v>651</v>
      </c>
      <c r="F50" s="8" t="s">
        <v>121</v>
      </c>
      <c r="G50" s="8" t="s">
        <v>121</v>
      </c>
      <c r="H50" s="8"/>
      <c r="I50" s="8"/>
      <c r="J50" s="8"/>
      <c r="K50" s="8" t="s">
        <v>652</v>
      </c>
      <c r="L50" s="8" t="s">
        <v>653</v>
      </c>
      <c r="M50" s="8" t="s">
        <v>654</v>
      </c>
      <c r="N50" s="8" t="s">
        <v>655</v>
      </c>
      <c r="O50" s="8" t="s">
        <v>297</v>
      </c>
      <c r="P50" s="8" t="s">
        <v>93</v>
      </c>
      <c r="Q50" s="8" t="s">
        <v>656</v>
      </c>
      <c r="R50" s="8" t="s">
        <v>657</v>
      </c>
      <c r="S50" s="8"/>
      <c r="T50" s="8" t="s">
        <v>658</v>
      </c>
      <c r="U50" s="10" t="s">
        <v>98</v>
      </c>
      <c r="V50" s="10" t="s">
        <v>99</v>
      </c>
      <c r="W50" s="11" t="s">
        <v>100</v>
      </c>
      <c r="X50" s="12"/>
      <c r="Y50" s="11"/>
      <c r="Z50" s="11"/>
      <c r="AA50" s="11"/>
      <c r="AB50" s="12" t="str">
        <f aca="false">IF(X50="","",WORKDAY(X50,5))</f>
        <v/>
      </c>
      <c r="AC50" s="11"/>
      <c r="AD50" s="11"/>
    </row>
    <row r="51" customFormat="false" ht="23.85" hidden="false" customHeight="false" outlineLevel="0" collapsed="false">
      <c r="A51" s="8" t="n">
        <v>50</v>
      </c>
      <c r="B51" s="9" t="n">
        <v>2</v>
      </c>
      <c r="C51" s="8" t="s">
        <v>147</v>
      </c>
      <c r="D51" s="8" t="s">
        <v>659</v>
      </c>
      <c r="E51" s="10" t="s">
        <v>660</v>
      </c>
      <c r="F51" s="8" t="s">
        <v>121</v>
      </c>
      <c r="G51" s="8" t="s">
        <v>661</v>
      </c>
      <c r="H51" s="8" t="s">
        <v>662</v>
      </c>
      <c r="I51" s="8"/>
      <c r="J51" s="8"/>
      <c r="K51" s="8" t="s">
        <v>663</v>
      </c>
      <c r="L51" s="8" t="s">
        <v>664</v>
      </c>
      <c r="M51" s="8" t="s">
        <v>665</v>
      </c>
      <c r="N51" s="8" t="s">
        <v>666</v>
      </c>
      <c r="O51" s="8" t="s">
        <v>667</v>
      </c>
      <c r="P51" s="8" t="s">
        <v>93</v>
      </c>
      <c r="Q51" s="8" t="s">
        <v>668</v>
      </c>
      <c r="R51" s="8" t="s">
        <v>669</v>
      </c>
      <c r="S51" s="8" t="s">
        <v>670</v>
      </c>
      <c r="T51" s="8" t="s">
        <v>118</v>
      </c>
      <c r="U51" s="10" t="s">
        <v>98</v>
      </c>
      <c r="V51" s="10" t="s">
        <v>99</v>
      </c>
      <c r="W51" s="11" t="s">
        <v>100</v>
      </c>
      <c r="X51" s="12"/>
      <c r="Y51" s="11"/>
      <c r="Z51" s="11"/>
      <c r="AA51" s="11"/>
      <c r="AB51" s="12" t="str">
        <f aca="false">IF(X51="","",WORKDAY(X51,5))</f>
        <v/>
      </c>
      <c r="AC51" s="11"/>
      <c r="AD51" s="11"/>
    </row>
    <row r="52" customFormat="false" ht="23.85" hidden="false" customHeight="false" outlineLevel="0" collapsed="false">
      <c r="A52" s="8" t="n">
        <v>51</v>
      </c>
      <c r="B52" s="9" t="n">
        <v>2</v>
      </c>
      <c r="C52" s="8" t="s">
        <v>147</v>
      </c>
      <c r="D52" s="8" t="s">
        <v>671</v>
      </c>
      <c r="E52" s="10" t="s">
        <v>672</v>
      </c>
      <c r="F52" s="8" t="s">
        <v>121</v>
      </c>
      <c r="G52" s="8" t="s">
        <v>673</v>
      </c>
      <c r="H52" s="8" t="s">
        <v>674</v>
      </c>
      <c r="I52" s="8" t="s">
        <v>675</v>
      </c>
      <c r="J52" s="8"/>
      <c r="K52" s="8" t="s">
        <v>663</v>
      </c>
      <c r="L52" s="8" t="s">
        <v>676</v>
      </c>
      <c r="M52" s="8" t="s">
        <v>665</v>
      </c>
      <c r="N52" s="8" t="s">
        <v>127</v>
      </c>
      <c r="O52" s="8" t="s">
        <v>172</v>
      </c>
      <c r="P52" s="8" t="s">
        <v>93</v>
      </c>
      <c r="Q52" s="8" t="s">
        <v>677</v>
      </c>
      <c r="R52" s="8" t="s">
        <v>678</v>
      </c>
      <c r="S52" s="8"/>
      <c r="T52" s="8" t="s">
        <v>679</v>
      </c>
      <c r="U52" s="10" t="s">
        <v>98</v>
      </c>
      <c r="V52" s="10" t="s">
        <v>99</v>
      </c>
      <c r="W52" s="11" t="s">
        <v>100</v>
      </c>
      <c r="X52" s="12"/>
      <c r="Y52" s="11"/>
      <c r="Z52" s="11"/>
      <c r="AA52" s="11"/>
      <c r="AB52" s="12" t="str">
        <f aca="false">IF(X52="","",WORKDAY(X52,5))</f>
        <v/>
      </c>
      <c r="AC52" s="11"/>
      <c r="AD52" s="11"/>
    </row>
    <row r="53" customFormat="false" ht="23.85" hidden="false" customHeight="false" outlineLevel="0" collapsed="false">
      <c r="A53" s="8" t="n">
        <v>52</v>
      </c>
      <c r="B53" s="9" t="n">
        <v>2</v>
      </c>
      <c r="C53" s="8" t="s">
        <v>147</v>
      </c>
      <c r="D53" s="8" t="s">
        <v>680</v>
      </c>
      <c r="E53" s="10" t="s">
        <v>681</v>
      </c>
      <c r="F53" s="8" t="s">
        <v>121</v>
      </c>
      <c r="G53" s="8" t="s">
        <v>682</v>
      </c>
      <c r="H53" s="8" t="s">
        <v>683</v>
      </c>
      <c r="I53" s="8"/>
      <c r="J53" s="8"/>
      <c r="K53" s="8" t="s">
        <v>153</v>
      </c>
      <c r="L53" s="8" t="s">
        <v>684</v>
      </c>
      <c r="M53" s="8" t="s">
        <v>685</v>
      </c>
      <c r="N53" s="8" t="s">
        <v>127</v>
      </c>
      <c r="O53" s="8" t="s">
        <v>297</v>
      </c>
      <c r="P53" s="8" t="s">
        <v>93</v>
      </c>
      <c r="Q53" s="8" t="s">
        <v>686</v>
      </c>
      <c r="R53" s="8"/>
      <c r="S53" s="8"/>
      <c r="T53" s="8" t="s">
        <v>687</v>
      </c>
      <c r="U53" s="10" t="s">
        <v>98</v>
      </c>
      <c r="V53" s="10" t="s">
        <v>99</v>
      </c>
      <c r="W53" s="11" t="s">
        <v>100</v>
      </c>
      <c r="X53" s="12"/>
      <c r="Y53" s="11"/>
      <c r="Z53" s="11"/>
      <c r="AA53" s="11"/>
      <c r="AB53" s="12" t="str">
        <f aca="false">IF(X53="","",WORKDAY(X53,5))</f>
        <v/>
      </c>
      <c r="AC53" s="11"/>
      <c r="AD53" s="11"/>
    </row>
    <row r="54" customFormat="false" ht="23.85" hidden="false" customHeight="false" outlineLevel="0" collapsed="false">
      <c r="A54" s="8" t="n">
        <v>53</v>
      </c>
      <c r="B54" s="9" t="n">
        <v>2</v>
      </c>
      <c r="C54" s="8" t="s">
        <v>147</v>
      </c>
      <c r="D54" s="8" t="s">
        <v>688</v>
      </c>
      <c r="E54" s="10" t="s">
        <v>689</v>
      </c>
      <c r="F54" s="8" t="s">
        <v>121</v>
      </c>
      <c r="G54" s="8" t="s">
        <v>682</v>
      </c>
      <c r="H54" s="8" t="s">
        <v>690</v>
      </c>
      <c r="I54" s="8"/>
      <c r="J54" s="8"/>
      <c r="K54" s="8" t="s">
        <v>153</v>
      </c>
      <c r="L54" s="8" t="s">
        <v>691</v>
      </c>
      <c r="M54" s="8" t="s">
        <v>685</v>
      </c>
      <c r="N54" s="8" t="s">
        <v>127</v>
      </c>
      <c r="O54" s="8" t="s">
        <v>297</v>
      </c>
      <c r="P54" s="8" t="s">
        <v>93</v>
      </c>
      <c r="Q54" s="8" t="s">
        <v>692</v>
      </c>
      <c r="R54" s="8"/>
      <c r="S54" s="8"/>
      <c r="T54" s="8" t="s">
        <v>693</v>
      </c>
      <c r="U54" s="10" t="s">
        <v>98</v>
      </c>
      <c r="V54" s="10" t="s">
        <v>99</v>
      </c>
      <c r="W54" s="11" t="s">
        <v>100</v>
      </c>
      <c r="X54" s="12"/>
      <c r="Y54" s="11"/>
      <c r="Z54" s="11"/>
      <c r="AA54" s="11"/>
      <c r="AB54" s="12" t="str">
        <f aca="false">IF(X54="","",WORKDAY(X54,5))</f>
        <v/>
      </c>
      <c r="AC54" s="11"/>
      <c r="AD54" s="11"/>
    </row>
    <row r="55" customFormat="false" ht="23.85" hidden="false" customHeight="false" outlineLevel="0" collapsed="false">
      <c r="A55" s="8" t="n">
        <v>54</v>
      </c>
      <c r="B55" s="9" t="n">
        <v>2</v>
      </c>
      <c r="C55" s="8" t="s">
        <v>147</v>
      </c>
      <c r="D55" s="8" t="s">
        <v>694</v>
      </c>
      <c r="E55" s="10" t="s">
        <v>695</v>
      </c>
      <c r="F55" s="8" t="s">
        <v>121</v>
      </c>
      <c r="G55" s="8" t="s">
        <v>696</v>
      </c>
      <c r="H55" s="8"/>
      <c r="I55" s="8"/>
      <c r="J55" s="8"/>
      <c r="K55" s="8" t="s">
        <v>109</v>
      </c>
      <c r="L55" s="8" t="s">
        <v>697</v>
      </c>
      <c r="M55" s="8" t="s">
        <v>698</v>
      </c>
      <c r="N55" s="8" t="s">
        <v>127</v>
      </c>
      <c r="O55" s="8" t="s">
        <v>699</v>
      </c>
      <c r="P55" s="8" t="s">
        <v>700</v>
      </c>
      <c r="Q55" s="8" t="s">
        <v>701</v>
      </c>
      <c r="R55" s="8" t="s">
        <v>702</v>
      </c>
      <c r="S55" s="8"/>
      <c r="T55" s="8" t="s">
        <v>703</v>
      </c>
      <c r="U55" s="10" t="s">
        <v>98</v>
      </c>
      <c r="V55" s="10" t="s">
        <v>99</v>
      </c>
      <c r="W55" s="11" t="s">
        <v>100</v>
      </c>
      <c r="X55" s="12"/>
      <c r="Y55" s="11"/>
      <c r="Z55" s="11"/>
      <c r="AA55" s="11"/>
      <c r="AB55" s="12" t="str">
        <f aca="false">IF(X55="","",WORKDAY(X55,5))</f>
        <v/>
      </c>
      <c r="AC55" s="11"/>
      <c r="AD55" s="11"/>
    </row>
    <row r="56" customFormat="false" ht="23.85" hidden="false" customHeight="false" outlineLevel="0" collapsed="false">
      <c r="A56" s="8" t="n">
        <v>55</v>
      </c>
      <c r="B56" s="9" t="n">
        <v>2</v>
      </c>
      <c r="C56" s="8" t="s">
        <v>147</v>
      </c>
      <c r="D56" s="8" t="s">
        <v>704</v>
      </c>
      <c r="E56" s="10" t="s">
        <v>705</v>
      </c>
      <c r="F56" s="8" t="s">
        <v>121</v>
      </c>
      <c r="G56" s="8" t="s">
        <v>682</v>
      </c>
      <c r="H56" s="8" t="s">
        <v>706</v>
      </c>
      <c r="I56" s="8"/>
      <c r="J56" s="8"/>
      <c r="K56" s="8" t="s">
        <v>707</v>
      </c>
      <c r="L56" s="8" t="s">
        <v>708</v>
      </c>
      <c r="M56" s="8" t="s">
        <v>709</v>
      </c>
      <c r="N56" s="8" t="s">
        <v>127</v>
      </c>
      <c r="O56" s="8" t="s">
        <v>710</v>
      </c>
      <c r="P56" s="8" t="s">
        <v>93</v>
      </c>
      <c r="Q56" s="8" t="s">
        <v>711</v>
      </c>
      <c r="R56" s="8"/>
      <c r="S56" s="8"/>
      <c r="T56" s="8" t="s">
        <v>712</v>
      </c>
      <c r="U56" s="10" t="s">
        <v>98</v>
      </c>
      <c r="V56" s="10" t="s">
        <v>99</v>
      </c>
      <c r="W56" s="11" t="s">
        <v>100</v>
      </c>
      <c r="X56" s="12"/>
      <c r="Y56" s="11"/>
      <c r="Z56" s="11"/>
      <c r="AA56" s="11"/>
      <c r="AB56" s="12" t="str">
        <f aca="false">IF(X56="","",WORKDAY(X56,5))</f>
        <v/>
      </c>
      <c r="AC56" s="11"/>
      <c r="AD56" s="11"/>
    </row>
    <row r="57" customFormat="false" ht="23.85" hidden="false" customHeight="false" outlineLevel="0" collapsed="false">
      <c r="A57" s="8" t="n">
        <v>56</v>
      </c>
      <c r="B57" s="9" t="n">
        <v>2</v>
      </c>
      <c r="C57" s="8" t="s">
        <v>147</v>
      </c>
      <c r="D57" s="8" t="s">
        <v>713</v>
      </c>
      <c r="E57" s="10" t="s">
        <v>714</v>
      </c>
      <c r="F57" s="8" t="s">
        <v>121</v>
      </c>
      <c r="G57" s="8" t="s">
        <v>682</v>
      </c>
      <c r="H57" s="8" t="s">
        <v>682</v>
      </c>
      <c r="I57" s="8"/>
      <c r="J57" s="8"/>
      <c r="K57" s="8" t="s">
        <v>715</v>
      </c>
      <c r="L57" s="8" t="s">
        <v>716</v>
      </c>
      <c r="M57" s="8" t="s">
        <v>717</v>
      </c>
      <c r="N57" s="8" t="s">
        <v>127</v>
      </c>
      <c r="O57" s="8"/>
      <c r="P57" s="8" t="s">
        <v>93</v>
      </c>
      <c r="Q57" s="8" t="s">
        <v>718</v>
      </c>
      <c r="R57" s="8" t="s">
        <v>560</v>
      </c>
      <c r="S57" s="8" t="s">
        <v>719</v>
      </c>
      <c r="T57" s="8" t="s">
        <v>720</v>
      </c>
      <c r="U57" s="10" t="s">
        <v>98</v>
      </c>
      <c r="V57" s="10" t="s">
        <v>99</v>
      </c>
      <c r="W57" s="11" t="s">
        <v>100</v>
      </c>
      <c r="X57" s="12"/>
      <c r="Y57" s="11"/>
      <c r="Z57" s="11"/>
      <c r="AA57" s="11"/>
      <c r="AB57" s="12" t="str">
        <f aca="false">IF(X57="","",WORKDAY(X57,5))</f>
        <v/>
      </c>
      <c r="AC57" s="11"/>
      <c r="AD57" s="11"/>
    </row>
    <row r="58" customFormat="false" ht="35.05" hidden="false" customHeight="false" outlineLevel="0" collapsed="false">
      <c r="A58" s="8" t="n">
        <v>57</v>
      </c>
      <c r="B58" s="9" t="n">
        <v>2</v>
      </c>
      <c r="C58" s="8" t="s">
        <v>147</v>
      </c>
      <c r="D58" s="8" t="s">
        <v>721</v>
      </c>
      <c r="E58" s="10" t="s">
        <v>722</v>
      </c>
      <c r="F58" s="8" t="s">
        <v>121</v>
      </c>
      <c r="G58" s="8" t="s">
        <v>723</v>
      </c>
      <c r="H58" s="8"/>
      <c r="I58" s="8"/>
      <c r="J58" s="8"/>
      <c r="K58" s="8" t="s">
        <v>724</v>
      </c>
      <c r="L58" s="8" t="s">
        <v>725</v>
      </c>
      <c r="M58" s="8" t="s">
        <v>726</v>
      </c>
      <c r="N58" s="8" t="s">
        <v>727</v>
      </c>
      <c r="O58" s="8" t="s">
        <v>172</v>
      </c>
      <c r="P58" s="8" t="s">
        <v>93</v>
      </c>
      <c r="Q58" s="8" t="s">
        <v>728</v>
      </c>
      <c r="R58" s="8"/>
      <c r="S58" s="8"/>
      <c r="T58" s="8" t="s">
        <v>729</v>
      </c>
      <c r="U58" s="10" t="s">
        <v>98</v>
      </c>
      <c r="V58" s="10" t="s">
        <v>99</v>
      </c>
      <c r="W58" s="11" t="s">
        <v>100</v>
      </c>
      <c r="X58" s="12"/>
      <c r="Y58" s="11"/>
      <c r="Z58" s="11"/>
      <c r="AA58" s="11"/>
      <c r="AB58" s="12" t="str">
        <f aca="false">IF(X58="","",WORKDAY(X58,5))</f>
        <v/>
      </c>
      <c r="AC58" s="11"/>
      <c r="AD58" s="11"/>
    </row>
    <row r="59" customFormat="false" ht="23.85" hidden="false" customHeight="false" outlineLevel="0" collapsed="false">
      <c r="A59" s="8" t="n">
        <v>58</v>
      </c>
      <c r="B59" s="9" t="n">
        <v>2</v>
      </c>
      <c r="C59" s="8" t="s">
        <v>147</v>
      </c>
      <c r="D59" s="8" t="s">
        <v>730</v>
      </c>
      <c r="E59" s="10" t="s">
        <v>731</v>
      </c>
      <c r="F59" s="8" t="s">
        <v>249</v>
      </c>
      <c r="G59" s="8" t="s">
        <v>732</v>
      </c>
      <c r="H59" s="8"/>
      <c r="I59" s="8"/>
      <c r="J59" s="8" t="s">
        <v>733</v>
      </c>
      <c r="K59" s="8" t="s">
        <v>734</v>
      </c>
      <c r="L59" s="8" t="s">
        <v>735</v>
      </c>
      <c r="M59" s="8" t="s">
        <v>736</v>
      </c>
      <c r="N59" s="8" t="s">
        <v>127</v>
      </c>
      <c r="O59" s="8" t="s">
        <v>737</v>
      </c>
      <c r="P59" s="8" t="s">
        <v>364</v>
      </c>
      <c r="Q59" s="8" t="s">
        <v>738</v>
      </c>
      <c r="R59" s="8"/>
      <c r="S59" s="8" t="s">
        <v>739</v>
      </c>
      <c r="T59" s="8" t="s">
        <v>740</v>
      </c>
      <c r="U59" s="10" t="s">
        <v>98</v>
      </c>
      <c r="V59" s="10" t="s">
        <v>99</v>
      </c>
      <c r="W59" s="11" t="s">
        <v>100</v>
      </c>
      <c r="X59" s="12"/>
      <c r="Y59" s="11"/>
      <c r="Z59" s="11"/>
      <c r="AA59" s="11"/>
      <c r="AB59" s="12" t="str">
        <f aca="false">IF(X59="","",WORKDAY(X59,5))</f>
        <v/>
      </c>
      <c r="AC59" s="11"/>
      <c r="AD59" s="11"/>
    </row>
    <row r="60" customFormat="false" ht="23.85" hidden="false" customHeight="false" outlineLevel="0" collapsed="false">
      <c r="A60" s="8" t="n">
        <v>59</v>
      </c>
      <c r="B60" s="9" t="n">
        <v>2</v>
      </c>
      <c r="C60" s="8" t="s">
        <v>262</v>
      </c>
      <c r="D60" s="8" t="s">
        <v>741</v>
      </c>
      <c r="E60" s="8" t="s">
        <v>302</v>
      </c>
      <c r="F60" s="8" t="s">
        <v>121</v>
      </c>
      <c r="G60" s="8" t="s">
        <v>742</v>
      </c>
      <c r="H60" s="8"/>
      <c r="I60" s="8"/>
      <c r="J60" s="8"/>
      <c r="K60" s="8" t="s">
        <v>743</v>
      </c>
      <c r="L60" s="8" t="s">
        <v>744</v>
      </c>
      <c r="M60" s="8" t="s">
        <v>745</v>
      </c>
      <c r="N60" s="8" t="s">
        <v>127</v>
      </c>
      <c r="O60" s="8" t="s">
        <v>746</v>
      </c>
      <c r="P60" s="8" t="s">
        <v>93</v>
      </c>
      <c r="Q60" s="8" t="s">
        <v>747</v>
      </c>
      <c r="R60" s="8"/>
      <c r="S60" s="8" t="s">
        <v>748</v>
      </c>
      <c r="T60" s="8" t="s">
        <v>345</v>
      </c>
      <c r="U60" s="10" t="s">
        <v>98</v>
      </c>
      <c r="V60" s="10" t="s">
        <v>99</v>
      </c>
      <c r="W60" s="11" t="s">
        <v>100</v>
      </c>
      <c r="X60" s="12"/>
      <c r="Y60" s="11"/>
      <c r="Z60" s="11"/>
      <c r="AA60" s="11"/>
      <c r="AB60" s="12" t="str">
        <f aca="false">IF(X60="","",WORKDAY(X60,5))</f>
        <v/>
      </c>
      <c r="AC60" s="11"/>
      <c r="AD60" s="11"/>
    </row>
    <row r="61" customFormat="false" ht="23.85" hidden="false" customHeight="false" outlineLevel="0" collapsed="false">
      <c r="A61" s="8" t="n">
        <v>60</v>
      </c>
      <c r="B61" s="9" t="n">
        <v>2</v>
      </c>
      <c r="C61" s="8" t="s">
        <v>162</v>
      </c>
      <c r="D61" s="8" t="s">
        <v>749</v>
      </c>
      <c r="E61" s="8" t="s">
        <v>302</v>
      </c>
      <c r="F61" s="8" t="s">
        <v>380</v>
      </c>
      <c r="G61" s="8" t="s">
        <v>750</v>
      </c>
      <c r="H61" s="8"/>
      <c r="I61" s="8"/>
      <c r="J61" s="8"/>
      <c r="K61" s="8" t="s">
        <v>751</v>
      </c>
      <c r="L61" s="8" t="s">
        <v>752</v>
      </c>
      <c r="M61" s="8" t="s">
        <v>171</v>
      </c>
      <c r="N61" s="8" t="s">
        <v>127</v>
      </c>
      <c r="O61" s="8" t="s">
        <v>297</v>
      </c>
      <c r="P61" s="8" t="s">
        <v>364</v>
      </c>
      <c r="Q61" s="8" t="s">
        <v>753</v>
      </c>
      <c r="R61" s="8"/>
      <c r="S61" s="8"/>
      <c r="T61" s="8" t="s">
        <v>754</v>
      </c>
      <c r="U61" s="10" t="s">
        <v>98</v>
      </c>
      <c r="V61" s="10" t="s">
        <v>99</v>
      </c>
      <c r="W61" s="11" t="s">
        <v>100</v>
      </c>
      <c r="X61" s="12"/>
      <c r="Y61" s="11"/>
      <c r="Z61" s="11"/>
      <c r="AA61" s="11"/>
      <c r="AB61" s="12" t="str">
        <f aca="false">IF(X61="","",WORKDAY(X61,5))</f>
        <v/>
      </c>
      <c r="AC61" s="11"/>
      <c r="AD61" s="11"/>
    </row>
    <row r="62" customFormat="false" ht="23.85" hidden="false" customHeight="false" outlineLevel="0" collapsed="false">
      <c r="A62" s="8" t="n">
        <v>61</v>
      </c>
      <c r="B62" s="9" t="n">
        <v>2</v>
      </c>
      <c r="C62" s="8" t="s">
        <v>162</v>
      </c>
      <c r="D62" s="8" t="s">
        <v>755</v>
      </c>
      <c r="E62" s="8" t="s">
        <v>302</v>
      </c>
      <c r="F62" s="8" t="s">
        <v>324</v>
      </c>
      <c r="G62" s="8" t="s">
        <v>756</v>
      </c>
      <c r="H62" s="8" t="s">
        <v>757</v>
      </c>
      <c r="I62" s="8" t="s">
        <v>758</v>
      </c>
      <c r="J62" s="8"/>
      <c r="K62" s="8" t="s">
        <v>759</v>
      </c>
      <c r="L62" s="8" t="s">
        <v>760</v>
      </c>
      <c r="M62" s="8" t="s">
        <v>171</v>
      </c>
      <c r="N62" s="8" t="s">
        <v>127</v>
      </c>
      <c r="O62" s="8" t="s">
        <v>761</v>
      </c>
      <c r="P62" s="8" t="s">
        <v>364</v>
      </c>
      <c r="Q62" s="8" t="s">
        <v>762</v>
      </c>
      <c r="R62" s="8"/>
      <c r="S62" s="8"/>
      <c r="T62" s="8" t="s">
        <v>345</v>
      </c>
      <c r="U62" s="10" t="s">
        <v>98</v>
      </c>
      <c r="V62" s="10" t="s">
        <v>99</v>
      </c>
      <c r="W62" s="11" t="s">
        <v>100</v>
      </c>
      <c r="X62" s="12"/>
      <c r="Y62" s="11"/>
      <c r="Z62" s="11"/>
      <c r="AA62" s="11"/>
      <c r="AB62" s="12" t="str">
        <f aca="false">IF(X62="","",WORKDAY(X62,5))</f>
        <v/>
      </c>
      <c r="AC62" s="11"/>
      <c r="AD62" s="11"/>
    </row>
    <row r="63" customFormat="false" ht="35.05" hidden="false" customHeight="false" outlineLevel="0" collapsed="false">
      <c r="A63" s="8" t="n">
        <v>62</v>
      </c>
      <c r="B63" s="9" t="n">
        <v>1</v>
      </c>
      <c r="C63" s="8" t="s">
        <v>82</v>
      </c>
      <c r="D63" s="8" t="s">
        <v>763</v>
      </c>
      <c r="E63" s="10" t="s">
        <v>764</v>
      </c>
      <c r="F63" s="8" t="s">
        <v>765</v>
      </c>
      <c r="G63" s="8"/>
      <c r="H63" s="8"/>
      <c r="I63" s="8"/>
      <c r="J63" s="8"/>
      <c r="K63" s="8" t="s">
        <v>766</v>
      </c>
      <c r="L63" s="8" t="s">
        <v>767</v>
      </c>
      <c r="M63" s="8" t="s">
        <v>568</v>
      </c>
      <c r="N63" s="8" t="s">
        <v>768</v>
      </c>
      <c r="O63" s="8" t="s">
        <v>570</v>
      </c>
      <c r="P63" s="8" t="s">
        <v>93</v>
      </c>
      <c r="Q63" s="8" t="s">
        <v>769</v>
      </c>
      <c r="R63" s="8" t="s">
        <v>770</v>
      </c>
      <c r="S63" s="8" t="s">
        <v>771</v>
      </c>
      <c r="T63" s="8" t="s">
        <v>772</v>
      </c>
      <c r="U63" s="10" t="s">
        <v>98</v>
      </c>
      <c r="V63" s="10" t="s">
        <v>99</v>
      </c>
      <c r="W63" s="11" t="s">
        <v>100</v>
      </c>
      <c r="X63" s="12"/>
      <c r="Y63" s="11"/>
      <c r="Z63" s="11"/>
      <c r="AA63" s="11"/>
      <c r="AB63" s="12" t="str">
        <f aca="false">IF(X63="","",WORKDAY(X63,5))</f>
        <v/>
      </c>
      <c r="AC63" s="11"/>
      <c r="AD63" s="11"/>
    </row>
    <row r="64" customFormat="false" ht="23.85" hidden="false" customHeight="false" outlineLevel="0" collapsed="false">
      <c r="A64" s="8" t="n">
        <v>63</v>
      </c>
      <c r="B64" s="9" t="n">
        <v>1</v>
      </c>
      <c r="C64" s="8" t="s">
        <v>82</v>
      </c>
      <c r="D64" s="8" t="s">
        <v>773</v>
      </c>
      <c r="E64" s="10" t="s">
        <v>774</v>
      </c>
      <c r="F64" s="8" t="s">
        <v>775</v>
      </c>
      <c r="G64" s="8"/>
      <c r="H64" s="8"/>
      <c r="I64" s="8"/>
      <c r="J64" s="8"/>
      <c r="K64" s="8" t="s">
        <v>776</v>
      </c>
      <c r="L64" s="8" t="s">
        <v>777</v>
      </c>
      <c r="M64" s="8" t="s">
        <v>778</v>
      </c>
      <c r="N64" s="8" t="s">
        <v>779</v>
      </c>
      <c r="O64" s="8" t="s">
        <v>780</v>
      </c>
      <c r="P64" s="8" t="s">
        <v>93</v>
      </c>
      <c r="Q64" s="8" t="s">
        <v>781</v>
      </c>
      <c r="R64" s="8" t="s">
        <v>782</v>
      </c>
      <c r="S64" s="8"/>
      <c r="T64" s="8" t="s">
        <v>783</v>
      </c>
      <c r="U64" s="10" t="s">
        <v>98</v>
      </c>
      <c r="V64" s="10" t="s">
        <v>99</v>
      </c>
      <c r="W64" s="11" t="s">
        <v>100</v>
      </c>
      <c r="X64" s="12"/>
      <c r="Y64" s="11"/>
      <c r="Z64" s="11"/>
      <c r="AA64" s="11"/>
      <c r="AB64" s="12" t="str">
        <f aca="false">IF(X64="","",WORKDAY(X64,5))</f>
        <v/>
      </c>
      <c r="AC64" s="11"/>
      <c r="AD64" s="11"/>
    </row>
    <row r="65" customFormat="false" ht="23.85" hidden="false" customHeight="false" outlineLevel="0" collapsed="false">
      <c r="A65" s="8" t="n">
        <v>64</v>
      </c>
      <c r="B65" s="9" t="n">
        <v>1</v>
      </c>
      <c r="C65" s="8" t="s">
        <v>101</v>
      </c>
      <c r="D65" s="8" t="s">
        <v>784</v>
      </c>
      <c r="E65" s="10" t="s">
        <v>785</v>
      </c>
      <c r="F65" s="8" t="s">
        <v>249</v>
      </c>
      <c r="G65" s="8" t="s">
        <v>786</v>
      </c>
      <c r="H65" s="8" t="s">
        <v>787</v>
      </c>
      <c r="I65" s="8" t="s">
        <v>788</v>
      </c>
      <c r="J65" s="8"/>
      <c r="K65" s="8" t="s">
        <v>109</v>
      </c>
      <c r="L65" s="8" t="s">
        <v>789</v>
      </c>
      <c r="M65" s="8" t="s">
        <v>717</v>
      </c>
      <c r="N65" s="8" t="s">
        <v>790</v>
      </c>
      <c r="O65" s="8"/>
      <c r="P65" s="8" t="s">
        <v>364</v>
      </c>
      <c r="Q65" s="8" t="s">
        <v>791</v>
      </c>
      <c r="R65" s="8"/>
      <c r="S65" s="8" t="s">
        <v>792</v>
      </c>
      <c r="T65" s="8" t="s">
        <v>793</v>
      </c>
      <c r="U65" s="10" t="s">
        <v>98</v>
      </c>
      <c r="V65" s="10" t="s">
        <v>99</v>
      </c>
      <c r="W65" s="11" t="s">
        <v>100</v>
      </c>
      <c r="X65" s="12"/>
      <c r="Y65" s="11"/>
      <c r="Z65" s="11"/>
      <c r="AA65" s="11"/>
      <c r="AB65" s="12" t="str">
        <f aca="false">IF(X65="","",WORKDAY(X65,5))</f>
        <v/>
      </c>
      <c r="AC65" s="11"/>
      <c r="AD65" s="11"/>
    </row>
    <row r="66" customFormat="false" ht="15" hidden="false" customHeight="false" outlineLevel="0" collapsed="false">
      <c r="A66" s="8" t="n">
        <v>65</v>
      </c>
      <c r="B66" s="9" t="n">
        <v>1</v>
      </c>
      <c r="C66" s="8" t="s">
        <v>147</v>
      </c>
      <c r="D66" s="8" t="s">
        <v>794</v>
      </c>
      <c r="E66" s="10" t="s">
        <v>795</v>
      </c>
      <c r="F66" s="8" t="s">
        <v>249</v>
      </c>
      <c r="G66" s="8" t="s">
        <v>796</v>
      </c>
      <c r="H66" s="8"/>
      <c r="I66" s="8"/>
      <c r="J66" s="8"/>
      <c r="K66" s="8" t="s">
        <v>109</v>
      </c>
      <c r="L66" s="8" t="s">
        <v>797</v>
      </c>
      <c r="M66" s="8" t="s">
        <v>798</v>
      </c>
      <c r="N66" s="8" t="s">
        <v>127</v>
      </c>
      <c r="O66" s="8" t="s">
        <v>257</v>
      </c>
      <c r="P66" s="8" t="s">
        <v>364</v>
      </c>
      <c r="Q66" s="8" t="s">
        <v>799</v>
      </c>
      <c r="R66" s="8"/>
      <c r="S66" s="8"/>
      <c r="T66" s="8" t="s">
        <v>720</v>
      </c>
      <c r="U66" s="10" t="s">
        <v>98</v>
      </c>
      <c r="V66" s="10" t="s">
        <v>99</v>
      </c>
      <c r="W66" s="11" t="s">
        <v>100</v>
      </c>
      <c r="X66" s="12"/>
      <c r="Y66" s="11"/>
      <c r="Z66" s="11"/>
      <c r="AA66" s="11"/>
      <c r="AB66" s="12" t="str">
        <f aca="false">IF(X66="","",WORKDAY(X66,5))</f>
        <v/>
      </c>
      <c r="AC66" s="11"/>
      <c r="AD66" s="11"/>
    </row>
    <row r="67" customFormat="false" ht="46.25" hidden="false" customHeight="false" outlineLevel="0" collapsed="false">
      <c r="A67" s="8" t="n">
        <v>66</v>
      </c>
      <c r="B67" s="9" t="n">
        <v>1</v>
      </c>
      <c r="C67" s="8" t="s">
        <v>147</v>
      </c>
      <c r="D67" s="8" t="s">
        <v>800</v>
      </c>
      <c r="E67" s="10" t="s">
        <v>801</v>
      </c>
      <c r="F67" s="8" t="s">
        <v>121</v>
      </c>
      <c r="G67" s="8" t="s">
        <v>802</v>
      </c>
      <c r="H67" s="8" t="s">
        <v>803</v>
      </c>
      <c r="I67" s="8"/>
      <c r="J67" s="8"/>
      <c r="K67" s="8" t="s">
        <v>153</v>
      </c>
      <c r="L67" s="8" t="s">
        <v>804</v>
      </c>
      <c r="M67" s="8" t="s">
        <v>685</v>
      </c>
      <c r="N67" s="8" t="s">
        <v>127</v>
      </c>
      <c r="O67" s="8" t="s">
        <v>297</v>
      </c>
      <c r="P67" s="8" t="s">
        <v>805</v>
      </c>
      <c r="Q67" s="8" t="s">
        <v>806</v>
      </c>
      <c r="R67" s="8"/>
      <c r="S67" s="8" t="s">
        <v>807</v>
      </c>
      <c r="T67" s="8" t="s">
        <v>808</v>
      </c>
      <c r="U67" s="10" t="s">
        <v>98</v>
      </c>
      <c r="V67" s="10" t="s">
        <v>99</v>
      </c>
      <c r="W67" s="11" t="s">
        <v>100</v>
      </c>
      <c r="X67" s="12"/>
      <c r="Y67" s="11"/>
      <c r="Z67" s="11"/>
      <c r="AA67" s="11"/>
      <c r="AB67" s="12" t="str">
        <f aca="false">IF(X67="","",WORKDAY(X67,5))</f>
        <v/>
      </c>
      <c r="AC67" s="11"/>
      <c r="AD67" s="11"/>
    </row>
  </sheetData>
  <autoFilter ref="A1:AD67"/>
  <conditionalFormatting sqref="B2:B67">
    <cfRule type="cellIs" priority="2" operator="equal" aboveAverage="0" equalAverage="0" bottom="0" percent="0" rank="0" text="" dxfId="10">
      <formula>5</formula>
    </cfRule>
    <cfRule type="cellIs" priority="3" operator="equal" aboveAverage="0" equalAverage="0" bottom="0" percent="0" rank="0" text="" dxfId="11">
      <formula>4</formula>
    </cfRule>
    <cfRule type="cellIs" priority="4" operator="equal" aboveAverage="0" equalAverage="0" bottom="0" percent="0" rank="0" text="" dxfId="12">
      <formula>1</formula>
    </cfRule>
  </conditionalFormatting>
  <conditionalFormatting sqref="AB2:AB67">
    <cfRule type="expression" priority="5" aboveAverage="0" equalAverage="0" bottom="0" percent="0" rank="0" text="" dxfId="13">
      <formula>AND(AB2&lt;&gt;"",AB2&lt;=TODAY(),OR(W2="Contacted",W2="Follow-up sent"))</formula>
    </cfRule>
  </conditionalFormatting>
  <conditionalFormatting sqref="S2:S67">
    <cfRule type="expression" priority="6" aboveAverage="0" equalAverage="0" bottom="0" percent="0" rank="0" text="" dxfId="14">
      <formula>OR(ISNUMBER(SEARCH("RED FLAG",S2)),ISNUMBER(SEARCH("NOT SUITABLE",R2)))</formula>
    </cfRule>
  </conditionalFormatting>
  <dataValidations count="4">
    <dataValidation allowBlank="true" errorStyle="stop" operator="between" showDropDown="false" showErrorMessage="false" showInputMessage="false" sqref="W2:W67" type="list">
      <formula1>"Not contacted,Contacted,Follow-up sent,Replied,Application submitted,Account approved,Price list received,First order placed,Rejected,Not suitable"</formula1>
      <formula2>0</formula2>
    </dataValidation>
    <dataValidation allowBlank="true" errorStyle="stop" operator="between" showDropDown="false" showErrorMessage="false" showInputMessage="false" sqref="Y2:Y67" type="list">
      <formula1>"Email,LinkedIn,Phone,Website form,WhatsApp,Trade show,In person"</formula1>
      <formula2>0</formula2>
    </dataValidation>
    <dataValidation allowBlank="true" errorStyle="stop" operator="between" showDropDown="false" showErrorMessage="false" showInputMessage="false" sqref="AC2:AC67" type="list">
      <formula1>"Yes,No,Pending"</formula1>
      <formula2>0</formula2>
    </dataValidation>
    <dataValidation allowBlank="true" errorStyle="stop" operator="greaterThan" showDropDown="false" showErrorMessage="false" showInputMessage="false" sqref="X2:X67" type="date">
      <formula1>DATE(2020,1,1)</formula1>
      <formula2>0</formula2>
    </dataValidation>
  </dataValidations>
  <hyperlinks>
    <hyperlink ref="E2" r:id="rId1" display="https://www.qogita.com"/>
    <hyperlink ref="U2" r:id="rId2" display="Source link"/>
    <hyperlink ref="V2" r:id="rId3" display="Search LinkedIn"/>
    <hyperlink ref="E3" r:id="rId4" display="https://www.bjutip.com"/>
    <hyperlink ref="U3" r:id="rId5" display="Source link"/>
    <hyperlink ref="V3" r:id="rId6" display="Search LinkedIn"/>
    <hyperlink ref="E4" r:id="rId7" display="https://www.knights-fragrances.co.uk"/>
    <hyperlink ref="U4" r:id="rId8" display="Source link"/>
    <hyperlink ref="V4" r:id="rId9" display="Search LinkedIn"/>
    <hyperlink ref="E5" r:id="rId10" display="https://www.starperfumes.com"/>
    <hyperlink ref="U5" r:id="rId11" display="Source link"/>
    <hyperlink ref="V5" r:id="rId12" display="Search LinkedIn"/>
    <hyperlink ref="E6" r:id="rId13" display="https://www.harrisonsdirect.co.uk"/>
    <hyperlink ref="U6" r:id="rId14" display="Source link"/>
    <hyperlink ref="V6" r:id="rId15" display="Search LinkedIn"/>
    <hyperlink ref="E7" r:id="rId16" display="https://www.abgee.co.uk"/>
    <hyperlink ref="U7" r:id="rId17" display="Source link"/>
    <hyperlink ref="V7" r:id="rId18" display="Search LinkedIn"/>
    <hyperlink ref="E8" r:id="rId19" display="https://www.nda-toys.com"/>
    <hyperlink ref="U8" r:id="rId20" display="Source link"/>
    <hyperlink ref="V8" r:id="rId21" display="Search LinkedIn"/>
    <hyperlink ref="E9" r:id="rId22" display="https://www.wind-designs.com"/>
    <hyperlink ref="U9" r:id="rId23" display="Source link"/>
    <hyperlink ref="V9" r:id="rId24" display="Search LinkedIn"/>
    <hyperlink ref="E10" r:id="rId25" display="https://www.affinityfragrances.com"/>
    <hyperlink ref="U10" r:id="rId26" display="Source link"/>
    <hyperlink ref="V10" r:id="rId27" display="Search LinkedIn"/>
    <hyperlink ref="E11" r:id="rId28" display="https://www.shaneel.com/shaneel-enterprises"/>
    <hyperlink ref="U11" r:id="rId29" display="Source link"/>
    <hyperlink ref="V11" r:id="rId30" display="Search LinkedIn"/>
    <hyperlink ref="E12" r:id="rId31" display="https://www.booker.co.uk"/>
    <hyperlink ref="U12" r:id="rId32" display="Source link"/>
    <hyperlink ref="V12" r:id="rId33" display="Search LinkedIn"/>
    <hyperlink ref="E13" r:id="rId34" display="https://www.proteinbargainwholesale.co.uk"/>
    <hyperlink ref="U13" r:id="rId35" display="Source link"/>
    <hyperlink ref="V13" r:id="rId36" display="Search LinkedIn"/>
    <hyperlink ref="E14" r:id="rId37" display="https://www.westcoastsupplygroup.com"/>
    <hyperlink ref="U14" r:id="rId38" display="Source link"/>
    <hyperlink ref="V14" r:id="rId39" display="Search LinkedIn"/>
    <hyperlink ref="E15" r:id="rId40" display="https://www.reliancemedical.co.uk"/>
    <hyperlink ref="U15" r:id="rId41" display="Source link"/>
    <hyperlink ref="V15" r:id="rId42" display="Search LinkedIn"/>
    <hyperlink ref="E16" r:id="rId43" display="https://www.petproducts.co.uk"/>
    <hyperlink ref="U16" r:id="rId44" display="Source link"/>
    <hyperlink ref="V16" r:id="rId45" display="Search LinkedIn"/>
    <hyperlink ref="E17" r:id="rId46" display="https://www.johnadams.co.uk"/>
    <hyperlink ref="U17" r:id="rId47" display="Source link"/>
    <hyperlink ref="V17" r:id="rId48" display="Search LinkedIn"/>
    <hyperlink ref="U18" r:id="rId49" display="Source link"/>
    <hyperlink ref="V18" r:id="rId50" display="Search LinkedIn"/>
    <hyperlink ref="E19" r:id="rId51" display="https://www.peterkin.co.uk"/>
    <hyperlink ref="U19" r:id="rId52" display="Source link"/>
    <hyperlink ref="V19" r:id="rId53" display="Search LinkedIn"/>
    <hyperlink ref="E20" r:id="rId54" display="https://www.bigbuy.eu"/>
    <hyperlink ref="U20" r:id="rId55" display="Source link"/>
    <hyperlink ref="V20" r:id="rId56" display="Search LinkedIn"/>
    <hyperlink ref="E21" r:id="rId57" display="https://www.wholesalebabyproducts.co.uk"/>
    <hyperlink ref="U21" r:id="rId58" display="Source link"/>
    <hyperlink ref="V21" r:id="rId59" display="Search LinkedIn"/>
    <hyperlink ref="E22" r:id="rId60" display="https://www.agencedeparfumerie.co.uk"/>
    <hyperlink ref="U22" r:id="rId61" display="Source link"/>
    <hyperlink ref="V22" r:id="rId62" display="Search LinkedIn"/>
    <hyperlink ref="E23" r:id="rId63" display="https://beautinow.com/wholesale-perfume-supplier-europe/"/>
    <hyperlink ref="U23" r:id="rId64" display="Source link"/>
    <hyperlink ref="V23" r:id="rId65" display="Search LinkedIn"/>
    <hyperlink ref="E24" r:id="rId66" display="https://www.beautylux.be"/>
    <hyperlink ref="U24" r:id="rId67" display="Source link"/>
    <hyperlink ref="V24" r:id="rId68" display="Search LinkedIn"/>
    <hyperlink ref="U25" r:id="rId69" display="Source link"/>
    <hyperlink ref="V25" r:id="rId70" display="Search LinkedIn"/>
    <hyperlink ref="U26" r:id="rId71" display="Source link"/>
    <hyperlink ref="V26" r:id="rId72" display="Search LinkedIn"/>
    <hyperlink ref="E27" r:id="rId73" display="https://www.orientfragance.com"/>
    <hyperlink ref="U27" r:id="rId74" display="Source link"/>
    <hyperlink ref="V27" r:id="rId75" display="Search LinkedIn"/>
    <hyperlink ref="U28" r:id="rId76" display="Source link"/>
    <hyperlink ref="V28" r:id="rId77" display="Search LinkedIn"/>
    <hyperlink ref="E29" r:id="rId78" display="https://www.bestwaywholesale.co.uk"/>
    <hyperlink ref="U29" r:id="rId79" display="Source link"/>
    <hyperlink ref="V29" r:id="rId80" display="Search LinkedIn"/>
    <hyperlink ref="E30" r:id="rId81" display="https://www.costco.co.uk"/>
    <hyperlink ref="U30" r:id="rId82" display="Source link"/>
    <hyperlink ref="V30" r:id="rId83" display="Search LinkedIn"/>
    <hyperlink ref="E31" r:id="rId84" display="https://www.dhamecha.com"/>
    <hyperlink ref="U31" r:id="rId85" display="Source link"/>
    <hyperlink ref="V31" r:id="rId86" display="Search LinkedIn"/>
    <hyperlink ref="E32" r:id="rId87" display="https://www.hancocks.co.uk"/>
    <hyperlink ref="U32" r:id="rId88" display="Source link"/>
    <hyperlink ref="V32" r:id="rId89" display="Search LinkedIn"/>
    <hyperlink ref="E33" r:id="rId90" display="https://www.parfetts.co.uk"/>
    <hyperlink ref="U33" r:id="rId91" display="Source link"/>
    <hyperlink ref="V33" r:id="rId92" display="Search LinkedIn"/>
    <hyperlink ref="E34" r:id="rId93" display="https://www.clfdistribution.com"/>
    <hyperlink ref="U34" r:id="rId94" display="Source link"/>
    <hyperlink ref="V34" r:id="rId95" display="Search LinkedIn"/>
    <hyperlink ref="E35" r:id="rId96" display="https://www.dkwholesale.com"/>
    <hyperlink ref="U35" r:id="rId97" display="Source link"/>
    <hyperlink ref="V35" r:id="rId98" display="Search LinkedIn"/>
    <hyperlink ref="U36" r:id="rId99" display="Source link"/>
    <hyperlink ref="V36" r:id="rId100" display="Search LinkedIn"/>
    <hyperlink ref="E37" r:id="rId101" display="https://www.pawsproducts.com"/>
    <hyperlink ref="U37" r:id="rId102" display="Source link"/>
    <hyperlink ref="V37" r:id="rId103" display="Search LinkedIn"/>
    <hyperlink ref="E38" r:id="rId104" display="https://www.character-online.com"/>
    <hyperlink ref="U38" r:id="rId105" display="Source link"/>
    <hyperlink ref="V38" r:id="rId106" display="Search LinkedIn"/>
    <hyperlink ref="E39" r:id="rId107" display="https://gb.keycraftglobal.com"/>
    <hyperlink ref="U39" r:id="rId108" display="Source link"/>
    <hyperlink ref="V39" r:id="rId109" display="Search LinkedIn"/>
    <hyperlink ref="E40" r:id="rId110" display="https://www.puckator.co.uk"/>
    <hyperlink ref="U40" r:id="rId111" display="Source link"/>
    <hyperlink ref="V40" r:id="rId112" display="Search LinkedIn"/>
    <hyperlink ref="E41" r:id="rId113" display="https://www.spectrontoys.com"/>
    <hyperlink ref="U41" r:id="rId114" display="Source link"/>
    <hyperlink ref="V41" r:id="rId115" display="Search LinkedIn"/>
    <hyperlink ref="E42" r:id="rId116" display="https://www.ankorstore.com"/>
    <hyperlink ref="U42" r:id="rId117" display="Source link"/>
    <hyperlink ref="V42" r:id="rId118" display="Search LinkedIn"/>
    <hyperlink ref="E43" r:id="rId119" display="https://www.brandsdistribution.com"/>
    <hyperlink ref="U43" r:id="rId120" display="Source link"/>
    <hyperlink ref="V43" r:id="rId121" display="Search LinkedIn"/>
    <hyperlink ref="U44" r:id="rId122" display="Source link"/>
    <hyperlink ref="V44" r:id="rId123" display="Search LinkedIn"/>
    <hyperlink ref="E45" r:id="rId124" display="https://elegancewholesale.co.nl"/>
    <hyperlink ref="U45" r:id="rId125" display="Source link"/>
    <hyperlink ref="V45" r:id="rId126" display="Search LinkedIn"/>
    <hyperlink ref="U46" r:id="rId127" display="Source link"/>
    <hyperlink ref="V46" r:id="rId128" display="Search LinkedIn"/>
    <hyperlink ref="E47" r:id="rId129" display="https://www.profumeriepep.it"/>
    <hyperlink ref="U47" r:id="rId130" display="Source link"/>
    <hyperlink ref="V47" r:id="rId131" display="Search LinkedIn"/>
    <hyperlink ref="E48" r:id="rId132" display="https://www.italianmoda.com/italy-FASHION%2DACCESSORIES%5FPerfumes%5FCosmetics"/>
    <hyperlink ref="U48" r:id="rId133" display="Source link"/>
    <hyperlink ref="V48" r:id="rId134" display="Search LinkedIn"/>
    <hyperlink ref="E49" r:id="rId135" display="https://www.makro.nl"/>
    <hyperlink ref="U49" r:id="rId136" display="Source link"/>
    <hyperlink ref="V49" r:id="rId137" display="Search LinkedIn"/>
    <hyperlink ref="E50" r:id="rId138" display="https://www.wholesaleclearance.co.uk"/>
    <hyperlink ref="U50" r:id="rId139" display="Source link"/>
    <hyperlink ref="V50" r:id="rId140" display="Search LinkedIn"/>
    <hyperlink ref="E51" r:id="rId141" display="https://www.astonandfincher.co.uk"/>
    <hyperlink ref="U51" r:id="rId142" display="Source link"/>
    <hyperlink ref="V51" r:id="rId143" display="Search LinkedIn"/>
    <hyperlink ref="E52" r:id="rId144" display="https://www.capitalhairandbeauty.co.uk"/>
    <hyperlink ref="U52" r:id="rId145" display="Source link"/>
    <hyperlink ref="V52" r:id="rId146" display="Search LinkedIn"/>
    <hyperlink ref="E53" r:id="rId147" display="https://www.cherrycosmetics.co.uk"/>
    <hyperlink ref="U53" r:id="rId148" display="Source link"/>
    <hyperlink ref="V53" r:id="rId149" display="Search LinkedIn"/>
    <hyperlink ref="E54" r:id="rId150" display="https://www.exquisitecosmetics.co.uk"/>
    <hyperlink ref="U54" r:id="rId151" display="Source link"/>
    <hyperlink ref="V54" r:id="rId152" display="Search LinkedIn"/>
    <hyperlink ref="E55" r:id="rId153" display="https://www.kinetic4health.co.uk"/>
    <hyperlink ref="U55" r:id="rId154" display="Source link"/>
    <hyperlink ref="V55" r:id="rId155" display="Search LinkedIn"/>
    <hyperlink ref="E56" r:id="rId156" display="https://www.lookinstyle.co.uk"/>
    <hyperlink ref="U56" r:id="rId157" display="Source link"/>
    <hyperlink ref="V56" r:id="rId158" display="Search LinkedIn"/>
    <hyperlink ref="E57" r:id="rId159" display="https://www.beautetrade.com/suppliers/ludonex-ltd-108314/"/>
    <hyperlink ref="U57" r:id="rId160" display="Source link"/>
    <hyperlink ref="V57" r:id="rId161" display="Search LinkedIn"/>
    <hyperlink ref="E58" r:id="rId162" display="https://www.suma.coop"/>
    <hyperlink ref="U58" r:id="rId163" display="Source link"/>
    <hyperlink ref="V58" r:id="rId164" display="Search LinkedIn"/>
    <hyperlink ref="E59" r:id="rId165" display="https://w-pharma-europe3.odoo.com"/>
    <hyperlink ref="U59" r:id="rId166" display="Source link"/>
    <hyperlink ref="V59" r:id="rId167" display="Search LinkedIn"/>
    <hyperlink ref="U60" r:id="rId168" display="Source link"/>
    <hyperlink ref="V60" r:id="rId169" display="Search LinkedIn"/>
    <hyperlink ref="U61" r:id="rId170" display="Source link"/>
    <hyperlink ref="V61" r:id="rId171" display="Search LinkedIn"/>
    <hyperlink ref="U62" r:id="rId172" display="Source link"/>
    <hyperlink ref="V62" r:id="rId173" display="Search LinkedIn"/>
    <hyperlink ref="E63" r:id="rId174" display="https://www.faire.com"/>
    <hyperlink ref="U63" r:id="rId175" display="Source link"/>
    <hyperlink ref="V63" r:id="rId176" display="Search LinkedIn"/>
    <hyperlink ref="E64" r:id="rId177" display="https://merkandi.com"/>
    <hyperlink ref="U64" r:id="rId178" display="Source link"/>
    <hyperlink ref="V64" r:id="rId179" display="Search LinkedIn"/>
    <hyperlink ref="E65" r:id="rId180" display="https://www.beautetrade.com/products/global-wholesale-distributor-of-cosmetics-skincare-fragrances/75837"/>
    <hyperlink ref="U65" r:id="rId181" display="Source link"/>
    <hyperlink ref="V65" r:id="rId182" display="Search LinkedIn"/>
    <hyperlink ref="E66" r:id="rId183" display="https://www.beautetrade.com/suppliers/europe-pharma-group-bv-83659/"/>
    <hyperlink ref="U66" r:id="rId184" display="Source link"/>
    <hyperlink ref="V66" r:id="rId185" display="Search LinkedIn"/>
    <hyperlink ref="E67" r:id="rId186" display="https://www.shure-cosmetics.co.uk"/>
    <hyperlink ref="U67" r:id="rId187" display="Source link"/>
    <hyperlink ref="V67" r:id="rId188" display="Search LinkedI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89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8" min="7" style="0" width="20"/>
    <col collapsed="false" customWidth="true" hidden="false" outlineLevel="0" max="9" min="9" style="0" width="28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34"/>
  </cols>
  <sheetData>
    <row r="1" customFormat="false" ht="31.5" hidden="false" customHeight="true" outlineLevel="0" collapsed="false">
      <c r="A1" s="6" t="s">
        <v>52</v>
      </c>
      <c r="B1" s="6" t="s">
        <v>55</v>
      </c>
      <c r="C1" s="6" t="s">
        <v>54</v>
      </c>
      <c r="D1" s="6" t="s">
        <v>57</v>
      </c>
      <c r="E1" s="6" t="s">
        <v>809</v>
      </c>
      <c r="F1" s="6" t="s">
        <v>810</v>
      </c>
      <c r="G1" s="7" t="s">
        <v>811</v>
      </c>
      <c r="H1" s="7" t="s">
        <v>812</v>
      </c>
      <c r="I1" s="7" t="s">
        <v>813</v>
      </c>
      <c r="J1" s="7" t="s">
        <v>814</v>
      </c>
      <c r="K1" s="7" t="s">
        <v>815</v>
      </c>
      <c r="L1" s="7" t="s">
        <v>816</v>
      </c>
      <c r="M1" s="7" t="s">
        <v>817</v>
      </c>
      <c r="N1" s="7" t="s">
        <v>818</v>
      </c>
    </row>
    <row r="2" customFormat="false" ht="15" hidden="false" customHeight="false" outlineLevel="0" collapsed="false">
      <c r="A2" s="13" t="n">
        <f aca="false">Suppliers!A2</f>
        <v>1</v>
      </c>
      <c r="B2" s="13" t="str">
        <f aca="false">Suppliers!D2</f>
        <v>Qogita</v>
      </c>
      <c r="C2" s="13" t="str">
        <f aca="false">Suppliers!C2</f>
        <v>B2B Marketplace</v>
      </c>
      <c r="D2" s="13" t="str">
        <f aca="false">Suppliers!F2</f>
        <v>UK / EU</v>
      </c>
      <c r="E2" s="14" t="s">
        <v>819</v>
      </c>
      <c r="F2" s="14" t="s">
        <v>820</v>
      </c>
      <c r="G2" s="11"/>
      <c r="H2" s="11"/>
      <c r="I2" s="11"/>
      <c r="J2" s="12"/>
      <c r="K2" s="11"/>
      <c r="L2" s="12"/>
      <c r="M2" s="11"/>
      <c r="N2" s="11"/>
    </row>
    <row r="3" customFormat="false" ht="23.85" hidden="false" customHeight="false" outlineLevel="0" collapsed="false">
      <c r="A3" s="13" t="n">
        <f aca="false">Suppliers!A3</f>
        <v>2</v>
      </c>
      <c r="B3" s="13" t="str">
        <f aca="false">Suppliers!D3</f>
        <v>BJUTIP a.s.</v>
      </c>
      <c r="C3" s="13" t="str">
        <f aca="false">Suppliers!C3</f>
        <v>Fragrance</v>
      </c>
      <c r="D3" s="13" t="str">
        <f aca="false">Suppliers!F3</f>
        <v>Czech Republic</v>
      </c>
      <c r="E3" s="14" t="s">
        <v>819</v>
      </c>
      <c r="F3" s="14" t="s">
        <v>820</v>
      </c>
      <c r="G3" s="11"/>
      <c r="H3" s="11"/>
      <c r="I3" s="11"/>
      <c r="J3" s="12"/>
      <c r="K3" s="11"/>
      <c r="L3" s="12"/>
      <c r="M3" s="11"/>
      <c r="N3" s="11"/>
    </row>
    <row r="4" customFormat="false" ht="15" hidden="false" customHeight="false" outlineLevel="0" collapsed="false">
      <c r="A4" s="13" t="n">
        <f aca="false">Suppliers!A4</f>
        <v>3</v>
      </c>
      <c r="B4" s="13" t="str">
        <f aca="false">Suppliers!D4</f>
        <v>Knights Fragrances</v>
      </c>
      <c r="C4" s="13" t="str">
        <f aca="false">Suppliers!C4</f>
        <v>Fragrance</v>
      </c>
      <c r="D4" s="13" t="str">
        <f aca="false">Suppliers!F4</f>
        <v>UK</v>
      </c>
      <c r="E4" s="14" t="s">
        <v>819</v>
      </c>
      <c r="F4" s="14" t="s">
        <v>820</v>
      </c>
      <c r="G4" s="11"/>
      <c r="H4" s="11"/>
      <c r="I4" s="11"/>
      <c r="J4" s="12"/>
      <c r="K4" s="11"/>
      <c r="L4" s="12"/>
      <c r="M4" s="11"/>
      <c r="N4" s="11"/>
    </row>
    <row r="5" customFormat="false" ht="23.85" hidden="false" customHeight="false" outlineLevel="0" collapsed="false">
      <c r="A5" s="13" t="n">
        <f aca="false">Suppliers!A5</f>
        <v>4</v>
      </c>
      <c r="B5" s="13" t="str">
        <f aca="false">Suppliers!D5</f>
        <v>Star Perfumes (Star Global Trading Ltd)</v>
      </c>
      <c r="C5" s="13" t="str">
        <f aca="false">Suppliers!C5</f>
        <v>Fragrance</v>
      </c>
      <c r="D5" s="13" t="str">
        <f aca="false">Suppliers!F5</f>
        <v>UK</v>
      </c>
      <c r="E5" s="14" t="s">
        <v>819</v>
      </c>
      <c r="F5" s="14" t="s">
        <v>820</v>
      </c>
      <c r="G5" s="11"/>
      <c r="H5" s="11"/>
      <c r="I5" s="11"/>
      <c r="J5" s="12"/>
      <c r="K5" s="11"/>
      <c r="L5" s="12"/>
      <c r="M5" s="11"/>
      <c r="N5" s="11"/>
    </row>
    <row r="6" customFormat="false" ht="23.85" hidden="false" customHeight="false" outlineLevel="0" collapsed="false">
      <c r="A6" s="13" t="n">
        <f aca="false">Suppliers!A6</f>
        <v>5</v>
      </c>
      <c r="B6" s="13" t="str">
        <f aca="false">Suppliers!D6</f>
        <v>Harrisons Direct (Albert Harrison &amp; Co Ltd)</v>
      </c>
      <c r="C6" s="13" t="str">
        <f aca="false">Suppliers!C6</f>
        <v>Health &amp; Beauty</v>
      </c>
      <c r="D6" s="13" t="str">
        <f aca="false">Suppliers!F6</f>
        <v>UK</v>
      </c>
      <c r="E6" s="14" t="s">
        <v>819</v>
      </c>
      <c r="F6" s="14" t="s">
        <v>820</v>
      </c>
      <c r="G6" s="11"/>
      <c r="H6" s="11"/>
      <c r="I6" s="11"/>
      <c r="J6" s="12"/>
      <c r="K6" s="11"/>
      <c r="L6" s="12"/>
      <c r="M6" s="11"/>
      <c r="N6" s="11"/>
    </row>
    <row r="7" customFormat="false" ht="15" hidden="false" customHeight="false" outlineLevel="0" collapsed="false">
      <c r="A7" s="13" t="n">
        <f aca="false">Suppliers!A7</f>
        <v>6</v>
      </c>
      <c r="B7" s="13" t="str">
        <f aca="false">Suppliers!D7</f>
        <v>A.B. Gee of Ripley Ltd</v>
      </c>
      <c r="C7" s="13" t="str">
        <f aca="false">Suppliers!C7</f>
        <v>Toys</v>
      </c>
      <c r="D7" s="13" t="str">
        <f aca="false">Suppliers!F7</f>
        <v>UK</v>
      </c>
      <c r="E7" s="14" t="s">
        <v>819</v>
      </c>
      <c r="F7" s="14" t="s">
        <v>820</v>
      </c>
      <c r="G7" s="11"/>
      <c r="H7" s="11"/>
      <c r="I7" s="11"/>
      <c r="J7" s="12"/>
      <c r="K7" s="11"/>
      <c r="L7" s="12"/>
      <c r="M7" s="11"/>
      <c r="N7" s="11"/>
    </row>
    <row r="8" customFormat="false" ht="15" hidden="false" customHeight="false" outlineLevel="0" collapsed="false">
      <c r="A8" s="13" t="n">
        <f aca="false">Suppliers!A8</f>
        <v>7</v>
      </c>
      <c r="B8" s="13" t="str">
        <f aca="false">Suppliers!D8</f>
        <v>NDA Toys</v>
      </c>
      <c r="C8" s="13" t="str">
        <f aca="false">Suppliers!C8</f>
        <v>Toys</v>
      </c>
      <c r="D8" s="13" t="str">
        <f aca="false">Suppliers!F8</f>
        <v>UK</v>
      </c>
      <c r="E8" s="14" t="s">
        <v>819</v>
      </c>
      <c r="F8" s="14" t="s">
        <v>820</v>
      </c>
      <c r="G8" s="11"/>
      <c r="H8" s="11"/>
      <c r="I8" s="11"/>
      <c r="J8" s="12"/>
      <c r="K8" s="11"/>
      <c r="L8" s="12"/>
      <c r="M8" s="11"/>
      <c r="N8" s="11"/>
    </row>
    <row r="9" customFormat="false" ht="15" hidden="false" customHeight="false" outlineLevel="0" collapsed="false">
      <c r="A9" s="13" t="n">
        <f aca="false">Suppliers!A9</f>
        <v>8</v>
      </c>
      <c r="B9" s="13" t="str">
        <f aca="false">Suppliers!D9</f>
        <v>Wind Designs Ltd</v>
      </c>
      <c r="C9" s="13" t="str">
        <f aca="false">Suppliers!C9</f>
        <v>Toys</v>
      </c>
      <c r="D9" s="13" t="str">
        <f aca="false">Suppliers!F9</f>
        <v>UK</v>
      </c>
      <c r="E9" s="14" t="s">
        <v>819</v>
      </c>
      <c r="F9" s="14" t="s">
        <v>820</v>
      </c>
      <c r="G9" s="11"/>
      <c r="H9" s="11"/>
      <c r="I9" s="11"/>
      <c r="J9" s="12"/>
      <c r="K9" s="11"/>
      <c r="L9" s="12"/>
      <c r="M9" s="11"/>
      <c r="N9" s="11"/>
    </row>
    <row r="10" customFormat="false" ht="15" hidden="false" customHeight="false" outlineLevel="0" collapsed="false">
      <c r="A10" s="13" t="n">
        <f aca="false">Suppliers!A10</f>
        <v>9</v>
      </c>
      <c r="B10" s="13" t="str">
        <f aca="false">Suppliers!D10</f>
        <v>Affinity Fragrances</v>
      </c>
      <c r="C10" s="13" t="str">
        <f aca="false">Suppliers!C10</f>
        <v>Fragrance</v>
      </c>
      <c r="D10" s="13" t="str">
        <f aca="false">Suppliers!F10</f>
        <v>UK</v>
      </c>
      <c r="E10" s="14" t="s">
        <v>819</v>
      </c>
      <c r="F10" s="14" t="s">
        <v>820</v>
      </c>
      <c r="G10" s="11"/>
      <c r="H10" s="11"/>
      <c r="I10" s="11"/>
      <c r="J10" s="12"/>
      <c r="K10" s="11"/>
      <c r="L10" s="12"/>
      <c r="M10" s="11"/>
      <c r="N10" s="11"/>
    </row>
    <row r="11" customFormat="false" ht="23.85" hidden="false" customHeight="false" outlineLevel="0" collapsed="false">
      <c r="A11" s="13" t="n">
        <f aca="false">Suppliers!A11</f>
        <v>10</v>
      </c>
      <c r="B11" s="13" t="str">
        <f aca="false">Suppliers!D11</f>
        <v>Shaneel Group (Shaneel Enterprises Ltd)</v>
      </c>
      <c r="C11" s="13" t="str">
        <f aca="false">Suppliers!C11</f>
        <v>Fragrance</v>
      </c>
      <c r="D11" s="13" t="str">
        <f aca="false">Suppliers!F11</f>
        <v>UK</v>
      </c>
      <c r="E11" s="14" t="s">
        <v>819</v>
      </c>
      <c r="F11" s="14" t="s">
        <v>820</v>
      </c>
      <c r="G11" s="11"/>
      <c r="H11" s="11"/>
      <c r="I11" s="11"/>
      <c r="J11" s="12"/>
      <c r="K11" s="11"/>
      <c r="L11" s="12"/>
      <c r="M11" s="11"/>
      <c r="N11" s="11"/>
    </row>
    <row r="12" customFormat="false" ht="23.85" hidden="false" customHeight="false" outlineLevel="0" collapsed="false">
      <c r="A12" s="13" t="n">
        <f aca="false">Suppliers!A12</f>
        <v>11</v>
      </c>
      <c r="B12" s="13" t="str">
        <f aca="false">Suppliers!D12</f>
        <v>Booker Wholesale (incl. Makro UK)</v>
      </c>
      <c r="C12" s="13" t="str">
        <f aca="false">Suppliers!C12</f>
        <v>General Wholesale / FMCG</v>
      </c>
      <c r="D12" s="13" t="str">
        <f aca="false">Suppliers!F12</f>
        <v>UK</v>
      </c>
      <c r="E12" s="14" t="s">
        <v>819</v>
      </c>
      <c r="F12" s="14" t="s">
        <v>820</v>
      </c>
      <c r="G12" s="11"/>
      <c r="H12" s="11"/>
      <c r="I12" s="11"/>
      <c r="J12" s="12"/>
      <c r="K12" s="11"/>
      <c r="L12" s="12"/>
      <c r="M12" s="11"/>
      <c r="N12" s="11"/>
    </row>
    <row r="13" customFormat="false" ht="23.85" hidden="false" customHeight="false" outlineLevel="0" collapsed="false">
      <c r="A13" s="13" t="n">
        <f aca="false">Suppliers!A13</f>
        <v>12</v>
      </c>
      <c r="B13" s="13" t="str">
        <f aca="false">Suppliers!D13</f>
        <v>PB Wholesale (Protein Bargain Wholesale)</v>
      </c>
      <c r="C13" s="13" t="str">
        <f aca="false">Suppliers!C13</f>
        <v>Health &amp; Beauty</v>
      </c>
      <c r="D13" s="13" t="str">
        <f aca="false">Suppliers!F13</f>
        <v>UK</v>
      </c>
      <c r="E13" s="14" t="s">
        <v>819</v>
      </c>
      <c r="F13" s="14" t="s">
        <v>820</v>
      </c>
      <c r="G13" s="11"/>
      <c r="H13" s="11"/>
      <c r="I13" s="11"/>
      <c r="J13" s="12"/>
      <c r="K13" s="11"/>
      <c r="L13" s="12"/>
      <c r="M13" s="11"/>
      <c r="N13" s="11"/>
    </row>
    <row r="14" customFormat="false" ht="15" hidden="false" customHeight="false" outlineLevel="0" collapsed="false">
      <c r="A14" s="13" t="n">
        <f aca="false">Suppliers!A14</f>
        <v>13</v>
      </c>
      <c r="B14" s="13" t="str">
        <f aca="false">Suppliers!D14</f>
        <v>West Coast Supply Group</v>
      </c>
      <c r="C14" s="13" t="str">
        <f aca="false">Suppliers!C14</f>
        <v>Health &amp; Beauty</v>
      </c>
      <c r="D14" s="13" t="str">
        <f aca="false">Suppliers!F14</f>
        <v>Netherlands</v>
      </c>
      <c r="E14" s="14" t="s">
        <v>819</v>
      </c>
      <c r="F14" s="14" t="s">
        <v>820</v>
      </c>
      <c r="G14" s="11"/>
      <c r="H14" s="11"/>
      <c r="I14" s="11"/>
      <c r="J14" s="12"/>
      <c r="K14" s="11"/>
      <c r="L14" s="12"/>
      <c r="M14" s="11"/>
      <c r="N14" s="11"/>
    </row>
    <row r="15" customFormat="false" ht="23.85" hidden="false" customHeight="false" outlineLevel="0" collapsed="false">
      <c r="A15" s="13" t="n">
        <f aca="false">Suppliers!A15</f>
        <v>14</v>
      </c>
      <c r="B15" s="13" t="str">
        <f aca="false">Suppliers!D15</f>
        <v>Reliance Medical Ltd</v>
      </c>
      <c r="C15" s="13" t="str">
        <f aca="false">Suppliers!C15</f>
        <v>Healthcare / Medical</v>
      </c>
      <c r="D15" s="13" t="str">
        <f aca="false">Suppliers!F15</f>
        <v>UK</v>
      </c>
      <c r="E15" s="14" t="s">
        <v>819</v>
      </c>
      <c r="F15" s="14" t="s">
        <v>820</v>
      </c>
      <c r="G15" s="11"/>
      <c r="H15" s="11"/>
      <c r="I15" s="11"/>
      <c r="J15" s="12"/>
      <c r="K15" s="11"/>
      <c r="L15" s="12"/>
      <c r="M15" s="11"/>
      <c r="N15" s="11"/>
    </row>
    <row r="16" customFormat="false" ht="15" hidden="false" customHeight="false" outlineLevel="0" collapsed="false">
      <c r="A16" s="13" t="n">
        <f aca="false">Suppliers!A16</f>
        <v>15</v>
      </c>
      <c r="B16" s="13" t="str">
        <f aca="false">Suppliers!D16</f>
        <v>Pedigree Wholesale</v>
      </c>
      <c r="C16" s="13" t="str">
        <f aca="false">Suppliers!C16</f>
        <v>Pet</v>
      </c>
      <c r="D16" s="13" t="str">
        <f aca="false">Suppliers!F16</f>
        <v>UK</v>
      </c>
      <c r="E16" s="14" t="s">
        <v>819</v>
      </c>
      <c r="F16" s="14" t="s">
        <v>820</v>
      </c>
      <c r="G16" s="11"/>
      <c r="H16" s="11"/>
      <c r="I16" s="11"/>
      <c r="J16" s="12"/>
      <c r="K16" s="11"/>
      <c r="L16" s="12"/>
      <c r="M16" s="11"/>
      <c r="N16" s="11"/>
    </row>
    <row r="17" customFormat="false" ht="15" hidden="false" customHeight="false" outlineLevel="0" collapsed="false">
      <c r="A17" s="13" t="n">
        <f aca="false">Suppliers!A17</f>
        <v>16</v>
      </c>
      <c r="B17" s="13" t="str">
        <f aca="false">Suppliers!D17</f>
        <v>John Adams Leisure Ltd</v>
      </c>
      <c r="C17" s="13" t="str">
        <f aca="false">Suppliers!C17</f>
        <v>Toys</v>
      </c>
      <c r="D17" s="13" t="str">
        <f aca="false">Suppliers!F17</f>
        <v>UK</v>
      </c>
      <c r="E17" s="14" t="s">
        <v>819</v>
      </c>
      <c r="F17" s="14" t="s">
        <v>820</v>
      </c>
      <c r="G17" s="11"/>
      <c r="H17" s="11"/>
      <c r="I17" s="11"/>
      <c r="J17" s="12"/>
      <c r="K17" s="11"/>
      <c r="L17" s="12"/>
      <c r="M17" s="11"/>
      <c r="N17" s="11"/>
    </row>
    <row r="18" customFormat="false" ht="15" hidden="false" customHeight="false" outlineLevel="0" collapsed="false">
      <c r="A18" s="13" t="n">
        <f aca="false">Suppliers!A18</f>
        <v>17</v>
      </c>
      <c r="B18" s="13" t="str">
        <f aca="false">Suppliers!D18</f>
        <v>One For Fun</v>
      </c>
      <c r="C18" s="13" t="str">
        <f aca="false">Suppliers!C18</f>
        <v>Toys</v>
      </c>
      <c r="D18" s="13" t="str">
        <f aca="false">Suppliers!F18</f>
        <v>UK</v>
      </c>
      <c r="E18" s="14" t="s">
        <v>819</v>
      </c>
      <c r="F18" s="14" t="s">
        <v>820</v>
      </c>
      <c r="G18" s="11"/>
      <c r="H18" s="11"/>
      <c r="I18" s="11"/>
      <c r="J18" s="12"/>
      <c r="K18" s="11"/>
      <c r="L18" s="12"/>
      <c r="M18" s="11"/>
      <c r="N18" s="11"/>
    </row>
    <row r="19" customFormat="false" ht="15" hidden="false" customHeight="false" outlineLevel="0" collapsed="false">
      <c r="A19" s="13" t="n">
        <f aca="false">Suppliers!A19</f>
        <v>18</v>
      </c>
      <c r="B19" s="13" t="str">
        <f aca="false">Suppliers!D19</f>
        <v>Peterkin UK Ltd (John Adams group)</v>
      </c>
      <c r="C19" s="13" t="str">
        <f aca="false">Suppliers!C19</f>
        <v>Toys</v>
      </c>
      <c r="D19" s="13" t="str">
        <f aca="false">Suppliers!F19</f>
        <v>UK</v>
      </c>
      <c r="E19" s="14" t="s">
        <v>819</v>
      </c>
      <c r="F19" s="14" t="s">
        <v>820</v>
      </c>
      <c r="G19" s="11"/>
      <c r="H19" s="11"/>
      <c r="I19" s="11"/>
      <c r="J19" s="12"/>
      <c r="K19" s="11"/>
      <c r="L19" s="12"/>
      <c r="M19" s="11"/>
      <c r="N19" s="11"/>
    </row>
    <row r="20" customFormat="false" ht="15" hidden="false" customHeight="false" outlineLevel="0" collapsed="false">
      <c r="A20" s="13" t="n">
        <f aca="false">Suppliers!A20</f>
        <v>19</v>
      </c>
      <c r="B20" s="13" t="str">
        <f aca="false">Suppliers!D20</f>
        <v>BigBuy</v>
      </c>
      <c r="C20" s="13" t="str">
        <f aca="false">Suppliers!C20</f>
        <v>B2B Marketplace</v>
      </c>
      <c r="D20" s="13" t="str">
        <f aca="false">Suppliers!F20</f>
        <v>Spain</v>
      </c>
      <c r="E20" s="14" t="s">
        <v>819</v>
      </c>
      <c r="F20" s="14" t="s">
        <v>820</v>
      </c>
      <c r="G20" s="11"/>
      <c r="H20" s="11"/>
      <c r="I20" s="11"/>
      <c r="J20" s="12"/>
      <c r="K20" s="11"/>
      <c r="L20" s="12"/>
      <c r="M20" s="11"/>
      <c r="N20" s="11"/>
    </row>
    <row r="21" customFormat="false" ht="15" hidden="false" customHeight="false" outlineLevel="0" collapsed="false">
      <c r="A21" s="13" t="n">
        <f aca="false">Suppliers!A21</f>
        <v>20</v>
      </c>
      <c r="B21" s="13" t="str">
        <f aca="false">Suppliers!D21</f>
        <v>Wholesale Baby Products (W.B.P)</v>
      </c>
      <c r="C21" s="13" t="str">
        <f aca="false">Suppliers!C21</f>
        <v>Baby</v>
      </c>
      <c r="D21" s="13" t="str">
        <f aca="false">Suppliers!F21</f>
        <v>UK</v>
      </c>
      <c r="E21" s="14" t="s">
        <v>819</v>
      </c>
      <c r="F21" s="14" t="s">
        <v>820</v>
      </c>
      <c r="G21" s="11"/>
      <c r="H21" s="11"/>
      <c r="I21" s="11"/>
      <c r="J21" s="12"/>
      <c r="K21" s="11"/>
      <c r="L21" s="12"/>
      <c r="M21" s="11"/>
      <c r="N21" s="11"/>
    </row>
    <row r="22" customFormat="false" ht="15" hidden="false" customHeight="false" outlineLevel="0" collapsed="false">
      <c r="A22" s="13" t="n">
        <f aca="false">Suppliers!A22</f>
        <v>21</v>
      </c>
      <c r="B22" s="13" t="str">
        <f aca="false">Suppliers!D22</f>
        <v>Agence de Parfumerie</v>
      </c>
      <c r="C22" s="13" t="str">
        <f aca="false">Suppliers!C22</f>
        <v>Fragrance</v>
      </c>
      <c r="D22" s="13" t="str">
        <f aca="false">Suppliers!F22</f>
        <v>UK</v>
      </c>
      <c r="E22" s="14" t="s">
        <v>819</v>
      </c>
      <c r="F22" s="14" t="s">
        <v>820</v>
      </c>
      <c r="G22" s="11"/>
      <c r="H22" s="11"/>
      <c r="I22" s="11"/>
      <c r="J22" s="12"/>
      <c r="K22" s="11"/>
      <c r="L22" s="12"/>
      <c r="M22" s="11"/>
      <c r="N22" s="11"/>
    </row>
    <row r="23" customFormat="false" ht="15" hidden="false" customHeight="false" outlineLevel="0" collapsed="false">
      <c r="A23" s="13" t="n">
        <f aca="false">Suppliers!A23</f>
        <v>22</v>
      </c>
      <c r="B23" s="13" t="str">
        <f aca="false">Suppliers!D23</f>
        <v>Beautinow B.V.</v>
      </c>
      <c r="C23" s="13" t="str">
        <f aca="false">Suppliers!C23</f>
        <v>Fragrance</v>
      </c>
      <c r="D23" s="13" t="str">
        <f aca="false">Suppliers!F23</f>
        <v>Netherlands</v>
      </c>
      <c r="E23" s="14" t="s">
        <v>819</v>
      </c>
      <c r="F23" s="14" t="s">
        <v>820</v>
      </c>
      <c r="G23" s="11"/>
      <c r="H23" s="11"/>
      <c r="I23" s="11"/>
      <c r="J23" s="12"/>
      <c r="K23" s="11"/>
      <c r="L23" s="12"/>
      <c r="M23" s="11"/>
      <c r="N23" s="11"/>
    </row>
    <row r="24" customFormat="false" ht="15" hidden="false" customHeight="false" outlineLevel="0" collapsed="false">
      <c r="A24" s="13" t="n">
        <f aca="false">Suppliers!A24</f>
        <v>23</v>
      </c>
      <c r="B24" s="13" t="str">
        <f aca="false">Suppliers!D24</f>
        <v>Beautylux</v>
      </c>
      <c r="C24" s="13" t="str">
        <f aca="false">Suppliers!C24</f>
        <v>Fragrance</v>
      </c>
      <c r="D24" s="13" t="str">
        <f aca="false">Suppliers!F24</f>
        <v>Belgium</v>
      </c>
      <c r="E24" s="14" t="s">
        <v>819</v>
      </c>
      <c r="F24" s="14" t="s">
        <v>820</v>
      </c>
      <c r="G24" s="11"/>
      <c r="H24" s="11"/>
      <c r="I24" s="11"/>
      <c r="J24" s="12"/>
      <c r="K24" s="11"/>
      <c r="L24" s="12"/>
      <c r="M24" s="11"/>
      <c r="N24" s="11"/>
    </row>
    <row r="25" customFormat="false" ht="23.85" hidden="false" customHeight="false" outlineLevel="0" collapsed="false">
      <c r="A25" s="13" t="n">
        <f aca="false">Suppliers!A25</f>
        <v>24</v>
      </c>
      <c r="B25" s="13" t="str">
        <f aca="false">Suppliers!D25</f>
        <v>Emporium Handels &amp; Vertriebs GmbH (B&amp;S Group)</v>
      </c>
      <c r="C25" s="13" t="str">
        <f aca="false">Suppliers!C25</f>
        <v>Fragrance</v>
      </c>
      <c r="D25" s="13" t="str">
        <f aca="false">Suppliers!F25</f>
        <v>Germany</v>
      </c>
      <c r="E25" s="14" t="s">
        <v>819</v>
      </c>
      <c r="F25" s="14" t="s">
        <v>820</v>
      </c>
      <c r="G25" s="11"/>
      <c r="H25" s="11"/>
      <c r="I25" s="11"/>
      <c r="J25" s="12"/>
      <c r="K25" s="11"/>
      <c r="L25" s="12"/>
      <c r="M25" s="11"/>
      <c r="N25" s="11"/>
    </row>
    <row r="26" customFormat="false" ht="15" hidden="false" customHeight="false" outlineLevel="0" collapsed="false">
      <c r="A26" s="13" t="n">
        <f aca="false">Suppliers!A26</f>
        <v>25</v>
      </c>
      <c r="B26" s="13" t="str">
        <f aca="false">Suppliers!D26</f>
        <v>MisterM Plus Sp. z o.o. Sp.k.</v>
      </c>
      <c r="C26" s="13" t="str">
        <f aca="false">Suppliers!C26</f>
        <v>Fragrance</v>
      </c>
      <c r="D26" s="13" t="str">
        <f aca="false">Suppliers!F26</f>
        <v>Poland</v>
      </c>
      <c r="E26" s="14" t="s">
        <v>819</v>
      </c>
      <c r="F26" s="14" t="s">
        <v>820</v>
      </c>
      <c r="G26" s="11"/>
      <c r="H26" s="11"/>
      <c r="I26" s="11"/>
      <c r="J26" s="12"/>
      <c r="K26" s="11"/>
      <c r="L26" s="12"/>
      <c r="M26" s="11"/>
      <c r="N26" s="11"/>
    </row>
    <row r="27" customFormat="false" ht="15" hidden="false" customHeight="false" outlineLevel="0" collapsed="false">
      <c r="A27" s="13" t="n">
        <f aca="false">Suppliers!A27</f>
        <v>26</v>
      </c>
      <c r="B27" s="13" t="str">
        <f aca="false">Suppliers!D27</f>
        <v>OrientFragance</v>
      </c>
      <c r="C27" s="13" t="str">
        <f aca="false">Suppliers!C27</f>
        <v>Fragrance</v>
      </c>
      <c r="D27" s="13" t="str">
        <f aca="false">Suppliers!F27</f>
        <v>Spain</v>
      </c>
      <c r="E27" s="14" t="s">
        <v>819</v>
      </c>
      <c r="F27" s="14" t="s">
        <v>820</v>
      </c>
      <c r="G27" s="11"/>
      <c r="H27" s="11"/>
      <c r="I27" s="11"/>
      <c r="J27" s="12"/>
      <c r="K27" s="11"/>
      <c r="L27" s="12"/>
      <c r="M27" s="11"/>
      <c r="N27" s="11"/>
    </row>
    <row r="28" customFormat="false" ht="15" hidden="false" customHeight="false" outlineLevel="0" collapsed="false">
      <c r="A28" s="13" t="n">
        <f aca="false">Suppliers!A28</f>
        <v>27</v>
      </c>
      <c r="B28" s="13" t="str">
        <f aca="false">Suppliers!D28</f>
        <v>Parfum Company Sp. z o.o. S.K.A.</v>
      </c>
      <c r="C28" s="13" t="str">
        <f aca="false">Suppliers!C28</f>
        <v>Fragrance</v>
      </c>
      <c r="D28" s="13" t="str">
        <f aca="false">Suppliers!F28</f>
        <v>Poland</v>
      </c>
      <c r="E28" s="14" t="s">
        <v>819</v>
      </c>
      <c r="F28" s="14" t="s">
        <v>820</v>
      </c>
      <c r="G28" s="11"/>
      <c r="H28" s="11"/>
      <c r="I28" s="11"/>
      <c r="J28" s="12"/>
      <c r="K28" s="11"/>
      <c r="L28" s="12"/>
      <c r="M28" s="11"/>
      <c r="N28" s="11"/>
    </row>
    <row r="29" customFormat="false" ht="23.85" hidden="false" customHeight="false" outlineLevel="0" collapsed="false">
      <c r="A29" s="13" t="n">
        <f aca="false">Suppliers!A29</f>
        <v>28</v>
      </c>
      <c r="B29" s="13" t="str">
        <f aca="false">Suppliers!D29</f>
        <v>Bestway Wholesale</v>
      </c>
      <c r="C29" s="13" t="str">
        <f aca="false">Suppliers!C29</f>
        <v>General Wholesale / FMCG</v>
      </c>
      <c r="D29" s="13" t="str">
        <f aca="false">Suppliers!F29</f>
        <v>UK</v>
      </c>
      <c r="E29" s="14" t="s">
        <v>819</v>
      </c>
      <c r="F29" s="14" t="s">
        <v>820</v>
      </c>
      <c r="G29" s="11"/>
      <c r="H29" s="11"/>
      <c r="I29" s="11"/>
      <c r="J29" s="12"/>
      <c r="K29" s="11"/>
      <c r="L29" s="12"/>
      <c r="M29" s="11"/>
      <c r="N29" s="11"/>
    </row>
    <row r="30" customFormat="false" ht="23.85" hidden="false" customHeight="false" outlineLevel="0" collapsed="false">
      <c r="A30" s="13" t="n">
        <f aca="false">Suppliers!A30</f>
        <v>29</v>
      </c>
      <c r="B30" s="13" t="str">
        <f aca="false">Suppliers!D30</f>
        <v>Costco UK (Business Membership)</v>
      </c>
      <c r="C30" s="13" t="str">
        <f aca="false">Suppliers!C30</f>
        <v>General Wholesale / FMCG</v>
      </c>
      <c r="D30" s="13" t="str">
        <f aca="false">Suppliers!F30</f>
        <v>UK</v>
      </c>
      <c r="E30" s="14" t="s">
        <v>819</v>
      </c>
      <c r="F30" s="14" t="s">
        <v>820</v>
      </c>
      <c r="G30" s="11"/>
      <c r="H30" s="11"/>
      <c r="I30" s="11"/>
      <c r="J30" s="12"/>
      <c r="K30" s="11"/>
      <c r="L30" s="12"/>
      <c r="M30" s="11"/>
      <c r="N30" s="11"/>
    </row>
    <row r="31" customFormat="false" ht="23.85" hidden="false" customHeight="false" outlineLevel="0" collapsed="false">
      <c r="A31" s="13" t="n">
        <f aca="false">Suppliers!A31</f>
        <v>30</v>
      </c>
      <c r="B31" s="13" t="str">
        <f aca="false">Suppliers!D31</f>
        <v>Dhamecha Cash &amp; Carry</v>
      </c>
      <c r="C31" s="13" t="str">
        <f aca="false">Suppliers!C31</f>
        <v>General Wholesale / FMCG</v>
      </c>
      <c r="D31" s="13" t="str">
        <f aca="false">Suppliers!F31</f>
        <v>UK</v>
      </c>
      <c r="E31" s="14" t="s">
        <v>819</v>
      </c>
      <c r="F31" s="14" t="s">
        <v>820</v>
      </c>
      <c r="G31" s="11"/>
      <c r="H31" s="11"/>
      <c r="I31" s="11"/>
      <c r="J31" s="12"/>
      <c r="K31" s="11"/>
      <c r="L31" s="12"/>
      <c r="M31" s="11"/>
      <c r="N31" s="11"/>
    </row>
    <row r="32" customFormat="false" ht="23.85" hidden="false" customHeight="false" outlineLevel="0" collapsed="false">
      <c r="A32" s="13" t="n">
        <f aca="false">Suppliers!A32</f>
        <v>31</v>
      </c>
      <c r="B32" s="13" t="str">
        <f aca="false">Suppliers!D32</f>
        <v>Hancocks (World of Sweets)</v>
      </c>
      <c r="C32" s="13" t="str">
        <f aca="false">Suppliers!C32</f>
        <v>General Wholesale / FMCG</v>
      </c>
      <c r="D32" s="13" t="str">
        <f aca="false">Suppliers!F32</f>
        <v>UK</v>
      </c>
      <c r="E32" s="14" t="s">
        <v>819</v>
      </c>
      <c r="F32" s="14" t="s">
        <v>820</v>
      </c>
      <c r="G32" s="11"/>
      <c r="H32" s="11"/>
      <c r="I32" s="11"/>
      <c r="J32" s="12"/>
      <c r="K32" s="11"/>
      <c r="L32" s="12"/>
      <c r="M32" s="11"/>
      <c r="N32" s="11"/>
    </row>
    <row r="33" customFormat="false" ht="23.85" hidden="false" customHeight="false" outlineLevel="0" collapsed="false">
      <c r="A33" s="13" t="n">
        <f aca="false">Suppliers!A33</f>
        <v>32</v>
      </c>
      <c r="B33" s="13" t="str">
        <f aca="false">Suppliers!D33</f>
        <v>Parfetts (Parfett &amp; Sons Ltd)</v>
      </c>
      <c r="C33" s="13" t="str">
        <f aca="false">Suppliers!C33</f>
        <v>General Wholesale / FMCG</v>
      </c>
      <c r="D33" s="13" t="str">
        <f aca="false">Suppliers!F33</f>
        <v>UK</v>
      </c>
      <c r="E33" s="14" t="s">
        <v>819</v>
      </c>
      <c r="F33" s="14" t="s">
        <v>820</v>
      </c>
      <c r="G33" s="11"/>
      <c r="H33" s="11"/>
      <c r="I33" s="11"/>
      <c r="J33" s="12"/>
      <c r="K33" s="11"/>
      <c r="L33" s="12"/>
      <c r="M33" s="11"/>
      <c r="N33" s="11"/>
    </row>
    <row r="34" customFormat="false" ht="15" hidden="false" customHeight="false" outlineLevel="0" collapsed="false">
      <c r="A34" s="13" t="n">
        <f aca="false">Suppliers!A34</f>
        <v>33</v>
      </c>
      <c r="B34" s="13" t="str">
        <f aca="false">Suppliers!D34</f>
        <v>CLF Distribution</v>
      </c>
      <c r="C34" s="13" t="str">
        <f aca="false">Suppliers!C34</f>
        <v>Health &amp; Beauty</v>
      </c>
      <c r="D34" s="13" t="str">
        <f aca="false">Suppliers!F34</f>
        <v>UK</v>
      </c>
      <c r="E34" s="14" t="s">
        <v>819</v>
      </c>
      <c r="F34" s="14" t="s">
        <v>820</v>
      </c>
      <c r="G34" s="11"/>
      <c r="H34" s="11"/>
      <c r="I34" s="11"/>
      <c r="J34" s="12"/>
      <c r="K34" s="11"/>
      <c r="L34" s="12"/>
      <c r="M34" s="11"/>
      <c r="N34" s="11"/>
    </row>
    <row r="35" customFormat="false" ht="15" hidden="false" customHeight="false" outlineLevel="0" collapsed="false">
      <c r="A35" s="13" t="n">
        <f aca="false">Suppliers!A35</f>
        <v>34</v>
      </c>
      <c r="B35" s="13" t="str">
        <f aca="false">Suppliers!D35</f>
        <v>DK Wholesale</v>
      </c>
      <c r="C35" s="13" t="str">
        <f aca="false">Suppliers!C35</f>
        <v>Health &amp; Beauty</v>
      </c>
      <c r="D35" s="13" t="str">
        <f aca="false">Suppliers!F35</f>
        <v>UK</v>
      </c>
      <c r="E35" s="14" t="s">
        <v>819</v>
      </c>
      <c r="F35" s="14" t="s">
        <v>820</v>
      </c>
      <c r="G35" s="11"/>
      <c r="H35" s="11"/>
      <c r="I35" s="11"/>
      <c r="J35" s="12"/>
      <c r="K35" s="11"/>
      <c r="L35" s="12"/>
      <c r="M35" s="11"/>
      <c r="N35" s="11"/>
    </row>
    <row r="36" customFormat="false" ht="15" hidden="false" customHeight="false" outlineLevel="0" collapsed="false">
      <c r="A36" s="13" t="n">
        <f aca="false">Suppliers!A36</f>
        <v>35</v>
      </c>
      <c r="B36" s="13" t="str">
        <f aca="false">Suppliers!D36</f>
        <v>Lexon (UK) Ltd</v>
      </c>
      <c r="C36" s="13" t="str">
        <f aca="false">Suppliers!C36</f>
        <v>Health &amp; Beauty</v>
      </c>
      <c r="D36" s="13" t="str">
        <f aca="false">Suppliers!F36</f>
        <v>UK</v>
      </c>
      <c r="E36" s="14" t="s">
        <v>819</v>
      </c>
      <c r="F36" s="14" t="s">
        <v>820</v>
      </c>
      <c r="G36" s="11"/>
      <c r="H36" s="11"/>
      <c r="I36" s="11"/>
      <c r="J36" s="12"/>
      <c r="K36" s="11"/>
      <c r="L36" s="12"/>
      <c r="M36" s="11"/>
      <c r="N36" s="11"/>
    </row>
    <row r="37" customFormat="false" ht="15" hidden="false" customHeight="false" outlineLevel="0" collapsed="false">
      <c r="A37" s="13" t="n">
        <f aca="false">Suppliers!A37</f>
        <v>36</v>
      </c>
      <c r="B37" s="13" t="str">
        <f aca="false">Suppliers!D37</f>
        <v>Paws Products Wholesale</v>
      </c>
      <c r="C37" s="13" t="str">
        <f aca="false">Suppliers!C37</f>
        <v>Pet</v>
      </c>
      <c r="D37" s="13" t="str">
        <f aca="false">Suppliers!F37</f>
        <v>UK</v>
      </c>
      <c r="E37" s="14" t="s">
        <v>819</v>
      </c>
      <c r="F37" s="14" t="s">
        <v>820</v>
      </c>
      <c r="G37" s="11"/>
      <c r="H37" s="11"/>
      <c r="I37" s="11"/>
      <c r="J37" s="12"/>
      <c r="K37" s="11"/>
      <c r="L37" s="12"/>
      <c r="M37" s="11"/>
      <c r="N37" s="11"/>
    </row>
    <row r="38" customFormat="false" ht="15" hidden="false" customHeight="false" outlineLevel="0" collapsed="false">
      <c r="A38" s="13" t="n">
        <f aca="false">Suppliers!A38</f>
        <v>37</v>
      </c>
      <c r="B38" s="13" t="str">
        <f aca="false">Suppliers!D38</f>
        <v>Character Options Ltd</v>
      </c>
      <c r="C38" s="13" t="str">
        <f aca="false">Suppliers!C38</f>
        <v>Toys</v>
      </c>
      <c r="D38" s="13" t="str">
        <f aca="false">Suppliers!F38</f>
        <v>UK</v>
      </c>
      <c r="E38" s="14" t="s">
        <v>819</v>
      </c>
      <c r="F38" s="14" t="s">
        <v>820</v>
      </c>
      <c r="G38" s="11"/>
      <c r="H38" s="11"/>
      <c r="I38" s="11"/>
      <c r="J38" s="12"/>
      <c r="K38" s="11"/>
      <c r="L38" s="12"/>
      <c r="M38" s="11"/>
      <c r="N38" s="11"/>
    </row>
    <row r="39" customFormat="false" ht="15" hidden="false" customHeight="false" outlineLevel="0" collapsed="false">
      <c r="A39" s="13" t="n">
        <f aca="false">Suppliers!A39</f>
        <v>38</v>
      </c>
      <c r="B39" s="13" t="str">
        <f aca="false">Suppliers!D39</f>
        <v>Keycraft</v>
      </c>
      <c r="C39" s="13" t="str">
        <f aca="false">Suppliers!C39</f>
        <v>Toys</v>
      </c>
      <c r="D39" s="13" t="str">
        <f aca="false">Suppliers!F39</f>
        <v>UK / France</v>
      </c>
      <c r="E39" s="14" t="s">
        <v>819</v>
      </c>
      <c r="F39" s="14" t="s">
        <v>820</v>
      </c>
      <c r="G39" s="11"/>
      <c r="H39" s="11"/>
      <c r="I39" s="11"/>
      <c r="J39" s="12"/>
      <c r="K39" s="11"/>
      <c r="L39" s="12"/>
      <c r="M39" s="11"/>
      <c r="N39" s="11"/>
    </row>
    <row r="40" customFormat="false" ht="15" hidden="false" customHeight="false" outlineLevel="0" collapsed="false">
      <c r="A40" s="13" t="n">
        <f aca="false">Suppliers!A40</f>
        <v>39</v>
      </c>
      <c r="B40" s="13" t="str">
        <f aca="false">Suppliers!D40</f>
        <v>Puckator Ltd</v>
      </c>
      <c r="C40" s="13" t="str">
        <f aca="false">Suppliers!C40</f>
        <v>Toys</v>
      </c>
      <c r="D40" s="13" t="str">
        <f aca="false">Suppliers!F40</f>
        <v>UK</v>
      </c>
      <c r="E40" s="14" t="s">
        <v>819</v>
      </c>
      <c r="F40" s="14" t="s">
        <v>820</v>
      </c>
      <c r="G40" s="11"/>
      <c r="H40" s="11"/>
      <c r="I40" s="11"/>
      <c r="J40" s="12"/>
      <c r="K40" s="11"/>
      <c r="L40" s="12"/>
      <c r="M40" s="11"/>
      <c r="N40" s="11"/>
    </row>
    <row r="41" customFormat="false" ht="15" hidden="false" customHeight="false" outlineLevel="0" collapsed="false">
      <c r="A41" s="13" t="n">
        <f aca="false">Suppliers!A41</f>
        <v>40</v>
      </c>
      <c r="B41" s="13" t="str">
        <f aca="false">Suppliers!D41</f>
        <v>Spectron The Toy Company</v>
      </c>
      <c r="C41" s="13" t="str">
        <f aca="false">Suppliers!C41</f>
        <v>Toys</v>
      </c>
      <c r="D41" s="13" t="str">
        <f aca="false">Suppliers!F41</f>
        <v>Netherlands</v>
      </c>
      <c r="E41" s="14" t="s">
        <v>819</v>
      </c>
      <c r="F41" s="14" t="s">
        <v>820</v>
      </c>
      <c r="G41" s="11"/>
      <c r="H41" s="11"/>
      <c r="I41" s="11"/>
      <c r="J41" s="12"/>
      <c r="K41" s="11"/>
      <c r="L41" s="12"/>
      <c r="M41" s="11"/>
      <c r="N41" s="11"/>
    </row>
    <row r="42" customFormat="false" ht="15" hidden="false" customHeight="false" outlineLevel="0" collapsed="false">
      <c r="A42" s="13" t="n">
        <f aca="false">Suppliers!A42</f>
        <v>41</v>
      </c>
      <c r="B42" s="13" t="str">
        <f aca="false">Suppliers!D42</f>
        <v>Ankorstore</v>
      </c>
      <c r="C42" s="13" t="str">
        <f aca="false">Suppliers!C42</f>
        <v>B2B Marketplace</v>
      </c>
      <c r="D42" s="13" t="str">
        <f aca="false">Suppliers!F42</f>
        <v>France / EU</v>
      </c>
      <c r="E42" s="14" t="s">
        <v>819</v>
      </c>
      <c r="F42" s="14" t="s">
        <v>820</v>
      </c>
      <c r="G42" s="11"/>
      <c r="H42" s="11"/>
      <c r="I42" s="11"/>
      <c r="J42" s="12"/>
      <c r="K42" s="11"/>
      <c r="L42" s="12"/>
      <c r="M42" s="11"/>
      <c r="N42" s="11"/>
    </row>
    <row r="43" customFormat="false" ht="15" hidden="false" customHeight="false" outlineLevel="0" collapsed="false">
      <c r="A43" s="13" t="n">
        <f aca="false">Suppliers!A43</f>
        <v>42</v>
      </c>
      <c r="B43" s="13" t="str">
        <f aca="false">Suppliers!D43</f>
        <v>Brandsdistribution</v>
      </c>
      <c r="C43" s="13" t="str">
        <f aca="false">Suppliers!C43</f>
        <v>B2B Marketplace</v>
      </c>
      <c r="D43" s="13" t="str">
        <f aca="false">Suppliers!F43</f>
        <v>Italy</v>
      </c>
      <c r="E43" s="14" t="s">
        <v>819</v>
      </c>
      <c r="F43" s="14" t="s">
        <v>820</v>
      </c>
      <c r="G43" s="11"/>
      <c r="H43" s="11"/>
      <c r="I43" s="11"/>
      <c r="J43" s="12"/>
      <c r="K43" s="11"/>
      <c r="L43" s="12"/>
      <c r="M43" s="11"/>
      <c r="N43" s="11"/>
    </row>
    <row r="44" customFormat="false" ht="23.85" hidden="false" customHeight="false" outlineLevel="0" collapsed="false">
      <c r="A44" s="13" t="n">
        <f aca="false">Suppliers!A44</f>
        <v>43</v>
      </c>
      <c r="B44" s="13" t="str">
        <f aca="false">Suppliers!D44</f>
        <v>B&amp;S Group (B&amp;S Beauty)</v>
      </c>
      <c r="C44" s="13" t="str">
        <f aca="false">Suppliers!C44</f>
        <v>Fragrance</v>
      </c>
      <c r="D44" s="13" t="str">
        <f aca="false">Suppliers!F44</f>
        <v>Netherlands / Luxembourg</v>
      </c>
      <c r="E44" s="14" t="s">
        <v>819</v>
      </c>
      <c r="F44" s="14" t="s">
        <v>820</v>
      </c>
      <c r="G44" s="11"/>
      <c r="H44" s="11"/>
      <c r="I44" s="11"/>
      <c r="J44" s="12"/>
      <c r="K44" s="11"/>
      <c r="L44" s="12"/>
      <c r="M44" s="11"/>
      <c r="N44" s="11"/>
    </row>
    <row r="45" customFormat="false" ht="15" hidden="false" customHeight="false" outlineLevel="0" collapsed="false">
      <c r="A45" s="13" t="n">
        <f aca="false">Suppliers!A45</f>
        <v>44</v>
      </c>
      <c r="B45" s="13" t="str">
        <f aca="false">Suppliers!D45</f>
        <v>EleganceWholesale</v>
      </c>
      <c r="C45" s="13" t="str">
        <f aca="false">Suppliers!C45</f>
        <v>Fragrance</v>
      </c>
      <c r="D45" s="13" t="str">
        <f aca="false">Suppliers!F45</f>
        <v>Netherlands</v>
      </c>
      <c r="E45" s="14" t="s">
        <v>819</v>
      </c>
      <c r="F45" s="14" t="s">
        <v>820</v>
      </c>
      <c r="G45" s="11"/>
      <c r="H45" s="11"/>
      <c r="I45" s="11"/>
      <c r="J45" s="12"/>
      <c r="K45" s="11"/>
      <c r="L45" s="12"/>
      <c r="M45" s="11"/>
      <c r="N45" s="11"/>
    </row>
    <row r="46" customFormat="false" ht="15" hidden="false" customHeight="false" outlineLevel="0" collapsed="false">
      <c r="A46" s="13" t="n">
        <f aca="false">Suppliers!A46</f>
        <v>45</v>
      </c>
      <c r="B46" s="13" t="str">
        <f aca="false">Suppliers!D46</f>
        <v>NOBILIS Group GmbH</v>
      </c>
      <c r="C46" s="13" t="str">
        <f aca="false">Suppliers!C46</f>
        <v>Fragrance</v>
      </c>
      <c r="D46" s="13" t="str">
        <f aca="false">Suppliers!F46</f>
        <v>Germany</v>
      </c>
      <c r="E46" s="14" t="s">
        <v>819</v>
      </c>
      <c r="F46" s="14" t="s">
        <v>820</v>
      </c>
      <c r="G46" s="11"/>
      <c r="H46" s="11"/>
      <c r="I46" s="11"/>
      <c r="J46" s="12"/>
      <c r="K46" s="11"/>
      <c r="L46" s="12"/>
      <c r="M46" s="11"/>
      <c r="N46" s="11"/>
    </row>
    <row r="47" customFormat="false" ht="15" hidden="false" customHeight="false" outlineLevel="0" collapsed="false">
      <c r="A47" s="13" t="n">
        <f aca="false">Suppliers!A47</f>
        <v>46</v>
      </c>
      <c r="B47" s="13" t="str">
        <f aca="false">Suppliers!D47</f>
        <v>Profumerie P &amp; P Srl</v>
      </c>
      <c r="C47" s="13" t="str">
        <f aca="false">Suppliers!C47</f>
        <v>Fragrance</v>
      </c>
      <c r="D47" s="13" t="str">
        <f aca="false">Suppliers!F47</f>
        <v>Italy</v>
      </c>
      <c r="E47" s="14" t="s">
        <v>819</v>
      </c>
      <c r="F47" s="14" t="s">
        <v>820</v>
      </c>
      <c r="G47" s="11"/>
      <c r="H47" s="11"/>
      <c r="I47" s="11"/>
      <c r="J47" s="12"/>
      <c r="K47" s="11"/>
      <c r="L47" s="12"/>
      <c r="M47" s="11"/>
      <c r="N47" s="11"/>
    </row>
    <row r="48" customFormat="false" ht="15" hidden="false" customHeight="false" outlineLevel="0" collapsed="false">
      <c r="A48" s="13" t="n">
        <f aca="false">Suppliers!A48</f>
        <v>47</v>
      </c>
      <c r="B48" s="13" t="str">
        <f aca="false">Suppliers!D48</f>
        <v>The Italian Factory</v>
      </c>
      <c r="C48" s="13" t="str">
        <f aca="false">Suppliers!C48</f>
        <v>Fragrance</v>
      </c>
      <c r="D48" s="13" t="str">
        <f aca="false">Suppliers!F48</f>
        <v>Italy</v>
      </c>
      <c r="E48" s="14" t="s">
        <v>819</v>
      </c>
      <c r="F48" s="14" t="s">
        <v>820</v>
      </c>
      <c r="G48" s="11"/>
      <c r="H48" s="11"/>
      <c r="I48" s="11"/>
      <c r="J48" s="12"/>
      <c r="K48" s="11"/>
      <c r="L48" s="12"/>
      <c r="M48" s="11"/>
      <c r="N48" s="11"/>
    </row>
    <row r="49" customFormat="false" ht="23.85" hidden="false" customHeight="false" outlineLevel="0" collapsed="false">
      <c r="A49" s="13" t="n">
        <f aca="false">Suppliers!A49</f>
        <v>48</v>
      </c>
      <c r="B49" s="13" t="str">
        <f aca="false">Suppliers!D49</f>
        <v>METRO / Makro (EU cash &amp; carry)</v>
      </c>
      <c r="C49" s="13" t="str">
        <f aca="false">Suppliers!C49</f>
        <v>General Wholesale / FMCG</v>
      </c>
      <c r="D49" s="13" t="str">
        <f aca="false">Suppliers!F49</f>
        <v>Netherlands / Germany / EU</v>
      </c>
      <c r="E49" s="14" t="s">
        <v>819</v>
      </c>
      <c r="F49" s="14" t="s">
        <v>820</v>
      </c>
      <c r="G49" s="11"/>
      <c r="H49" s="11"/>
      <c r="I49" s="11"/>
      <c r="J49" s="12"/>
      <c r="K49" s="11"/>
      <c r="L49" s="12"/>
      <c r="M49" s="11"/>
      <c r="N49" s="11"/>
    </row>
    <row r="50" customFormat="false" ht="23.85" hidden="false" customHeight="false" outlineLevel="0" collapsed="false">
      <c r="A50" s="13" t="n">
        <f aca="false">Suppliers!A50</f>
        <v>49</v>
      </c>
      <c r="B50" s="13" t="str">
        <f aca="false">Suppliers!D50</f>
        <v>Wholesale Clearance UK</v>
      </c>
      <c r="C50" s="13" t="str">
        <f aca="false">Suppliers!C50</f>
        <v>General Wholesale / FMCG</v>
      </c>
      <c r="D50" s="13" t="str">
        <f aca="false">Suppliers!F50</f>
        <v>UK</v>
      </c>
      <c r="E50" s="14" t="s">
        <v>819</v>
      </c>
      <c r="F50" s="14" t="s">
        <v>820</v>
      </c>
      <c r="G50" s="11"/>
      <c r="H50" s="11"/>
      <c r="I50" s="11"/>
      <c r="J50" s="12"/>
      <c r="K50" s="11"/>
      <c r="L50" s="12"/>
      <c r="M50" s="11"/>
      <c r="N50" s="11"/>
    </row>
    <row r="51" customFormat="false" ht="15" hidden="false" customHeight="false" outlineLevel="0" collapsed="false">
      <c r="A51" s="13" t="n">
        <f aca="false">Suppliers!A51</f>
        <v>50</v>
      </c>
      <c r="B51" s="13" t="str">
        <f aca="false">Suppliers!D51</f>
        <v>Aston &amp; Fincher</v>
      </c>
      <c r="C51" s="13" t="str">
        <f aca="false">Suppliers!C51</f>
        <v>Health &amp; Beauty</v>
      </c>
      <c r="D51" s="13" t="str">
        <f aca="false">Suppliers!F51</f>
        <v>UK</v>
      </c>
      <c r="E51" s="14" t="s">
        <v>819</v>
      </c>
      <c r="F51" s="14" t="s">
        <v>820</v>
      </c>
      <c r="G51" s="11"/>
      <c r="H51" s="11"/>
      <c r="I51" s="11"/>
      <c r="J51" s="12"/>
      <c r="K51" s="11"/>
      <c r="L51" s="12"/>
      <c r="M51" s="11"/>
      <c r="N51" s="11"/>
    </row>
    <row r="52" customFormat="false" ht="15" hidden="false" customHeight="false" outlineLevel="0" collapsed="false">
      <c r="A52" s="13" t="n">
        <f aca="false">Suppliers!A52</f>
        <v>51</v>
      </c>
      <c r="B52" s="13" t="str">
        <f aca="false">Suppliers!D52</f>
        <v>Capital Hair &amp; Beauty</v>
      </c>
      <c r="C52" s="13" t="str">
        <f aca="false">Suppliers!C52</f>
        <v>Health &amp; Beauty</v>
      </c>
      <c r="D52" s="13" t="str">
        <f aca="false">Suppliers!F52</f>
        <v>UK</v>
      </c>
      <c r="E52" s="14" t="s">
        <v>819</v>
      </c>
      <c r="F52" s="14" t="s">
        <v>820</v>
      </c>
      <c r="G52" s="11"/>
      <c r="H52" s="11"/>
      <c r="I52" s="11"/>
      <c r="J52" s="12"/>
      <c r="K52" s="11"/>
      <c r="L52" s="12"/>
      <c r="M52" s="11"/>
      <c r="N52" s="11"/>
    </row>
    <row r="53" customFormat="false" ht="15" hidden="false" customHeight="false" outlineLevel="0" collapsed="false">
      <c r="A53" s="13" t="n">
        <f aca="false">Suppliers!A53</f>
        <v>52</v>
      </c>
      <c r="B53" s="13" t="str">
        <f aca="false">Suppliers!D53</f>
        <v>Cherry Cosmetics</v>
      </c>
      <c r="C53" s="13" t="str">
        <f aca="false">Suppliers!C53</f>
        <v>Health &amp; Beauty</v>
      </c>
      <c r="D53" s="13" t="str">
        <f aca="false">Suppliers!F53</f>
        <v>UK</v>
      </c>
      <c r="E53" s="14" t="s">
        <v>819</v>
      </c>
      <c r="F53" s="14" t="s">
        <v>820</v>
      </c>
      <c r="G53" s="11"/>
      <c r="H53" s="11"/>
      <c r="I53" s="11"/>
      <c r="J53" s="12"/>
      <c r="K53" s="11"/>
      <c r="L53" s="12"/>
      <c r="M53" s="11"/>
      <c r="N53" s="11"/>
    </row>
    <row r="54" customFormat="false" ht="15" hidden="false" customHeight="false" outlineLevel="0" collapsed="false">
      <c r="A54" s="13" t="n">
        <f aca="false">Suppliers!A54</f>
        <v>53</v>
      </c>
      <c r="B54" s="13" t="str">
        <f aca="false">Suppliers!D54</f>
        <v>Exquisite Cosmetics Ltd</v>
      </c>
      <c r="C54" s="13" t="str">
        <f aca="false">Suppliers!C54</f>
        <v>Health &amp; Beauty</v>
      </c>
      <c r="D54" s="13" t="str">
        <f aca="false">Suppliers!F54</f>
        <v>UK</v>
      </c>
      <c r="E54" s="14" t="s">
        <v>819</v>
      </c>
      <c r="F54" s="14" t="s">
        <v>820</v>
      </c>
      <c r="G54" s="11"/>
      <c r="H54" s="11"/>
      <c r="I54" s="11"/>
      <c r="J54" s="12"/>
      <c r="K54" s="11"/>
      <c r="L54" s="12"/>
      <c r="M54" s="11"/>
      <c r="N54" s="11"/>
    </row>
    <row r="55" customFormat="false" ht="23.85" hidden="false" customHeight="false" outlineLevel="0" collapsed="false">
      <c r="A55" s="13" t="n">
        <f aca="false">Suppliers!A55</f>
        <v>54</v>
      </c>
      <c r="B55" s="13" t="str">
        <f aca="false">Suppliers!D55</f>
        <v>Kinetic Natural Product Distributor (Kinetic Enterprises Ltd)</v>
      </c>
      <c r="C55" s="13" t="str">
        <f aca="false">Suppliers!C55</f>
        <v>Health &amp; Beauty</v>
      </c>
      <c r="D55" s="13" t="str">
        <f aca="false">Suppliers!F55</f>
        <v>UK</v>
      </c>
      <c r="E55" s="14" t="s">
        <v>819</v>
      </c>
      <c r="F55" s="14" t="s">
        <v>820</v>
      </c>
      <c r="G55" s="11"/>
      <c r="H55" s="11"/>
      <c r="I55" s="11"/>
      <c r="J55" s="12"/>
      <c r="K55" s="11"/>
      <c r="L55" s="12"/>
      <c r="M55" s="11"/>
      <c r="N55" s="11"/>
    </row>
    <row r="56" customFormat="false" ht="15" hidden="false" customHeight="false" outlineLevel="0" collapsed="false">
      <c r="A56" s="13" t="n">
        <f aca="false">Suppliers!A56</f>
        <v>55</v>
      </c>
      <c r="B56" s="13" t="str">
        <f aca="false">Suppliers!D56</f>
        <v>LookinStyle</v>
      </c>
      <c r="C56" s="13" t="str">
        <f aca="false">Suppliers!C56</f>
        <v>Health &amp; Beauty</v>
      </c>
      <c r="D56" s="13" t="str">
        <f aca="false">Suppliers!F56</f>
        <v>UK</v>
      </c>
      <c r="E56" s="14" t="s">
        <v>819</v>
      </c>
      <c r="F56" s="14" t="s">
        <v>820</v>
      </c>
      <c r="G56" s="11"/>
      <c r="H56" s="11"/>
      <c r="I56" s="11"/>
      <c r="J56" s="12"/>
      <c r="K56" s="11"/>
      <c r="L56" s="12"/>
      <c r="M56" s="11"/>
      <c r="N56" s="11"/>
    </row>
    <row r="57" customFormat="false" ht="15" hidden="false" customHeight="false" outlineLevel="0" collapsed="false">
      <c r="A57" s="13" t="n">
        <f aca="false">Suppliers!A57</f>
        <v>56</v>
      </c>
      <c r="B57" s="13" t="str">
        <f aca="false">Suppliers!D57</f>
        <v>Ludonex Ltd</v>
      </c>
      <c r="C57" s="13" t="str">
        <f aca="false">Suppliers!C57</f>
        <v>Health &amp; Beauty</v>
      </c>
      <c r="D57" s="13" t="str">
        <f aca="false">Suppliers!F57</f>
        <v>UK</v>
      </c>
      <c r="E57" s="14" t="s">
        <v>819</v>
      </c>
      <c r="F57" s="14" t="s">
        <v>820</v>
      </c>
      <c r="G57" s="11"/>
      <c r="H57" s="11"/>
      <c r="I57" s="11"/>
      <c r="J57" s="12"/>
      <c r="K57" s="11"/>
      <c r="L57" s="12"/>
      <c r="M57" s="11"/>
      <c r="N57" s="11"/>
    </row>
    <row r="58" customFormat="false" ht="15" hidden="false" customHeight="false" outlineLevel="0" collapsed="false">
      <c r="A58" s="13" t="n">
        <f aca="false">Suppliers!A58</f>
        <v>57</v>
      </c>
      <c r="B58" s="13" t="str">
        <f aca="false">Suppliers!D58</f>
        <v>Suma Wholefoods</v>
      </c>
      <c r="C58" s="13" t="str">
        <f aca="false">Suppliers!C58</f>
        <v>Health &amp; Beauty</v>
      </c>
      <c r="D58" s="13" t="str">
        <f aca="false">Suppliers!F58</f>
        <v>UK</v>
      </c>
      <c r="E58" s="14" t="s">
        <v>819</v>
      </c>
      <c r="F58" s="14" t="s">
        <v>820</v>
      </c>
      <c r="G58" s="11"/>
      <c r="H58" s="11"/>
      <c r="I58" s="11"/>
      <c r="J58" s="12"/>
      <c r="K58" s="11"/>
      <c r="L58" s="12"/>
      <c r="M58" s="11"/>
      <c r="N58" s="11"/>
    </row>
    <row r="59" customFormat="false" ht="15" hidden="false" customHeight="false" outlineLevel="0" collapsed="false">
      <c r="A59" s="13" t="n">
        <f aca="false">Suppliers!A59</f>
        <v>58</v>
      </c>
      <c r="B59" s="13" t="str">
        <f aca="false">Suppliers!D59</f>
        <v>W Pharma Europe</v>
      </c>
      <c r="C59" s="13" t="str">
        <f aca="false">Suppliers!C59</f>
        <v>Health &amp; Beauty</v>
      </c>
      <c r="D59" s="13" t="str">
        <f aca="false">Suppliers!F59</f>
        <v>Netherlands</v>
      </c>
      <c r="E59" s="14" t="s">
        <v>819</v>
      </c>
      <c r="F59" s="14" t="s">
        <v>820</v>
      </c>
      <c r="G59" s="11"/>
      <c r="H59" s="11"/>
      <c r="I59" s="11"/>
      <c r="J59" s="12"/>
      <c r="K59" s="11"/>
      <c r="L59" s="12"/>
      <c r="M59" s="11"/>
      <c r="N59" s="11"/>
    </row>
    <row r="60" customFormat="false" ht="23.85" hidden="false" customHeight="false" outlineLevel="0" collapsed="false">
      <c r="A60" s="13" t="n">
        <f aca="false">Suppliers!A60</f>
        <v>59</v>
      </c>
      <c r="B60" s="13" t="str">
        <f aca="false">Suppliers!D60</f>
        <v>GP Supplies</v>
      </c>
      <c r="C60" s="13" t="str">
        <f aca="false">Suppliers!C60</f>
        <v>Healthcare / Medical</v>
      </c>
      <c r="D60" s="13" t="str">
        <f aca="false">Suppliers!F60</f>
        <v>UK</v>
      </c>
      <c r="E60" s="14" t="s">
        <v>819</v>
      </c>
      <c r="F60" s="14" t="s">
        <v>820</v>
      </c>
      <c r="G60" s="11"/>
      <c r="H60" s="11"/>
      <c r="I60" s="11"/>
      <c r="J60" s="12"/>
      <c r="K60" s="11"/>
      <c r="L60" s="12"/>
      <c r="M60" s="11"/>
      <c r="N60" s="11"/>
    </row>
    <row r="61" customFormat="false" ht="15" hidden="false" customHeight="false" outlineLevel="0" collapsed="false">
      <c r="A61" s="13" t="n">
        <f aca="false">Suppliers!A61</f>
        <v>60</v>
      </c>
      <c r="B61" s="13" t="str">
        <f aca="false">Suppliers!D61</f>
        <v>Landahl &amp; Baumann Spielwaren GmbH</v>
      </c>
      <c r="C61" s="13" t="str">
        <f aca="false">Suppliers!C61</f>
        <v>Toys</v>
      </c>
      <c r="D61" s="13" t="str">
        <f aca="false">Suppliers!F61</f>
        <v>Germany</v>
      </c>
      <c r="E61" s="14" t="s">
        <v>819</v>
      </c>
      <c r="F61" s="14" t="s">
        <v>820</v>
      </c>
      <c r="G61" s="11"/>
      <c r="H61" s="11"/>
      <c r="I61" s="11"/>
      <c r="J61" s="12"/>
      <c r="K61" s="11"/>
      <c r="L61" s="12"/>
      <c r="M61" s="11"/>
      <c r="N61" s="11"/>
    </row>
    <row r="62" customFormat="false" ht="15" hidden="false" customHeight="false" outlineLevel="0" collapsed="false">
      <c r="A62" s="13" t="n">
        <f aca="false">Suppliers!A62</f>
        <v>61</v>
      </c>
      <c r="B62" s="13" t="str">
        <f aca="false">Suppliers!D62</f>
        <v>Nomaco Spain</v>
      </c>
      <c r="C62" s="13" t="str">
        <f aca="false">Suppliers!C62</f>
        <v>Toys</v>
      </c>
      <c r="D62" s="13" t="str">
        <f aca="false">Suppliers!F62</f>
        <v>Spain</v>
      </c>
      <c r="E62" s="14" t="s">
        <v>819</v>
      </c>
      <c r="F62" s="14" t="s">
        <v>820</v>
      </c>
      <c r="G62" s="11"/>
      <c r="H62" s="11"/>
      <c r="I62" s="11"/>
      <c r="J62" s="12"/>
      <c r="K62" s="11"/>
      <c r="L62" s="12"/>
      <c r="M62" s="11"/>
      <c r="N62" s="11"/>
    </row>
    <row r="63" customFormat="false" ht="23.85" hidden="false" customHeight="false" outlineLevel="0" collapsed="false">
      <c r="A63" s="13" t="n">
        <f aca="false">Suppliers!A63</f>
        <v>62</v>
      </c>
      <c r="B63" s="13" t="str">
        <f aca="false">Suppliers!D63</f>
        <v>Faire</v>
      </c>
      <c r="C63" s="13" t="str">
        <f aca="false">Suppliers!C63</f>
        <v>B2B Marketplace</v>
      </c>
      <c r="D63" s="13" t="str">
        <f aca="false">Suppliers!F63</f>
        <v>Global (UK site)</v>
      </c>
      <c r="E63" s="14" t="s">
        <v>819</v>
      </c>
      <c r="F63" s="14" t="s">
        <v>820</v>
      </c>
      <c r="G63" s="11"/>
      <c r="H63" s="11"/>
      <c r="I63" s="11"/>
      <c r="J63" s="12"/>
      <c r="K63" s="11"/>
      <c r="L63" s="12"/>
      <c r="M63" s="11"/>
      <c r="N63" s="11"/>
    </row>
    <row r="64" customFormat="false" ht="15" hidden="false" customHeight="false" outlineLevel="0" collapsed="false">
      <c r="A64" s="13" t="n">
        <f aca="false">Suppliers!A64</f>
        <v>63</v>
      </c>
      <c r="B64" s="13" t="str">
        <f aca="false">Suppliers!D64</f>
        <v>Merkandi</v>
      </c>
      <c r="C64" s="13" t="str">
        <f aca="false">Suppliers!C64</f>
        <v>B2B Marketplace</v>
      </c>
      <c r="D64" s="13" t="str">
        <f aca="false">Suppliers!F64</f>
        <v>Poland / EU</v>
      </c>
      <c r="E64" s="14" t="s">
        <v>819</v>
      </c>
      <c r="F64" s="14" t="s">
        <v>820</v>
      </c>
      <c r="G64" s="11"/>
      <c r="H64" s="11"/>
      <c r="I64" s="11"/>
      <c r="J64" s="12"/>
      <c r="K64" s="11"/>
      <c r="L64" s="12"/>
      <c r="M64" s="11"/>
      <c r="N64" s="11"/>
    </row>
    <row r="65" customFormat="false" ht="15" hidden="false" customHeight="false" outlineLevel="0" collapsed="false">
      <c r="A65" s="13" t="n">
        <f aca="false">Suppliers!A65</f>
        <v>64</v>
      </c>
      <c r="B65" s="13" t="str">
        <f aca="false">Suppliers!D65</f>
        <v>Join Stadskanaal B.V.</v>
      </c>
      <c r="C65" s="13" t="str">
        <f aca="false">Suppliers!C65</f>
        <v>Fragrance</v>
      </c>
      <c r="D65" s="13" t="str">
        <f aca="false">Suppliers!F65</f>
        <v>Netherlands</v>
      </c>
      <c r="E65" s="14" t="s">
        <v>819</v>
      </c>
      <c r="F65" s="14" t="s">
        <v>820</v>
      </c>
      <c r="G65" s="11"/>
      <c r="H65" s="11"/>
      <c r="I65" s="11"/>
      <c r="J65" s="12"/>
      <c r="K65" s="11"/>
      <c r="L65" s="12"/>
      <c r="M65" s="11"/>
      <c r="N65" s="11"/>
    </row>
    <row r="66" customFormat="false" ht="15" hidden="false" customHeight="false" outlineLevel="0" collapsed="false">
      <c r="A66" s="13" t="n">
        <f aca="false">Suppliers!A66</f>
        <v>65</v>
      </c>
      <c r="B66" s="13" t="str">
        <f aca="false">Suppliers!D66</f>
        <v>Europe Pharma Group B.V.</v>
      </c>
      <c r="C66" s="13" t="str">
        <f aca="false">Suppliers!C66</f>
        <v>Health &amp; Beauty</v>
      </c>
      <c r="D66" s="13" t="str">
        <f aca="false">Suppliers!F66</f>
        <v>Netherlands</v>
      </c>
      <c r="E66" s="14" t="s">
        <v>819</v>
      </c>
      <c r="F66" s="14" t="s">
        <v>820</v>
      </c>
      <c r="G66" s="11"/>
      <c r="H66" s="11"/>
      <c r="I66" s="11"/>
      <c r="J66" s="12"/>
      <c r="K66" s="11"/>
      <c r="L66" s="12"/>
      <c r="M66" s="11"/>
      <c r="N66" s="11"/>
    </row>
    <row r="67" customFormat="false" ht="23.85" hidden="false" customHeight="false" outlineLevel="0" collapsed="false">
      <c r="A67" s="13" t="n">
        <f aca="false">Suppliers!A67</f>
        <v>66</v>
      </c>
      <c r="B67" s="13" t="str">
        <f aca="false">Suppliers!D67</f>
        <v>Shure Cosmetics (Shure Enterprises UK Ltd)</v>
      </c>
      <c r="C67" s="13" t="str">
        <f aca="false">Suppliers!C67</f>
        <v>Health &amp; Beauty</v>
      </c>
      <c r="D67" s="13" t="str">
        <f aca="false">Suppliers!F67</f>
        <v>UK</v>
      </c>
      <c r="E67" s="14" t="s">
        <v>819</v>
      </c>
      <c r="F67" s="14" t="s">
        <v>820</v>
      </c>
      <c r="G67" s="11"/>
      <c r="H67" s="11"/>
      <c r="I67" s="11"/>
      <c r="J67" s="12"/>
      <c r="K67" s="11"/>
      <c r="L67" s="12"/>
      <c r="M67" s="11"/>
      <c r="N67" s="11"/>
    </row>
  </sheetData>
  <autoFilter ref="A1:N67"/>
  <dataValidations count="1">
    <dataValidation allowBlank="true" errorStyle="stop" operator="between" showDropDown="false" showErrorMessage="false" showInputMessage="false" sqref="K2:K67 M2:M67" type="list">
      <formula1>"Yes,No,Pending"</formula1>
      <formula2>0</formula2>
    </dataValidation>
  </dataValidations>
  <hyperlinks>
    <hyperlink ref="E2" r:id="rId1" display="Company page"/>
    <hyperlink ref="F2" r:id="rId2" display="Find people"/>
    <hyperlink ref="E3" r:id="rId3" display="Company page"/>
    <hyperlink ref="F3" r:id="rId4" display="Find people"/>
    <hyperlink ref="E4" r:id="rId5" display="Company page"/>
    <hyperlink ref="F4" r:id="rId6" display="Find people"/>
    <hyperlink ref="E5" r:id="rId7" display="Company page"/>
    <hyperlink ref="F5" r:id="rId8" display="Find people"/>
    <hyperlink ref="E6" r:id="rId9" display="Company page"/>
    <hyperlink ref="F6" r:id="rId10" display="Find people"/>
    <hyperlink ref="E7" r:id="rId11" display="Company page"/>
    <hyperlink ref="F7" r:id="rId12" display="Find people"/>
    <hyperlink ref="E8" r:id="rId13" display="Company page"/>
    <hyperlink ref="F8" r:id="rId14" display="Find people"/>
    <hyperlink ref="E9" r:id="rId15" display="Company page"/>
    <hyperlink ref="F9" r:id="rId16" display="Find people"/>
    <hyperlink ref="E10" r:id="rId17" display="Company page"/>
    <hyperlink ref="F10" r:id="rId18" display="Find people"/>
    <hyperlink ref="E11" r:id="rId19" display="Company page"/>
    <hyperlink ref="F11" r:id="rId20" display="Find people"/>
    <hyperlink ref="E12" r:id="rId21" display="Company page"/>
    <hyperlink ref="F12" r:id="rId22" display="Find people"/>
    <hyperlink ref="E13" r:id="rId23" display="Company page"/>
    <hyperlink ref="F13" r:id="rId24" display="Find people"/>
    <hyperlink ref="E14" r:id="rId25" display="Company page"/>
    <hyperlink ref="F14" r:id="rId26" display="Find people"/>
    <hyperlink ref="E15" r:id="rId27" display="Company page"/>
    <hyperlink ref="F15" r:id="rId28" display="Find people"/>
    <hyperlink ref="E16" r:id="rId29" display="Company page"/>
    <hyperlink ref="F16" r:id="rId30" display="Find people"/>
    <hyperlink ref="E17" r:id="rId31" display="Company page"/>
    <hyperlink ref="F17" r:id="rId32" display="Find people"/>
    <hyperlink ref="E18" r:id="rId33" display="Company page"/>
    <hyperlink ref="F18" r:id="rId34" display="Find people"/>
    <hyperlink ref="E19" r:id="rId35" display="Company page"/>
    <hyperlink ref="F19" r:id="rId36" display="Find people"/>
    <hyperlink ref="E20" r:id="rId37" display="Company page"/>
    <hyperlink ref="F20" r:id="rId38" display="Find people"/>
    <hyperlink ref="E21" r:id="rId39" display="Company page"/>
    <hyperlink ref="F21" r:id="rId40" display="Find people"/>
    <hyperlink ref="E22" r:id="rId41" display="Company page"/>
    <hyperlink ref="F22" r:id="rId42" display="Find people"/>
    <hyperlink ref="E23" r:id="rId43" display="Company page"/>
    <hyperlink ref="F23" r:id="rId44" display="Find people"/>
    <hyperlink ref="E24" r:id="rId45" display="Company page"/>
    <hyperlink ref="F24" r:id="rId46" display="Find people"/>
    <hyperlink ref="E25" r:id="rId47" display="Company page"/>
    <hyperlink ref="F25" r:id="rId48" display="Find people"/>
    <hyperlink ref="E26" r:id="rId49" display="Company page"/>
    <hyperlink ref="F26" r:id="rId50" display="Find people"/>
    <hyperlink ref="E27" r:id="rId51" display="Company page"/>
    <hyperlink ref="F27" r:id="rId52" display="Find people"/>
    <hyperlink ref="E28" r:id="rId53" display="Company page"/>
    <hyperlink ref="F28" r:id="rId54" display="Find people"/>
    <hyperlink ref="E29" r:id="rId55" display="Company page"/>
    <hyperlink ref="F29" r:id="rId56" display="Find people"/>
    <hyperlink ref="E30" r:id="rId57" display="Company page"/>
    <hyperlink ref="F30" r:id="rId58" display="Find people"/>
    <hyperlink ref="E31" r:id="rId59" display="Company page"/>
    <hyperlink ref="F31" r:id="rId60" display="Find people"/>
    <hyperlink ref="E32" r:id="rId61" display="Company page"/>
    <hyperlink ref="F32" r:id="rId62" display="Find people"/>
    <hyperlink ref="E33" r:id="rId63" display="Company page"/>
    <hyperlink ref="F33" r:id="rId64" display="Find people"/>
    <hyperlink ref="E34" r:id="rId65" display="Company page"/>
    <hyperlink ref="F34" r:id="rId66" display="Find people"/>
    <hyperlink ref="E35" r:id="rId67" display="Company page"/>
    <hyperlink ref="F35" r:id="rId68" display="Find people"/>
    <hyperlink ref="E36" r:id="rId69" display="Company page"/>
    <hyperlink ref="F36" r:id="rId70" display="Find people"/>
    <hyperlink ref="E37" r:id="rId71" display="Company page"/>
    <hyperlink ref="F37" r:id="rId72" display="Find people"/>
    <hyperlink ref="E38" r:id="rId73" display="Company page"/>
    <hyperlink ref="F38" r:id="rId74" display="Find people"/>
    <hyperlink ref="E39" r:id="rId75" display="Company page"/>
    <hyperlink ref="F39" r:id="rId76" display="Find people"/>
    <hyperlink ref="E40" r:id="rId77" display="Company page"/>
    <hyperlink ref="F40" r:id="rId78" display="Find people"/>
    <hyperlink ref="E41" r:id="rId79" display="Company page"/>
    <hyperlink ref="F41" r:id="rId80" display="Find people"/>
    <hyperlink ref="E42" r:id="rId81" display="Company page"/>
    <hyperlink ref="F42" r:id="rId82" display="Find people"/>
    <hyperlink ref="E43" r:id="rId83" display="Company page"/>
    <hyperlink ref="F43" r:id="rId84" display="Find people"/>
    <hyperlink ref="E44" r:id="rId85" display="Company page"/>
    <hyperlink ref="F44" r:id="rId86" display="Find people"/>
    <hyperlink ref="E45" r:id="rId87" display="Company page"/>
    <hyperlink ref="F45" r:id="rId88" display="Find people"/>
    <hyperlink ref="E46" r:id="rId89" display="Company page"/>
    <hyperlink ref="F46" r:id="rId90" display="Find people"/>
    <hyperlink ref="E47" r:id="rId91" display="Company page"/>
    <hyperlink ref="F47" r:id="rId92" display="Find people"/>
    <hyperlink ref="E48" r:id="rId93" display="Company page"/>
    <hyperlink ref="F48" r:id="rId94" display="Find people"/>
    <hyperlink ref="E49" r:id="rId95" display="Company page"/>
    <hyperlink ref="F49" r:id="rId96" display="Find people"/>
    <hyperlink ref="E50" r:id="rId97" display="Company page"/>
    <hyperlink ref="F50" r:id="rId98" display="Find people"/>
    <hyperlink ref="E51" r:id="rId99" display="Company page"/>
    <hyperlink ref="F51" r:id="rId100" display="Find people"/>
    <hyperlink ref="E52" r:id="rId101" display="Company page"/>
    <hyperlink ref="F52" r:id="rId102" display="Find people"/>
    <hyperlink ref="E53" r:id="rId103" display="Company page"/>
    <hyperlink ref="F53" r:id="rId104" display="Find people"/>
    <hyperlink ref="E54" r:id="rId105" display="Company page"/>
    <hyperlink ref="F54" r:id="rId106" display="Find people"/>
    <hyperlink ref="E55" r:id="rId107" display="Company page"/>
    <hyperlink ref="F55" r:id="rId108" display="Find people"/>
    <hyperlink ref="E56" r:id="rId109" display="Company page"/>
    <hyperlink ref="F56" r:id="rId110" display="Find people"/>
    <hyperlink ref="E57" r:id="rId111" display="Company page"/>
    <hyperlink ref="F57" r:id="rId112" display="Find people"/>
    <hyperlink ref="E58" r:id="rId113" display="Company page"/>
    <hyperlink ref="F58" r:id="rId114" display="Find people"/>
    <hyperlink ref="E59" r:id="rId115" display="Company page"/>
    <hyperlink ref="F59" r:id="rId116" display="Find people"/>
    <hyperlink ref="E60" r:id="rId117" display="Company page"/>
    <hyperlink ref="F60" r:id="rId118" display="Find people"/>
    <hyperlink ref="E61" r:id="rId119" display="Company page"/>
    <hyperlink ref="F61" r:id="rId120" display="Find people"/>
    <hyperlink ref="E62" r:id="rId121" display="Company page"/>
    <hyperlink ref="F62" r:id="rId122" display="Find people"/>
    <hyperlink ref="E63" r:id="rId123" display="Company page"/>
    <hyperlink ref="F63" r:id="rId124" display="Find people"/>
    <hyperlink ref="E64" r:id="rId125" display="Company page"/>
    <hyperlink ref="F64" r:id="rId126" display="Find people"/>
    <hyperlink ref="E65" r:id="rId127" display="Company page"/>
    <hyperlink ref="F65" r:id="rId128" display="Find people"/>
    <hyperlink ref="E66" r:id="rId129" display="Company page"/>
    <hyperlink ref="F66" r:id="rId130" display="Find people"/>
    <hyperlink ref="E67" r:id="rId131" display="Company page"/>
    <hyperlink ref="F67" r:id="rId132" display="Find peop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3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00"/>
  </cols>
  <sheetData>
    <row r="2" customFormat="false" ht="19.7" hidden="false" customHeight="false" outlineLevel="0" collapsed="false">
      <c r="B2" s="1" t="s">
        <v>821</v>
      </c>
    </row>
    <row r="4" customFormat="false" ht="15" hidden="false" customHeight="false" outlineLevel="0" collapsed="false">
      <c r="B4" s="3" t="s">
        <v>822</v>
      </c>
      <c r="C4" s="4" t="s">
        <v>823</v>
      </c>
    </row>
    <row r="5" customFormat="false" ht="375" hidden="false" customHeight="true" outlineLevel="0" collapsed="false">
      <c r="C5" s="15" t="s">
        <v>824</v>
      </c>
    </row>
    <row r="7" customFormat="false" ht="15" hidden="false" customHeight="false" outlineLevel="0" collapsed="false">
      <c r="B7" s="3" t="s">
        <v>825</v>
      </c>
      <c r="C7" s="4" t="s">
        <v>826</v>
      </c>
    </row>
    <row r="8" customFormat="false" ht="165" hidden="false" customHeight="true" outlineLevel="0" collapsed="false">
      <c r="C8" s="15" t="s">
        <v>827</v>
      </c>
    </row>
    <row r="10" customFormat="false" ht="45" hidden="false" customHeight="true" outlineLevel="0" collapsed="false">
      <c r="B10" s="3" t="s">
        <v>828</v>
      </c>
      <c r="C10" s="15" t="s">
        <v>829</v>
      </c>
    </row>
    <row r="12" customFormat="false" ht="135" hidden="false" customHeight="true" outlineLevel="0" collapsed="false">
      <c r="B12" s="3" t="s">
        <v>830</v>
      </c>
      <c r="C12" s="15" t="s">
        <v>831</v>
      </c>
    </row>
    <row r="14" customFormat="false" ht="15" hidden="false" customHeight="false" outlineLevel="0" collapsed="false">
      <c r="B14" s="3" t="s">
        <v>832</v>
      </c>
      <c r="C14" s="4" t="s">
        <v>833</v>
      </c>
    </row>
    <row r="15" customFormat="false" ht="255" hidden="false" customHeight="true" outlineLevel="0" collapsed="false">
      <c r="C15" s="15" t="s">
        <v>834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7" min="3" style="0" width="14"/>
  </cols>
  <sheetData>
    <row r="2" customFormat="false" ht="19.7" hidden="false" customHeight="false" outlineLevel="0" collapsed="false">
      <c r="B2" s="1" t="s">
        <v>835</v>
      </c>
    </row>
    <row r="3" customFormat="false" ht="15" hidden="false" customHeight="false" outlineLevel="0" collapsed="false">
      <c r="B3" s="2" t="s">
        <v>836</v>
      </c>
    </row>
    <row r="5" customFormat="false" ht="15" hidden="false" customHeight="false" outlineLevel="0" collapsed="false">
      <c r="B5" s="16" t="s">
        <v>54</v>
      </c>
      <c r="C5" s="16" t="s">
        <v>837</v>
      </c>
      <c r="D5" s="16" t="s">
        <v>838</v>
      </c>
      <c r="E5" s="16" t="s">
        <v>839</v>
      </c>
      <c r="F5" s="16" t="s">
        <v>840</v>
      </c>
    </row>
    <row r="6" customFormat="false" ht="15" hidden="false" customHeight="false" outlineLevel="0" collapsed="false">
      <c r="B6" s="17" t="s">
        <v>82</v>
      </c>
      <c r="C6" s="17" t="n">
        <f aca="false">COUNTIF(Suppliers!$C$2:$C$67,B6)</f>
        <v>6</v>
      </c>
      <c r="D6" s="17" t="n">
        <f aca="false">COUNTIFS(Suppliers!$C$2:$C$67,B6,Suppliers!$B$2:$B$67,"&gt;=4")</f>
        <v>1</v>
      </c>
      <c r="E6" s="17" t="n">
        <f aca="false">COUNTIFS(Suppliers!$C$2:$C$67,B6,Suppliers!$W$2:$W$67,"&lt;&gt;Not contacted")</f>
        <v>0</v>
      </c>
      <c r="F6" s="17" t="n">
        <f aca="false">COUNTIFS(Suppliers!$C$2:$C$67,B6,Suppliers!$AC$2:$AC$67,"Yes")</f>
        <v>0</v>
      </c>
    </row>
    <row r="7" customFormat="false" ht="15" hidden="false" customHeight="false" outlineLevel="0" collapsed="false">
      <c r="B7" s="17" t="s">
        <v>336</v>
      </c>
      <c r="C7" s="17" t="n">
        <f aca="false">COUNTIF(Suppliers!$C$2:$C$67,B7)</f>
        <v>1</v>
      </c>
      <c r="D7" s="17" t="n">
        <f aca="false">COUNTIFS(Suppliers!$C$2:$C$67,B7,Suppliers!$B$2:$B$67,"&gt;=4")</f>
        <v>0</v>
      </c>
      <c r="E7" s="17" t="n">
        <f aca="false">COUNTIFS(Suppliers!$C$2:$C$67,B7,Suppliers!$W$2:$W$67,"&lt;&gt;Not contacted")</f>
        <v>0</v>
      </c>
      <c r="F7" s="17" t="n">
        <f aca="false">COUNTIFS(Suppliers!$C$2:$C$67,B7,Suppliers!$AC$2:$AC$67,"Yes")</f>
        <v>0</v>
      </c>
    </row>
    <row r="8" customFormat="false" ht="15" hidden="false" customHeight="false" outlineLevel="0" collapsed="false">
      <c r="B8" s="17" t="s">
        <v>101</v>
      </c>
      <c r="C8" s="17" t="n">
        <f aca="false">COUNTIF(Suppliers!$C$2:$C$67,B8)</f>
        <v>18</v>
      </c>
      <c r="D8" s="17" t="n">
        <f aca="false">COUNTIFS(Suppliers!$C$2:$C$67,B8,Suppliers!$B$2:$B$67,"&gt;=4")</f>
        <v>5</v>
      </c>
      <c r="E8" s="17" t="n">
        <f aca="false">COUNTIFS(Suppliers!$C$2:$C$67,B8,Suppliers!$W$2:$W$67,"&lt;&gt;Not contacted")</f>
        <v>0</v>
      </c>
      <c r="F8" s="17" t="n">
        <f aca="false">COUNTIFS(Suppliers!$C$2:$C$67,B8,Suppliers!$AC$2:$AC$67,"Yes")</f>
        <v>0</v>
      </c>
    </row>
    <row r="9" customFormat="false" ht="15" hidden="false" customHeight="false" outlineLevel="0" collapsed="false">
      <c r="B9" s="17" t="s">
        <v>222</v>
      </c>
      <c r="C9" s="17" t="n">
        <f aca="false">COUNTIF(Suppliers!$C$2:$C$67,B9)</f>
        <v>8</v>
      </c>
      <c r="D9" s="17" t="n">
        <f aca="false">COUNTIFS(Suppliers!$C$2:$C$67,B9,Suppliers!$B$2:$B$67,"&gt;=4")</f>
        <v>1</v>
      </c>
      <c r="E9" s="17" t="n">
        <f aca="false">COUNTIFS(Suppliers!$C$2:$C$67,B9,Suppliers!$W$2:$W$67,"&lt;&gt;Not contacted")</f>
        <v>0</v>
      </c>
      <c r="F9" s="17" t="n">
        <f aca="false">COUNTIFS(Suppliers!$C$2:$C$67,B9,Suppliers!$AC$2:$AC$67,"Yes")</f>
        <v>0</v>
      </c>
    </row>
    <row r="10" customFormat="false" ht="15" hidden="false" customHeight="false" outlineLevel="0" collapsed="false">
      <c r="B10" s="17" t="s">
        <v>147</v>
      </c>
      <c r="C10" s="17" t="n">
        <f aca="false">COUNTIF(Suppliers!$C$2:$C$67,B10)</f>
        <v>17</v>
      </c>
      <c r="D10" s="17" t="n">
        <f aca="false">COUNTIFS(Suppliers!$C$2:$C$67,B10,Suppliers!$B$2:$B$67,"&gt;=4")</f>
        <v>3</v>
      </c>
      <c r="E10" s="17" t="n">
        <f aca="false">COUNTIFS(Suppliers!$C$2:$C$67,B10,Suppliers!$W$2:$W$67,"&lt;&gt;Not contacted")</f>
        <v>0</v>
      </c>
      <c r="F10" s="17" t="n">
        <f aca="false">COUNTIFS(Suppliers!$C$2:$C$67,B10,Suppliers!$AC$2:$AC$67,"Yes")</f>
        <v>0</v>
      </c>
    </row>
    <row r="11" customFormat="false" ht="15" hidden="false" customHeight="false" outlineLevel="0" collapsed="false">
      <c r="B11" s="17" t="s">
        <v>262</v>
      </c>
      <c r="C11" s="17" t="n">
        <f aca="false">COUNTIF(Suppliers!$C$2:$C$67,B11)</f>
        <v>2</v>
      </c>
      <c r="D11" s="17" t="n">
        <f aca="false">COUNTIFS(Suppliers!$C$2:$C$67,B11,Suppliers!$B$2:$B$67,"&gt;=4")</f>
        <v>1</v>
      </c>
      <c r="E11" s="17" t="n">
        <f aca="false">COUNTIFS(Suppliers!$C$2:$C$67,B11,Suppliers!$W$2:$W$67,"&lt;&gt;Not contacted")</f>
        <v>0</v>
      </c>
      <c r="F11" s="17" t="n">
        <f aca="false">COUNTIFS(Suppliers!$C$2:$C$67,B11,Suppliers!$AC$2:$AC$67,"Yes")</f>
        <v>0</v>
      </c>
    </row>
    <row r="12" customFormat="false" ht="15" hidden="false" customHeight="false" outlineLevel="0" collapsed="false">
      <c r="B12" s="17" t="s">
        <v>274</v>
      </c>
      <c r="C12" s="17" t="n">
        <f aca="false">COUNTIF(Suppliers!$C$2:$C$67,B12)</f>
        <v>2</v>
      </c>
      <c r="D12" s="17" t="n">
        <f aca="false">COUNTIFS(Suppliers!$C$2:$C$67,B12,Suppliers!$B$2:$B$67,"&gt;=4")</f>
        <v>1</v>
      </c>
      <c r="E12" s="17" t="n">
        <f aca="false">COUNTIFS(Suppliers!$C$2:$C$67,B12,Suppliers!$W$2:$W$67,"&lt;&gt;Not contacted")</f>
        <v>0</v>
      </c>
      <c r="F12" s="17" t="n">
        <f aca="false">COUNTIFS(Suppliers!$C$2:$C$67,B12,Suppliers!$AC$2:$AC$67,"Yes")</f>
        <v>0</v>
      </c>
    </row>
    <row r="13" customFormat="false" ht="15" hidden="false" customHeight="false" outlineLevel="0" collapsed="false">
      <c r="B13" s="17" t="s">
        <v>162</v>
      </c>
      <c r="C13" s="17" t="n">
        <f aca="false">COUNTIF(Suppliers!$C$2:$C$67,B13)</f>
        <v>12</v>
      </c>
      <c r="D13" s="17" t="n">
        <f aca="false">COUNTIFS(Suppliers!$C$2:$C$67,B13,Suppliers!$B$2:$B$67,"&gt;=4")</f>
        <v>6</v>
      </c>
      <c r="E13" s="17" t="n">
        <f aca="false">COUNTIFS(Suppliers!$C$2:$C$67,B13,Suppliers!$W$2:$W$67,"&lt;&gt;Not contacted")</f>
        <v>0</v>
      </c>
      <c r="F13" s="17" t="n">
        <f aca="false">COUNTIFS(Suppliers!$C$2:$C$67,B13,Suppliers!$AC$2:$AC$67,"Yes")</f>
        <v>0</v>
      </c>
    </row>
    <row r="14" customFormat="false" ht="15" hidden="false" customHeight="false" outlineLevel="0" collapsed="false">
      <c r="B14" s="18" t="s">
        <v>841</v>
      </c>
      <c r="C14" s="18" t="n">
        <f aca="false">SUM(C6:C13)</f>
        <v>66</v>
      </c>
      <c r="D14" s="18" t="n">
        <f aca="false">SUM(D6:D13)</f>
        <v>18</v>
      </c>
      <c r="E14" s="18" t="n">
        <f aca="false">SUM(E6:E13)</f>
        <v>0</v>
      </c>
      <c r="F14" s="18" t="n">
        <f aca="false">SUM(F6:F13)</f>
        <v>0</v>
      </c>
    </row>
    <row r="17" customFormat="false" ht="15" hidden="false" customHeight="false" outlineLevel="0" collapsed="false">
      <c r="B17" s="16" t="s">
        <v>842</v>
      </c>
      <c r="C17" s="16" t="s">
        <v>843</v>
      </c>
      <c r="D17" s="16" t="s">
        <v>844</v>
      </c>
    </row>
    <row r="18" customFormat="false" ht="15" hidden="false" customHeight="false" outlineLevel="0" collapsed="false">
      <c r="B18" s="17" t="s">
        <v>100</v>
      </c>
      <c r="C18" s="17" t="n">
        <f aca="false">COUNTIF(Suppliers!$W$2:$W$67,B18)</f>
        <v>66</v>
      </c>
      <c r="D18" s="19" t="n">
        <f aca="false">IF(COUNTA(Suppliers!$C$2:$C$67)=0,0,C18/COUNTA(Suppliers!$C$2:$C$67))</f>
        <v>1</v>
      </c>
    </row>
    <row r="19" customFormat="false" ht="15" hidden="false" customHeight="false" outlineLevel="0" collapsed="false">
      <c r="B19" s="17" t="s">
        <v>845</v>
      </c>
      <c r="C19" s="17" t="n">
        <f aca="false">COUNTIF(Suppliers!$W$2:$W$67,B19)</f>
        <v>0</v>
      </c>
      <c r="D19" s="19" t="n">
        <f aca="false">IF(COUNTA(Suppliers!$C$2:$C$67)=0,0,C19/COUNTA(Suppliers!$C$2:$C$67))</f>
        <v>0</v>
      </c>
    </row>
    <row r="20" customFormat="false" ht="15" hidden="false" customHeight="false" outlineLevel="0" collapsed="false">
      <c r="B20" s="17" t="s">
        <v>846</v>
      </c>
      <c r="C20" s="17" t="n">
        <f aca="false">COUNTIF(Suppliers!$W$2:$W$67,B20)</f>
        <v>0</v>
      </c>
      <c r="D20" s="19" t="n">
        <f aca="false">IF(COUNTA(Suppliers!$C$2:$C$67)=0,0,C20/COUNTA(Suppliers!$C$2:$C$67))</f>
        <v>0</v>
      </c>
    </row>
    <row r="21" customFormat="false" ht="15" hidden="false" customHeight="false" outlineLevel="0" collapsed="false">
      <c r="B21" s="17" t="s">
        <v>847</v>
      </c>
      <c r="C21" s="17" t="n">
        <f aca="false">COUNTIF(Suppliers!$W$2:$W$67,B21)</f>
        <v>0</v>
      </c>
      <c r="D21" s="19" t="n">
        <f aca="false">IF(COUNTA(Suppliers!$C$2:$C$67)=0,0,C21/COUNTA(Suppliers!$C$2:$C$67))</f>
        <v>0</v>
      </c>
    </row>
    <row r="22" customFormat="false" ht="15" hidden="false" customHeight="false" outlineLevel="0" collapsed="false">
      <c r="B22" s="17" t="s">
        <v>848</v>
      </c>
      <c r="C22" s="17" t="n">
        <f aca="false">COUNTIF(Suppliers!$W$2:$W$67,B22)</f>
        <v>0</v>
      </c>
      <c r="D22" s="19" t="n">
        <f aca="false">IF(COUNTA(Suppliers!$C$2:$C$67)=0,0,C22/COUNTA(Suppliers!$C$2:$C$67))</f>
        <v>0</v>
      </c>
    </row>
    <row r="23" customFormat="false" ht="15" hidden="false" customHeight="false" outlineLevel="0" collapsed="false">
      <c r="B23" s="17" t="s">
        <v>849</v>
      </c>
      <c r="C23" s="17" t="n">
        <f aca="false">COUNTIF(Suppliers!$W$2:$W$67,B23)</f>
        <v>0</v>
      </c>
      <c r="D23" s="19" t="n">
        <f aca="false">IF(COUNTA(Suppliers!$C$2:$C$67)=0,0,C23/COUNTA(Suppliers!$C$2:$C$67))</f>
        <v>0</v>
      </c>
    </row>
    <row r="24" customFormat="false" ht="15" hidden="false" customHeight="false" outlineLevel="0" collapsed="false">
      <c r="B24" s="17" t="s">
        <v>850</v>
      </c>
      <c r="C24" s="17" t="n">
        <f aca="false">COUNTIF(Suppliers!$W$2:$W$67,B24)</f>
        <v>0</v>
      </c>
      <c r="D24" s="19" t="n">
        <f aca="false">IF(COUNTA(Suppliers!$C$2:$C$67)=0,0,C24/COUNTA(Suppliers!$C$2:$C$67))</f>
        <v>0</v>
      </c>
    </row>
    <row r="25" customFormat="false" ht="15" hidden="false" customHeight="false" outlineLevel="0" collapsed="false">
      <c r="B25" s="17" t="s">
        <v>851</v>
      </c>
      <c r="C25" s="17" t="n">
        <f aca="false">COUNTIF(Suppliers!$W$2:$W$67,B25)</f>
        <v>0</v>
      </c>
      <c r="D25" s="19" t="n">
        <f aca="false">IF(COUNTA(Suppliers!$C$2:$C$67)=0,0,C25/COUNTA(Suppliers!$C$2:$C$67))</f>
        <v>0</v>
      </c>
    </row>
    <row r="26" customFormat="false" ht="15" hidden="false" customHeight="false" outlineLevel="0" collapsed="false">
      <c r="B26" s="17" t="s">
        <v>852</v>
      </c>
      <c r="C26" s="17" t="n">
        <f aca="false">COUNTIF(Suppliers!$W$2:$W$67,B26)</f>
        <v>0</v>
      </c>
      <c r="D26" s="19" t="n">
        <f aca="false">IF(COUNTA(Suppliers!$C$2:$C$67)=0,0,C26/COUNTA(Suppliers!$C$2:$C$67))</f>
        <v>0</v>
      </c>
    </row>
    <row r="27" customFormat="false" ht="15" hidden="false" customHeight="false" outlineLevel="0" collapsed="false">
      <c r="B27" s="17" t="s">
        <v>853</v>
      </c>
      <c r="C27" s="17" t="n">
        <f aca="false">COUNTIF(Suppliers!$W$2:$W$67,B27)</f>
        <v>0</v>
      </c>
      <c r="D27" s="19" t="n">
        <f aca="false">IF(COUNTA(Suppliers!$C$2:$C$67)=0,0,C27/COUNTA(Suppliers!$C$2:$C$67))</f>
        <v>0</v>
      </c>
    </row>
    <row r="29" customFormat="false" ht="15" hidden="false" customHeight="false" outlineLevel="0" collapsed="false">
      <c r="B29" s="4" t="s">
        <v>854</v>
      </c>
      <c r="C29" s="4" t="n">
        <f aca="true">SUMPRODUCT((Suppliers!$AB$2:$AB$67&lt;&gt;"")*(Suppliers!$AB$2:$AB$67&lt;=TODAY())*((Suppliers!$W$2:$W$67="Contacted")+(Suppliers!$W$2:$W$67="Follow-up sent")))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8"/>
    <col collapsed="false" customWidth="true" hidden="false" outlineLevel="0" max="3" min="3" style="0" width="60"/>
    <col collapsed="false" customWidth="true" hidden="false" outlineLevel="0" max="4" min="4" style="0" width="45"/>
  </cols>
  <sheetData>
    <row r="1" customFormat="false" ht="31.5" hidden="false" customHeight="true" outlineLevel="0" collapsed="false">
      <c r="A1" s="6" t="s">
        <v>855</v>
      </c>
      <c r="B1" s="6" t="s">
        <v>856</v>
      </c>
      <c r="C1" s="6" t="s">
        <v>857</v>
      </c>
      <c r="D1" s="6" t="s">
        <v>858</v>
      </c>
    </row>
    <row r="2" customFormat="false" ht="23.85" hidden="false" customHeight="false" outlineLevel="0" collapsed="false">
      <c r="A2" s="8" t="s">
        <v>859</v>
      </c>
      <c r="B2" s="8" t="s">
        <v>860</v>
      </c>
      <c r="C2" s="8" t="s">
        <v>861</v>
      </c>
      <c r="D2" s="14" t="s">
        <v>862</v>
      </c>
    </row>
    <row r="3" customFormat="false" ht="15" hidden="false" customHeight="false" outlineLevel="0" collapsed="false">
      <c r="A3" s="8" t="s">
        <v>863</v>
      </c>
      <c r="B3" s="8" t="s">
        <v>864</v>
      </c>
      <c r="C3" s="8" t="s">
        <v>865</v>
      </c>
      <c r="D3" s="14" t="s">
        <v>866</v>
      </c>
    </row>
    <row r="4" customFormat="false" ht="15" hidden="false" customHeight="false" outlineLevel="0" collapsed="false">
      <c r="A4" s="8" t="s">
        <v>867</v>
      </c>
      <c r="B4" s="8" t="s">
        <v>864</v>
      </c>
      <c r="C4" s="8" t="s">
        <v>868</v>
      </c>
      <c r="D4" s="14" t="s">
        <v>869</v>
      </c>
    </row>
    <row r="5" customFormat="false" ht="15" hidden="false" customHeight="false" outlineLevel="0" collapsed="false">
      <c r="A5" s="8" t="s">
        <v>870</v>
      </c>
      <c r="B5" s="8" t="s">
        <v>871</v>
      </c>
      <c r="C5" s="8" t="s">
        <v>872</v>
      </c>
      <c r="D5" s="14" t="s">
        <v>873</v>
      </c>
    </row>
    <row r="6" customFormat="false" ht="15" hidden="false" customHeight="false" outlineLevel="0" collapsed="false">
      <c r="A6" s="8" t="s">
        <v>874</v>
      </c>
      <c r="B6" s="8" t="s">
        <v>875</v>
      </c>
      <c r="C6" s="8" t="s">
        <v>876</v>
      </c>
      <c r="D6" s="14" t="s">
        <v>877</v>
      </c>
    </row>
    <row r="7" customFormat="false" ht="15" hidden="false" customHeight="false" outlineLevel="0" collapsed="false">
      <c r="A7" s="8" t="s">
        <v>878</v>
      </c>
      <c r="B7" s="8" t="s">
        <v>875</v>
      </c>
      <c r="C7" s="8" t="s">
        <v>879</v>
      </c>
      <c r="D7" s="14" t="s">
        <v>880</v>
      </c>
    </row>
    <row r="8" customFormat="false" ht="15" hidden="false" customHeight="false" outlineLevel="0" collapsed="false">
      <c r="A8" s="8" t="s">
        <v>881</v>
      </c>
      <c r="B8" s="8" t="s">
        <v>875</v>
      </c>
      <c r="C8" s="8" t="s">
        <v>882</v>
      </c>
      <c r="D8" s="14" t="s">
        <v>883</v>
      </c>
    </row>
    <row r="9" customFormat="false" ht="15" hidden="false" customHeight="false" outlineLevel="0" collapsed="false">
      <c r="A9" s="8" t="s">
        <v>884</v>
      </c>
      <c r="B9" s="8" t="s">
        <v>885</v>
      </c>
      <c r="C9" s="8" t="s">
        <v>886</v>
      </c>
      <c r="D9" s="14" t="s">
        <v>887</v>
      </c>
    </row>
    <row r="10" customFormat="false" ht="15" hidden="false" customHeight="false" outlineLevel="0" collapsed="false">
      <c r="A10" s="8" t="s">
        <v>888</v>
      </c>
      <c r="B10" s="8" t="s">
        <v>889</v>
      </c>
      <c r="C10" s="8" t="s">
        <v>890</v>
      </c>
      <c r="D10" s="14" t="s">
        <v>891</v>
      </c>
    </row>
    <row r="11" customFormat="false" ht="23.85" hidden="false" customHeight="false" outlineLevel="0" collapsed="false">
      <c r="A11" s="8" t="s">
        <v>892</v>
      </c>
      <c r="B11" s="8" t="s">
        <v>893</v>
      </c>
      <c r="C11" s="8" t="s">
        <v>894</v>
      </c>
      <c r="D11" s="14" t="s">
        <v>895</v>
      </c>
    </row>
    <row r="12" customFormat="false" ht="15" hidden="false" customHeight="false" outlineLevel="0" collapsed="false">
      <c r="A12" s="8" t="s">
        <v>896</v>
      </c>
      <c r="B12" s="8" t="s">
        <v>897</v>
      </c>
      <c r="C12" s="8" t="s">
        <v>898</v>
      </c>
      <c r="D12" s="14" t="s">
        <v>899</v>
      </c>
    </row>
    <row r="13" customFormat="false" ht="15" hidden="false" customHeight="false" outlineLevel="0" collapsed="false">
      <c r="A13" s="8" t="s">
        <v>900</v>
      </c>
      <c r="B13" s="8" t="s">
        <v>901</v>
      </c>
      <c r="C13" s="8" t="s">
        <v>902</v>
      </c>
      <c r="D13" s="14" t="s">
        <v>903</v>
      </c>
    </row>
    <row r="14" customFormat="false" ht="15" hidden="false" customHeight="false" outlineLevel="0" collapsed="false">
      <c r="A14" s="8" t="s">
        <v>904</v>
      </c>
      <c r="B14" s="8" t="s">
        <v>905</v>
      </c>
      <c r="C14" s="8" t="s">
        <v>906</v>
      </c>
      <c r="D14" s="14" t="s">
        <v>907</v>
      </c>
    </row>
    <row r="15" customFormat="false" ht="23.85" hidden="false" customHeight="false" outlineLevel="0" collapsed="false">
      <c r="A15" s="8" t="s">
        <v>908</v>
      </c>
      <c r="B15" s="8" t="s">
        <v>905</v>
      </c>
      <c r="C15" s="8" t="s">
        <v>909</v>
      </c>
      <c r="D15" s="14" t="s">
        <v>910</v>
      </c>
    </row>
    <row r="16" customFormat="false" ht="23.85" hidden="false" customHeight="false" outlineLevel="0" collapsed="false">
      <c r="A16" s="8" t="s">
        <v>911</v>
      </c>
      <c r="B16" s="8" t="s">
        <v>905</v>
      </c>
      <c r="C16" s="8" t="s">
        <v>912</v>
      </c>
      <c r="D16" s="14" t="s">
        <v>913</v>
      </c>
    </row>
    <row r="17" customFormat="false" ht="15" hidden="false" customHeight="false" outlineLevel="0" collapsed="false">
      <c r="A17" s="8" t="s">
        <v>914</v>
      </c>
      <c r="B17" s="8" t="s">
        <v>905</v>
      </c>
      <c r="C17" s="8" t="s">
        <v>915</v>
      </c>
      <c r="D17" s="14" t="s">
        <v>916</v>
      </c>
    </row>
    <row r="18" customFormat="false" ht="15" hidden="false" customHeight="false" outlineLevel="0" collapsed="false">
      <c r="A18" s="8" t="s">
        <v>917</v>
      </c>
      <c r="B18" s="8" t="s">
        <v>905</v>
      </c>
      <c r="C18" s="8" t="s">
        <v>918</v>
      </c>
      <c r="D18" s="14" t="s">
        <v>919</v>
      </c>
    </row>
    <row r="19" customFormat="false" ht="23.85" hidden="false" customHeight="false" outlineLevel="0" collapsed="false">
      <c r="A19" s="8" t="s">
        <v>920</v>
      </c>
      <c r="B19" s="8" t="s">
        <v>76</v>
      </c>
      <c r="C19" s="8" t="s">
        <v>921</v>
      </c>
      <c r="D19" s="20"/>
    </row>
    <row r="20" customFormat="false" ht="23.85" hidden="false" customHeight="false" outlineLevel="0" collapsed="false">
      <c r="A20" s="8" t="s">
        <v>922</v>
      </c>
      <c r="B20" s="8" t="s">
        <v>76</v>
      </c>
      <c r="C20" s="8" t="s">
        <v>923</v>
      </c>
      <c r="D20" s="14" t="s">
        <v>924</v>
      </c>
    </row>
  </sheetData>
  <hyperlinks>
    <hyperlink ref="D2" r:id="rId1" display="https://find-and-update.company-information.service.gov.uk/"/>
    <hyperlink ref="D3" r:id="rId2" display="https://ec.europa.eu/taxation_customs/vies/"/>
    <hyperlink ref="D4" r:id="rId3" display="https://www.kvk.nl/en/"/>
    <hyperlink ref="D5" r:id="rId4" display="https://cms.mhra.gov.uk/mhra/wholesale-dealer-licences"/>
    <hyperlink ref="D6" r:id="rId5" display="https://supplier-directory.betterretailing.com/"/>
    <hyperlink ref="D7" r:id="rId6" display="https://unitaswholesale.co.uk/"/>
    <hyperlink ref="D8" r:id="rId7" display="https://www.petbusinessworld.co.uk/trade-directory/"/>
    <hyperlink ref="D9" r:id="rId8" display="https://www.great.gov.uk/international/buy-from-the-uk/find-a-supplier/"/>
    <hyperlink ref="D10" r:id="rId9" display="https://www.europages.co.uk/"/>
    <hyperlink ref="D11" r:id="rId10" display="https://www.kompass.com/"/>
    <hyperlink ref="D12" r:id="rId11" display="https://www.cosmeticindex.com/~cosmetic-distributors-wholesalers_Europe"/>
    <hyperlink ref="D13" r:id="rId12" display="https://www.qogita.com/blog/top-10-wholesale-health-beauty-suppliers-in-the-uk-eu/"/>
    <hyperlink ref="D14" r:id="rId13" display="https://www.toyfair.co.uk/"/>
    <hyperlink ref="D15" r:id="rId14" display="https://www.spielwarenmesse.de/"/>
    <hyperlink ref="D16" r:id="rId15" display="https://www.cosmoprof.com/"/>
    <hyperlink ref="D17" r:id="rId16" display="https://www.esxence.com/"/>
    <hyperlink ref="D18" r:id="rId17" display="https://www.springfair.com/"/>
    <hyperlink ref="D20" r:id="rId18" display="https://www.linkedin.com/search/results/companies/?keywords=fragrance%20distributo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60"/>
    <col collapsed="false" customWidth="true" hidden="false" outlineLevel="0" max="3" min="3" style="0" width="50"/>
  </cols>
  <sheetData>
    <row r="1" customFormat="false" ht="31.5" hidden="false" customHeight="true" outlineLevel="0" collapsed="false">
      <c r="A1" s="6" t="s">
        <v>364</v>
      </c>
      <c r="B1" s="6" t="s">
        <v>925</v>
      </c>
      <c r="C1" s="6" t="s">
        <v>926</v>
      </c>
    </row>
    <row r="2" customFormat="false" ht="15" hidden="false" customHeight="false" outlineLevel="0" collapsed="false">
      <c r="A2" s="8" t="s">
        <v>927</v>
      </c>
      <c r="B2" s="8" t="s">
        <v>928</v>
      </c>
      <c r="C2" s="8" t="s">
        <v>929</v>
      </c>
    </row>
    <row r="3" customFormat="false" ht="23.85" hidden="false" customHeight="false" outlineLevel="0" collapsed="false">
      <c r="A3" s="8" t="s">
        <v>930</v>
      </c>
      <c r="B3" s="8" t="s">
        <v>931</v>
      </c>
      <c r="C3" s="8" t="s">
        <v>932</v>
      </c>
    </row>
    <row r="4" customFormat="false" ht="15" hidden="false" customHeight="false" outlineLevel="0" collapsed="false">
      <c r="A4" s="8" t="s">
        <v>933</v>
      </c>
      <c r="B4" s="8" t="s">
        <v>934</v>
      </c>
      <c r="C4" s="8" t="s">
        <v>935</v>
      </c>
    </row>
    <row r="5" customFormat="false" ht="15" hidden="false" customHeight="false" outlineLevel="0" collapsed="false">
      <c r="A5" s="8" t="s">
        <v>936</v>
      </c>
      <c r="B5" s="8" t="s">
        <v>937</v>
      </c>
      <c r="C5" s="8" t="s">
        <v>938</v>
      </c>
    </row>
    <row r="6" customFormat="false" ht="23.85" hidden="false" customHeight="false" outlineLevel="0" collapsed="false">
      <c r="A6" s="8" t="s">
        <v>939</v>
      </c>
      <c r="B6" s="8" t="s">
        <v>940</v>
      </c>
      <c r="C6" s="8" t="s">
        <v>941</v>
      </c>
    </row>
    <row r="7" customFormat="false" ht="15" hidden="false" customHeight="false" outlineLevel="0" collapsed="false">
      <c r="A7" s="8" t="s">
        <v>942</v>
      </c>
      <c r="B7" s="8" t="s">
        <v>943</v>
      </c>
      <c r="C7" s="8" t="s">
        <v>944</v>
      </c>
    </row>
    <row r="8" customFormat="false" ht="23.85" hidden="false" customHeight="false" outlineLevel="0" collapsed="false">
      <c r="A8" s="8" t="s">
        <v>945</v>
      </c>
      <c r="B8" s="8" t="s">
        <v>946</v>
      </c>
      <c r="C8" s="8" t="s">
        <v>947</v>
      </c>
    </row>
    <row r="9" customFormat="false" ht="23.85" hidden="false" customHeight="false" outlineLevel="0" collapsed="false">
      <c r="A9" s="8" t="s">
        <v>948</v>
      </c>
      <c r="B9" s="8" t="s">
        <v>949</v>
      </c>
      <c r="C9" s="8" t="s">
        <v>950</v>
      </c>
    </row>
    <row r="10" customFormat="false" ht="23.85" hidden="false" customHeight="false" outlineLevel="0" collapsed="false">
      <c r="A10" s="8" t="s">
        <v>951</v>
      </c>
      <c r="B10" s="8" t="s">
        <v>952</v>
      </c>
      <c r="C10" s="8" t="s">
        <v>953</v>
      </c>
    </row>
    <row r="11" customFormat="false" ht="15" hidden="false" customHeight="false" outlineLevel="0" collapsed="false">
      <c r="A11" s="8" t="s">
        <v>954</v>
      </c>
      <c r="B11" s="8" t="s">
        <v>955</v>
      </c>
      <c r="C11" s="8" t="s">
        <v>956</v>
      </c>
    </row>
    <row r="12" customFormat="false" ht="15" hidden="false" customHeight="false" outlineLevel="0" collapsed="false">
      <c r="A12" s="8" t="s">
        <v>957</v>
      </c>
      <c r="B12" s="8" t="s">
        <v>958</v>
      </c>
      <c r="C12" s="8" t="s">
        <v>959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2026-10-12T22:24:19Z</dcterms:created>
  <dc:creator>openpyxl</dc:creator>
  <dc:description/>
  <dc:language>en-US</dc:language>
  <cp:lastModifiedBy/>
  <dcterms:modified xsi:type="dcterms:W3CDTF">2026-10-12T22:24:19Z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