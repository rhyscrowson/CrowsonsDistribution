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Top Picks" sheetId="2" state="visible" r:id="rId4"/>
    <sheet name="Suppliers" sheetId="3" state="visible" r:id="rId5"/>
    <sheet name="Low Priority" sheetId="4" state="visible" r:id="rId6"/>
    <sheet name="LinkedIn Outreach" sheetId="5" state="visible" r:id="rId7"/>
    <sheet name="Country Index" sheetId="6" state="visible" r:id="rId8"/>
    <sheet name="Best-Value Countries" sheetId="7" state="visible" r:id="rId9"/>
    <sheet name="Contact First" sheetId="8" state="visible" r:id="rId10"/>
    <sheet name="Niche Guide" sheetId="9" state="visible" r:id="rId11"/>
    <sheet name="Profit Calculator" sheetId="10" state="visible" r:id="rId12"/>
    <sheet name="Templates" sheetId="11" state="visible" r:id="rId13"/>
    <sheet name="Dashboard" sheetId="12" state="visible" r:id="rId14"/>
    <sheet name="Find More Suppliers" sheetId="13" state="visible" r:id="rId15"/>
    <sheet name="Due Diligence" sheetId="14" state="visible" r:id="rId16"/>
    <sheet name="Removed - Failed Check" sheetId="15" state="visible" r:id="rId17"/>
  </sheets>
  <definedNames>
    <definedName function="false" hidden="true" localSheetId="7" name="_xlnm._FilterDatabase" vbProcedure="false">'Contact First'!$A$4:$J$103</definedName>
    <definedName function="false" hidden="true" localSheetId="4" name="_xlnm._FilterDatabase" vbProcedure="false">'LinkedIn Outreach'!$A$1:$N$359</definedName>
    <definedName function="false" hidden="true" localSheetId="3" name="_xlnm._FilterDatabase" vbProcedure="false">'Low Priority'!$A$4:$L$46</definedName>
    <definedName function="false" hidden="true" localSheetId="2" name="_xlnm._FilterDatabase" vbProcedure="false">Suppliers!$A$1:$AM$359</definedName>
    <definedName function="false" hidden="true" localSheetId="1" name="_xlnm._FilterDatabase" vbProcedure="false">'Top Picks'!$A$4:$L$59</definedName>
  </definedNames>
  <calcPr iterateCount="100" refMode="A1" iterate="false" iterateDelta="0.0001"/>
  <extLst>
    <ext xmlns:loext="http://schemas.libreoffice.org/" uri="{7626C862-2A13-11E5-B345-FEFF819CDC9F}">
      <loext:extCalcPr stringRefSyntax="ExcelA1"/>
    </ext>
  </extLst>
</workbook>
</file>

<file path=xl/comments10.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Placeholder - update to today's rate (e.g. from xe.com) before using.</t>
        </r>
      </text>
    </comment>
    <comment ref="B5" authorId="0">
      <text>
        <r>
          <rPr>
            <sz val="10"/>
            <rFont val="Arial"/>
            <family val="2"/>
          </rPr>
          <t xml:space="preserve">Standard UK VAT rate. Some baby/children's items are zero-rated - adjust per row.</t>
        </r>
      </text>
    </comment>
    <comment ref="B6" authorId="0">
      <text>
        <r>
          <rPr>
            <sz val="10"/>
            <rFont val="Arial"/>
            <family val="2"/>
          </rPr>
          <t xml:space="preserve">Typical Amazon UK referral fee; varies by category (check Amazon's fee schedule).</t>
        </r>
      </text>
    </comment>
    <comment ref="B7" authorId="0">
      <text>
        <r>
          <rPr>
            <sz val="10"/>
            <rFont val="Arial"/>
            <family val="2"/>
          </rPr>
          <t xml:space="preserve">Your minimum ROI to buy. Change to suit your strategy.</t>
        </r>
      </text>
    </comment>
  </commentList>
</comments>
</file>

<file path=xl/sharedStrings.xml><?xml version="1.0" encoding="utf-8"?>
<sst xmlns="http://schemas.openxmlformats.org/spreadsheetml/2006/main" count="12539" uniqueCount="4962">
  <si>
    <t xml:space="preserve">Crowsons Distribution - Wholesale Supplier Sourcing List</t>
  </si>
  <si>
    <t xml:space="preserve">358 UK &amp; EU suppliers for Amazon UK wholesale across 12 niches. Researched Oct 2026.</t>
  </si>
  <si>
    <t xml:space="preserve">What's new in this version</t>
  </si>
  <si>
    <t xml:space="preserve">Sorted Country &gt; Category &gt; Priority</t>
  </si>
  <si>
    <t xml:space="preserve">The Suppliers tab is sorted by Country A-Z, then Category A-Z within each country, then Amazon UK Demand (A first), then Priority. Country is the first column and each country is shaded in alternating bands, so you can work through one country - and one niche - at a time. Pan-European / online platforms are at the bottom.</t>
  </si>
  <si>
    <t xml:space="preserve">NEW: Top Picks tab + Amazon UK Demand</t>
  </si>
  <si>
    <t xml:space="preserve">Start with the Top Picks tab: the suppliers whose brands are household names that already sell well on Amazon UK (A-rated). Every supplier now has an 'Amazon UK Demand' rating - A Strong (green), B Moderate (yellow), C Low / little UK demand (grey) - and within each country and niche the A-rated suppliers are listed first. Filter the Suppliers tab on A or B to skip small local brands with little UK demand.</t>
  </si>
  <si>
    <t xml:space="preserve">Low Priority tab + 2nd scam check</t>
  </si>
  <si>
    <t xml:space="preserve">Priority 1-2 suppliers (weak Amazon fit, marketplaces, retailers, capped after the scam check) have moved off the Suppliers tab to a separate 'Low Priority' tab, so the main list is priority 3-5 only. A second check scanned 2025-26 insolvency notices and EU Safety Gate alerts: Tunturi was removed (parent Accell Group declared bankrupt Aug 2026) and INGLOT and La Rive were flagged CAUTION.</t>
  </si>
  <si>
    <t xml:space="preserve">Anti-scam check</t>
  </si>
  <si>
    <t xml:space="preserve">Every wholesaler, trader and marketplace was checked against company registers (Companies House, KvK, KRS, ARES, SIREN...), insolvency notices, regulator fines and independent reviews. 25 suppliers failed (liquidation, dissolved, administration, fines, or no evidence the business exists) and were moved to the 'Removed - Failed Check' tab. Every remaining supplier has a 'Scam Check' result: PASS (green), CHECK (yellow - limited public info, verify before paying) or CAUTION (orange - specific risk noted). The Contact First tab now only lists PASS suppliers.</t>
  </si>
  <si>
    <t xml:space="preserve">Quality check</t>
  </si>
  <si>
    <t xml:space="preserve">Every supplier was re-checked: missing phone numbers, emails, addresses and registry IDs were filled in for ~30 suppliers; 3 suppliers with no verifiable contact or registration were removed; websites we could not confirm are now a click-to-search link; and a new 'Contact First' tab lists the best EU suppliers with a direct phone/email, cheapest countries first.</t>
  </si>
  <si>
    <t xml:space="preserve">Round 5: cheapest-country sourcing</t>
  </si>
  <si>
    <t xml:space="preserve">Round 5 targets the EU countries where stock is cheapest to buy - mainly Poland, Czech Republic, Bulgaria, Romania, the Baltics, Portugal and Greece - and their home-grown manufacturers. Most Round 5 suppliers are verified through a government export agency (CzechTrade, Poland's trade.gov.pl, Bulgarian/Lithuanian registries) or a major trade fair, which is the best protection against fake 'wholesalers'. Round 5 rows are shaded green in the Company column.</t>
  </si>
  <si>
    <t xml:space="preserve">Country Price Level column + Best-Value Countries tab</t>
  </si>
  <si>
    <t xml:space="preserve">Each supplier now shows whether its country is Low-cost, Mid or Higher for buying stock. The new Best-Value Countries tab lists, for every niche, the cheapest EU countries to source from, why, and how many suppliers you already have there.</t>
  </si>
  <si>
    <t xml:space="preserve">Round 4: quality-filtered EU brands</t>
  </si>
  <si>
    <t xml:space="preserve">Round 4 added EU-only suppliers that passed a strict quality bar: identifiable company + proof of establishment (trade-fair exhibitor, official registry, years trading or recognised brand) + a usable contact route. Weak / directory-only leads were left out.</t>
  </si>
  <si>
    <t xml:space="preserve">Country Index tab</t>
  </si>
  <si>
    <t xml:space="preserve">Lists every country with supplier counts - click 'Go to' to jump straight to that country's first row.</t>
  </si>
  <si>
    <t xml:space="preserve">Also operates in</t>
  </si>
  <si>
    <t xml:space="preserve">New column showing other countries a supplier covers (the Country column now holds one main country so the grouping works).</t>
  </si>
  <si>
    <t xml:space="preserve">Keeping your tracker notes</t>
  </si>
  <si>
    <t xml:space="preserve">If you already filled in the tracker in the previous file, copy the yellow columns across by matching the Company name - or send me the old file and I'll merge it.</t>
  </si>
  <si>
    <t xml:space="preserve">How to use this workbook</t>
  </si>
  <si>
    <t xml:space="preserve">1. Suppliers</t>
  </si>
  <si>
    <t xml:space="preserve">The master list, grouped by Country A-Z, then Category A-Z, then Priority (5 = best fit for Amazon). Use the filter arrows to filter by Category, Country, Priority or Added.</t>
  </si>
  <si>
    <t xml:space="preserve">0. Top Picks</t>
  </si>
  <si>
    <t xml:space="preserve">START HERE: suppliers of brands with proven Amazon UK demand, grouped by niche, with direct contact details and a link to the full row.</t>
  </si>
  <si>
    <t xml:space="preserve">1a. Low Priority</t>
  </si>
  <si>
    <t xml:space="preserve">Priority 1-2 suppliers kept for reference only - weaker Amazon fit or higher risk. Use only once the main list is worked through.</t>
  </si>
  <si>
    <t xml:space="preserve">1b. Country Index</t>
  </si>
  <si>
    <t xml:space="preserve">Jump to any country's block of suppliers with one click.</t>
  </si>
  <si>
    <t xml:space="preserve">1d. Contact First</t>
  </si>
  <si>
    <t xml:space="preserve">Your shortlist: every priority 4-5 EU supplier with a direct phone/email, cheapest countries first. Start your outreach here.</t>
  </si>
  <si>
    <t xml:space="preserve">1c. Best-Value Countries</t>
  </si>
  <si>
    <t xml:space="preserve">For each niche: the cheapest EU countries to buy from, why, and how many low-cost-country suppliers you already have. Plus anti-scam checks.</t>
  </si>
  <si>
    <t xml:space="preserve">2. Yellow columns</t>
  </si>
  <si>
    <t xml:space="preserve">Your outreach tracker. Status, Method and Account Approved have drop-down lists. 'Suggested Follow-up' fills in automatically (5 working days after Date Contacted) and turns red when overdue.</t>
  </si>
  <si>
    <t xml:space="preserve">3. LinkedIn Outreach</t>
  </si>
  <si>
    <t xml:space="preserve">One-click LinkedIn searches for each company page and its sales / account-manager staff, plus a tracker.</t>
  </si>
  <si>
    <t xml:space="preserve">4. Niche Guide</t>
  </si>
  <si>
    <t xml:space="preserve">Read before contacting suppliers in a new niche - it lists the compliance documents to ask for.</t>
  </si>
  <si>
    <t xml:space="preserve">5. Profit Calculator</t>
  </si>
  <si>
    <t xml:space="preserve">Check every product before ordering. Blue cells are inputs; black cells are formulas.</t>
  </si>
  <si>
    <t xml:space="preserve">6. Templates</t>
  </si>
  <si>
    <t xml:space="preserve">Copy-paste first-contact email, follow-up, LinkedIn notes and invoice / ungating request.</t>
  </si>
  <si>
    <t xml:space="preserve">7. Dashboard</t>
  </si>
  <si>
    <t xml:space="preserve">Live counts by niche, region and outreach status.</t>
  </si>
  <si>
    <t xml:space="preserve">8. Find More Suppliers / Due Diligence</t>
  </si>
  <si>
    <t xml:space="preserve">Directories &amp; trade shows to keep growing the list, and a checklist to vet suppliers before paying.</t>
  </si>
  <si>
    <t xml:space="preserve">Priority score (1-5)</t>
  </si>
  <si>
    <t xml:space="preserve">5</t>
  </si>
  <si>
    <t xml:space="preserve">Established, branded stock, sells to online / Amazon sellers or provides invoices suitable for ungating. Contact first.</t>
  </si>
  <si>
    <t xml:space="preserve">4</t>
  </si>
  <si>
    <t xml:space="preserve">Established and branded, but may have higher MOQs, selective accounts or a narrower range.</t>
  </si>
  <si>
    <t xml:space="preserve">3</t>
  </si>
  <si>
    <t xml:space="preserve">Credible, worth contacting - confirm terms, online-selling policy and invoice details.</t>
  </si>
  <si>
    <t xml:space="preserve">2</t>
  </si>
  <si>
    <t xml:space="preserve">Lower fit (territory-limited, pro-only brands, limited info) or larger-scale target for later.</t>
  </si>
  <si>
    <t xml:space="preserve">1</t>
  </si>
  <si>
    <t xml:space="preserve">Low confidence, known red flag, or not suitable for Amazon - kept so you know to avoid / verify.</t>
  </si>
  <si>
    <t xml:space="preserve">Data confidence</t>
  </si>
  <si>
    <t xml:space="preserve">Official / company website</t>
  </si>
  <si>
    <t xml:space="preserve">Details came from the supplier's own site or an official register (Companies House, KRS, MHRA, LEI).</t>
  </si>
  <si>
    <t xml:space="preserve">Directory / press / trade show</t>
  </si>
  <si>
    <t xml:space="preserve">From trade press, exhibitor lists or business directories - confirm on the company website before relying on them.</t>
  </si>
  <si>
    <t xml:space="preserve">Marketplace / unverified</t>
  </si>
  <si>
    <t xml:space="preserve">Self-published profile only. Verify registration (Companies House / KvK / KRS / VIES VAT) before engaging.</t>
  </si>
  <si>
    <t xml:space="preserve">Blank cells</t>
  </si>
  <si>
    <t xml:space="preserve">Not publicly available. MOQs are usually only shared once a trade account is approved - ask in your first email.</t>
  </si>
  <si>
    <t xml:space="preserve">Key Amazon UK considerations</t>
  </si>
  <si>
    <t xml:space="preserve">Brand / category gating</t>
  </si>
  <si>
    <t xml:space="preserve">Many brands in fragrance, beauty, toys, baby and health need approval. Amazon wants invoices from a real wholesaler/distributor (not a retailer) dated within 180 days, showing supplier name, address, phone, website, your business details and 10+ units.</t>
  </si>
  <si>
    <t xml:space="preserve">EU suppliers after Brexit</t>
  </si>
  <si>
    <t xml:space="preserve">Buying from the EU means import VAT, possible duty and customs paperwork. Ask for DDP (delivered duty paid) quotes or use a freight forwarder, and get an EORI number. Use the Profit Calculator's freight &amp; duty columns.</t>
  </si>
  <si>
    <t xml:space="preserve">UK product compliance</t>
  </si>
  <si>
    <t xml:space="preserve">Cosmetics need a UK Responsible Person + SCPN notification; toys need UKCA/CE marking + EN71; electricals need UK plugs + UKCA/CE. EU-only labelled stock may not be compliant for the UK.</t>
  </si>
  <si>
    <t xml:space="preserve">Online-selling policies</t>
  </si>
  <si>
    <t xml:space="preserve">Some suppliers forbid Amazon resale (see 'Sells to Online/Amazon Sellers?' column). Ask before applying.</t>
  </si>
  <si>
    <t xml:space="preserve">Hazmat</t>
  </si>
  <si>
    <t xml:space="preserve">Perfume, aerosols, lithium batteries (power tools) and gas canisters are dangerous goods on Amazon - ask suppliers for Safety Data Sheets.</t>
  </si>
  <si>
    <t xml:space="preserve">About LinkedIn outreach</t>
  </si>
  <si>
    <t xml:space="preserve">Messages must be sent from your own LinkedIn account. Automation tools break LinkedIn's terms and risk a ban, so this workbook gives you one-click searches + templates to make manual outreach fast. Tip: send ~15-25 connection requests per day, personalise the first line, and follow up after 4-5 working days.</t>
  </si>
  <si>
    <t xml:space="preserve">Top Picks - suppliers of brands that already sell well on Amazon UK</t>
  </si>
  <si>
    <t xml:space="preserve">55 suppliers whose brands are household names with established, well-selling Amazon UK listings - so you can join existing listings instead of building demand. Grouped by Category, best priority first. Demand is our estimate: check each ASIN on Keepa / SellerAmp (sales rank, number of sellers, Amazon on the listing) before ordering, and watch for brand-gated listings.</t>
  </si>
  <si>
    <t xml:space="preserve">Category</t>
  </si>
  <si>
    <t xml:space="preserve">Priority</t>
  </si>
  <si>
    <t xml:space="preserve">Company</t>
  </si>
  <si>
    <t xml:space="preserve">Country</t>
  </si>
  <si>
    <t xml:space="preserve">Supplier Type</t>
  </si>
  <si>
    <t xml:space="preserve">Key Brands / Products</t>
  </si>
  <si>
    <t xml:space="preserve">Amazon Fit Notes</t>
  </si>
  <si>
    <t xml:space="preserve">Phone</t>
  </si>
  <si>
    <t xml:space="preserve">Email</t>
  </si>
  <si>
    <t xml:space="preserve">Website</t>
  </si>
  <si>
    <t xml:space="preserve">Scam Check</t>
  </si>
  <si>
    <t xml:space="preserve">Go to row</t>
  </si>
  <si>
    <t xml:space="preserve">B2B Marketplace</t>
  </si>
  <si>
    <t xml:space="preserve">Qogita</t>
  </si>
  <si>
    <t xml:space="preserve">UK</t>
  </si>
  <si>
    <t xml:space="preserve">B2B wholesale marketplace</t>
  </si>
  <si>
    <t xml:space="preserve">10k+ brands, 500k+ products from 500+ vetted suppliers - health, beauty, fragrance, household</t>
  </si>
  <si>
    <t xml:space="preserve">Provides commercial invoices that can support ungating - built for Amazon sellers</t>
  </si>
  <si>
    <t xml:space="preserve">via website</t>
  </si>
  <si>
    <t xml:space="preserve">https://www.qogita.com</t>
  </si>
  <si>
    <t xml:space="preserve">PASS - well-known company: VC-backed European B2B wholesale platform.</t>
  </si>
  <si>
    <t xml:space="preserve">Baby Products</t>
  </si>
  <si>
    <t xml:space="preserve">Babybase Ltd</t>
  </si>
  <si>
    <t xml:space="preserve">Wholesaler / UK distributor</t>
  </si>
  <si>
    <t xml:space="preserve">Tommee Tippee, MAM, Shnuggle, Munchkin, Matchstick Monkey, My Buggy Buddy</t>
  </si>
  <si>
    <t xml:space="preserve">Multi-brand, low MOQ - strong fit; ask about marketplace policy</t>
  </si>
  <si>
    <t xml:space="preserve">+44 1886 887758</t>
  </si>
  <si>
    <t xml:space="preserve">sales@babybase.co.uk</t>
  </si>
  <si>
    <t xml:space="preserve">https://www.babybase.co.uk</t>
  </si>
  <si>
    <t xml:space="preserve">PASS (checked) - Companies House 01475315 active since 1980.</t>
  </si>
  <si>
    <t xml:space="preserve">Béaba Group (incl. Childhome)</t>
  </si>
  <si>
    <t xml:space="preserve">France</t>
  </si>
  <si>
    <t xml:space="preserve">Brand owner / distributor</t>
  </si>
  <si>
    <t xml:space="preserve">Béaba Babycook, feeding, hygiene, sleep; Childhome; distributes iCandy (FR/Benelux)</t>
  </si>
  <si>
    <t xml:space="preserve">Babycook is a strong Amazon seller; also on Qogita</t>
  </si>
  <si>
    <t xml:space="preserve">https://www.beaba.com</t>
  </si>
  <si>
    <t xml:space="preserve">PASS - established brand / group</t>
  </si>
  <si>
    <t xml:space="preserve">MAPA GmbH (NUK)</t>
  </si>
  <si>
    <t xml:space="preserve">Germany</t>
  </si>
  <si>
    <t xml:space="preserve">Brand owner / manufacturer</t>
  </si>
  <si>
    <t xml:space="preserve">NUK bottles &amp; dummies, Fresh Fruit feeders; also Billy Boy, household gloves</t>
  </si>
  <si>
    <t xml:space="preserve">NUK is a top Amazon baby brand</t>
  </si>
  <si>
    <t xml:space="preserve">https://www.mapa.de</t>
  </si>
  <si>
    <t xml:space="preserve">PASS - company register entry</t>
  </si>
  <si>
    <t xml:space="preserve">MAM Babyartikel GmbH</t>
  </si>
  <si>
    <t xml:space="preserve">Brand distributor (MAM Baby AG subsidiary)</t>
  </si>
  <si>
    <t xml:space="preserve">MAM dummies, bottles, teethers, feeding</t>
  </si>
  <si>
    <t xml:space="preserve">Official brand source = best possible invoices</t>
  </si>
  <si>
    <t xml:space="preserve">+49 4263 9317 0</t>
  </si>
  <si>
    <t xml:space="preserve">https://www.mambaby.com</t>
  </si>
  <si>
    <t xml:space="preserve">Artsana S.p.A. (Chicco, Boppy)</t>
  </si>
  <si>
    <t xml:space="preserve">Italy</t>
  </si>
  <si>
    <t xml:space="preserve">Chicco baby feeding, toys, nursery; Boppy; Control (health)</t>
  </si>
  <si>
    <t xml:space="preserve">Buy UK stock via RKW</t>
  </si>
  <si>
    <t xml:space="preserve">+39 031 382790 (verify)</t>
  </si>
  <si>
    <t xml:space="preserve">https://www.artsana.com</t>
  </si>
  <si>
    <t xml:space="preserve">Beauty</t>
  </si>
  <si>
    <t xml:space="preserve">cosnova GmbH (essence, CATRICE)</t>
  </si>
  <si>
    <t xml:space="preserve">Brand owner (direct + local distributors)</t>
  </si>
  <si>
    <t xml:space="preserve">essence, CATRICE, Physicians Formula (EU)</t>
  </si>
  <si>
    <t xml:space="preserve">essence &amp; CATRICE are top Amazon beauty sellers - may route you to UK distributor</t>
  </si>
  <si>
    <t xml:space="preserve">+49 6196 76156-0</t>
  </si>
  <si>
    <t xml:space="preserve">service@cosnova.eu</t>
  </si>
  <si>
    <t xml:space="preserve">https://www.cosnova.com</t>
  </si>
  <si>
    <t xml:space="preserve">PASS - well-known company: Owner of essence &amp; CATRICE - one of Europe's largest make-up brands.</t>
  </si>
  <si>
    <t xml:space="preserve">Weleda AG (German branch)</t>
  </si>
  <si>
    <t xml:space="preserve">Weleda natural skincare, baby care (Calendula), Skin Food</t>
  </si>
  <si>
    <t xml:space="preserve">Skin Food is a strong Amazon seller</t>
  </si>
  <si>
    <t xml:space="preserve">dialog@weleda.de</t>
  </si>
  <si>
    <t xml:space="preserve">https://www.weleda.de</t>
  </si>
  <si>
    <t xml:space="preserve">QudoBeauty</t>
  </si>
  <si>
    <t xml:space="preserve">Romania</t>
  </si>
  <si>
    <t xml:space="preserve">K-beauty B2B wholesaler</t>
  </si>
  <si>
    <t xml:space="preserve">COSRX, Beauty of Joseon + other Korean skincare (CPNP-registered)</t>
  </si>
  <si>
    <t xml:space="preserve">K-beauty (COSRX, Beauty of Joseon) is a top Amazon UK beauty seller - check brand gating</t>
  </si>
  <si>
    <t xml:space="preserve">+40 742 372 490</t>
  </si>
  <si>
    <t xml:space="preserve">emy@qudobeauty.com</t>
  </si>
  <si>
    <t xml:space="preserve">https://qudobeauty.com</t>
  </si>
  <si>
    <t xml:space="preserve">CAUTION - Launched 2025; legal entity not confirmed - get CUI/VAT number before ordering.</t>
  </si>
  <si>
    <t xml:space="preserve">DIY &amp; Tools</t>
  </si>
  <si>
    <t xml:space="preserve">Toolbank Ltd</t>
  </si>
  <si>
    <t xml:space="preserve">Trade-only wholesale distributor</t>
  </si>
  <si>
    <t xml:space="preserve">DeWalt, Milwaukee, HiKoki, Metabo, Black+Decker, Olympia + hand tools, fixings, consumables</t>
  </si>
  <si>
    <t xml:space="preserve">Ask about online/marketplace reseller policy - branded power tools need care on price (MAP)</t>
  </si>
  <si>
    <t xml:space="preserve">+44 344 463 6001</t>
  </si>
  <si>
    <t xml:space="preserve">https://www.toolbank.com</t>
  </si>
  <si>
    <t xml:space="preserve">Fiskars Group (Fiskars Finland Oy Ab)</t>
  </si>
  <si>
    <t xml:space="preserve">Finland</t>
  </si>
  <si>
    <t xml:space="preserve">Brand owner (listed)</t>
  </si>
  <si>
    <t xml:space="preserve">Fiskars garden tools, axes, scissors; also Gerber, Iittala (home)</t>
  </si>
  <si>
    <t xml:space="preserve">Fiskars is a top Amazon garden brand</t>
  </si>
  <si>
    <t xml:space="preserve">https://www.fiskarsgroup.com</t>
  </si>
  <si>
    <t xml:space="preserve">PASS - listed company</t>
  </si>
  <si>
    <t xml:space="preserve">Einhell Germany AG</t>
  </si>
  <si>
    <t xml:space="preserve">Einhell Power X-Change cordless tools, garden tools, workshop</t>
  </si>
  <si>
    <t xml:space="preserve">Huge Amazon brand; lithium batteries = hazmat docs</t>
  </si>
  <si>
    <t xml:space="preserve">via website contact form</t>
  </si>
  <si>
    <t xml:space="preserve">https://www.einhell.com/einhell-worldwide/</t>
  </si>
  <si>
    <t xml:space="preserve">fischerwerke GmbH &amp; Co. KG</t>
  </si>
  <si>
    <t xml:space="preserve">fischer wall plugs, anchors &amp; fixings; fischertechnik</t>
  </si>
  <si>
    <t xml:space="preserve">Fixings kits sell well</t>
  </si>
  <si>
    <t xml:space="preserve">+49 7443 120</t>
  </si>
  <si>
    <t xml:space="preserve">https://www.fischer.de</t>
  </si>
  <si>
    <t xml:space="preserve">PASS - well-known company: fischer - world-leading German fixings manufacturer (120+ countries).</t>
  </si>
  <si>
    <t xml:space="preserve">GARDENA Deutschland GmbH (Husqvarna Group)</t>
  </si>
  <si>
    <t xml:space="preserve">Brand owner</t>
  </si>
  <si>
    <t xml:space="preserve">GARDENA hoses, watering, garden tools, robotic mowers</t>
  </si>
  <si>
    <t xml:space="preserve">Strong Amazon garden brand</t>
  </si>
  <si>
    <t xml:space="preserve">+49 731 490-0</t>
  </si>
  <si>
    <t xml:space="preserve">service@gardena.com</t>
  </si>
  <si>
    <t xml:space="preserve">https://www.gardena.com</t>
  </si>
  <si>
    <t xml:space="preserve">KNIPEX-Werk C. Gustav Putsch KG</t>
  </si>
  <si>
    <t xml:space="preserve">KNIPEX pliers, Cobra, wire strippers</t>
  </si>
  <si>
    <t xml:space="preserve">KNIPEX Cobra pliers are top sellers; brand may be gated</t>
  </si>
  <si>
    <t xml:space="preserve">+49 202 4794-0</t>
  </si>
  <si>
    <t xml:space="preserve">info@knipex.de</t>
  </si>
  <si>
    <t xml:space="preserve">https://www.knipex.com</t>
  </si>
  <si>
    <t xml:space="preserve">PASS - major trade-fair exhibitor</t>
  </si>
  <si>
    <t xml:space="preserve">Wera Werkzeuge GmbH</t>
  </si>
  <si>
    <t xml:space="preserve">Wera screwdrivers, bits, ratchets, Kraftform</t>
  </si>
  <si>
    <t xml:space="preserve">Wera sells very well on Amazon UK</t>
  </si>
  <si>
    <t xml:space="preserve">+49 202 4045-322</t>
  </si>
  <si>
    <t xml:space="preserve">info@wera.de</t>
  </si>
  <si>
    <t xml:space="preserve">https://www.wera.de</t>
  </si>
  <si>
    <t xml:space="preserve">Wiha Werkzeuge GmbH</t>
  </si>
  <si>
    <t xml:space="preserve">Wiha screwdrivers, VDE insulated tools, bits</t>
  </si>
  <si>
    <t xml:space="preserve">+49 7722 959-0</t>
  </si>
  <si>
    <t xml:space="preserve">info.de@wiha.com</t>
  </si>
  <si>
    <t xml:space="preserve">https://www.wiha.com</t>
  </si>
  <si>
    <t xml:space="preserve">PASS - well-known company: Major German hand-tool manufacturer.</t>
  </si>
  <si>
    <t xml:space="preserve">Draper Tools</t>
  </si>
  <si>
    <t xml:space="preserve">Brand owner / distributor (stockist programme)</t>
  </si>
  <si>
    <t xml:space="preserve">Draper, Draper Expert, Draper Tools + 1000s of tool &amp; garage lines</t>
  </si>
  <si>
    <t xml:space="preserve">Brand-direct invoices; check stockist terms on online pricing</t>
  </si>
  <si>
    <t xml:space="preserve">+44 23 8049 4333 (orders)</t>
  </si>
  <si>
    <t xml:space="preserve">orders@drapertools.com</t>
  </si>
  <si>
    <t xml:space="preserve">https://www.drapertools.com</t>
  </si>
  <si>
    <t xml:space="preserve">Campbell Miller Tools</t>
  </si>
  <si>
    <t xml:space="preserve">Bosch distributor</t>
  </si>
  <si>
    <t xml:space="preserve">Bosch (UK's largest Bosch distributor) + trade tools</t>
  </si>
  <si>
    <t xml:space="preserve">https://bosch-pt.com/uk_bssdealer/uk/en/start/bss_acct/dealers_list/campbell_miller.htm</t>
  </si>
  <si>
    <t xml:space="preserve">PASS (checked) - Campbell Miller (Tools) Ltd SC034278, active since 1959.</t>
  </si>
  <si>
    <t xml:space="preserve">Fragrance</t>
  </si>
  <si>
    <t xml:space="preserve">Knights Fragrances</t>
  </si>
  <si>
    <t xml:space="preserve">Wholesaler / Distributor</t>
  </si>
  <si>
    <t xml:space="preserve">Prestige &amp; mass-market branded fragrances</t>
  </si>
  <si>
    <t xml:space="preserve">Supplies online retailers - good fit</t>
  </si>
  <si>
    <t xml:space="preserve">https://www.knights-fragrances.co.uk</t>
  </si>
  <si>
    <t xml:space="preserve">CAUTION - Directory info only (since 1984, 11-50 staff) - confirm Companies House number.</t>
  </si>
  <si>
    <t xml:space="preserve">BJUTIP a.s.</t>
  </si>
  <si>
    <t xml:space="preserve">Czech Republic</t>
  </si>
  <si>
    <t xml:space="preserve">Distributor</t>
  </si>
  <si>
    <t xml:space="preserve">Armaf, Afnan, Lattafa, Paris Corner, French Avenue, Khadlaj, Maison Asrar + others</t>
  </si>
  <si>
    <t xml:space="preserve">Has an e-commerce seller programme - Arabian brands popular &amp; often easier to list on Amazon</t>
  </si>
  <si>
    <t xml:space="preserve">+420 724 076 367</t>
  </si>
  <si>
    <t xml:space="preserve">sales@bjutip.com (wholesale); info@bjutip.com</t>
  </si>
  <si>
    <t xml:space="preserve">https://www.bjutip.com</t>
  </si>
  <si>
    <t xml:space="preserve">CAUTION - Registered (IČO 10865373) but young (2021) and sells heavily-counterfeited Arabian brands - ask for brand authorisation letters.</t>
  </si>
  <si>
    <t xml:space="preserve">Shaneel Group (Shaneel Enterprises Ltd)</t>
  </si>
  <si>
    <t xml:space="preserve">Wholesaler / Distributor / Brand owner</t>
  </si>
  <si>
    <t xml:space="preserve">Branded fragrance supply; group incl. Mayfair Perfumes, Designer Parfums, Worth Paris, DDF Skincare</t>
  </si>
  <si>
    <t xml:space="preserve">Owns some brands - ask about brand authorisation for those</t>
  </si>
  <si>
    <t xml:space="preserve">https://www.shaneel.com/shaneel-enterprises</t>
  </si>
  <si>
    <t xml:space="preserve">PASS (checked) - Companies House 02171783 active since 1987 (perfume &amp; cosmetics wholesale).</t>
  </si>
  <si>
    <t xml:space="preserve">Emporium Handels &amp; Vertriebs GmbH (B&amp;S Group)</t>
  </si>
  <si>
    <t xml:space="preserve">Wholesaler</t>
  </si>
  <si>
    <t xml:space="preserve">8,000+ perfume &amp; cosmetics products</t>
  </si>
  <si>
    <t xml:space="preserve">MisterM Plus Sp. z o.o. Sp.k.</t>
  </si>
  <si>
    <t xml:space="preserve">Poland</t>
  </si>
  <si>
    <t xml:space="preserve">Wholesaler / Exporter</t>
  </si>
  <si>
    <t xml:space="preserve">Coty, P&amp;G, Reckitt Benckiser - perfumes, cosmetics, hygiene</t>
  </si>
  <si>
    <t xml:space="preserve">FMCG brands (P&amp;G/Coty) - strong Amazon sellers</t>
  </si>
  <si>
    <t xml:space="preserve">PASS (checked) - KRS-registered; no insolvency or complaints found.</t>
  </si>
  <si>
    <t xml:space="preserve">General Wholesale / FMCG</t>
  </si>
  <si>
    <t xml:space="preserve">West Coast Supply Group</t>
  </si>
  <si>
    <t xml:space="preserve">Netherlands</t>
  </si>
  <si>
    <t xml:space="preserve">A-brand FMCG distributor</t>
  </si>
  <si>
    <t xml:space="preserve">A-brands: personal care, beauty, home care, food, drinks, medical, electronics</t>
  </si>
  <si>
    <t xml:space="preserve">A-brand FMCG - strong Amazon sellers</t>
  </si>
  <si>
    <t xml:space="preserve">sales@westcoastsupplygroup.com</t>
  </si>
  <si>
    <t xml:space="preserve">https://www.westcoastsupplygroup.com</t>
  </si>
  <si>
    <t xml:space="preserve">PASS (checked) - 40+ years; ~200 staff; active in 75 countries.</t>
  </si>
  <si>
    <t xml:space="preserve">Booker Wholesale (incl. Makro UK)</t>
  </si>
  <si>
    <t xml:space="preserve">Cash &amp; carry / delivered wholesale</t>
  </si>
  <si>
    <t xml:space="preserve">Grocery, household, health &amp; beauty, confectionery, pet</t>
  </si>
  <si>
    <t xml:space="preserve">Fine for invoices; margins tight - use promo deals</t>
  </si>
  <si>
    <t xml:space="preserve">https://www.booker.co.uk</t>
  </si>
  <si>
    <t xml:space="preserve">Costco UK (Business Membership)</t>
  </si>
  <si>
    <t xml:space="preserve">Warehouse club</t>
  </si>
  <si>
    <t xml:space="preserve">Grocery, household, health &amp; beauty, toys, electronics</t>
  </si>
  <si>
    <t xml:space="preserve">Business membership allows resale; receipts show Costco details</t>
  </si>
  <si>
    <t xml:space="preserve">+44 1923 830477 (Central Membership)</t>
  </si>
  <si>
    <t xml:space="preserve">https://www.costco.co.uk</t>
  </si>
  <si>
    <t xml:space="preserve">PASS - well-known company: Costco - global warehouse club.</t>
  </si>
  <si>
    <t xml:space="preserve">Health &amp; Personal Care</t>
  </si>
  <si>
    <t xml:space="preserve">Harrisons Direct (Albert Harrison &amp; Co Ltd)</t>
  </si>
  <si>
    <t xml:space="preserve">Health &amp; beauty, GSL medicines (pain relief, hay fever), toiletries, household</t>
  </si>
  <si>
    <t xml:space="preserve">Branded FMCG lines - good for wholesale arbitrage; note Amazon rules on medicines</t>
  </si>
  <si>
    <t xml:space="preserve">+44 1254 306840</t>
  </si>
  <si>
    <t xml:space="preserve">https://www.harrisonsdirect.co.uk</t>
  </si>
  <si>
    <t xml:space="preserve">PASS (checked) - MHRA wholesale authorisation UK WDA(H) 2530; trading since 1919.</t>
  </si>
  <si>
    <t xml:space="preserve">Beurer GmbH (Beurer UK Ltd)</t>
  </si>
  <si>
    <t xml:space="preserve">Brand owner with UK subsidiary</t>
  </si>
  <si>
    <t xml:space="preserve">Beurer BP monitors, thermometers, massagers, scales, TENS, beauty devices</t>
  </si>
  <si>
    <t xml:space="preserve">Huge Amazon health-device brand; check UK account terms</t>
  </si>
  <si>
    <t xml:space="preserve">+49 731 3989-0</t>
  </si>
  <si>
    <t xml:space="preserve">https://www.beurer.com/uk/facts/</t>
  </si>
  <si>
    <t xml:space="preserve">TePe Munhygienprodukter AB</t>
  </si>
  <si>
    <t xml:space="preserve">Sweden</t>
  </si>
  <si>
    <t xml:space="preserve">TePe interdental brushes, toothbrushes, oral care</t>
  </si>
  <si>
    <t xml:space="preserve">Interdental brushes are strong repeat sellers</t>
  </si>
  <si>
    <t xml:space="preserve">+46 40 670 11 00</t>
  </si>
  <si>
    <t xml:space="preserve">info@tepe.com</t>
  </si>
  <si>
    <t xml:space="preserve">https://tepe.com/global/contact</t>
  </si>
  <si>
    <t xml:space="preserve">MEDISANA AG</t>
  </si>
  <si>
    <t xml:space="preserve">Medisana BP monitors, inhalers, massagers, scales, heated blankets</t>
  </si>
  <si>
    <t xml:space="preserve">Also on Qogita (low MOV)</t>
  </si>
  <si>
    <t xml:space="preserve">+49 2131 3668-0</t>
  </si>
  <si>
    <t xml:space="preserve">info@medisana.de</t>
  </si>
  <si>
    <t xml:space="preserve">https://www.medisana.de</t>
  </si>
  <si>
    <t xml:space="preserve">Home &amp; Kitchen</t>
  </si>
  <si>
    <t xml:space="preserve">RKW Ltd (Sutton Venture Group)</t>
  </si>
  <si>
    <t xml:space="preserve">Tower, Swan, Goblin, Redring, Wade, Royal Victoria, Burco; exclusive Smeg SDA distributor</t>
  </si>
  <si>
    <t xml:space="preserve">Tower &amp; Swan are big Amazon UK sellers - brand-direct invoices</t>
  </si>
  <si>
    <t xml:space="preserve">+44 333 220 6070</t>
  </si>
  <si>
    <t xml:space="preserve">sales@rkwltd.com</t>
  </si>
  <si>
    <t xml:space="preserve">https://www.rkwltd.com</t>
  </si>
  <si>
    <t xml:space="preserve">Bialetti Industrie S.p.A.</t>
  </si>
  <si>
    <t xml:space="preserve">Bialetti moka pots &amp; coffee, Rondine &amp; Aeternum cookware, Girmi appliances</t>
  </si>
  <si>
    <t xml:space="preserve">Moka pots are evergreen Amazon sellers</t>
  </si>
  <si>
    <t xml:space="preserve">+39 030 7720011</t>
  </si>
  <si>
    <t xml:space="preserve">https://www.bialetti.it</t>
  </si>
  <si>
    <t xml:space="preserve">EPE International Ltd</t>
  </si>
  <si>
    <t xml:space="preserve">Distributor (housewares &amp; SDA)</t>
  </si>
  <si>
    <t xml:space="preserve">Kenwood, De'Longhi, Kärcher, Philips, Braun (food prep/laundry), Salter, Tefal/Jamie Oliver cookware</t>
  </si>
  <si>
    <t xml:space="preserve">https://www.epeinternational.com</t>
  </si>
  <si>
    <t xml:space="preserve">PASS (checked) - Companies House 04897647; 20+ years; BHETA &amp; Bira member.</t>
  </si>
  <si>
    <t xml:space="preserve">Leifheit AG</t>
  </si>
  <si>
    <t xml:space="preserve">Brand owner (listed company)</t>
  </si>
  <si>
    <t xml:space="preserve">Leifheit, Soehnle - cleaning, laundry, kitchen, scales</t>
  </si>
  <si>
    <t xml:space="preserve">Brand-direct; very popular on Amazon (may have MAP rules)</t>
  </si>
  <si>
    <t xml:space="preserve">https://www.leifheit.com</t>
  </si>
  <si>
    <t xml:space="preserve">Wolfsohn</t>
  </si>
  <si>
    <t xml:space="preserve">Branded electronics &amp; household wholesaler</t>
  </si>
  <si>
    <t xml:space="preserve">6,000+ SKUs in stock: Braun, Philips, Samsung, Xiaomi, QCY, PoundMax</t>
  </si>
  <si>
    <t xml:space="preserve">https://www.ifa-berlin.com/exhibitors/wolfsohn</t>
  </si>
  <si>
    <t xml:space="preserve">PASS (checked) - IFA Berlin exhibitor; 6,000+ branded SKUs in stock.</t>
  </si>
  <si>
    <t xml:space="preserve">Keter Luxembourg SARL (Curver)</t>
  </si>
  <si>
    <t xml:space="preserve">Luxembourg</t>
  </si>
  <si>
    <t xml:space="preserve">Curver storage boxes &amp; baskets, Keter</t>
  </si>
  <si>
    <t xml:space="preserve">Storage boxes sell well but are bulky - check FBA fees</t>
  </si>
  <si>
    <t xml:space="preserve">+352 52 47 17 773</t>
  </si>
  <si>
    <t xml:space="preserve">https://www.curver.com</t>
  </si>
  <si>
    <t xml:space="preserve">Brabantia Export BV</t>
  </si>
  <si>
    <t xml:space="preserve">Brand owner - export desk</t>
  </si>
  <si>
    <t xml:space="preserve">Brabantia bins, laundry, kitchen &amp; bathroom</t>
  </si>
  <si>
    <t xml:space="preserve">Brand-direct; check online pricing policy</t>
  </si>
  <si>
    <t xml:space="preserve">+31 40 20 72 318</t>
  </si>
  <si>
    <t xml:space="preserve">https://www.brabantia.com/uk/offices</t>
  </si>
  <si>
    <t xml:space="preserve">PASS - well-known company: Brabantia's official export desk.</t>
  </si>
  <si>
    <t xml:space="preserve">Bluestem Group</t>
  </si>
  <si>
    <t xml:space="preserve">Exclusive distribution partner</t>
  </si>
  <si>
    <t xml:space="preserve">De'Longhi, Kenwood, Braun, Ariete</t>
  </si>
  <si>
    <t xml:space="preserve">+44 1473 271272</t>
  </si>
  <si>
    <t xml:space="preserve">sales@bluestemgroup.co.uk</t>
  </si>
  <si>
    <t xml:space="preserve">PASS (checked) - Owner of Igenix, Statesman &amp; Ewbank brands (Ipswich, since 1988).</t>
  </si>
  <si>
    <t xml:space="preserve">Pet Supplies</t>
  </si>
  <si>
    <t xml:space="preserve">TRIXIE Heimtierbedarf (incl. Trixie UK Pet Product Ltd)</t>
  </si>
  <si>
    <t xml:space="preserve">Brand owner selling direct to retailers</t>
  </si>
  <si>
    <t xml:space="preserve">TRIXIE - 6,000+ pet accessories, toys, beds, treats; exports to 80+ countries</t>
  </si>
  <si>
    <t xml:space="preserve">Brand-direct invoices; very popular Amazon brand</t>
  </si>
  <si>
    <t xml:space="preserve">+44 20 7154 2940 (UK - verify)</t>
  </si>
  <si>
    <t xml:space="preserve">sales@trixie.de</t>
  </si>
  <si>
    <t xml:space="preserve">https://www.trixie.de</t>
  </si>
  <si>
    <t xml:space="preserve">Beaphar B.V.</t>
  </si>
  <si>
    <t xml:space="preserve">Beaphar pet health &amp; care (flea, worming, grooming, treats) - 600+ products</t>
  </si>
  <si>
    <t xml:space="preserve">Pet health products may need extra compliance (vet medicines are restricted)</t>
  </si>
  <si>
    <t xml:space="preserve">+31 572 348834 (verify)</t>
  </si>
  <si>
    <t xml:space="preserve">https://www.beaphar.com</t>
  </si>
  <si>
    <t xml:space="preserve">Pedigree Wholesale</t>
  </si>
  <si>
    <t xml:space="preserve">Pet wholesaler</t>
  </si>
  <si>
    <t xml:space="preserve">KONG, Chuckit!, James Wellbeloved, Forthglade, Nutriment, Carnilove - 10,000+ products</t>
  </si>
  <si>
    <t xml:space="preserve">Pet supplies is a top Amazon UK category</t>
  </si>
  <si>
    <t xml:space="preserve">+44 115 982 3900</t>
  </si>
  <si>
    <t xml:space="preserve">sales@petproducts.co.uk</t>
  </si>
  <si>
    <t xml:space="preserve">https://www.petproducts.co.uk</t>
  </si>
  <si>
    <t xml:space="preserve">PASS (checked) - 50+ years; Companies House 01047681 active.</t>
  </si>
  <si>
    <t xml:space="preserve">Sports &amp; Outdoors</t>
  </si>
  <si>
    <t xml:space="preserve">Oase Outdoors ApS (Outwell, Easy Camp, Robens)</t>
  </si>
  <si>
    <t xml:space="preserve">Denmark</t>
  </si>
  <si>
    <t xml:space="preserve">Outwell, Easy Camp, Robens tents, camping furniture &amp; equipment</t>
  </si>
  <si>
    <t xml:space="preserve">Popular camping brands on Amazon UK</t>
  </si>
  <si>
    <t xml:space="preserve">https://www.oase-outdoors.dk</t>
  </si>
  <si>
    <t xml:space="preserve">Stationery &amp; Office</t>
  </si>
  <si>
    <t xml:space="preserve">edding International GmbH</t>
  </si>
  <si>
    <t xml:space="preserve">edding markers, paint pens, highlighters, nail varnish</t>
  </si>
  <si>
    <t xml:space="preserve">Strong Amazon brand</t>
  </si>
  <si>
    <t xml:space="preserve">+49 4102 808-0</t>
  </si>
  <si>
    <t xml:space="preserve">info@edding.de</t>
  </si>
  <si>
    <t xml:space="preserve">https://www.edding.com/en-uk/</t>
  </si>
  <si>
    <t xml:space="preserve">STAEDTLER Mars GmbH &amp; Co. KG</t>
  </si>
  <si>
    <t xml:space="preserve">STAEDTLER pencils, markers, erasers, art &amp; drawing supplies</t>
  </si>
  <si>
    <t xml:space="preserve">Evergreen Amazon stationery brand</t>
  </si>
  <si>
    <t xml:space="preserve">+49 911 9365-0</t>
  </si>
  <si>
    <t xml:space="preserve">info@staedtler.com</t>
  </si>
  <si>
    <t xml:space="preserve">https://www.staedtler.com/intl/en/company</t>
  </si>
  <si>
    <t xml:space="preserve">PASS - well-known company: World-famous German stationery manufacturer.</t>
  </si>
  <si>
    <t xml:space="preserve">F.I.L.A. S.p.A. (Giotto, Lyra, DOMS, Canson, Daler-Rowney)</t>
  </si>
  <si>
    <t xml:space="preserve">Brand owner / manufacturer (listed)</t>
  </si>
  <si>
    <t xml:space="preserve">Giotto, Tratto, Lyra, Canson, Daler-Rowney, Maimeri, DOMS</t>
  </si>
  <si>
    <t xml:space="preserve">Art supplies are strong on Amazon</t>
  </si>
  <si>
    <t xml:space="preserve">https://www.fila.it</t>
  </si>
  <si>
    <t xml:space="preserve">ALSO Nederland</t>
  </si>
  <si>
    <t xml:space="preserve">Distributor (resellers &amp; webshops only)</t>
  </si>
  <si>
    <t xml:space="preserve">Original printing supplies &amp; office brands (largest in Europe for original print supplies)</t>
  </si>
  <si>
    <t xml:space="preserve">Supplies webshops</t>
  </si>
  <si>
    <t xml:space="preserve">https://www.also.com/ec/cms5/en_2420/2420/index.jsp</t>
  </si>
  <si>
    <t xml:space="preserve">PASS - well-known company: Part of ALSO Holding (SIX Swiss Exchange listed IT distributor).</t>
  </si>
  <si>
    <t xml:space="preserve">Toys &amp; Games</t>
  </si>
  <si>
    <t xml:space="preserve">Franckh-Kosmos Verlags-GmbH &amp; Co. KG (KOSMOS)</t>
  </si>
  <si>
    <t xml:space="preserve">Publisher / manufacturer</t>
  </si>
  <si>
    <t xml:space="preserve">CATAN, EXIT games, Ubongo, KOSMOS science kits</t>
  </si>
  <si>
    <t xml:space="preserve">CATAN &amp; EXIT are top sellers - brand-direct via UK arm</t>
  </si>
  <si>
    <t xml:space="preserve">+49 711 21910</t>
  </si>
  <si>
    <t xml:space="preserve">info@kosmos.de</t>
  </si>
  <si>
    <t xml:space="preserve">https://www.kosmos.de</t>
  </si>
  <si>
    <t xml:space="preserve">A.B. Gee of Ripley Ltd</t>
  </si>
  <si>
    <t xml:space="preserve">Official distributor / wholesaler</t>
  </si>
  <si>
    <t xml:space="preserve">Hasbro, Mattel, Funko, MGA, Zapf + more</t>
  </si>
  <si>
    <t xml:space="preserve">Supplies online stores - excellent invoices for toy ungating</t>
  </si>
  <si>
    <t xml:space="preserve">+44 1773 570444</t>
  </si>
  <si>
    <t xml:space="preserve">sales@abgee.co.uk</t>
  </si>
  <si>
    <t xml:space="preserve">https://www.abgee.co.uk</t>
  </si>
  <si>
    <t xml:space="preserve">NDA Toys</t>
  </si>
  <si>
    <t xml:space="preserve">Online wholesale distributor</t>
  </si>
  <si>
    <t xml:space="preserve">Hasbro, Mattel, Funko, Playmobil</t>
  </si>
  <si>
    <t xml:space="preserve">Actively serves online sellers - very good fit</t>
  </si>
  <si>
    <t xml:space="preserve">https://www.nda-toys.com</t>
  </si>
  <si>
    <t xml:space="preserve">PASS (checked) - London Toy Fair exhibitor; official Hasbro / Mattel / Funko distributor.</t>
  </si>
  <si>
    <t xml:space="preserve">Wind Designs Ltd</t>
  </si>
  <si>
    <t xml:space="preserve">National distributor</t>
  </si>
  <si>
    <t xml:space="preserve">Hasbro, Mattel, Basic Fun!, Bandai, John Adams, PlayMonster, Moose; exclusive for Trends UK</t>
  </si>
  <si>
    <t xml:space="preserve">+44 1353 724140</t>
  </si>
  <si>
    <t xml:space="preserve">https://www.wind-designs.com</t>
  </si>
  <si>
    <t xml:space="preserve">PASS (checked) - Companies House 04371524 active; national distributor for Hasbro &amp; Mattel.</t>
  </si>
  <si>
    <t xml:space="preserve">Carrera Revell Europe GmbH</t>
  </si>
  <si>
    <t xml:space="preserve">Manufacturer &amp; distributor</t>
  </si>
  <si>
    <t xml:space="preserve">Carrera slot cars &amp; RC, Revell model kits &amp; 3D puzzles; distributes Rollplay</t>
  </si>
  <si>
    <t xml:space="preserve">Model kits &amp; RC sell strongly (RC batteries = hazmat)</t>
  </si>
  <si>
    <t xml:space="preserve">https://www.carrera-revell-toys.com</t>
  </si>
  <si>
    <t xml:space="preserve">PASS - well-known company: Owner of Carrera &amp; Revell - major toy group.</t>
  </si>
  <si>
    <t xml:space="preserve">Simba Dickie Group GmbH (Simba, Dickie, Smoby, Majorette, Noris, Schuco)</t>
  </si>
  <si>
    <t xml:space="preserve">Simba, Dickie Toys, Smoby, Majorette, BIG, Noris games, Eichhorn, Schuco, Jada</t>
  </si>
  <si>
    <t xml:space="preserve">Major toy group - brand-direct invoices</t>
  </si>
  <si>
    <t xml:space="preserve">+49 911 9765-01</t>
  </si>
  <si>
    <t xml:space="preserve">https://www.simba-dickie-group.com</t>
  </si>
  <si>
    <t xml:space="preserve">PASS - well-known company: One of Europe's largest toy groups.</t>
  </si>
  <si>
    <t xml:space="preserve">Clementoni S.p.A.</t>
  </si>
  <si>
    <t xml:space="preserve">Clementoni puzzles, science &amp; educational toys, Sapientino</t>
  </si>
  <si>
    <t xml:space="preserve">Brand-direct; science kits &amp; puzzles sell well</t>
  </si>
  <si>
    <t xml:space="preserve">https://www.clementoni.com</t>
  </si>
  <si>
    <t xml:space="preserve">BRIO AB (Ravensburger group)</t>
  </si>
  <si>
    <t xml:space="preserve">BRIO wooden railway, infant &amp; toddler toys</t>
  </si>
  <si>
    <t xml:space="preserve">Brand-direct invoices; may be brand-gated</t>
  </si>
  <si>
    <t xml:space="preserve">https://www.brio.eu</t>
  </si>
  <si>
    <t xml:space="preserve">ID</t>
  </si>
  <si>
    <t xml:space="preserve">Priority (1-5)</t>
  </si>
  <si>
    <t xml:space="preserve">Amazon UK Demand</t>
  </si>
  <si>
    <t xml:space="preserve">City / Region</t>
  </si>
  <si>
    <t xml:space="preserve">Region</t>
  </si>
  <si>
    <t xml:space="preserve">Country Price Level</t>
  </si>
  <si>
    <t xml:space="preserve">Address</t>
  </si>
  <si>
    <t xml:space="preserve">Segment</t>
  </si>
  <si>
    <t xml:space="preserve">MOQ / Min. Order</t>
  </si>
  <si>
    <t xml:space="preserve">Account Requirements</t>
  </si>
  <si>
    <t xml:space="preserve">Ships to UK?</t>
  </si>
  <si>
    <t xml:space="preserve">Sells to Online/Amazon Sellers?</t>
  </si>
  <si>
    <t xml:space="preserve">Dropship?</t>
  </si>
  <si>
    <t xml:space="preserve">Registry ID</t>
  </si>
  <si>
    <t xml:space="preserve">Legitimacy Evidence</t>
  </si>
  <si>
    <t xml:space="preserve">Notes / Red Flags</t>
  </si>
  <si>
    <t xml:space="preserve">Data Confidence</t>
  </si>
  <si>
    <t xml:space="preserve">Scam Check (Oct 2026)</t>
  </si>
  <si>
    <t xml:space="preserve">Source</t>
  </si>
  <si>
    <t xml:space="preserve">LinkedIn Company Search</t>
  </si>
  <si>
    <t xml:space="preserve">Added</t>
  </si>
  <si>
    <t xml:space="preserve">Status</t>
  </si>
  <si>
    <t xml:space="preserve">Date Contacted</t>
  </si>
  <si>
    <t xml:space="preserve">Method</t>
  </si>
  <si>
    <t xml:space="preserve">Contact Name</t>
  </si>
  <si>
    <t xml:space="preserve">Response / Notes</t>
  </si>
  <si>
    <t xml:space="preserve">Suggested Follow-up</t>
  </si>
  <si>
    <t xml:space="preserve">Account Approved?</t>
  </si>
  <si>
    <t xml:space="preserve">Next Step</t>
  </si>
  <si>
    <t xml:space="preserve">Austria</t>
  </si>
  <si>
    <t xml:space="preserve">KORES GmbH</t>
  </si>
  <si>
    <t xml:space="preserve">B - Moderate</t>
  </si>
  <si>
    <t xml:space="preserve">https://www.kores.com</t>
  </si>
  <si>
    <t xml:space="preserve">Vienna</t>
  </si>
  <si>
    <t xml:space="preserve">EU / Europe</t>
  </si>
  <si>
    <t xml:space="preserve">Higher</t>
  </si>
  <si>
    <t xml:space="preserve">Leopold-Ungar-Platz 2/Top 334, 1190 Wien</t>
  </si>
  <si>
    <t xml:space="preserve">Kores glue sticks, correction tape, office &amp; school supplies, printer supplies</t>
  </si>
  <si>
    <t xml:space="preserve">Office &amp; school supplies</t>
  </si>
  <si>
    <t xml:space="preserve">Account based</t>
  </si>
  <si>
    <t xml:space="preserve">Distributors &amp; retailers</t>
  </si>
  <si>
    <t xml:space="preserve">Sold in 80+ countries - ask</t>
  </si>
  <si>
    <t xml:space="preserve">Unknown</t>
  </si>
  <si>
    <t xml:space="preserve">Advantage Austria company profile; production in CZ &amp; MX</t>
  </si>
  <si>
    <t xml:space="preserve">Government trade agency + company catalogue</t>
  </si>
  <si>
    <t xml:space="preserve">PASS - government export agency / trade body listing</t>
  </si>
  <si>
    <t xml:space="preserve">Source link</t>
  </si>
  <si>
    <t xml:space="preserve">Search LinkedIn</t>
  </si>
  <si>
    <t xml:space="preserve">Round 4</t>
  </si>
  <si>
    <t xml:space="preserve">Not contacted</t>
  </si>
  <si>
    <t xml:space="preserve">Stadlbauer Marketing + Vertrieb GmbH</t>
  </si>
  <si>
    <t xml:space="preserve">https://www.stadlbauer.at</t>
  </si>
  <si>
    <t xml:space="preserve">Puch bei Hallein (Salzburg)</t>
  </si>
  <si>
    <t xml:space="preserve">Rennbahn Allee 1, 5412 Puch bei Hallein</t>
  </si>
  <si>
    <t xml:space="preserve">Distributor &amp; brand owner</t>
  </si>
  <si>
    <t xml:space="preserve">Exclusive Playmobil (Austria); Carrera, Pustefix, Schildkröt, Bburago, Disney &amp; Nintendo licences</t>
  </si>
  <si>
    <t xml:space="preserve">Branded toys</t>
  </si>
  <si>
    <t xml:space="preserve">Retailers (DACH)</t>
  </si>
  <si>
    <t xml:space="preserve">DACH territory</t>
  </si>
  <si>
    <t xml:space="preserve">Part of Carrera Revell group (Quantum Capital) since 2019</t>
  </si>
  <si>
    <t xml:space="preserve">Useful for Amazon.de</t>
  </si>
  <si>
    <t xml:space="preserve">Investor announcement + press</t>
  </si>
  <si>
    <t xml:space="preserve">Wiener Spielkartenfabrik Ferd. Piatnik &amp; Söhne</t>
  </si>
  <si>
    <t xml:space="preserve">https://www.piatnik.com</t>
  </si>
  <si>
    <t xml:space="preserve">Piatnik playing cards, Activity, puzzles, party games</t>
  </si>
  <si>
    <t xml:space="preserve">Games &amp; puzzles</t>
  </si>
  <si>
    <t xml:space="preserve">On request</t>
  </si>
  <si>
    <t xml:space="preserve">Retailers &amp; distributors</t>
  </si>
  <si>
    <t xml:space="preserve">Exports 80% of output to 72 countries - ask</t>
  </si>
  <si>
    <t xml:space="preserve">200-year-old Austrian company; featured by Advantage Austria (gov trade agency)</t>
  </si>
  <si>
    <t xml:space="preserve">Government trade agency article</t>
  </si>
  <si>
    <t xml:space="preserve">Belgium</t>
  </si>
  <si>
    <t xml:space="preserve">Varo (Vic Van Rompuy NV)</t>
  </si>
  <si>
    <t xml:space="preserve">C - Low / little UK demand</t>
  </si>
  <si>
    <t xml:space="preserve">https://varo.com/contact</t>
  </si>
  <si>
    <t xml:space="preserve">Lier</t>
  </si>
  <si>
    <t xml:space="preserve">Joseph Van Instraat 9, 2500 Lier</t>
  </si>
  <si>
    <t xml:space="preserve">+32 3 292 92 90</t>
  </si>
  <si>
    <t xml:space="preserve">info@varo.com</t>
  </si>
  <si>
    <t xml:space="preserve">Powerplus, Kreator, Premion tools &amp; garden equipment</t>
  </si>
  <si>
    <t xml:space="preserve">Power &amp; garden tools</t>
  </si>
  <si>
    <t xml:space="preserve">Sold across Europe - ask</t>
  </si>
  <si>
    <t xml:space="preserve">Sold via major EU DIY chains &amp; e-tailers (Bricomarché, Alza)</t>
  </si>
  <si>
    <t xml:space="preserve">Budget-friendly tool brands suit Amazon</t>
  </si>
  <si>
    <t xml:space="preserve">Company website (via search)</t>
  </si>
  <si>
    <t xml:space="preserve">PASS - well-known company: Belgian tool group (Powerplus, Silverline Benelux) - established brand owner.</t>
  </si>
  <si>
    <t xml:space="preserve">Beautylux</t>
  </si>
  <si>
    <t xml:space="preserve">https://www.beautylux.be</t>
  </si>
  <si>
    <t xml:space="preserve">Brussels (Schaerbeek)</t>
  </si>
  <si>
    <t xml:space="preserve">Rue François Bossaerts, Schaerbeek, Brussels (confirm)</t>
  </si>
  <si>
    <t xml:space="preserve">+32 2 732 .... (see website)</t>
  </si>
  <si>
    <t xml:space="preserve">Importer / Distributor</t>
  </si>
  <si>
    <t xml:space="preserve">Pure Altitude, Berdoues, Ariana Grande, Bentley + others; 2,500+ refs</t>
  </si>
  <si>
    <t xml:space="preserve">Designer / celebrity fragrance</t>
  </si>
  <si>
    <t xml:space="preserve">Retail accounts</t>
  </si>
  <si>
    <t xml:space="preserve">Check</t>
  </si>
  <si>
    <t xml:space="preserve">Established 1980; 450+ points of sale in Benelux</t>
  </si>
  <si>
    <t xml:space="preserve">Official importer for some brands - good invoices</t>
  </si>
  <si>
    <t xml:space="preserve">Directory - confirm on website</t>
  </si>
  <si>
    <t xml:space="preserve">CAUTION - Since 1980 per directories, but Belgian enterprise number not confirmed.</t>
  </si>
  <si>
    <t xml:space="preserve">Round 1</t>
  </si>
  <si>
    <t xml:space="preserve">Galico NV</t>
  </si>
  <si>
    <t xml:space="preserve">https://galico.be</t>
  </si>
  <si>
    <t xml:space="preserve">Vichte (West Flanders)</t>
  </si>
  <si>
    <t xml:space="preserve">Oudenaardestraat 49b, B-8570 Vichte</t>
  </si>
  <si>
    <t xml:space="preserve">+32 56 62 69 69</t>
  </si>
  <si>
    <t xml:space="preserve">info@galico.be</t>
  </si>
  <si>
    <t xml:space="preserve">Escalo (ladders), Practo Home (storage), Practo Garden, Casibel (household); distributes Grosfillex, Mottez, Garantia, Kendo tools</t>
  </si>
  <si>
    <t xml:space="preserve">Household, storage, ladders, garden, hand tools</t>
  </si>
  <si>
    <t xml:space="preserve">Retailers (BE/FR/LU)</t>
  </si>
  <si>
    <t xml:space="preserve">Ask</t>
  </si>
  <si>
    <t xml:space="preserve">BE 0453.670.483</t>
  </si>
  <si>
    <t xml:space="preserve">VAT BE 0453.670.483; B2B portal</t>
  </si>
  <si>
    <t xml:space="preserve">Own brands = direct invoices</t>
  </si>
  <si>
    <t xml:space="preserve">Also covers DIY (Kendo hand tools, Escalo ladders).</t>
  </si>
  <si>
    <t xml:space="preserve">PASS - well-known company: Established Belgian housewares brand owner/distributor.</t>
  </si>
  <si>
    <t xml:space="preserve">Round 2</t>
  </si>
  <si>
    <t xml:space="preserve">Savic NV</t>
  </si>
  <si>
    <t xml:space="preserve">https://www.savic.be</t>
  </si>
  <si>
    <t xml:space="preserve">Heule (Kortrijk)</t>
  </si>
  <si>
    <t xml:space="preserve">Ringlaan 10, 8501 Heule</t>
  </si>
  <si>
    <t xml:space="preserve">+32 65 35 33 45</t>
  </si>
  <si>
    <t xml:space="preserve">info@savic.be (verify)</t>
  </si>
  <si>
    <t xml:space="preserve">Savic small-animal cages, cat litter trays, dog &amp; bird products</t>
  </si>
  <si>
    <t xml:space="preserve">Pet habitats &amp; accessories</t>
  </si>
  <si>
    <t xml:space="preserve">Sold in 73-80+ countries - ask</t>
  </si>
  <si>
    <t xml:space="preserve">Family business; Interzoo exhibitor; Head of Intl Sales Pascal Nichelson</t>
  </si>
  <si>
    <t xml:space="preserve">Trade directories + trade fair</t>
  </si>
  <si>
    <t xml:space="preserve">Flamingo Pet Products NV</t>
  </si>
  <si>
    <t xml:space="preserve">https://www.flamingo.be/en/for-companies</t>
  </si>
  <si>
    <t xml:space="preserve">Olen</t>
  </si>
  <si>
    <t xml:space="preserve">Lammerdries-Winkelstraat 25, 2250 Olen</t>
  </si>
  <si>
    <t xml:space="preserve">+32 14 25 84 80</t>
  </si>
  <si>
    <t xml:space="preserve">info@flamingo.be</t>
  </si>
  <si>
    <t xml:space="preserve">Wholesaler / manufacturer</t>
  </si>
  <si>
    <t xml:space="preserve">Flamingo - 10,000+ pet products; private label available</t>
  </si>
  <si>
    <t xml:space="preserve">Pet accessories &amp; toys</t>
  </si>
  <si>
    <t xml:space="preserve">Companies - B2B section on website</t>
  </si>
  <si>
    <t xml:space="preserve">Interzoo &amp; Zoomark exhibitor; long-established</t>
  </si>
  <si>
    <t xml:space="preserve">Trade show listings</t>
  </si>
  <si>
    <t xml:space="preserve">Laroy Group (Duvo+)</t>
  </si>
  <si>
    <t xml:space="preserve">Not confirmed - click to search</t>
  </si>
  <si>
    <t xml:space="preserve">Wondelgem (Ghent)</t>
  </si>
  <si>
    <t xml:space="preserve">Industrieweg 98-100, 9032 Wondelgem</t>
  </si>
  <si>
    <t xml:space="preserve">+32 9 258 13 00 (verify)</t>
  </si>
  <si>
    <t xml:space="preserve">Duvo+, Witte Molen, CéDé - 10,000+ products</t>
  </si>
  <si>
    <t xml:space="preserve">Pet food &amp; accessories</t>
  </si>
  <si>
    <t xml:space="preserve">Pet shops &amp; international trade partners</t>
  </si>
  <si>
    <t xml:space="preserve">Major Belgian pet group (Laroy Duvo + CéDé + Witte Molen)</t>
  </si>
  <si>
    <t xml:space="preserve">Trade press</t>
  </si>
  <si>
    <t xml:space="preserve">Round 3</t>
  </si>
  <si>
    <t xml:space="preserve">Moderna Products NV</t>
  </si>
  <si>
    <t xml:space="preserve">https://www.modernaproducts.com</t>
  </si>
  <si>
    <t xml:space="preserve">Izegem</t>
  </si>
  <si>
    <t xml:space="preserve">Zuidkaai 35, 8870 Izegem</t>
  </si>
  <si>
    <t xml:space="preserve">Moderna litter boxes, bowls, carriers, storage (also private label)</t>
  </si>
  <si>
    <t xml:space="preserve">Pet plastics</t>
  </si>
  <si>
    <t xml:space="preserve">Exports to 60-79 countries - ask</t>
  </si>
  <si>
    <t xml:space="preserve">3rd-generation family business; production in BE &amp; US; Interzoo exhibitor</t>
  </si>
  <si>
    <t xml:space="preserve">Trade fair listing</t>
  </si>
  <si>
    <t xml:space="preserve">Vadigran NV</t>
  </si>
  <si>
    <t xml:space="preserve">https://www.vadigran.com</t>
  </si>
  <si>
    <t xml:space="preserve">Ghislenghien</t>
  </si>
  <si>
    <t xml:space="preserve">Chemin Preuscamps 20B, 7822 Ghislenghien (BE0431.312.379)</t>
  </si>
  <si>
    <t xml:space="preserve">+32 68 26 96 40</t>
  </si>
  <si>
    <t xml:space="preserve">Distributor / manufacturer</t>
  </si>
  <si>
    <t xml:space="preserve">~6,000 pet products (food &amp; accessories) in 40 countries</t>
  </si>
  <si>
    <t xml:space="preserve">Retailers; currently recruiting distributors</t>
  </si>
  <si>
    <t xml:space="preserve">BE0431.312.379</t>
  </si>
  <si>
    <t xml:space="preserve">Interzoo exhibitor; Belgian registry</t>
  </si>
  <si>
    <t xml:space="preserve">Actively recruiting distributors.</t>
  </si>
  <si>
    <t xml:space="preserve">Trade directory + registry + trade fair</t>
  </si>
  <si>
    <t xml:space="preserve">Bulgaria</t>
  </si>
  <si>
    <t xml:space="preserve">Bulgarian Rose AD (Bulgarska Roza Karlovo)</t>
  </si>
  <si>
    <t xml:space="preserve">Karlovo</t>
  </si>
  <si>
    <t xml:space="preserve">Low-cost</t>
  </si>
  <si>
    <t xml:space="preserve">Industrial Zone 1, 4300 Karlovo</t>
  </si>
  <si>
    <t xml:space="preserve">Via official distributor Cosmetics Bulgaria (cosmeticsbulgaria.com)</t>
  </si>
  <si>
    <t xml:space="preserve">Manufacturer (listed)</t>
  </si>
  <si>
    <t xml:space="preserve">Bulgarian Rose rose-oil skincare, hair &amp; body care</t>
  </si>
  <si>
    <t xml:space="preserve">Rose cosmetics</t>
  </si>
  <si>
    <t xml:space="preserve">Export to 40+ countries; distributors</t>
  </si>
  <si>
    <t xml:space="preserve">EIK 115009344</t>
  </si>
  <si>
    <t xml:space="preserve">Listed on Bulgarian Stock Exchange; EIK 115009344; Stara Planina Hold group; founded 1948</t>
  </si>
  <si>
    <t xml:space="preserve">Rose skincare at very low unit cost - good margin on gift sets</t>
  </si>
  <si>
    <t xml:space="preserve">Stock exchange profile + business registry</t>
  </si>
  <si>
    <t xml:space="preserve">Round 5</t>
  </si>
  <si>
    <t xml:space="preserve">Lema Kazanlak (rose distillery)</t>
  </si>
  <si>
    <t xml:space="preserve">http://www.lemabg.com</t>
  </si>
  <si>
    <t xml:space="preserve">Kazanlak</t>
  </si>
  <si>
    <t xml:space="preserve">Southern Industrial Zone, Kazanlak</t>
  </si>
  <si>
    <t xml:space="preserve">Producer / manufacturer</t>
  </si>
  <si>
    <t xml:space="preserve">Lema rose oil, rose water, rose cosmetics</t>
  </si>
  <si>
    <t xml:space="preserve">Rose water &amp; oils</t>
  </si>
  <si>
    <t xml:space="preserve">Direct inquiry</t>
  </si>
  <si>
    <t xml:space="preserve">Listed by the Bulgarian Ministry of Tourism; own Rosa Damascena plantations</t>
  </si>
  <si>
    <t xml:space="preserve">Rose water toners sell well; check cosmetics compliance (UK RP / CPNP)</t>
  </si>
  <si>
    <t xml:space="preserve">Make sure UK cosmetics labelling and a Responsible Person are in place</t>
  </si>
  <si>
    <t xml:space="preserve">Government tourism listing + distributor page</t>
  </si>
  <si>
    <t xml:space="preserve">Parmash AD</t>
  </si>
  <si>
    <t xml:space="preserve">Sliven</t>
  </si>
  <si>
    <t xml:space="preserve">Debela Koria, Stopanski dvor 1, 8800 Sliven</t>
  </si>
  <si>
    <t xml:space="preserve">+359 44 667 308</t>
  </si>
  <si>
    <t xml:space="preserve">Manufacturer</t>
  </si>
  <si>
    <t xml:space="preserve">Clothes dryers/airers, ironing boards, plate racks, household ladders</t>
  </si>
  <si>
    <t xml:space="preserve">Laundry &amp; household</t>
  </si>
  <si>
    <t xml:space="preserve">Retail chains in BG, DE, RO, IT, RS, MK</t>
  </si>
  <si>
    <t xml:space="preserve">Ambiente 2025 exhibitor; joint-stock company (AD)</t>
  </si>
  <si>
    <t xml:space="preserve">Airers &amp; ironing boards are oversize - compare FBM vs FBA</t>
  </si>
  <si>
    <t xml:space="preserve">Trade fair exhibitor listing</t>
  </si>
  <si>
    <t xml:space="preserve">Croatia</t>
  </si>
  <si>
    <t xml:space="preserve">Saponia d.d.</t>
  </si>
  <si>
    <t xml:space="preserve">https://www.saponia.hr</t>
  </si>
  <si>
    <t xml:space="preserve">Osijek</t>
  </si>
  <si>
    <t xml:space="preserve">M. Gupca 2, 31000 Osijek</t>
  </si>
  <si>
    <t xml:space="preserve">+385 31 513 513</t>
  </si>
  <si>
    <t xml:space="preserve">Kalodont toothpaste, Arf, Faks, Ornel, liquid soaps, detergents</t>
  </si>
  <si>
    <t xml:space="preserve">Personal &amp; home care</t>
  </si>
  <si>
    <t xml:space="preserve">Pallet / account based</t>
  </si>
  <si>
    <t xml:space="preserve">Export to 15+ countries incl. DE, PL, HU, US</t>
  </si>
  <si>
    <t xml:space="preserve">Listed on Zagreb Stock Exchange; ~EUR 133m revenue (2024); 725 staff</t>
  </si>
  <si>
    <t xml:space="preserve">Toothpaste &amp; soaps: low unit cost; detergents are heavy</t>
  </si>
  <si>
    <t xml:space="preserve">Stock exchange filings + business registry</t>
  </si>
  <si>
    <t xml:space="preserve">Dermacol a.s.</t>
  </si>
  <si>
    <t xml:space="preserve">https://www.dermacol.cz</t>
  </si>
  <si>
    <t xml:space="preserve">Prague</t>
  </si>
  <si>
    <t xml:space="preserve">Vytvarna 1023/4, 161 00 Praha 6 (verify)</t>
  </si>
  <si>
    <t xml:space="preserve">Dermacol Make-up Cover, foundations, skincare</t>
  </si>
  <si>
    <t xml:space="preserve">Make-up &amp; skincare</t>
  </si>
  <si>
    <t xml:space="preserve">Regional distributors (60+ countries)</t>
  </si>
  <si>
    <t xml:space="preserve">Brand since 1966 (Barrandov film studio); Cosmoprof exhibitor; sold via Notino</t>
  </si>
  <si>
    <t xml:space="preserve">Make-up Cover is a known cult product; low Czech prices</t>
  </si>
  <si>
    <t xml:space="preserve">Check the Czech register (ARES) before ordering</t>
  </si>
  <si>
    <t xml:space="preserve">Business press + retailer data</t>
  </si>
  <si>
    <t xml:space="preserve">MANUFAKTURA (Czech cosmetics)</t>
  </si>
  <si>
    <t xml:space="preserve">Melantrichova 17, 110 00 Praha 1</t>
  </si>
  <si>
    <t xml:space="preserve">Manufacturer / brand owner</t>
  </si>
  <si>
    <t xml:space="preserve">Manufaktura beer, wine &amp; herbal cosmetics, bath salts, gift sets</t>
  </si>
  <si>
    <t xml:space="preserve">Natural cosmetics &amp; gift sets</t>
  </si>
  <si>
    <t xml:space="preserve">Head of Sales: David Rožek</t>
  </si>
  <si>
    <t xml:space="preserve">IČO 49687387</t>
  </si>
  <si>
    <t xml:space="preserve">CzechTrade listing; IČO 49687387; 250+ staff; own shop chain since 1991</t>
  </si>
  <si>
    <t xml:space="preserve">Gift sets do well in Q4</t>
  </si>
  <si>
    <t xml:space="preserve">Government export directory</t>
  </si>
  <si>
    <t xml:space="preserve">HECHT MOTORS s.r.o.</t>
  </si>
  <si>
    <t xml:space="preserve">https://en.hecht.cz</t>
  </si>
  <si>
    <t xml:space="preserve">Prague 4, Czech Republic (see website)</t>
  </si>
  <si>
    <t xml:space="preserve">export@hecht.cz</t>
  </si>
  <si>
    <t xml:space="preserve">Brand owner / importer-distributor</t>
  </si>
  <si>
    <t xml:space="preserve">HECHT lawn mowers, trimmers, chainsaws, pressure washers, workshop tools, e-scooters</t>
  </si>
  <si>
    <t xml:space="preserve">Garden machinery &amp; power tools</t>
  </si>
  <si>
    <t xml:space="preserve">On request (export price list)</t>
  </si>
  <si>
    <t xml:space="preserve">Export dealers; subsidiaries in SK, PL, HU; ~600 staff</t>
  </si>
  <si>
    <t xml:space="preserve">Ask - actively expanding export</t>
  </si>
  <si>
    <t xml:space="preserve">Brand owner since 1994; largest CZ/SK garden &amp; power-products supplier; publishes English export catalogues</t>
  </si>
  <si>
    <t xml:space="preserve">Battery garden tools &amp; pressure washers sell well; petrol items are hazmat; need UK plugs</t>
  </si>
  <si>
    <t xml:space="preserve">Products largely made in Asia under the Hecht brand - check CE/UKCA documents</t>
  </si>
  <si>
    <t xml:space="preserve">Company export catalogues + company site</t>
  </si>
  <si>
    <t xml:space="preserve">NAREX s.r.o.</t>
  </si>
  <si>
    <t xml:space="preserve">https://www.narex.cz</t>
  </si>
  <si>
    <t xml:space="preserve">Česká Lípa</t>
  </si>
  <si>
    <t xml:space="preserve">Chelčického 1932, 470 01 Česká Lípa</t>
  </si>
  <si>
    <t xml:space="preserve">+420 481 645 183</t>
  </si>
  <si>
    <t xml:space="preserve">narex@narex.cz</t>
  </si>
  <si>
    <t xml:space="preserve">Narex power tools (drills, grinders, saws); Narex Bystřice chisels &amp; woodworking tools</t>
  </si>
  <si>
    <t xml:space="preserve">Power tools &amp; woodworking</t>
  </si>
  <si>
    <t xml:space="preserve">Dealer account</t>
  </si>
  <si>
    <t xml:space="preserve">Sales partners; commercial terms via sales team</t>
  </si>
  <si>
    <t xml:space="preserve">Ask - Narex chisels already sold in UK</t>
  </si>
  <si>
    <t xml:space="preserve">Official company contacts page; long-established Czech tool maker</t>
  </si>
  <si>
    <t xml:space="preserve">Narex chisels have a strong UK woodworking following at lower prices than UK brands</t>
  </si>
  <si>
    <t xml:space="preserve">Power tools need UK plugs / UKCA</t>
  </si>
  <si>
    <t xml:space="preserve">Official company website</t>
  </si>
  <si>
    <t xml:space="preserve">PILANA Metal spol. s r.o.</t>
  </si>
  <si>
    <t xml:space="preserve">http://www.pilanametal.cz</t>
  </si>
  <si>
    <t xml:space="preserve">Hulín</t>
  </si>
  <si>
    <t xml:space="preserve">Nádražní 804, 768 24 Hulín</t>
  </si>
  <si>
    <t xml:space="preserve">Pilana hacksaw blades, band saw blades, small saws &amp; hand cutting tools</t>
  </si>
  <si>
    <t xml:space="preserve">Saw blades &amp; cutting tools</t>
  </si>
  <si>
    <t xml:space="preserve">Sales managers: Jiří Mizera, Marek Stratil; ships to 60+ countries</t>
  </si>
  <si>
    <t xml:space="preserve">IČO 25328956</t>
  </si>
  <si>
    <t xml:space="preserve">CzechTrade listing; IČO 25328956; cutting-tool tradition since 1934</t>
  </si>
  <si>
    <t xml:space="preserve">Hacksaw blade multipacks - cheap, light consumables</t>
  </si>
  <si>
    <t xml:space="preserve">A - Strong (household name)</t>
  </si>
  <si>
    <t xml:space="preserve">Brno - Modřice</t>
  </si>
  <si>
    <t xml:space="preserve">Tyršova 1182, 664 42 Brno - Modřice (visit: Vintrovna 395/25, Popůvky 664 41)</t>
  </si>
  <si>
    <t xml:space="preserve">Arabian / niche fragrance</t>
  </si>
  <si>
    <t xml:space="preserve">Min. order value €1,000</t>
  </si>
  <si>
    <t xml:space="preserve">B2B registration on website</t>
  </si>
  <si>
    <t xml:space="preserve">Check - EU based (post-Brexit customs apply)</t>
  </si>
  <si>
    <t xml:space="preserve">Registered Regional Court Brno, B 8541; dedicated e-commerce seller programme</t>
  </si>
  <si>
    <t xml:space="preserve">Strong fit for Lattafa/Armaf etc. Register at bjutip.com/register.</t>
  </si>
  <si>
    <t xml:space="preserve">NUTREND D.S., a.s.</t>
  </si>
  <si>
    <t xml:space="preserve">https://www.nutrend-supplements.com</t>
  </si>
  <si>
    <t xml:space="preserve">Olomouc</t>
  </si>
  <si>
    <t xml:space="preserve">Chválkovice 604, 779 00 Olomouc</t>
  </si>
  <si>
    <t xml:space="preserve">+420 583 842 592</t>
  </si>
  <si>
    <t xml:space="preserve">export@nutrend.eu</t>
  </si>
  <si>
    <t xml:space="preserve">Nutrend sports nutrition, bars, supplements</t>
  </si>
  <si>
    <t xml:space="preserve">Sports nutrition</t>
  </si>
  <si>
    <t xml:space="preserve">Distributors (export dept.)</t>
  </si>
  <si>
    <t xml:space="preserve">Exports to 60-74 countries - ask</t>
  </si>
  <si>
    <t xml:space="preserve">~52% exported; record CZK 1.26bn revenue; Gulfood exhibitor</t>
  </si>
  <si>
    <t xml:space="preserve">Catalogue + trade fair + business press</t>
  </si>
  <si>
    <t xml:space="preserve">SPOKAR a.s.</t>
  </si>
  <si>
    <t xml:space="preserve">http://www.spokar.com</t>
  </si>
  <si>
    <t xml:space="preserve">Pelhřimov</t>
  </si>
  <si>
    <t xml:space="preserve">Libkovodská 1428, 393 01 Pelhřimov</t>
  </si>
  <si>
    <t xml:space="preserve">Spokar toothbrushes, interdental brushes, household &amp; paint brushes</t>
  </si>
  <si>
    <t xml:space="preserve">Oral care &amp; brushes</t>
  </si>
  <si>
    <t xml:space="preserve">Key Account Manager: Jan Canek; exports to DE, DK, NO, US, MX</t>
  </si>
  <si>
    <t xml:space="preserve">IČO 25183427</t>
  </si>
  <si>
    <t xml:space="preserve">CzechTrade listing; IČO 25183427; producing since 1882</t>
  </si>
  <si>
    <t xml:space="preserve">Toothbrush multipacks &amp; cleaning brushes - low cost, repeat buys; private label possible</t>
  </si>
  <si>
    <t xml:space="preserve">ALPA, a.s.</t>
  </si>
  <si>
    <t xml:space="preserve">Velké Meziříčí</t>
  </si>
  <si>
    <t xml:space="preserve">Hornoměstská 378/74, 594 01 Velké Meziříčí</t>
  </si>
  <si>
    <t xml:space="preserve">+420 566 521 401 (switchboard)</t>
  </si>
  <si>
    <t xml:space="preserve">Alpa Francovka (herbal rub), Pedik foot care, Alpa kids cosmetics</t>
  </si>
  <si>
    <t xml:space="preserve">Herbal body care &amp; kids toiletries</t>
  </si>
  <si>
    <t xml:space="preserve">Business manager: Ing. Pavel Smažil</t>
  </si>
  <si>
    <t xml:space="preserve">Ask - sold on Notino UK</t>
  </si>
  <si>
    <t xml:space="preserve">IČO 27666468 / DIČ CZ27666468</t>
  </si>
  <si>
    <t xml:space="preserve">CzechTrade listing; IČO 27666468; Francovka trademark since 1913</t>
  </si>
  <si>
    <t xml:space="preserve">Niche herbal products; little UK competition</t>
  </si>
  <si>
    <t xml:space="preserve">Liquids with alcohol - check hazmat</t>
  </si>
  <si>
    <t xml:space="preserve">Tescoma s.r.o. (export centre Tescoma S.p.A., Italy)</t>
  </si>
  <si>
    <t xml:space="preserve">https://www.tescoma.cz</t>
  </si>
  <si>
    <t xml:space="preserve">Zlín (HQ); export centre Brescia, Italy</t>
  </si>
  <si>
    <t xml:space="preserve">U Tescomy 241, 760 01 Zlín / Export: Via Traversa Caduti del Lavoro 3, 25046 Cazzago San Martino (IT)</t>
  </si>
  <si>
    <t xml:space="preserve">+39 030 775 1394 (export centre)</t>
  </si>
  <si>
    <t xml:space="preserve">Tescoma kitchen utensils, cookware, baking, storage (thousands of SKUs)</t>
  </si>
  <si>
    <t xml:space="preserve">Kitchenware</t>
  </si>
  <si>
    <t xml:space="preserve">Sold in 100-130 countries - ask</t>
  </si>
  <si>
    <t xml:space="preserve">Ambiente exhibitor; branches in IT, ES, PT, SK, PL, DE, CN</t>
  </si>
  <si>
    <t xml:space="preserve">Kitchen gadgets largely ungated - brand-direct invoices</t>
  </si>
  <si>
    <t xml:space="preserve">Use the Italian export centre for foreign accounts.</t>
  </si>
  <si>
    <t xml:space="preserve">Trade fair profile + Wikipedia</t>
  </si>
  <si>
    <t xml:space="preserve">Remoska s.r.o.</t>
  </si>
  <si>
    <t xml:space="preserve">Kopřivnice (Vlčovice)</t>
  </si>
  <si>
    <t xml:space="preserve">Průmyslový park 303, Vlčovice, 742 21 Kopřivnice</t>
  </si>
  <si>
    <t xml:space="preserve">Remoska portable electric ovens, pans</t>
  </si>
  <si>
    <t xml:space="preserve">Small cooking appliances</t>
  </si>
  <si>
    <t xml:space="preserve">~40% exported, half of that to the UK</t>
  </si>
  <si>
    <t xml:space="preserve">Yes - already strong UK market</t>
  </si>
  <si>
    <t xml:space="preserve">IČO 01885219</t>
  </si>
  <si>
    <t xml:space="preserve">CzechTrade listing; IČO 01885219; brand since 1957; Forbes CZ coverage</t>
  </si>
  <si>
    <t xml:space="preserve">Remoska has a UK following - check existing UK distributor exclusivity</t>
  </si>
  <si>
    <t xml:space="preserve">UK may have an exclusive distributor</t>
  </si>
  <si>
    <t xml:space="preserve">Government export directory + business press</t>
  </si>
  <si>
    <t xml:space="preserve">PLASTIA s.r.o. (Urbalive)</t>
  </si>
  <si>
    <t xml:space="preserve">https://www.plastia.cz</t>
  </si>
  <si>
    <t xml:space="preserve">Nové Veselí (Vysočina)</t>
  </si>
  <si>
    <t xml:space="preserve">Žďárská 313, 592 14 Nové Veselí</t>
  </si>
  <si>
    <t xml:space="preserve">+420 566 667 001</t>
  </si>
  <si>
    <t xml:space="preserve">info@plastia.cz</t>
  </si>
  <si>
    <t xml:space="preserve">Manufacturer (family-owned)</t>
  </si>
  <si>
    <t xml:space="preserve">Plastia self-watering planters, Urbalive (incl. pet products)</t>
  </si>
  <si>
    <t xml:space="preserve">Planters &amp; home-garden</t>
  </si>
  <si>
    <t xml:space="preserve">Distributors in 56+ countries</t>
  </si>
  <si>
    <t xml:space="preserve">CzechTrade listing; Spoga+Gafa, IPM Essen &amp; Interzoo exhibitor</t>
  </si>
  <si>
    <t xml:space="preserve">Self-watering pots &amp; herb planters sell well; light and stackable</t>
  </si>
  <si>
    <t xml:space="preserve">Government export directory + 3 trade fairs</t>
  </si>
  <si>
    <t xml:space="preserve">BLEX, a.s.</t>
  </si>
  <si>
    <t xml:space="preserve">Karlovy Vary</t>
  </si>
  <si>
    <t xml:space="preserve">Závodu míru 327/4, 360 17 Karlovy Vary</t>
  </si>
  <si>
    <t xml:space="preserve">Tinplate &amp; non-stick bakeware, wire kitchenware</t>
  </si>
  <si>
    <t xml:space="preserve">Bakeware</t>
  </si>
  <si>
    <t xml:space="preserve">Export buyers (export manager: Kateřina Veselá)</t>
  </si>
  <si>
    <t xml:space="preserve">Ask - exports worldwide</t>
  </si>
  <si>
    <t xml:space="preserve">IČO 25247409</t>
  </si>
  <si>
    <t xml:space="preserve">Listed in the CzechTrade (government agency) exporter directory</t>
  </si>
  <si>
    <t xml:space="preserve">Baking tins &amp; moulds are a steady category; possible private label</t>
  </si>
  <si>
    <t xml:space="preserve">Dřevotvar družstvo</t>
  </si>
  <si>
    <t xml:space="preserve">https://www.drevotvar.cz</t>
  </si>
  <si>
    <t xml:space="preserve">Jablonné nad Orlicí</t>
  </si>
  <si>
    <t xml:space="preserve">Slezská 535, 561 64 Jablonné nad Orlicí</t>
  </si>
  <si>
    <t xml:space="preserve">+420 465 677 111 (sales: +420 465 677 219)</t>
  </si>
  <si>
    <t xml:space="preserve">drevotvar@drevotvar.cz</t>
  </si>
  <si>
    <t xml:space="preserve">Manufacturer (cooperative)</t>
  </si>
  <si>
    <t xml:space="preserve">Wooden kitchen utensils &amp; boards</t>
  </si>
  <si>
    <t xml:space="preserve">Wooden kitchenware</t>
  </si>
  <si>
    <t xml:space="preserve">Export buyers (85% of output exported)</t>
  </si>
  <si>
    <t xml:space="preserve">IČO 00029882</t>
  </si>
  <si>
    <t xml:space="preserve">Listed in the CzechTrade exporter directory</t>
  </si>
  <si>
    <t xml:space="preserve">Wooden utensils &amp; chopping boards - possible private label</t>
  </si>
  <si>
    <t xml:space="preserve">Funky Dog (Czech eco pet accessories)</t>
  </si>
  <si>
    <t xml:space="preserve">Braunerova 7, 180 00 Praha</t>
  </si>
  <si>
    <t xml:space="preserve">Funky Dog vegan collars, leads, beds</t>
  </si>
  <si>
    <t xml:space="preserve">Eco pet accessories</t>
  </si>
  <si>
    <t xml:space="preserve">Distributors (SK, AT, IT, SI); CEO Katarína Králová</t>
  </si>
  <si>
    <t xml:space="preserve">IČO 03688623</t>
  </si>
  <si>
    <t xml:space="preserve">CzechTrade listing; IČO 03688623; since 2015</t>
  </si>
  <si>
    <t xml:space="preserve">Eco/vegan collars are a growing niche</t>
  </si>
  <si>
    <t xml:space="preserve">Small firm - check capacity</t>
  </si>
  <si>
    <t xml:space="preserve">Tommi CZ s.r.o. (Tommiland B2B)</t>
  </si>
  <si>
    <t xml:space="preserve">http://www.tommicz.eu</t>
  </si>
  <si>
    <t xml:space="preserve">Písek</t>
  </si>
  <si>
    <t xml:space="preserve">Za Nádražím 2569, 397 01 Písek</t>
  </si>
  <si>
    <t xml:space="preserve">+420 382 264 269</t>
  </si>
  <si>
    <t xml:space="preserve">Manufacturer / distributor</t>
  </si>
  <si>
    <t xml:space="preserve">Asan, Cat Step, Dr. Jag, Catwill, Doggies + European brands - 3,500+ products</t>
  </si>
  <si>
    <t xml:space="preserve">Pet care &amp; litter</t>
  </si>
  <si>
    <t xml:space="preserve">Min. order value ~€1,000 (2018 - confirm)</t>
  </si>
  <si>
    <t xml:space="preserve">Registered partners only (B2B e-shop)</t>
  </si>
  <si>
    <t xml:space="preserve">Exports - ask</t>
  </si>
  <si>
    <t xml:space="preserve">Founded 1989; CzechTrade exporter; export manager Hana Bečková</t>
  </si>
  <si>
    <t xml:space="preserve">Trade show + CzechTrade directory</t>
  </si>
  <si>
    <t xml:space="preserve">GALA a.s.</t>
  </si>
  <si>
    <t xml:space="preserve">https://www.gala.cz</t>
  </si>
  <si>
    <t xml:space="preserve">Prostějov</t>
  </si>
  <si>
    <t xml:space="preserve">Západní 1/75, 796 04 Prostějov</t>
  </si>
  <si>
    <t xml:space="preserve">+420 739 648 045</t>
  </si>
  <si>
    <t xml:space="preserve">grmelova@gala.cz (sales manager)</t>
  </si>
  <si>
    <t xml:space="preserve">Gala volleyballs, basketballs, footballs, handballs</t>
  </si>
  <si>
    <t xml:space="preserve">Sports balls</t>
  </si>
  <si>
    <t xml:space="preserve">Sales manager Alena Grmelová</t>
  </si>
  <si>
    <t xml:space="preserve">IČO 49969820</t>
  </si>
  <si>
    <t xml:space="preserve">FIBA equipment partner; IČO 49969820; published annual reports</t>
  </si>
  <si>
    <t xml:space="preserve">Volleyballs &amp; beach balls sell well in summer; low cost vs Mikasa/Molten</t>
  </si>
  <si>
    <t xml:space="preserve">FIBA partner listing + company register</t>
  </si>
  <si>
    <t xml:space="preserve">Plastkon product s.r.o. (Gizmo Riders)</t>
  </si>
  <si>
    <t xml:space="preserve">http://www.plastkon.cz</t>
  </si>
  <si>
    <t xml:space="preserve">Mikulovice</t>
  </si>
  <si>
    <t xml:space="preserve">Hlavní 147, 790 84 Mikulovice</t>
  </si>
  <si>
    <t xml:space="preserve">Gizmo Riders &amp; Snowflake sledges, snow shovels; Gardenico &amp; Flower Lover garden products</t>
  </si>
  <si>
    <t xml:space="preserve">Sledges, winter &amp; garden plastics</t>
  </si>
  <si>
    <t xml:space="preserve">Exports to 70+ countries</t>
  </si>
  <si>
    <t xml:space="preserve">IČO 63321289</t>
  </si>
  <si>
    <t xml:space="preserve">CzechTrade listing; IČO 63321289; since 1998; ~195 staff</t>
  </si>
  <si>
    <t xml:space="preserve">Sledges sell strongly Nov-Jan in UK (snow years); plant pots in spring</t>
  </si>
  <si>
    <t xml:space="preserve">Very seasonal - order early</t>
  </si>
  <si>
    <t xml:space="preserve">Government export directory + company site</t>
  </si>
  <si>
    <t xml:space="preserve">BP Lumen s.r.o.</t>
  </si>
  <si>
    <t xml:space="preserve">Úpice</t>
  </si>
  <si>
    <t xml:space="preserve">Puškinova 546, 542 32 Úpice</t>
  </si>
  <si>
    <t xml:space="preserve">Manufacturer + parts wholesaler</t>
  </si>
  <si>
    <t xml:space="preserve">Levit &amp; Qayron bikes/e-bikes; wholesale bicycle parts &amp; accessories; private-label assembly</t>
  </si>
  <si>
    <t xml:space="preserve">Bicycle parts &amp; accessories wholesale</t>
  </si>
  <si>
    <t xml:space="preserve">Exports to 20+ European countries</t>
  </si>
  <si>
    <t xml:space="preserve">IČO 05565375</t>
  </si>
  <si>
    <t xml:space="preserve">CzechTrade listing; IČO 05565375; trading since 1991; 51-250 staff</t>
  </si>
  <si>
    <t xml:space="preserve">Bike parts/accessories wholesale (tubes, tyres, lights) - small items suit FBA</t>
  </si>
  <si>
    <t xml:space="preserve">E-bikes have lithium batteries (hazmat)</t>
  </si>
  <si>
    <t xml:space="preserve">Sedco s.r.o.</t>
  </si>
  <si>
    <t xml:space="preserve">Průmyslová 3143/5, 796 01 Prostějov</t>
  </si>
  <si>
    <t xml:space="preserve">obchod@sedco.cz</t>
  </si>
  <si>
    <t xml:space="preserve">Wholesaler / importer + own brand</t>
  </si>
  <si>
    <t xml:space="preserve">Sedco sports &amp; recreation equipment (balls, fitness, rackets, outdoor games)</t>
  </si>
  <si>
    <t xml:space="preserve">Sports &amp; recreation wholesale</t>
  </si>
  <si>
    <t xml:space="preserve">Trade account</t>
  </si>
  <si>
    <t xml:space="preserve">Wholesale customers; sells on Decathlon marketplace</t>
  </si>
  <si>
    <t xml:space="preserve">Registered 2000 (EMIS); own warehouse complex in Prostějov; Decathlon marketplace seller (CZ &amp; PL)</t>
  </si>
  <si>
    <t xml:space="preserve">Cheap fitness &amp; garden-game items; check own-brand vs third-party lines</t>
  </si>
  <si>
    <t xml:space="preserve">Marketplace seller data + business database</t>
  </si>
  <si>
    <t xml:space="preserve">KOH-I-NOOR HARDTMUTH a.s.</t>
  </si>
  <si>
    <t xml:space="preserve">https://www.koh-i-noor.cz</t>
  </si>
  <si>
    <t xml:space="preserve">České Budějovice</t>
  </si>
  <si>
    <t xml:space="preserve">F. A. Gerstnera 21/3, 370 01 České Budějovice</t>
  </si>
  <si>
    <t xml:space="preserve">kht@koh-i-noor.cz</t>
  </si>
  <si>
    <t xml:space="preserve">Koh-i-noor pencils, crayons, art supplies, Progresso</t>
  </si>
  <si>
    <t xml:space="preserve">Art &amp; school supplies</t>
  </si>
  <si>
    <t xml:space="preserve">Distributors &amp; retailers (trade arm in Pelhřimov)</t>
  </si>
  <si>
    <t xml:space="preserve">Exports to 90+ countries - ask</t>
  </si>
  <si>
    <t xml:space="preserve">Historic Czech manufacturer; factories in CZ &amp; BG</t>
  </si>
  <si>
    <t xml:space="preserve">Art supplies sell well</t>
  </si>
  <si>
    <t xml:space="preserve">Wikipedia + retailer imprint + registry</t>
  </si>
  <si>
    <t xml:space="preserve">Dino Toys s.r.o.</t>
  </si>
  <si>
    <t xml:space="preserve">https://www.dinotoys.cz</t>
  </si>
  <si>
    <t xml:space="preserve">Mnichovo Hradiště</t>
  </si>
  <si>
    <t xml:space="preserve">K Pískovně 108, 295 01 Mnichovo Hradiště</t>
  </si>
  <si>
    <t xml:space="preserve">+420 324 709 315 (verify)</t>
  </si>
  <si>
    <t xml:space="preserve">export@dinotoys.cz</t>
  </si>
  <si>
    <t xml:space="preserve">Dino puzzles, board games, cards; Disney &amp; Krtek (Little Mole) licences</t>
  </si>
  <si>
    <t xml:space="preserve">Puzzles &amp; board games</t>
  </si>
  <si>
    <t xml:space="preserve">Export manager: Barbora Kovaříková; exports to 20+ countries</t>
  </si>
  <si>
    <t xml:space="preserve">IČO 49101650</t>
  </si>
  <si>
    <t xml:space="preserve">CzechTrade (government export agency) listing; IČO 49101650; since 1993</t>
  </si>
  <si>
    <t xml:space="preserve">Puzzles are made in CZ at low cost - good margin potential; check licence rules for Disney lines</t>
  </si>
  <si>
    <t xml:space="preserve">Government export directory + retailer data</t>
  </si>
  <si>
    <t xml:space="preserve">Albi Česká republika a.s.</t>
  </si>
  <si>
    <t xml:space="preserve">https://www.albi.cz</t>
  </si>
  <si>
    <t xml:space="preserve">Červený Kostelec (warehouse)</t>
  </si>
  <si>
    <t xml:space="preserve">Lhota za Červeným Kostelcem 439 (warehouse)</t>
  </si>
  <si>
    <t xml:space="preserve">Publisher / distributor / retailer</t>
  </si>
  <si>
    <t xml:space="preserve">Albi board games, gifts, Kouzelné čtení; distributes partner publishers</t>
  </si>
  <si>
    <t xml:space="preserve">Board games &amp; gifts</t>
  </si>
  <si>
    <t xml:space="preserve">Bookshops, toy stores, hypermarkets</t>
  </si>
  <si>
    <t xml:space="preserve">CZ/SK/PL focus - ask</t>
  </si>
  <si>
    <t xml:space="preserve">Czech business award winner; own shop chain; Ares Games EU distribution partner</t>
  </si>
  <si>
    <t xml:space="preserve">Business press + job listings</t>
  </si>
  <si>
    <t xml:space="preserve">PASS - well-known company: Leading Czech games publisher &amp; retailer.</t>
  </si>
  <si>
    <t xml:space="preserve">Bino Europe k.s.</t>
  </si>
  <si>
    <t xml:space="preserve">Mladá Boleslav</t>
  </si>
  <si>
    <t xml:space="preserve">tř. Václava Klementa 836, 293 01 Mladá Boleslav</t>
  </si>
  <si>
    <t xml:space="preserve">Bino wooden &amp; plastic toys, children's furniture, nursery equipment</t>
  </si>
  <si>
    <t xml:space="preserve">Toddler &amp; wooden toys</t>
  </si>
  <si>
    <t xml:space="preserve">Exports to 30+ countries; offices in China &amp; Germany</t>
  </si>
  <si>
    <t xml:space="preserve">IČO 24220931 / VAT CZ24220931</t>
  </si>
  <si>
    <t xml:space="preserve">CzechTrade listing; IČO 24220931; VAT CZ24220931; LEI 3157004KB9Y233461R58</t>
  </si>
  <si>
    <t xml:space="preserve">Cheap wooden/toddler toys; ask for EN71 reports (some made in China)</t>
  </si>
  <si>
    <t xml:space="preserve">Some products made in China - check origin &amp; compliance</t>
  </si>
  <si>
    <t xml:space="preserve">Government export directory + company register</t>
  </si>
  <si>
    <t xml:space="preserve">BabyDan A/S</t>
  </si>
  <si>
    <t xml:space="preserve">https://www.babydan.com</t>
  </si>
  <si>
    <t xml:space="preserve">Låsby</t>
  </si>
  <si>
    <t xml:space="preserve">Niels Bohr Vej 14, 8670 Låsby</t>
  </si>
  <si>
    <t xml:space="preserve">info@babydan.com</t>
  </si>
  <si>
    <t xml:space="preserve">BabyDan safety gates (EN 1930), playpens, home safety</t>
  </si>
  <si>
    <t xml:space="preserve">Baby safety</t>
  </si>
  <si>
    <t xml:space="preserve">Own factories in Denmark; 90+ Trustpilot reviews</t>
  </si>
  <si>
    <t xml:space="preserve">Safety gates are a strong Amazon category</t>
  </si>
  <si>
    <t xml:space="preserve">Retailer listing + company site</t>
  </si>
  <si>
    <t xml:space="preserve">PASS - well-known company: Danish baby-safety brand since 1977, sold worldwide.</t>
  </si>
  <si>
    <t xml:space="preserve">Liewood A/S</t>
  </si>
  <si>
    <t xml:space="preserve">https://www.liewood.com</t>
  </si>
  <si>
    <t xml:space="preserve">Copenhagen</t>
  </si>
  <si>
    <t xml:space="preserve">Blegdamsvej 124, 2100 Copenhagen</t>
  </si>
  <si>
    <t xml:space="preserve">customerservice@liewood.com (ask for wholesale)</t>
  </si>
  <si>
    <t xml:space="preserve">Liewood baby &amp; kids tableware, toys, textiles</t>
  </si>
  <si>
    <t xml:space="preserve">Premium baby &amp; kids lifestyle</t>
  </si>
  <si>
    <t xml:space="preserve">Wholesale minimum order (ask)</t>
  </si>
  <si>
    <t xml:space="preserve">Retail stores / webshops; 900+ wholesale partners</t>
  </si>
  <si>
    <t xml:space="preserve">Yes - sold internationally</t>
  </si>
  <si>
    <t xml:space="preserve">Manufacturer contact on EU retailer GPSR listings; sold via Boozt</t>
  </si>
  <si>
    <t xml:space="preserve">Silicone tableware &amp; bibs sell well; check brand gating</t>
  </si>
  <si>
    <t xml:space="preserve">Premium brand - check MAP pricing policy</t>
  </si>
  <si>
    <t xml:space="preserve">Retailer GPSR data + company LinkedIn</t>
  </si>
  <si>
    <t xml:space="preserve">PASS - well-known company: Well-known Danish kids' lifestyle brand (900+ wholesale partners).</t>
  </si>
  <si>
    <t xml:space="preserve">ECOOKING A/S</t>
  </si>
  <si>
    <t xml:space="preserve">https://www.ecooking.com</t>
  </si>
  <si>
    <t xml:space="preserve">Bjert (Kolding)</t>
  </si>
  <si>
    <t xml:space="preserve">Gl. Skartved 11, 6091 Bjert (verify)</t>
  </si>
  <si>
    <t xml:space="preserve">+45 70 70 73 66 (verify)</t>
  </si>
  <si>
    <t xml:space="preserve">Ecooking organic skincare</t>
  </si>
  <si>
    <t xml:space="preserve">Organic skincare</t>
  </si>
  <si>
    <t xml:space="preserve">Shops &amp; online retailers (32 countries)</t>
  </si>
  <si>
    <t xml:space="preserve">70% owned by Bluegem Capital (2021 deal); stocked by Lyko</t>
  </si>
  <si>
    <t xml:space="preserve">Clean-beauty serums &amp; creams have growing demand</t>
  </si>
  <si>
    <t xml:space="preserve">PE press release + business data</t>
  </si>
  <si>
    <t xml:space="preserve">Jørgen Kruuse A/S (KRUUSE, BUSTER)</t>
  </si>
  <si>
    <t xml:space="preserve">https://kruuse.com/frontpage/welcome-at-kruuse/about-kruuse</t>
  </si>
  <si>
    <t xml:space="preserve">Langeskov</t>
  </si>
  <si>
    <t xml:space="preserve">Erik Stocks Allé 3, 5550 Langeskov</t>
  </si>
  <si>
    <t xml:space="preserve">Veterinary &amp; pet products supplier</t>
  </si>
  <si>
    <t xml:space="preserve">BUSTER pet accessories (food dispensers, collars), KRUUSE vet supplies</t>
  </si>
  <si>
    <t xml:space="preserve">Pet accessories &amp; vet</t>
  </si>
  <si>
    <t xml:space="preserve">Appointed distributors (350+ in 100+ countries)</t>
  </si>
  <si>
    <t xml:space="preserve">Ask who distributes BUSTER in the UK</t>
  </si>
  <si>
    <t xml:space="preserve">Majority-owned by Henry Schein (NASDAQ); 12,000 catalogue lines</t>
  </si>
  <si>
    <t xml:space="preserve">BUSTER activity toys sell well</t>
  </si>
  <si>
    <t xml:space="preserve">Company site + investor news</t>
  </si>
  <si>
    <t xml:space="preserve">Give</t>
  </si>
  <si>
    <t xml:space="preserve">Give (HQ)</t>
  </si>
  <si>
    <t xml:space="preserve">Camping</t>
  </si>
  <si>
    <t xml:space="preserve">Dealers &amp; agents in 45 countries</t>
  </si>
  <si>
    <t xml:space="preserve">UK is a main market - ask for UK agent</t>
  </si>
  <si>
    <t xml:space="preserve">Owned by Ratos (listed Swedish investor); founded 1984</t>
  </si>
  <si>
    <t xml:space="preserve">Investor portfolio page</t>
  </si>
  <si>
    <t xml:space="preserve">Select Sport A/S (incl. Derbystar)</t>
  </si>
  <si>
    <t xml:space="preserve">https://www.select-sport.com</t>
  </si>
  <si>
    <t xml:space="preserve">Glostrup</t>
  </si>
  <si>
    <t xml:space="preserve">Fabriksparken 46, 2600 Glostrup</t>
  </si>
  <si>
    <t xml:space="preserve">Select &amp; Derbystar footballs, handballs, sportswear, accessories</t>
  </si>
  <si>
    <t xml:space="preserve">Team sports</t>
  </si>
  <si>
    <t xml:space="preserve">Distributors &amp; retailers (exports to 50+ countries)</t>
  </si>
  <si>
    <t xml:space="preserve">Owns Derbystar since 1991; Bundesliga match-ball supplier</t>
  </si>
  <si>
    <t xml:space="preserve">Footballs sell well seasonally</t>
  </si>
  <si>
    <t xml:space="preserve">Wikipedia + Bundesliga release</t>
  </si>
  <si>
    <t xml:space="preserve">Creativ Company A/S</t>
  </si>
  <si>
    <t xml:space="preserve">Holstebro</t>
  </si>
  <si>
    <t xml:space="preserve">Rasmus Færchs Vej 23, 7500 Holstebro (verify)</t>
  </si>
  <si>
    <t xml:space="preserve">Art &amp; craft wholesaler</t>
  </si>
  <si>
    <t xml:space="preserve">Art &amp; craft materials</t>
  </si>
  <si>
    <t xml:space="preserve">Arts &amp; crafts</t>
  </si>
  <si>
    <t xml:space="preserve">Schools &amp; wholesale customers</t>
  </si>
  <si>
    <t xml:space="preserve">Yes - UK is a main market</t>
  </si>
  <si>
    <t xml:space="preserve">CVR 28692927</t>
  </si>
  <si>
    <t xml:space="preserve">Sells in 40 countries</t>
  </si>
  <si>
    <t xml:space="preserve">Company profile (Nordic9)</t>
  </si>
  <si>
    <t xml:space="preserve">Plus-Plus A/S</t>
  </si>
  <si>
    <t xml:space="preserve">https://www.plusplus.com</t>
  </si>
  <si>
    <t xml:space="preserve">Holbæk</t>
  </si>
  <si>
    <t xml:space="preserve">Borupvej 20, Holbæk</t>
  </si>
  <si>
    <t xml:space="preserve">Plus-Plus construction pieces (made in Denmark)</t>
  </si>
  <si>
    <t xml:space="preserve">Construction toys</t>
  </si>
  <si>
    <t xml:space="preserve">Distributors (40+ countries)</t>
  </si>
  <si>
    <t xml:space="preserve">Yes - UK office in Berkshire (since 2023)</t>
  </si>
  <si>
    <t xml:space="preserve">Own Danish factory; Formland &amp; London Toy Fair exhibitor</t>
  </si>
  <si>
    <t xml:space="preserve">Popular creative toy on Amazon</t>
  </si>
  <si>
    <t xml:space="preserve">Contact the UK office.</t>
  </si>
  <si>
    <t xml:space="preserve">Trade fair listings + trade data</t>
  </si>
  <si>
    <t xml:space="preserve">Lumene Oy</t>
  </si>
  <si>
    <t xml:space="preserve">https://www.lumene.com</t>
  </si>
  <si>
    <t xml:space="preserve">Espoo</t>
  </si>
  <si>
    <t xml:space="preserve">Lasikuja 2, 02780 Espoo</t>
  </si>
  <si>
    <t xml:space="preserve">Lumene Nordic skincare &amp; makeup, Cutrin haircare</t>
  </si>
  <si>
    <t xml:space="preserve">Skincare &amp; cosmetics</t>
  </si>
  <si>
    <t xml:space="preserve">UK is a key market - ask who distributes</t>
  </si>
  <si>
    <t xml:space="preserve">Leading Finnish cosmetics brand; Verdane &amp; Creades owned</t>
  </si>
  <si>
    <t xml:space="preserve">Lumene sells well on Amazon UK</t>
  </si>
  <si>
    <t xml:space="preserve">Wikipedia + investor news + trade data</t>
  </si>
  <si>
    <t xml:space="preserve">PASS - well-known company: Finland's best-known cosmetics brand.</t>
  </si>
  <si>
    <t xml:space="preserve">Keilaniementie 10, 02150 Espoo</t>
  </si>
  <si>
    <t xml:space="preserve">Garden &amp; hand tools</t>
  </si>
  <si>
    <t xml:space="preserve">Regional sales offices &amp; official distributors</t>
  </si>
  <si>
    <t xml:space="preserve">Has UK sales office - ask</t>
  </si>
  <si>
    <t xml:space="preserve">Helsinki-listed; global consumer-goods group</t>
  </si>
  <si>
    <t xml:space="preserve">Wikipedia + embassy news</t>
  </si>
  <si>
    <t xml:space="preserve">Orthex Finland Ab Oy (SmartStore)</t>
  </si>
  <si>
    <t xml:space="preserve">https://www.orthexgroup.com</t>
  </si>
  <si>
    <t xml:space="preserve">Suomalaistentie 7, 02270 Espoo</t>
  </si>
  <si>
    <t xml:space="preserve">+358 19 32961 (verify)</t>
  </si>
  <si>
    <t xml:space="preserve">Contact form on orthexgroup.fi</t>
  </si>
  <si>
    <t xml:space="preserve">SmartStore storage boxes, GastroMax kitchenware, Orthex garden</t>
  </si>
  <si>
    <t xml:space="preserve">Storage &amp; kitchenware</t>
  </si>
  <si>
    <t xml:space="preserve">Retailers &amp; distributors; 8 sales organisations incl. UK</t>
  </si>
  <si>
    <t xml:space="preserve">Yes - has UK sales organisation</t>
  </si>
  <si>
    <t xml:space="preserve">Nasdaq Helsinki-listed group</t>
  </si>
  <si>
    <t xml:space="preserve">SmartStore storage boxes are popular; bulky items cost more in FBA fees</t>
  </si>
  <si>
    <t xml:space="preserve">Investor site + retailer GPSR data</t>
  </si>
  <si>
    <t xml:space="preserve">Tactic Games Oy</t>
  </si>
  <si>
    <t xml:space="preserve">https://www.tactic.net</t>
  </si>
  <si>
    <t xml:space="preserve">Pori</t>
  </si>
  <si>
    <t xml:space="preserve">Raumanjuovantie 2, 28100 Pori</t>
  </si>
  <si>
    <t xml:space="preserve">sales.uk@tactic.net (UK distributor enquiries)</t>
  </si>
  <si>
    <t xml:space="preserve">Tactic games, Mölkky, Heros wooden toys, Plasto, Bex Sport, Puzzle Lovers</t>
  </si>
  <si>
    <t xml:space="preserve">Games &amp; outdoor games</t>
  </si>
  <si>
    <t xml:space="preserve">Import &amp; distribution partners (moving UK to partner model)</t>
  </si>
  <si>
    <t xml:space="preserve">Actively seeking UK import/distribution partners</t>
  </si>
  <si>
    <t xml:space="preserve">Leading Nordic board-game maker &amp; toy distributor; own factory &amp; logistics in Pori</t>
  </si>
  <si>
    <t xml:space="preserve">Opportunity: they want UK partners right now</t>
  </si>
  <si>
    <t xml:space="preserve">Book meeting: juha.nieminen@tactic.net.</t>
  </si>
  <si>
    <t xml:space="preserve">Company presentation (Kids' Time) + registry + LinkedIn post</t>
  </si>
  <si>
    <t xml:space="preserve">Bellignat</t>
  </si>
  <si>
    <t xml:space="preserve">Baby feeding &amp; nursery</t>
  </si>
  <si>
    <t xml:space="preserve">Sold in 70+ countries - ask</t>
  </si>
  <si>
    <t xml:space="preserve">Backed by Bluegem Capital; acquired Childhome (BE) 2020</t>
  </si>
  <si>
    <t xml:space="preserve">Investor profile + trade press</t>
  </si>
  <si>
    <t xml:space="preserve">Babymoov Group</t>
  </si>
  <si>
    <t xml:space="preserve">https://www.babymoov.com</t>
  </si>
  <si>
    <t xml:space="preserve">Clermont-Ferrand</t>
  </si>
  <si>
    <t xml:space="preserve">16 rue Jacqueline Auriol, ZI Gravanches, 63100 Clermont-Ferrand</t>
  </si>
  <si>
    <t xml:space="preserve">+33 4 73 28 60 00 (verify)</t>
  </si>
  <si>
    <t xml:space="preserve">Babymoov, doomoo</t>
  </si>
  <si>
    <t xml:space="preserve">Baby monitors, feeding, sleep &amp; travel</t>
  </si>
  <si>
    <t xml:space="preserve">Specialist stores &amp; web retailers in 50+ countries</t>
  </si>
  <si>
    <t xml:space="preserve">Ask - exports ~46% of sales</t>
  </si>
  <si>
    <t xml:space="preserve">~EUR 55m turnover (2022); sold via Boulanger, Nature &amp; Découvertes</t>
  </si>
  <si>
    <t xml:space="preserve">Baby monitors &amp; bottle warmers are strong Amazon lines</t>
  </si>
  <si>
    <t xml:space="preserve">Company profiles + retailer listings</t>
  </si>
  <si>
    <t xml:space="preserve">PASS - well-known company: Established French baby brand (~EUR 55m turnover).</t>
  </si>
  <si>
    <t xml:space="preserve">Laboratoires Expanscience (Mustela)</t>
  </si>
  <si>
    <t xml:space="preserve">https://www.expanscience.com/en/expanscience/company</t>
  </si>
  <si>
    <t xml:space="preserve">Paris La Défense</t>
  </si>
  <si>
    <t xml:space="preserve">1 place des Saisons, 92048 Paris La Défense</t>
  </si>
  <si>
    <t xml:space="preserve">+33 1 43 34 60 00</t>
  </si>
  <si>
    <t xml:space="preserve">Mustela baby skincare, Noviderm</t>
  </si>
  <si>
    <t xml:space="preserve">Baby skincare</t>
  </si>
  <si>
    <t xml:space="preserve">14 subsidiaries &amp; distributors in 100+ countries</t>
  </si>
  <si>
    <t xml:space="preserve">Ask - via UK distributor/subsidiary</t>
  </si>
  <si>
    <t xml:space="preserve">Cosmébio member; family-owned French lab</t>
  </si>
  <si>
    <t xml:space="preserve">Mustela is a strong baby-care seller</t>
  </si>
  <si>
    <t xml:space="preserve">Industry directory + company press</t>
  </si>
  <si>
    <t xml:space="preserve">PASS - well-known company: Mustela owner - major French pharma/cosmetics lab.</t>
  </si>
  <si>
    <t xml:space="preserve">Laboratoires Arkopharma</t>
  </si>
  <si>
    <t xml:space="preserve">https://www.arkopharma.com</t>
  </si>
  <si>
    <t xml:space="preserve">Carros (Nice)</t>
  </si>
  <si>
    <t xml:space="preserve">Zone Industrielle de Carros, 06510 Carros</t>
  </si>
  <si>
    <t xml:space="preserve">Arkopharma Arkogélules, Azinc, Arkoroyal</t>
  </si>
  <si>
    <t xml:space="preserve">Herbal supplements</t>
  </si>
  <si>
    <t xml:space="preserve">Direct or via distributors in 55 countries</t>
  </si>
  <si>
    <t xml:space="preserve">SIREN 307378489</t>
  </si>
  <si>
    <t xml:space="preserve">SIREN 307378489; ~EUR 164m revenue (2024)</t>
  </si>
  <si>
    <t xml:space="preserve">Supplements sell well; Amazon category approval needed</t>
  </si>
  <si>
    <t xml:space="preserve">Revenue fell in 2024 - check terms</t>
  </si>
  <si>
    <t xml:space="preserve">Company registry (Pappers) + business press</t>
  </si>
  <si>
    <t xml:space="preserve">Zolux SAS</t>
  </si>
  <si>
    <t xml:space="preserve">https://en.zolux.com</t>
  </si>
  <si>
    <t xml:space="preserve">Saintes</t>
  </si>
  <si>
    <t xml:space="preserve">141 Cours Paul Doumer, 17100 Saintes</t>
  </si>
  <si>
    <t xml:space="preserve">export@zolux.com</t>
  </si>
  <si>
    <t xml:space="preserve">Zolux, Francodex, Mastery, Saint Bernard, Anah</t>
  </si>
  <si>
    <t xml:space="preserve">Pet accessories &amp; care</t>
  </si>
  <si>
    <t xml:space="preserve">Retailers, distributors, exporters</t>
  </si>
  <si>
    <t xml:space="preserve">Partners in 50+ countries - ask</t>
  </si>
  <si>
    <t xml:space="preserve">~€128m turnover (2022); subsidiaries FR, PL, IT, Iberia</t>
  </si>
  <si>
    <t xml:space="preserve">Industry directory + company profile</t>
  </si>
  <si>
    <t xml:space="preserve">Zéfal SAS</t>
  </si>
  <si>
    <t xml:space="preserve">https://www.zefal.com</t>
  </si>
  <si>
    <t xml:space="preserve">Jargeau (Loiret)</t>
  </si>
  <si>
    <t xml:space="preserve">Jargeau</t>
  </si>
  <si>
    <t xml:space="preserve">Zéfal pumps, bottles, mudguards, locks, bike accessories</t>
  </si>
  <si>
    <t xml:space="preserve">Cycling accessories</t>
  </si>
  <si>
    <t xml:space="preserve">Distributors (exclusive UK distributor: Chicken CycleKit - sales@chickencyclekit.co.uk)</t>
  </si>
  <si>
    <t xml:space="preserve">Yes - via Chicken CycleKit (UK)</t>
  </si>
  <si>
    <t xml:space="preserve">~70% of turnover exported; long-established French brand</t>
  </si>
  <si>
    <t xml:space="preserve">Small, light accessories = great FBA fit</t>
  </si>
  <si>
    <t xml:space="preserve">Buy UK stock via Chicken CycleKit.</t>
  </si>
  <si>
    <t xml:space="preserve">Groupe Hamelin (Oxford, ELBA) - Hamelin GmbH export arm</t>
  </si>
  <si>
    <t xml:space="preserve">https://www.hamelinbrands.com</t>
  </si>
  <si>
    <t xml:space="preserve">Hérouville-Saint-Clair (Caen); sales co. Gronau (DE)</t>
  </si>
  <si>
    <t xml:space="preserve">Hérouville-Saint-Clair, Normandy</t>
  </si>
  <si>
    <t xml:space="preserve">corporate.de@hamelinbrands.zendesk.com</t>
  </si>
  <si>
    <t xml:space="preserve">Oxford notebooks, ELBA filing, Lamouette, Herlitz-style school paper</t>
  </si>
  <si>
    <t xml:space="preserve">Notebooks &amp; filing</t>
  </si>
  <si>
    <t xml:space="preserve">Distributors &amp; retailers (Hamelin GmbH handles DACH &amp; export)</t>
  </si>
  <si>
    <t xml:space="preserve">Has UK operations (ELBA/Oxford) - ask</t>
  </si>
  <si>
    <t xml:space="preserve">Founded 1864; €400-600m turnover; Paperworld exhibitor</t>
  </si>
  <si>
    <t xml:space="preserve">Oxford notebooks are strong sellers</t>
  </si>
  <si>
    <t xml:space="preserve">Business press + trade fair listing</t>
  </si>
  <si>
    <t xml:space="preserve">Maped SAS</t>
  </si>
  <si>
    <t xml:space="preserve">https://www.maped.com</t>
  </si>
  <si>
    <t xml:space="preserve">Argonay (Haute-Savoie)</t>
  </si>
  <si>
    <t xml:space="preserve">530 route de Pringy, 74370 Argonay</t>
  </si>
  <si>
    <t xml:space="preserve">+33 4 50 27 26 85 (verify)</t>
  </si>
  <si>
    <t xml:space="preserve">Maped scissors, geometry, pencil cases, colouring; Helix (UK); owns Juratoys</t>
  </si>
  <si>
    <t xml:space="preserve">School &amp; office supplies</t>
  </si>
  <si>
    <t xml:space="preserve">Distributors &amp; retailers (18 subsidiaries)</t>
  </si>
  <si>
    <t xml:space="preserve">Has UK operation (Helix) - ask</t>
  </si>
  <si>
    <t xml:space="preserve">Present in 120+ countries; family-owned French group</t>
  </si>
  <si>
    <t xml:space="preserve">Back-to-school bestsellers</t>
  </si>
  <si>
    <t xml:space="preserve">Trade data + company directories</t>
  </si>
  <si>
    <t xml:space="preserve">Exacompta Clairefontaine (ExaClair Ltd UK)</t>
  </si>
  <si>
    <t xml:space="preserve">https://exaclair.com/about_exaclair.php</t>
  </si>
  <si>
    <t xml:space="preserve">Étival-Clairefontaine (FR); UK office King's Lynn</t>
  </si>
  <si>
    <t xml:space="preserve">ExaClair Ltd, King's Lynn, Norfolk (UK subsidiary)</t>
  </si>
  <si>
    <t xml:space="preserve">Manufacturer group with UK subsidiary</t>
  </si>
  <si>
    <t xml:space="preserve">Clairefontaine, Rhodia, Exacompta, Quo Vadis, Brause, Jacques Herbin, Decopatch</t>
  </si>
  <si>
    <t xml:space="preserve">Premium paper &amp; office</t>
  </si>
  <si>
    <t xml:space="preserve">Stationery retailers</t>
  </si>
  <si>
    <t xml:space="preserve">Yes - ExaClair Ltd (UK)</t>
  </si>
  <si>
    <t xml:space="preserve">Euronext-listed group</t>
  </si>
  <si>
    <t xml:space="preserve">Rhodia/Clairefontaine notebooks sell well</t>
  </si>
  <si>
    <t xml:space="preserve">Use the UK subsidiary.</t>
  </si>
  <si>
    <t xml:space="preserve">Wikipedia + trade press</t>
  </si>
  <si>
    <t xml:space="preserve">Juratoys SAS (Janod, Kaloo, Lilliputiens)</t>
  </si>
  <si>
    <t xml:space="preserve">https://www.janod.com</t>
  </si>
  <si>
    <t xml:space="preserve">Orgelet (Jura)</t>
  </si>
  <si>
    <t xml:space="preserve">13 rue de l'Industrie, 39270 Orgelet</t>
  </si>
  <si>
    <t xml:space="preserve">+33 3 84 25 40 26 (verify)</t>
  </si>
  <si>
    <t xml:space="preserve">Janod wooden toys, Kaloo plush, Lilliputiens</t>
  </si>
  <si>
    <t xml:space="preserve">Wooden &amp; early-years toys</t>
  </si>
  <si>
    <t xml:space="preserve">Retailers</t>
  </si>
  <si>
    <t xml:space="preserve">Has a UK office</t>
  </si>
  <si>
    <t xml:space="preserve">Offices in UK, US, HK, CN; reported acquired by Maped (2022)</t>
  </si>
  <si>
    <t xml:space="preserve">Janod already sold on Amazon - brand-direct invoices</t>
  </si>
  <si>
    <t xml:space="preserve">Trade show listing + trade press</t>
  </si>
  <si>
    <t xml:space="preserve">WDK Groupe Partner</t>
  </si>
  <si>
    <t xml:space="preserve">Tauxigny (Centre-Val de Loire)</t>
  </si>
  <si>
    <t xml:space="preserve">90 rue Guglielmo Marconi, Node Park Touraine, 37310 Tauxigny</t>
  </si>
  <si>
    <t xml:space="preserve">+33 2 47 43 80 43</t>
  </si>
  <si>
    <t xml:space="preserve">asevingue@wdkpartner.com</t>
  </si>
  <si>
    <t xml:space="preserve">Toy &amp; leisure wholesaler</t>
  </si>
  <si>
    <t xml:space="preserve">10,000+ toy references; 14m toys sold/yr; runs Jouets Sajou network</t>
  </si>
  <si>
    <t xml:space="preserve">Toys &amp; family leisure</t>
  </si>
  <si>
    <t xml:space="preserve">France focus - ask</t>
  </si>
  <si>
    <t xml:space="preserve">Yes (marketplaces)</t>
  </si>
  <si>
    <t xml:space="preserve">France's No.1 toy wholesaler (trade press)</t>
  </si>
  <si>
    <t xml:space="preserve">Already sells via marketplaces (Nature &amp; Découvertes)</t>
  </si>
  <si>
    <t xml:space="preserve">Marketplace seller profile + trade press</t>
  </si>
  <si>
    <t xml:space="preserve">PASS (checked) - France's largest toy wholesaler; 64-store Jouets Sajou network.</t>
  </si>
  <si>
    <t xml:space="preserve">zentrada</t>
  </si>
  <si>
    <t xml:space="preserve">https://www.zentrada.eu</t>
  </si>
  <si>
    <t xml:space="preserve">B2B trading network (consumer goods)</t>
  </si>
  <si>
    <t xml:space="preserve">Consumer goods from European wholesalers &amp; importers (gifts, home, toys, seasonal)</t>
  </si>
  <si>
    <t xml:space="preserve">General merchandise</t>
  </si>
  <si>
    <t xml:space="preserve">Per supplier</t>
  </si>
  <si>
    <t xml:space="preserve">Commercial buyers (retailers)</t>
  </si>
  <si>
    <t xml:space="preserve">Has .co.uk site - check</t>
  </si>
  <si>
    <t xml:space="preserve">Long-running EU B2B network; TradeSafe buyer protection &amp; payment</t>
  </si>
  <si>
    <t xml:space="preserve">Mostly generic/importer goods - check listing ownership</t>
  </si>
  <si>
    <t xml:space="preserve">Auto-translated offers in 8 languages.</t>
  </si>
  <si>
    <t xml:space="preserve">Company site + trade fair article</t>
  </si>
  <si>
    <t xml:space="preserve">PASS - well-known company: Long-running European B2B wholesale network (since 2005).</t>
  </si>
  <si>
    <t xml:space="preserve">Zeven (Lower Saxony)</t>
  </si>
  <si>
    <t xml:space="preserve">Industriestraße 21-25, 27404 Zeven</t>
  </si>
  <si>
    <t xml:space="preserve">Baby feeding &amp; soothers</t>
  </si>
  <si>
    <t xml:space="preserve">Distributors &amp; retailers (export director in place)</t>
  </si>
  <si>
    <t xml:space="preserve">Ask who handles NUK in UK</t>
  </si>
  <si>
    <t xml:space="preserve">Founded 1947/48; manufactures NUK; ships to NUK USA</t>
  </si>
  <si>
    <t xml:space="preserve">Registry profile + trade data</t>
  </si>
  <si>
    <t xml:space="preserve">Scheeßel (Lower Saxony)</t>
  </si>
  <si>
    <t xml:space="preserve">Rudolf-Diesel-Str. 6, 27383 Scheeßel</t>
  </si>
  <si>
    <t xml:space="preserve">Retail chains &amp; wholesale customers</t>
  </si>
  <si>
    <t xml:space="preserve">DE/AT/Benelux focus - UK has separate MAM UK</t>
  </si>
  <si>
    <t xml:space="preserve">No</t>
  </si>
  <si>
    <t xml:space="preserve">Official distribution arm of MAM Baby AG</t>
  </si>
  <si>
    <t xml:space="preserve">Approach as 'online retailer'; may refer you to a wholesaler.</t>
  </si>
  <si>
    <t xml:space="preserve">Job listing + retailer imprint</t>
  </si>
  <si>
    <t xml:space="preserve">hauck GmbH &amp; Co. KG</t>
  </si>
  <si>
    <t xml:space="preserve">https://www.hauck.de</t>
  </si>
  <si>
    <t xml:space="preserve">Sonnefeld (Bavaria)</t>
  </si>
  <si>
    <t xml:space="preserve">Frohnlacher Str. 8, 96242 Sonnefeld</t>
  </si>
  <si>
    <t xml:space="preserve">hauck pushchairs, highchairs, travel cots, safety gates, toys</t>
  </si>
  <si>
    <t xml:space="preserve">Nursery &amp; travel</t>
  </si>
  <si>
    <t xml:space="preserve">Specialty juvenile stores &amp; chains (European sales team)</t>
  </si>
  <si>
    <t xml:space="preserve">Founded 1923 (100-year anniversary 2023)</t>
  </si>
  <si>
    <t xml:space="preserve">Highchairs &amp; gates sell well; bulky items = higher FBA fees</t>
  </si>
  <si>
    <t xml:space="preserve">Directory + trade press</t>
  </si>
  <si>
    <t xml:space="preserve">Lässig GmbH</t>
  </si>
  <si>
    <t xml:space="preserve">https://www.laessig-fashion.de</t>
  </si>
  <si>
    <t xml:space="preserve">Babenhausen (Hesse)</t>
  </si>
  <si>
    <t xml:space="preserve">Im Riemen 32, 64832 Babenhausen</t>
  </si>
  <si>
    <t xml:space="preserve">+49 6073 744890</t>
  </si>
  <si>
    <t xml:space="preserve">service@laessig-gmbh.de</t>
  </si>
  <si>
    <t xml:space="preserve">LÄSSIG changing bags, kids' backpacks, tableware, swimwear (GOTS certified)</t>
  </si>
  <si>
    <t xml:space="preserve">Baby bags &amp; accessories</t>
  </si>
  <si>
    <t xml:space="preserve">GOTS-certified; Maison&amp;Objet exhibitor</t>
  </si>
  <si>
    <t xml:space="preserve">Changing bags sell well; brand-direct invoices</t>
  </si>
  <si>
    <t xml:space="preserve">Retailer imprint + certification database</t>
  </si>
  <si>
    <t xml:space="preserve">2E Vertriebs-GmbH (Simple Parenting)</t>
  </si>
  <si>
    <t xml:space="preserve">https://www.2e-vertrieb.de</t>
  </si>
  <si>
    <t xml:space="preserve">Cologne</t>
  </si>
  <si>
    <t xml:space="preserve">Bismarckstraße 60, 50672 Köln</t>
  </si>
  <si>
    <t xml:space="preserve">+49 221 99987860</t>
  </si>
  <si>
    <t xml:space="preserve">info@2e-vertrieb.de</t>
  </si>
  <si>
    <t xml:space="preserve">Distributor (brand rights)</t>
  </si>
  <si>
    <t xml:space="preserve">Family &amp; parenting brands (distribution rights)</t>
  </si>
  <si>
    <t xml:space="preserve">Baby &amp; parenting</t>
  </si>
  <si>
    <t xml:space="preserve">Trade</t>
  </si>
  <si>
    <t xml:space="preserve">DACH/Benelux/France focus - ask</t>
  </si>
  <si>
    <t xml:space="preserve">HRB 80853</t>
  </si>
  <si>
    <t xml:space="preserve">HRB 80853 Köln; founded 2014; MDs Daniel Gruber &amp; Christian Thalmann</t>
  </si>
  <si>
    <t xml:space="preserve">Company registry profile</t>
  </si>
  <si>
    <t xml:space="preserve">PASS (checked) - HRB 80853 Köln; 18 staff.</t>
  </si>
  <si>
    <t xml:space="preserve">reer GmbH</t>
  </si>
  <si>
    <t xml:space="preserve">https://www.reer.de</t>
  </si>
  <si>
    <t xml:space="preserve">Leonberg</t>
  </si>
  <si>
    <t xml:space="preserve">Mühlstraße 41, 71229 Leonberg</t>
  </si>
  <si>
    <t xml:space="preserve">+49 7152 928520</t>
  </si>
  <si>
    <t xml:space="preserve">service@reer.de</t>
  </si>
  <si>
    <t xml:space="preserve">reer child-safety (locks, gates, corner guards), bottle warmers, baby monitors</t>
  </si>
  <si>
    <t xml:space="preserve">100+ year history; Ambiente exhibitor (Safe &amp; Care GmbH)</t>
  </si>
  <si>
    <t xml:space="preserve">Safety items sell well; check EN standards on pack</t>
  </si>
  <si>
    <t xml:space="preserve">Retailer product pages + trade fair</t>
  </si>
  <si>
    <t xml:space="preserve">Sulzbach (Taunus)</t>
  </si>
  <si>
    <t xml:space="preserve">Am Limespark 2, 65843 Sulzbach</t>
  </si>
  <si>
    <t xml:space="preserve">Mass cosmetics</t>
  </si>
  <si>
    <t xml:space="preserve">Drugstores, retailers &amp; online retail partners</t>
  </si>
  <si>
    <t xml:space="preserve">Sold in 90+ countries - ask about UK distributor</t>
  </si>
  <si>
    <t xml:space="preserve">22,000+ points of sale; publishes annual results</t>
  </si>
  <si>
    <t xml:space="preserve">Company letterhead / press releases</t>
  </si>
  <si>
    <t xml:space="preserve">Schwäbisch Gmünd</t>
  </si>
  <si>
    <t xml:space="preserve">Möhlerstraße 3, 73525 Schwäbisch Gmünd</t>
  </si>
  <si>
    <t xml:space="preserve">Natural skincare &amp; baby care</t>
  </si>
  <si>
    <t xml:space="preserve">Via subsidiaries in 20 countries &amp; distributors</t>
  </si>
  <si>
    <t xml:space="preserve">Yes - Weleda UK subsidiary</t>
  </si>
  <si>
    <t xml:space="preserve">Largest Weleda branch; group present in 50+ countries</t>
  </si>
  <si>
    <t xml:space="preserve">Contact Weleda UK for UK accounts.</t>
  </si>
  <si>
    <t xml:space="preserve">Wikipedia + retailer imprint</t>
  </si>
  <si>
    <t xml:space="preserve">ARTDECO cosmetic GmbH</t>
  </si>
  <si>
    <t xml:space="preserve">https://www.artdeco.de</t>
  </si>
  <si>
    <t xml:space="preserve">Karlsfeld (near Munich)</t>
  </si>
  <si>
    <t xml:space="preserve">Gaußstraße 13, 85757 Karlsfeld (HRB 76194 Munich)</t>
  </si>
  <si>
    <t xml:space="preserve">ARTDECO, Annemarie Börlind (group), Dr. Belter</t>
  </si>
  <si>
    <t xml:space="preserve">Cosmetics</t>
  </si>
  <si>
    <t xml:space="preserve">Sold in 65+ countries - ask</t>
  </si>
  <si>
    <t xml:space="preserve">HRB 76194</t>
  </si>
  <si>
    <t xml:space="preserve">Registered HRB 76194; branches FR &amp; IT; sister co. PLCC (export@plcc-gmbh.com)</t>
  </si>
  <si>
    <t xml:space="preserve">Company register + trade fair listing</t>
  </si>
  <si>
    <t xml:space="preserve">LOGOCOS Naturkosmetik GmbH &amp; Co. KG (Sante, Logona)</t>
  </si>
  <si>
    <t xml:space="preserve">https://www.sante.de</t>
  </si>
  <si>
    <t xml:space="preserve">Salzhemmendorf (production) / Düsseldorf (sales)</t>
  </si>
  <si>
    <t xml:space="preserve">Salzhemmendorf, Lower Saxony</t>
  </si>
  <si>
    <t xml:space="preserve">Sante natural cosmetics, Logona natural haircare &amp; colour</t>
  </si>
  <si>
    <t xml:space="preserve">Natural cosmetics</t>
  </si>
  <si>
    <t xml:space="preserve">Retailers &amp; export partners (export key account team)</t>
  </si>
  <si>
    <t xml:space="preserve">Has export business development team - ask</t>
  </si>
  <si>
    <t xml:space="preserve">Certified natural cosmetics; formerly L'Oréal-owned (2018-22)</t>
  </si>
  <si>
    <t xml:space="preserve">Company job postings + trade press</t>
  </si>
  <si>
    <t xml:space="preserve">PASS - well-known company: Major German natural-cosmetics maker (Sante, Logona).</t>
  </si>
  <si>
    <t xml:space="preserve">Landau an der Isar</t>
  </si>
  <si>
    <t xml:space="preserve">Wiesenweg 22, 94405 Landau/Isar</t>
  </si>
  <si>
    <t xml:space="preserve">Retailers, mail-order, online retailers (49 subsidiaries)</t>
  </si>
  <si>
    <t xml:space="preserve">Has Einhell UK subsidiary</t>
  </si>
  <si>
    <t xml:space="preserve">2,700+ staff; sold in 99+ countries; listed company</t>
  </si>
  <si>
    <t xml:space="preserve">Contact Einhell UK for UK accounts.</t>
  </si>
  <si>
    <t xml:space="preserve">Waldachtal</t>
  </si>
  <si>
    <t xml:space="preserve">Klaus-Fischer-Straße 1, 72178 Waldachtal</t>
  </si>
  <si>
    <t xml:space="preserve">Fixings &amp; fasteners</t>
  </si>
  <si>
    <t xml:space="preserve">Dealers via 50 subsidiaries &amp; importers</t>
  </si>
  <si>
    <t xml:space="preserve">Has fischer UK subsidiary</t>
  </si>
  <si>
    <t xml:space="preserve">Exports to 120+ countries; Nordic Swan licensed</t>
  </si>
  <si>
    <t xml:space="preserve">Wikipedia + company press texts</t>
  </si>
  <si>
    <t xml:space="preserve">Ulm</t>
  </si>
  <si>
    <t xml:space="preserve">Hans-Lorenser-Str. 40, 89079 Ulm</t>
  </si>
  <si>
    <t xml:space="preserve">Garden tools &amp; watering</t>
  </si>
  <si>
    <t xml:space="preserve">Dealers &amp; retailers</t>
  </si>
  <si>
    <t xml:space="preserve">Husqvarna UK handles UK - ask</t>
  </si>
  <si>
    <t xml:space="preserve">Part of Husqvarna Group since 2007</t>
  </si>
  <si>
    <t xml:space="preserve">Business directory + manuals</t>
  </si>
  <si>
    <t xml:space="preserve">Wuppertal</t>
  </si>
  <si>
    <t xml:space="preserve">Oberkamper Str. 13, 42349 Wuppertal</t>
  </si>
  <si>
    <t xml:space="preserve">Professional hand tools</t>
  </si>
  <si>
    <t xml:space="preserve">Authorised dealer</t>
  </si>
  <si>
    <t xml:space="preserve">Specialist tool distributors (100 countries)</t>
  </si>
  <si>
    <t xml:space="preserve">Ask - UK distribution exists</t>
  </si>
  <si>
    <t xml:space="preserve">Exhibitor at SHK Essen, Light+Building, Intersolar; ~60% export</t>
  </si>
  <si>
    <t xml:space="preserve">Premium brand - check Amazon brand gating first</t>
  </si>
  <si>
    <t xml:space="preserve">Multiple trade fair listings + industry directory</t>
  </si>
  <si>
    <t xml:space="preserve">Distributors &amp; dealers</t>
  </si>
  <si>
    <t xml:space="preserve">Yes - Wera Tools UK Ltd (queries@wera-tools.co.uk)</t>
  </si>
  <si>
    <t xml:space="preserve">Premium German tool brand with UK subsidiary</t>
  </si>
  <si>
    <t xml:space="preserve">Use Wera Tools UK.</t>
  </si>
  <si>
    <t xml:space="preserve">Distributor catalogue (2018)</t>
  </si>
  <si>
    <t xml:space="preserve">Schonach (Black Forest)</t>
  </si>
  <si>
    <t xml:space="preserve">Schonach</t>
  </si>
  <si>
    <t xml:space="preserve">Distributors (separate export order desk)</t>
  </si>
  <si>
    <t xml:space="preserve">Ask - regional offices (Benelux, Finland, Italy)</t>
  </si>
  <si>
    <t xml:space="preserve">Family-owned premium tool maker; Wikipedia entry</t>
  </si>
  <si>
    <t xml:space="preserve">Company catalogue + Wikipedia</t>
  </si>
  <si>
    <t xml:space="preserve">kwb Germany GmbH (Einhell group)</t>
  </si>
  <si>
    <t xml:space="preserve">https://www.kwb.eu</t>
  </si>
  <si>
    <t xml:space="preserve">Stuhr (near Bremen)</t>
  </si>
  <si>
    <t xml:space="preserve">Hauptstraße 132, 28816 Stuhr</t>
  </si>
  <si>
    <t xml:space="preserve">+49 421 8994-0</t>
  </si>
  <si>
    <t xml:space="preserve">welcome@kwb.eu</t>
  </si>
  <si>
    <t xml:space="preserve">Trading &amp; service company</t>
  </si>
  <si>
    <t xml:space="preserve">kwb power-tool accessories (drill bits, saw blades, abrasives) &amp; hand tools</t>
  </si>
  <si>
    <t xml:space="preserve">Tool accessories</t>
  </si>
  <si>
    <t xml:space="preserve">DIY stores &amp; tool retailers (has e-commerce sales team)</t>
  </si>
  <si>
    <t xml:space="preserve">Ask - has UK catalogue</t>
  </si>
  <si>
    <t xml:space="preserve">Part of Einhell group; MD Markus Vieler</t>
  </si>
  <si>
    <t xml:space="preserve">Accessories are small/light - good FBA economics</t>
  </si>
  <si>
    <t xml:space="preserve">Company catalogues + website</t>
  </si>
  <si>
    <t xml:space="preserve">Scheppach GmbH</t>
  </si>
  <si>
    <t xml:space="preserve">https://www.scheppach.com</t>
  </si>
  <si>
    <t xml:space="preserve">Ichenhausen (Bavaria)</t>
  </si>
  <si>
    <t xml:space="preserve">Günzburger Str. 69, 89335 Ichenhausen</t>
  </si>
  <si>
    <t xml:space="preserve">+49 8223 4002-0</t>
  </si>
  <si>
    <t xml:space="preserve">info@scheppach.com</t>
  </si>
  <si>
    <t xml:space="preserve">Manufacturer &amp; trading company</t>
  </si>
  <si>
    <t xml:space="preserve">Scheppach woodworking machines, garden &amp; workshop tools</t>
  </si>
  <si>
    <t xml:space="preserve">Workshop &amp; garden machines</t>
  </si>
  <si>
    <t xml:space="preserve">Founded 1927; Bayern International company database</t>
  </si>
  <si>
    <t xml:space="preserve">Bulky machines = high FBA fees; smaller tools fine</t>
  </si>
  <si>
    <t xml:space="preserve">State trade database + registry profile</t>
  </si>
  <si>
    <t xml:space="preserve">GÜDE GmbH &amp; Co. KG</t>
  </si>
  <si>
    <t xml:space="preserve">https://www.guede.com</t>
  </si>
  <si>
    <t xml:space="preserve">Wolpertshausen (Baden-Württemberg)</t>
  </si>
  <si>
    <t xml:space="preserve">Wolpertshausen (HQ on A6 Heilbronn-Nuremberg)</t>
  </si>
  <si>
    <t xml:space="preserve">Brand owner / wholesaler</t>
  </si>
  <si>
    <t xml:space="preserve">GÜDE workshop machines, compressors, garden &amp; power tools</t>
  </si>
  <si>
    <t xml:space="preserve">Workshop &amp; garden tools</t>
  </si>
  <si>
    <t xml:space="preserve">Specialist retailers, DIY stores, mail-order (5,000+ traders)</t>
  </si>
  <si>
    <t xml:space="preserve">European subsidiaries - ask</t>
  </si>
  <si>
    <t xml:space="preserve">Supplies 5,000+ traders across Europe</t>
  </si>
  <si>
    <t xml:space="preserve">Logistics-partner case study + job listings</t>
  </si>
  <si>
    <t xml:space="preserve">PASS - well-known company: Established German tools &amp; machinery brand.</t>
  </si>
  <si>
    <t xml:space="preserve">wolfcraft GmbH</t>
  </si>
  <si>
    <t xml:space="preserve">https://www.wolfcraft.com</t>
  </si>
  <si>
    <t xml:space="preserve">Kempenich (Eifel)</t>
  </si>
  <si>
    <t xml:space="preserve">Wolffstraße 1, Kempenich</t>
  </si>
  <si>
    <t xml:space="preserve">wolfcraft clamps, workbenches, drill stands, tool accessories</t>
  </si>
  <si>
    <t xml:space="preserve">DIY accessories</t>
  </si>
  <si>
    <t xml:space="preserve">Hardware &amp; specialist retailers</t>
  </si>
  <si>
    <t xml:space="preserve">70% export; distribution partners worldwide - ask</t>
  </si>
  <si>
    <t xml:space="preserve">Offices in AT, FR, IT, ES</t>
  </si>
  <si>
    <t xml:space="preserve">Popular DIY accessory brand</t>
  </si>
  <si>
    <t xml:space="preserve">Company directory + retailer pages</t>
  </si>
  <si>
    <t xml:space="preserve">PASS - well-known company: Established German DIY tool maker (50 countries).</t>
  </si>
  <si>
    <t xml:space="preserve">Rodenbach (near Hanau)</t>
  </si>
  <si>
    <t xml:space="preserve">Industriestr. 15, 63517 Rodenbach</t>
  </si>
  <si>
    <t xml:space="preserve">Designer fragrance / cosmetics</t>
  </si>
  <si>
    <t xml:space="preserve">Trade only</t>
  </si>
  <si>
    <t xml:space="preserve">Part of B&amp;S Group (listed Dutch distributor); one of the leading DACH perfume wholesalers</t>
  </si>
  <si>
    <t xml:space="preserve">Parfumtrend listed at same address.</t>
  </si>
  <si>
    <t xml:space="preserve">Job listing + directory - find website/Impressum</t>
  </si>
  <si>
    <t xml:space="preserve">Ulm (HQ); UK office Lowton</t>
  </si>
  <si>
    <t xml:space="preserve">Söflinger Str. 218, 89077 Ulm / UK: Suite 16, Stonecross Place, Lowton WA3 2SH</t>
  </si>
  <si>
    <t xml:space="preserve">Health devices</t>
  </si>
  <si>
    <t xml:space="preserve">Online &amp; high-street retailers (Boots, Argos, John Lewis...)</t>
  </si>
  <si>
    <t xml:space="preserve">Yes - Beurer UK Ltd</t>
  </si>
  <si>
    <t xml:space="preserve">Founded 1919; BHETA member (UK)</t>
  </si>
  <si>
    <t xml:space="preserve">Company site + BHETA listing</t>
  </si>
  <si>
    <t xml:space="preserve">Neuss</t>
  </si>
  <si>
    <t xml:space="preserve">Jagenbergstraße 19, 41468 Neuss</t>
  </si>
  <si>
    <t xml:space="preserve">Retailers &amp; pharmacies</t>
  </si>
  <si>
    <t xml:space="preserve">Part of Ogawa Smart Healthcare group</t>
  </si>
  <si>
    <t xml:space="preserve">Business press + directory</t>
  </si>
  <si>
    <t xml:space="preserve">Kneipp GmbH</t>
  </si>
  <si>
    <t xml:space="preserve">https://www.kneipp.com</t>
  </si>
  <si>
    <t xml:space="preserve">Würzburg</t>
  </si>
  <si>
    <t xml:space="preserve">Winterhäuser Str. 85, 97084 Würzburg</t>
  </si>
  <si>
    <t xml:space="preserve">+49 931 8002-0</t>
  </si>
  <si>
    <t xml:space="preserve">Kneipp bath &amp; body care, herbal supplements</t>
  </si>
  <si>
    <t xml:space="preserve">Bath &amp; body / wellness</t>
  </si>
  <si>
    <t xml:space="preserve">Distributors &amp; retailers (18 countries)</t>
  </si>
  <si>
    <t xml:space="preserve">Bayern International database; sold in US &amp; Japan</t>
  </si>
  <si>
    <t xml:space="preserve">Bath products sell well; liquids may need hazmat review</t>
  </si>
  <si>
    <t xml:space="preserve">State trade database + press release</t>
  </si>
  <si>
    <t xml:space="preserve">PASS - well-known company: Major German bath &amp; wellness brand.</t>
  </si>
  <si>
    <t xml:space="preserve">PAUL HARTMANN AG</t>
  </si>
  <si>
    <t xml:space="preserve">https://www.hartmann.info</t>
  </si>
  <si>
    <t xml:space="preserve">Heidenheim</t>
  </si>
  <si>
    <t xml:space="preserve">Paul-Hartmann-Straße 12, 89522 Heidenheim</t>
  </si>
  <si>
    <t xml:space="preserve">+49 7321 36-0</t>
  </si>
  <si>
    <t xml:space="preserve">Hartmann first aid &amp; wound care, Molicare incontinence, Veroval health devices</t>
  </si>
  <si>
    <t xml:space="preserve">First aid &amp; medical consumer</t>
  </si>
  <si>
    <t xml:space="preserve">Distributors in 100+ countries; pharmacies</t>
  </si>
  <si>
    <t xml:space="preserve">Has UK subsidiary - ask</t>
  </si>
  <si>
    <t xml:space="preserve">Frankfurt-listed medical group</t>
  </si>
  <si>
    <t xml:space="preserve">First aid &amp; Veroval BP monitors sell well</t>
  </si>
  <si>
    <t xml:space="preserve">Stock exchange profile + chamber directory</t>
  </si>
  <si>
    <t xml:space="preserve">Dr. Theiss Naturwaren GmbH</t>
  </si>
  <si>
    <t xml:space="preserve">https://www.naturwaren-theiss.de</t>
  </si>
  <si>
    <t xml:space="preserve">Homburg (Saarland)</t>
  </si>
  <si>
    <t xml:space="preserve">Michelinstraße 10, 66424 Homburg</t>
  </si>
  <si>
    <t xml:space="preserve">+49 6841 7090</t>
  </si>
  <si>
    <t xml:space="preserve">info@naturwaren-theiss.de</t>
  </si>
  <si>
    <t xml:space="preserve">Dr. Theiss natural remedies &amp; cosmetics, Allgäuer Latschenkiefer, Lavera (group)</t>
  </si>
  <si>
    <t xml:space="preserve">Natural health &amp; body care</t>
  </si>
  <si>
    <t xml:space="preserve">Distributors (MD Giuseppe Nardi leads export)</t>
  </si>
  <si>
    <t xml:space="preserve">Long-established German pharmacy-brand maker</t>
  </si>
  <si>
    <t xml:space="preserve">Pharma directory + trade press</t>
  </si>
  <si>
    <t xml:space="preserve">Nassau</t>
  </si>
  <si>
    <t xml:space="preserve">Leifheitstraße 1, 56377 Nassau</t>
  </si>
  <si>
    <t xml:space="preserve">Household &amp; kitchen</t>
  </si>
  <si>
    <t xml:space="preserve">Mass retail, specialty chains, e-commerce; distribution markets team</t>
  </si>
  <si>
    <t xml:space="preserve">Sells in 80+ countries - ask</t>
  </si>
  <si>
    <t xml:space="preserve">Frankfurt-listed household brand</t>
  </si>
  <si>
    <t xml:space="preserve">Company profiles + trade data</t>
  </si>
  <si>
    <t xml:space="preserve">Small appliances &amp; consumer electronics</t>
  </si>
  <si>
    <t xml:space="preserve">B2B</t>
  </si>
  <si>
    <t xml:space="preserve">IFA Berlin exhibitor</t>
  </si>
  <si>
    <t xml:space="preserve">Trade show profile - find Impressum</t>
  </si>
  <si>
    <t xml:space="preserve">GEFU GmbH</t>
  </si>
  <si>
    <t xml:space="preserve">https://www.gefu.com</t>
  </si>
  <si>
    <t xml:space="preserve">Eslohe (Sauerland)</t>
  </si>
  <si>
    <t xml:space="preserve">Braukweg 28, 59889 Eslohe</t>
  </si>
  <si>
    <t xml:space="preserve">+49 2973 97130</t>
  </si>
  <si>
    <t xml:space="preserve">info@gefu.com</t>
  </si>
  <si>
    <t xml:space="preserve">GEFU kitchen tools, spiralizers, pasta makers, gadgets</t>
  </si>
  <si>
    <t xml:space="preserve">Kitchen tools</t>
  </si>
  <si>
    <t xml:space="preserve">Retailers (2,000+ stores) &amp; B2B customers</t>
  </si>
  <si>
    <t xml:space="preserve">Family company; Maison&amp;Objet exhibitor</t>
  </si>
  <si>
    <t xml:space="preserve">Kitchen gadgets largely ungated</t>
  </si>
  <si>
    <t xml:space="preserve">Business press + trade fair</t>
  </si>
  <si>
    <t xml:space="preserve">SEVERIN Elektrogeräte GmbH</t>
  </si>
  <si>
    <t xml:space="preserve">https://www.severin.com</t>
  </si>
  <si>
    <t xml:space="preserve">Sundern (Sauerland)</t>
  </si>
  <si>
    <t xml:space="preserve">Röhre 27, 59846 Sundern</t>
  </si>
  <si>
    <t xml:space="preserve">+49 2933 98 20</t>
  </si>
  <si>
    <t xml:space="preserve">information@severin.de</t>
  </si>
  <si>
    <t xml:space="preserve">SEVERIN coffee machines, kettles, toasters, grills, fridges</t>
  </si>
  <si>
    <t xml:space="preserve">Small domestic appliances</t>
  </si>
  <si>
    <t xml:space="preserve">Retailers (5-6 own European sales companies)</t>
  </si>
  <si>
    <t xml:space="preserve">EU plugs - check UK versions/subsidiary</t>
  </si>
  <si>
    <t xml:space="preserve">~€148m turnover; IFA exhibitor; production in DE &amp; CN</t>
  </si>
  <si>
    <t xml:space="preserve">Trade fair + company profiles</t>
  </si>
  <si>
    <t xml:space="preserve">Westmark GmbH</t>
  </si>
  <si>
    <t xml:space="preserve">https://www.westmark.de</t>
  </si>
  <si>
    <t xml:space="preserve">Lennestadt</t>
  </si>
  <si>
    <t xml:space="preserve">Bielefelder Straße 125, 57368 Lennestadt</t>
  </si>
  <si>
    <t xml:space="preserve">+49 2721 92580</t>
  </si>
  <si>
    <t xml:space="preserve">Westmark, Monopol, Saleen - 2,500+ kitchen utensils</t>
  </si>
  <si>
    <t xml:space="preserve">Kitchen utensils</t>
  </si>
  <si>
    <t xml:space="preserve">Since 1956; Ambiente exhibitor; largely own manufacturing</t>
  </si>
  <si>
    <t xml:space="preserve">Kitchen gadgets are largely ungated on Amazon</t>
  </si>
  <si>
    <t xml:space="preserve">Trade fair directory</t>
  </si>
  <si>
    <t xml:space="preserve">Clatronic International GmbH</t>
  </si>
  <si>
    <t xml:space="preserve">https://www.clatronic.de</t>
  </si>
  <si>
    <t xml:space="preserve">Kempen</t>
  </si>
  <si>
    <t xml:space="preserve">Kempen (sister trading company C. Bomann GmbH, Kempen)</t>
  </si>
  <si>
    <t xml:space="preserve">Brand owner (appliances)</t>
  </si>
  <si>
    <t xml:space="preserve">Clatronic, Bomann, ProfiCook, ProfiCare small &amp; large appliances</t>
  </si>
  <si>
    <t xml:space="preserve">Household appliances</t>
  </si>
  <si>
    <t xml:space="preserve">Retailers &amp; B2B</t>
  </si>
  <si>
    <t xml:space="preserve">EU plugs - check UK versions</t>
  </si>
  <si>
    <t xml:space="preserve">Family business since 1982; ~100 staff in Germany</t>
  </si>
  <si>
    <t xml:space="preserve">Popular budget appliance brands on Amazon EU</t>
  </si>
  <si>
    <t xml:space="preserve">Business registry profile (C. Bomann)</t>
  </si>
  <si>
    <t xml:space="preserve">Tarp (DE); UK warehouse</t>
  </si>
  <si>
    <t xml:space="preserve">Tarp, Schleswig-Holstein; UK warehouse (opened Dec 2025)</t>
  </si>
  <si>
    <t xml:space="preserve">Pet accessories &amp; treats</t>
  </si>
  <si>
    <t xml:space="preserve">Retailers / resellers (own UK sales team)</t>
  </si>
  <si>
    <t xml:space="preserve">Yes - UK entity + UK warehouse</t>
  </si>
  <si>
    <t xml:space="preserve">Major European pet accessories brand; Interzoo exhibitor</t>
  </si>
  <si>
    <t xml:space="preserve">Trade press + trade directory</t>
  </si>
  <si>
    <t xml:space="preserve">Albert Kerbl GmbH</t>
  </si>
  <si>
    <t xml:space="preserve">https://www.kerbl.com</t>
  </si>
  <si>
    <t xml:space="preserve">Buchbach (Bavaria)</t>
  </si>
  <si>
    <t xml:space="preserve">Felizenzell 9, 84428 Buchbach</t>
  </si>
  <si>
    <t xml:space="preserve">+49 8086 933-100</t>
  </si>
  <si>
    <t xml:space="preserve">info@kerbl.de (UK: enquiries@kerbl.co.uk)</t>
  </si>
  <si>
    <t xml:space="preserve">Wholesaler &amp; manufacturer</t>
  </si>
  <si>
    <t xml:space="preserve">Kerbl pet accessories, grooming, small-animal, chew toys + farm/equestrian</t>
  </si>
  <si>
    <t xml:space="preserve">Pet accessories</t>
  </si>
  <si>
    <t xml:space="preserve">Yes - Kerbl UK (Oakham)</t>
  </si>
  <si>
    <t xml:space="preserve">Interzoo exhibitor; subsidiaries in AT, FR, UK</t>
  </si>
  <si>
    <t xml:space="preserve">Brand-direct invoices; UK arm removes import hassle</t>
  </si>
  <si>
    <t xml:space="preserve">Company product docs + trade show</t>
  </si>
  <si>
    <t xml:space="preserve">H. von Gimborn GmbH (GimCat, GimDog, Biokat's)</t>
  </si>
  <si>
    <t xml:space="preserve">https://www.gimborn.eu</t>
  </si>
  <si>
    <t xml:space="preserve">Emmerich am Rhein</t>
  </si>
  <si>
    <t xml:space="preserve">Albert-Einstein-Straße 6, 46446 Emmerich am Rhein</t>
  </si>
  <si>
    <t xml:space="preserve">+49 2822 9640</t>
  </si>
  <si>
    <t xml:space="preserve">info@gimborn.de</t>
  </si>
  <si>
    <t xml:space="preserve">GimCat, GimDog snacks &amp; care, Biokat's cat litter</t>
  </si>
  <si>
    <t xml:space="preserve">Pet treats &amp; litter</t>
  </si>
  <si>
    <t xml:space="preserve">Founded 1855; own factory since 1965; Interzoo exhibitor; LEI registered</t>
  </si>
  <si>
    <t xml:space="preserve">Trade fair + business press</t>
  </si>
  <si>
    <t xml:space="preserve">HUNTER International GmbH</t>
  </si>
  <si>
    <t xml:space="preserve">https://www.hunter.de</t>
  </si>
  <si>
    <t xml:space="preserve">Bielefeld</t>
  </si>
  <si>
    <t xml:space="preserve">Mittelbreede 5, 33719 Bielefeld</t>
  </si>
  <si>
    <t xml:space="preserve">+49 521 16399-500</t>
  </si>
  <si>
    <t xml:space="preserve">info@hunter.de</t>
  </si>
  <si>
    <t xml:space="preserve">Brand owner (B2B shop for retailers)</t>
  </si>
  <si>
    <t xml:space="preserve">HUNTER, stylecats, KESSI - collars, leads, beds, cat accessories</t>
  </si>
  <si>
    <t xml:space="preserve">Trade customers - B2B shop b2b.hunter.de</t>
  </si>
  <si>
    <t xml:space="preserve">Yes - HUNTER UK (Knipton, Lincs)</t>
  </si>
  <si>
    <t xml:space="preserve">Interzoo exhibitor; long-established German brand</t>
  </si>
  <si>
    <t xml:space="preserve">Brand-direct invoices</t>
  </si>
  <si>
    <t xml:space="preserve">Company document + trade show</t>
  </si>
  <si>
    <t xml:space="preserve">Nobby Pet Shop GmbH</t>
  </si>
  <si>
    <t xml:space="preserve">https://www.nobby.de</t>
  </si>
  <si>
    <t xml:space="preserve">Bocholt</t>
  </si>
  <si>
    <t xml:space="preserve">Im Egeling 21, 46395 Bocholt</t>
  </si>
  <si>
    <t xml:space="preserve">+49 2871 2394390</t>
  </si>
  <si>
    <t xml:space="preserve">info@nobby.de</t>
  </si>
  <si>
    <t xml:space="preserve">Wholesaler / importer</t>
  </si>
  <si>
    <t xml:space="preserve">7,000+ pet products: dog, cat, small animal, bird, aquarium, pond</t>
  </si>
  <si>
    <t xml:space="preserve">Pet retailers</t>
  </si>
  <si>
    <t xml:space="preserve">Previously via UK partner PPD - ask</t>
  </si>
  <si>
    <t xml:space="preserve">30+ years; Interzoo &amp; Zoomark exhibitor; direct sales BE/FR since 2022</t>
  </si>
  <si>
    <t xml:space="preserve">Vitakraft pet care GmbH &amp; Co. KG</t>
  </si>
  <si>
    <t xml:space="preserve">https://www.vitakraft.com</t>
  </si>
  <si>
    <t xml:space="preserve">Bremen</t>
  </si>
  <si>
    <t xml:space="preserve">Mahndorfer Heerstraße 9, 28307 Bremen</t>
  </si>
  <si>
    <t xml:space="preserve">Vitakraft treats, food &amp; care for cats, dogs, small animals, birds</t>
  </si>
  <si>
    <t xml:space="preserve">Pet food &amp; treats</t>
  </si>
  <si>
    <t xml:space="preserve">Retailers &amp; distributors (own sales companies in 19 countries)</t>
  </si>
  <si>
    <t xml:space="preserve">Has international sales network - ask</t>
  </si>
  <si>
    <t xml:space="preserve">~1,100 staff in 24 nations; dedicated export team in Bremen</t>
  </si>
  <si>
    <t xml:space="preserve">Major pet brand - brand-direct invoices</t>
  </si>
  <si>
    <t xml:space="preserve">Industry directory + investor profile</t>
  </si>
  <si>
    <t xml:space="preserve">PASS - well-known company: One of Europe's largest pet-food &amp; accessory brands.</t>
  </si>
  <si>
    <t xml:space="preserve">Schulze Heimtierbedarf GmbH (Porta Pet)</t>
  </si>
  <si>
    <t xml:space="preserve">https://www.portapet.de</t>
  </si>
  <si>
    <t xml:space="preserve">Porta Westfalica</t>
  </si>
  <si>
    <t xml:space="preserve">Osterkamp 11, 32457 Porta Westfalica</t>
  </si>
  <si>
    <t xml:space="preserve">+49 571 9820023</t>
  </si>
  <si>
    <t xml:space="preserve">info@portapet.de</t>
  </si>
  <si>
    <t xml:space="preserve">Brand owner / exclusive distributor</t>
  </si>
  <si>
    <t xml:space="preserve">Porta21 + Starmark, Intersand, Jolly Pets, Pioneer Pet, Sturdi, Omega Paw, Doggles</t>
  </si>
  <si>
    <t xml:space="preserve">Pet food, litter, toys</t>
  </si>
  <si>
    <t xml:space="preserve">Wholesale &amp; retail partners</t>
  </si>
  <si>
    <t xml:space="preserve">Supplies across Europe - ask</t>
  </si>
  <si>
    <t xml:space="preserve">Second-generation family business; Interzoo &amp; Zoomark exhibitor</t>
  </si>
  <si>
    <t xml:space="preserve">Josera Petfood GmbH &amp; Co. KG</t>
  </si>
  <si>
    <t xml:space="preserve">https://josera-importers.com</t>
  </si>
  <si>
    <t xml:space="preserve">Kleinheubach (Bavaria)</t>
  </si>
  <si>
    <t xml:space="preserve">Industriegebiet Süd, 63924 Kleinheubach</t>
  </si>
  <si>
    <t xml:space="preserve">+49 9371 940120</t>
  </si>
  <si>
    <t xml:space="preserve">export-petfood@josera.de</t>
  </si>
  <si>
    <t xml:space="preserve">Josera &amp; JosiDog/JosiCat dog &amp; cat food</t>
  </si>
  <si>
    <t xml:space="preserve">Pet food</t>
  </si>
  <si>
    <t xml:space="preserve">Pallet level likely</t>
  </si>
  <si>
    <t xml:space="preserve">Importers &amp; distributors (importer portal)</t>
  </si>
  <si>
    <t xml:space="preserve">Has export team &amp; importer portal - ask</t>
  </si>
  <si>
    <t xml:space="preserve">Interzoo &amp; Zoomark exhibitor; dedicated export managers</t>
  </si>
  <si>
    <t xml:space="preserve">Heavy food bags = high FBA fees</t>
  </si>
  <si>
    <t xml:space="preserve">Trade fair listings</t>
  </si>
  <si>
    <t xml:space="preserve">WOLTERS cat &amp; dog GmbH</t>
  </si>
  <si>
    <t xml:space="preserve">Verden (Aller)</t>
  </si>
  <si>
    <t xml:space="preserve">Otto-Hahn-Straße 2, 27283 Verden (HRB 121182 Walsrode)</t>
  </si>
  <si>
    <t xml:space="preserve">+49 4231 72077770 (store - verify)</t>
  </si>
  <si>
    <t xml:space="preserve">WOLTERS premium dog harnesses, collars, beds, coats</t>
  </si>
  <si>
    <t xml:space="preserve">Premium pet accessories</t>
  </si>
  <si>
    <t xml:space="preserve">HRB 121182</t>
  </si>
  <si>
    <t xml:space="preserve">LEI &amp; commercial register entry</t>
  </si>
  <si>
    <t xml:space="preserve">LEI register + directory</t>
  </si>
  <si>
    <t xml:space="preserve">Paul Lange &amp; Co. OHG</t>
  </si>
  <si>
    <t xml:space="preserve">https://www.paul-lange.de</t>
  </si>
  <si>
    <t xml:space="preserve">Stuttgart</t>
  </si>
  <si>
    <t xml:space="preserve">Cycling wholesaler / importer</t>
  </si>
  <si>
    <t xml:space="preserve">Shimano general representative (DE) + cycling parts, MILREMO clothing</t>
  </si>
  <si>
    <t xml:space="preserve">Cycling parts &amp; accessories</t>
  </si>
  <si>
    <t xml:space="preserve">Bike dealers (dealer training &amp; service)</t>
  </si>
  <si>
    <t xml:space="preserve">Paul Lange Group operates in 7 other EU countries - ask</t>
  </si>
  <si>
    <t xml:space="preserve">Founded 1949; Shimano distributor since 1967; 75+ years</t>
  </si>
  <si>
    <t xml:space="preserve">Shimano parts sell well; ask about online dealer policy</t>
  </si>
  <si>
    <t xml:space="preserve">MD: Bernhard Lange.</t>
  </si>
  <si>
    <t xml:space="preserve">Trade press + company press room</t>
  </si>
  <si>
    <t xml:space="preserve">SIGMA-ELEKTRO GmbH (SIGMA SPORT)</t>
  </si>
  <si>
    <t xml:space="preserve">https://sigma.bike</t>
  </si>
  <si>
    <t xml:space="preserve">Neustadt an der Weinstraße</t>
  </si>
  <si>
    <t xml:space="preserve">Dr.-Julius-Leber-Straße 15, 67433 Neustadt</t>
  </si>
  <si>
    <t xml:space="preserve">+49 6321 91200</t>
  </si>
  <si>
    <t xml:space="preserve">info@sigma.bike</t>
  </si>
  <si>
    <t xml:space="preserve">SIGMA bike computers, bike lights, e-bike electronics</t>
  </si>
  <si>
    <t xml:space="preserve">Cycling electronics &amp; lights</t>
  </si>
  <si>
    <t xml:space="preserve">Sold worldwide - ask</t>
  </si>
  <si>
    <t xml:space="preserve">Founded 1981; ISO 9001 certified; family-owned</t>
  </si>
  <si>
    <t xml:space="preserve">Bike lights sell well (batteries: check hazmat)</t>
  </si>
  <si>
    <t xml:space="preserve">Business press + retailer EU info</t>
  </si>
  <si>
    <t xml:space="preserve">SKS metaplast Scheffer-Klute GmbH (SKS GERMANY)</t>
  </si>
  <si>
    <t xml:space="preserve">https://www.sks-germany.com</t>
  </si>
  <si>
    <t xml:space="preserve">Sundern</t>
  </si>
  <si>
    <t xml:space="preserve">SKS pumps, mudguards, bottle cages, bike accessories</t>
  </si>
  <si>
    <t xml:space="preserve">Distributors (export dept.) &amp; dealers</t>
  </si>
  <si>
    <t xml:space="preserve">UK via exclusive distributor (historically Zyro) - ask</t>
  </si>
  <si>
    <t xml:space="preserve">4th-generation family firm; exports to 60+ countries; record sales</t>
  </si>
  <si>
    <t xml:space="preserve">Small accessories = good FBA fit</t>
  </si>
  <si>
    <t xml:space="preserve">Company blog + trade press</t>
  </si>
  <si>
    <t xml:space="preserve">PASS - well-known company: Established German bike-accessory maker.</t>
  </si>
  <si>
    <t xml:space="preserve">Fitshop GmbH (KETTLER fitness)</t>
  </si>
  <si>
    <t xml:space="preserve">https://kettlersport.com/en-dk/about-us/</t>
  </si>
  <si>
    <t xml:space="preserve">Ense-Parsit (KETTLER HQ)</t>
  </si>
  <si>
    <t xml:space="preserve">Hauptstraße 28, 59469 Ense-Parsit (KETTLER)</t>
  </si>
  <si>
    <t xml:space="preserve">+49 2938 810 (KETTLER HQ)</t>
  </si>
  <si>
    <t xml:space="preserve">Brand licensee / distributor</t>
  </si>
  <si>
    <t xml:space="preserve">KETTLER home fitness (bikes, cross-trainers, treadmills)</t>
  </si>
  <si>
    <t xml:space="preserve">Home fitness equipment</t>
  </si>
  <si>
    <t xml:space="preserve">B2B &amp; B2C channels in EU, EFTA &amp; Turkey</t>
  </si>
  <si>
    <t xml:space="preserve">UK not in listed territory - ask</t>
  </si>
  <si>
    <t xml:space="preserve">Took over KETTLER fitness division Dec 2024</t>
  </si>
  <si>
    <t xml:space="preserve">Bulky = high FBA fees</t>
  </si>
  <si>
    <t xml:space="preserve">Wikipedia + company site</t>
  </si>
  <si>
    <t xml:space="preserve">PASS - well-known company: Large German fitness retailer/distributor; KETTLER fitness licensee since Dec 2024.</t>
  </si>
  <si>
    <t xml:space="preserve">HUDORA GmbH</t>
  </si>
  <si>
    <t xml:space="preserve">https://www.hudora.de</t>
  </si>
  <si>
    <t xml:space="preserve">Remscheid</t>
  </si>
  <si>
    <t xml:space="preserve">Remscheid (see Impressum)</t>
  </si>
  <si>
    <t xml:space="preserve">HUDORA scooters, trampolines, skates, balls, outdoor play</t>
  </si>
  <si>
    <t xml:space="preserve">Outdoor play &amp; scooters</t>
  </si>
  <si>
    <t xml:space="preserve">German 'hidden champion' family business</t>
  </si>
  <si>
    <t xml:space="preserve">Big sellers but bulky items (trampolines) have high FBA fees</t>
  </si>
  <si>
    <t xml:space="preserve">Business press profile</t>
  </si>
  <si>
    <t xml:space="preserve">PASS - well-known company: Major German scooter, trampoline &amp; sports brand.</t>
  </si>
  <si>
    <t xml:space="preserve">Hermann Hartje KG</t>
  </si>
  <si>
    <t xml:space="preserve">https://hartje.de/en/company/</t>
  </si>
  <si>
    <t xml:space="preserve">Hoya (Lower Saxony)</t>
  </si>
  <si>
    <t xml:space="preserve">Hoya (HQ)</t>
  </si>
  <si>
    <t xml:space="preserve">via dealer contact form</t>
  </si>
  <si>
    <t xml:space="preserve">Manufacturer, brand dealer &amp; wholesaler</t>
  </si>
  <si>
    <t xml:space="preserve">Contec parts &amp; accessories, CONWAY bikes, exclusive parts brands (e.g. Magneti Marelli bike)</t>
  </si>
  <si>
    <t xml:space="preserve">Dealers - HARTJE dealer portal</t>
  </si>
  <si>
    <t xml:space="preserve">Has international distributors per country - ask</t>
  </si>
  <si>
    <t xml:space="preserve">20+ subsidiaries; one of Germany's largest cycling wholesalers</t>
  </si>
  <si>
    <t xml:space="preserve">Contec accessories (own brand) = direct invoices</t>
  </si>
  <si>
    <t xml:space="preserve">Sport Import GmbH</t>
  </si>
  <si>
    <t xml:space="preserve">https://sportimport.de</t>
  </si>
  <si>
    <t xml:space="preserve">Edewecht (Lower Saxony)</t>
  </si>
  <si>
    <t xml:space="preserve">Edewecht (see Impressum)</t>
  </si>
  <si>
    <t xml:space="preserve">Cycling distributor</t>
  </si>
  <si>
    <t xml:space="preserve">35+ cycling brands + own brand VOXOM; accessories, parts, bikes</t>
  </si>
  <si>
    <t xml:space="preserve">Cycling</t>
  </si>
  <si>
    <t xml:space="preserve">Dealers - B2B shop registration</t>
  </si>
  <si>
    <t xml:space="preserve">Europe-wide - ask about UK</t>
  </si>
  <si>
    <t xml:space="preserve">Founded 1982; 3,500-4,700 dealers across Europe</t>
  </si>
  <si>
    <t xml:space="preserve">Ask about online dealer policy</t>
  </si>
  <si>
    <t xml:space="preserve">Company website + trade press (Bike Europe)</t>
  </si>
  <si>
    <t xml:space="preserve">Absolut Bikes GmbH</t>
  </si>
  <si>
    <t xml:space="preserve">Ostfildern (near Stuttgart)</t>
  </si>
  <si>
    <t xml:space="preserve">Robert-Bosch-Straße 17, 73760 Ostfildern</t>
  </si>
  <si>
    <t xml:space="preserve">+49 711 933 0870 (verify)</t>
  </si>
  <si>
    <t xml:space="preserve">B2B e-commerce wholesaler</t>
  </si>
  <si>
    <t xml:space="preserve">Bicycle parts &amp; accessories</t>
  </si>
  <si>
    <t xml:space="preserve">Bike shops (online &amp; offline)</t>
  </si>
  <si>
    <t xml:space="preserve">Europe-wide</t>
  </si>
  <si>
    <t xml:space="preserve">Yes (online shops)</t>
  </si>
  <si>
    <t xml:space="preserve">Founded 1993; ships daily to 2,500+ shops; owned by FIELDS Group</t>
  </si>
  <si>
    <t xml:space="preserve">Supplies online bike shops</t>
  </si>
  <si>
    <t xml:space="preserve">Acquired by investor FIELDS Group; serves 2,500+ bike shops across Europe (B2B e-commerce)</t>
  </si>
  <si>
    <t xml:space="preserve">M&amp;A adviser announcement (IMAP)</t>
  </si>
  <si>
    <t xml:space="preserve">AceCamp GmbH</t>
  </si>
  <si>
    <t xml:space="preserve">https://www.provenexpert.com/acecamp-gmbh/</t>
  </si>
  <si>
    <t xml:space="preserve">Heusenstamm (Hesse)</t>
  </si>
  <si>
    <t xml:space="preserve">Weiskircher Weg 9, 63150 Heusenstamm</t>
  </si>
  <si>
    <t xml:space="preserve">B2B outdoor wholesaler / brand owner</t>
  </si>
  <si>
    <t xml:space="preserve">munkees, AceCamp - tent pegs, camping grills, pillows, sleeping bags</t>
  </si>
  <si>
    <t xml:space="preserve">Camping &amp; outdoor</t>
  </si>
  <si>
    <t xml:space="preserve">ProvenExpert 5.0/5</t>
  </si>
  <si>
    <t xml:space="preserve">Own brands - direct invoices</t>
  </si>
  <si>
    <t xml:space="preserve">Review profile</t>
  </si>
  <si>
    <t xml:space="preserve">CAUTION - Thin evidence (1-10 staff), possible link to a Chinese brand group - verify Impressum/HRB.</t>
  </si>
  <si>
    <t xml:space="preserve">HAMMER SPORT AG</t>
  </si>
  <si>
    <t xml:space="preserve">https://www.hammer.de</t>
  </si>
  <si>
    <t xml:space="preserve">Neu-Ulm</t>
  </si>
  <si>
    <t xml:space="preserve">Von-Liebig-Str. 21, 89231 Neu-Ulm</t>
  </si>
  <si>
    <t xml:space="preserve">+49 731 97488-0</t>
  </si>
  <si>
    <t xml:space="preserve">info@hammer.de</t>
  </si>
  <si>
    <t xml:space="preserve">HAMMER home fitness (treadmills, bikes, strength, boxing)</t>
  </si>
  <si>
    <t xml:space="preserve">One of Europe's leading home-fitness brands</t>
  </si>
  <si>
    <t xml:space="preserve">Heavy equipment = high FBA fees; accessories fine</t>
  </si>
  <si>
    <t xml:space="preserve">Business directory</t>
  </si>
  <si>
    <t xml:space="preserve">PASS - well-known company: Established German fitness-equipment brand.</t>
  </si>
  <si>
    <t xml:space="preserve">Sport-Thieme GmbH</t>
  </si>
  <si>
    <t xml:space="preserve">https://www.sport-thieme.de</t>
  </si>
  <si>
    <t xml:space="preserve">Grasleben (Lower Saxony)</t>
  </si>
  <si>
    <t xml:space="preserve">Helmstedter Straße 40, 38368 Grasleben</t>
  </si>
  <si>
    <t xml:space="preserve">+49 5357 18181</t>
  </si>
  <si>
    <t xml:space="preserve">info@sport-thieme.de</t>
  </si>
  <si>
    <t xml:space="preserve">B2B sports equipment supplier</t>
  </si>
  <si>
    <t xml:space="preserve">19,000+ sports, fitness &amp; therapy articles (own &amp; third-party brands)</t>
  </si>
  <si>
    <t xml:space="preserve">Sports &amp; fitness equipment</t>
  </si>
  <si>
    <t xml:space="preserve">Schools, clubs, fitness &amp; B2B customers; international business development team</t>
  </si>
  <si>
    <t xml:space="preserve">Partners in 14 countries - ask</t>
  </si>
  <si>
    <t xml:space="preserve">Market leader in German school/club sports mail order; Wikipedia entry</t>
  </si>
  <si>
    <t xml:space="preserve">Own-brand fitness accessories possible</t>
  </si>
  <si>
    <t xml:space="preserve">Wikipedia + business press</t>
  </si>
  <si>
    <t xml:space="preserve">PASS - well-known company: Large German B2B sports-equipment supplier.</t>
  </si>
  <si>
    <t xml:space="preserve">Ahrensburg</t>
  </si>
  <si>
    <t xml:space="preserve">Bookkoppel 7, 22926 Ahrensburg</t>
  </si>
  <si>
    <t xml:space="preserve">Markers &amp; writing</t>
  </si>
  <si>
    <t xml:space="preserve">Yes - edding UK Ltd, St Albans (+44 1727 84 66 88)</t>
  </si>
  <si>
    <t xml:space="preserve">Listed company; subsidiaries UK, FR, Benelux</t>
  </si>
  <si>
    <t xml:space="preserve">Use edding UK for UK accounts.</t>
  </si>
  <si>
    <t xml:space="preserve">Company site + stock profile</t>
  </si>
  <si>
    <t xml:space="preserve">Nuremberg</t>
  </si>
  <si>
    <t xml:space="preserve">Moosäckerstraße 3, 90427 Nürnberg</t>
  </si>
  <si>
    <t xml:space="preserve">Writing &amp; art supplies</t>
  </si>
  <si>
    <t xml:space="preserve">Distributors &amp; retailers via 26+ subsidiaries</t>
  </si>
  <si>
    <t xml:space="preserve">Has UK subsidiary - contact STAEDTLER UK</t>
  </si>
  <si>
    <t xml:space="preserve">~75% export; 9 manufacturing sites; Bayern International database</t>
  </si>
  <si>
    <t xml:space="preserve">Business directories + company site</t>
  </si>
  <si>
    <t xml:space="preserve">DURABLE Hunke &amp; Jochheim GmbH &amp; Co. KG</t>
  </si>
  <si>
    <t xml:space="preserve">https://www.durable.eu</t>
  </si>
  <si>
    <t xml:space="preserve">Iserlohn</t>
  </si>
  <si>
    <t xml:space="preserve">Westfalenstraße 77-79, 58636 Iserlohn</t>
  </si>
  <si>
    <t xml:space="preserve">+49 2371 9792-0 (logistics - verify)</t>
  </si>
  <si>
    <t xml:space="preserve">DURABLE filing, ID badges, desk organisers, LED lamps, workplace</t>
  </si>
  <si>
    <t xml:space="preserve">Office products</t>
  </si>
  <si>
    <t xml:space="preserve">Distributors &amp; retailers (own sales companies in Europe &amp; USA)</t>
  </si>
  <si>
    <t xml:space="preserve">Has European sales companies - ask about UK</t>
  </si>
  <si>
    <t xml:space="preserve">ORGATEC exhibitor; distributed by API in Germany</t>
  </si>
  <si>
    <t xml:space="preserve">Office accessories sell steadily</t>
  </si>
  <si>
    <t xml:space="preserve">Trade fair listing + trade press</t>
  </si>
  <si>
    <t xml:space="preserve">Schneider Schreibgeräte GmbH</t>
  </si>
  <si>
    <t xml:space="preserve">https://www.schneiderpen.com</t>
  </si>
  <si>
    <t xml:space="preserve">Schramberg-Tennenbronn (Black Forest)</t>
  </si>
  <si>
    <t xml:space="preserve">Schwarzenbach 9, 78144 Schramberg-Tennenbronn</t>
  </si>
  <si>
    <t xml:space="preserve">+49 7729 888-0</t>
  </si>
  <si>
    <t xml:space="preserve">info@schneiderpen.de</t>
  </si>
  <si>
    <t xml:space="preserve">Schneider pens, refills, markers, highlighters</t>
  </si>
  <si>
    <t xml:space="preserve">Writing instruments</t>
  </si>
  <si>
    <t xml:space="preserve">Distributors &amp; retailers (area sales managers)</t>
  </si>
  <si>
    <t xml:space="preserve">~60% exported - ask</t>
  </si>
  <si>
    <t xml:space="preserve">Paperworld exhibitor (German pavilion); named area sales managers</t>
  </si>
  <si>
    <t xml:space="preserve">Area Sales Manager: Berthold Storz.</t>
  </si>
  <si>
    <t xml:space="preserve">Pelikan Group GmbH (Pelikan, herlitz)</t>
  </si>
  <si>
    <t xml:space="preserve">https://pelikan.com/int/company/pelikan-group-gmbh.html</t>
  </si>
  <si>
    <t xml:space="preserve">Berlin</t>
  </si>
  <si>
    <t xml:space="preserve">Berlin (HQ)</t>
  </si>
  <si>
    <t xml:space="preserve">Pelikan, herlitz, Geha, Susy Card - school, office &amp; writing</t>
  </si>
  <si>
    <t xml:space="preserve">Wholesalers, dealers, retailers</t>
  </si>
  <si>
    <t xml:space="preserve">International sales - ask</t>
  </si>
  <si>
    <t xml:space="preserve">Owned by Pelikan Holding (listed in Malaysia); herlitz since 1904</t>
  </si>
  <si>
    <t xml:space="preserve">School supplies peak in back-to-school season</t>
  </si>
  <si>
    <t xml:space="preserve">Company site + Wikipedia</t>
  </si>
  <si>
    <t xml:space="preserve">Pfizerstraße 5-7, 70184 Stuttgart</t>
  </si>
  <si>
    <t xml:space="preserve">Board games &amp; science kits</t>
  </si>
  <si>
    <t xml:space="preserve">Retailers &amp; distributors (80+ countries)</t>
  </si>
  <si>
    <t xml:space="preserve">Yes - Thames &amp; Kosmos UK (wholly owned since 2026)</t>
  </si>
  <si>
    <t xml:space="preserve">Major German publisher; London Book Fair (German pavilion) exhibitor</t>
  </si>
  <si>
    <t xml:space="preserve">Contact Thames &amp; Kosmos UK.</t>
  </si>
  <si>
    <t xml:space="preserve">Bünde (NRW)</t>
  </si>
  <si>
    <t xml:space="preserve">Henschelstraße 20-30, 32257 Bünde</t>
  </si>
  <si>
    <t xml:space="preserve">Models, slot cars &amp; RC</t>
  </si>
  <si>
    <t xml:space="preserve">Distributes in UK &amp; EU - ask</t>
  </si>
  <si>
    <t xml:space="preserve">Global manufacturer &amp; distributor; US arm Carrera Revell of Americas</t>
  </si>
  <si>
    <t xml:space="preserve">Job listing + trade press + trade data</t>
  </si>
  <si>
    <t xml:space="preserve">Fürth</t>
  </si>
  <si>
    <t xml:space="preserve">Werkstraße 1, 90765 Fürth (Smoby Toys SAS: 95 Route du Haut Jura, 39170 Lavans-lès-Saint-Claude, FR)</t>
  </si>
  <si>
    <t xml:space="preserve">Retailers via subsidiaries in 30 countries</t>
  </si>
  <si>
    <t xml:space="preserve">Has UK subsidiary (Simba Smoby Toys UK)</t>
  </si>
  <si>
    <t xml:space="preserve">€711.7m turnover (2024); 8 production sites</t>
  </si>
  <si>
    <t xml:space="preserve">Contact UK subsidiary for UK accounts.</t>
  </si>
  <si>
    <t xml:space="preserve">Wikipedia + state trade database + company newsroom</t>
  </si>
  <si>
    <t xml:space="preserve">Depesche Vertrieb GmbH &amp; Co. KG</t>
  </si>
  <si>
    <t xml:space="preserve">https://depesche.com</t>
  </si>
  <si>
    <t xml:space="preserve">Geesthacht (near Hamburg)</t>
  </si>
  <si>
    <t xml:space="preserve">Geesthacht</t>
  </si>
  <si>
    <t xml:space="preserve">TOPModel, Miss Melody, Ylvi, Monster Cars - kids' stationery &amp; gifts</t>
  </si>
  <si>
    <t xml:space="preserve">Kids' gifts &amp; stationery</t>
  </si>
  <si>
    <t xml:space="preserve">Yes - UK operation (via Cardgains)</t>
  </si>
  <si>
    <t xml:space="preserve">Founded 1985; ~320 staff; distributes to 41 countries</t>
  </si>
  <si>
    <t xml:space="preserve">Brand-direct invoices; TOPModel is a strong seller</t>
  </si>
  <si>
    <t xml:space="preserve">Company website + trade press</t>
  </si>
  <si>
    <t xml:space="preserve">Gollnest &amp; Kiesel GmbH &amp; Co. KG (goki)</t>
  </si>
  <si>
    <t xml:space="preserve">https://www.goki.eu</t>
  </si>
  <si>
    <t xml:space="preserve">Güster (Schleswig-Holstein)</t>
  </si>
  <si>
    <t xml:space="preserve">Hauptstraße 13-16, 21514 Güster</t>
  </si>
  <si>
    <t xml:space="preserve">+49 4158 88220</t>
  </si>
  <si>
    <t xml:space="preserve">info@goki.eu</t>
  </si>
  <si>
    <t xml:space="preserve">goki, HEIMESS, HOLZTIGER - 2,000+ wooden toys &amp; gifts</t>
  </si>
  <si>
    <t xml:space="preserve">Wooden toys</t>
  </si>
  <si>
    <t xml:space="preserve">Toy &amp; gift retailers</t>
  </si>
  <si>
    <t xml:space="preserve">Founded 1981; German Brand Award winner</t>
  </si>
  <si>
    <t xml:space="preserve">Business directory + brand award</t>
  </si>
  <si>
    <t xml:space="preserve">small foot GmbH &amp; Co. KG (formerly Legler)</t>
  </si>
  <si>
    <t xml:space="preserve">https://b2b.small-foot.de/en/</t>
  </si>
  <si>
    <t xml:space="preserve">Delmenhorst (Lower Saxony)</t>
  </si>
  <si>
    <t xml:space="preserve">Delmenhorst</t>
  </si>
  <si>
    <t xml:space="preserve">Manufacturer, wholesaler &amp; importer</t>
  </si>
  <si>
    <t xml:space="preserve">small foot wooden toys (thousands of SKUs)</t>
  </si>
  <si>
    <t xml:space="preserve">Retailers - B2B online shop</t>
  </si>
  <si>
    <t xml:space="preserve">Since 1988; Spielwarenmesse eG member</t>
  </si>
  <si>
    <t xml:space="preserve">Company B2B site</t>
  </si>
  <si>
    <t xml:space="preserve">Pegasus Spiele GmbH</t>
  </si>
  <si>
    <t xml:space="preserve">https://pegasus.de/en/about/</t>
  </si>
  <si>
    <t xml:space="preserve">Friedberg (Hesse)</t>
  </si>
  <si>
    <t xml:space="preserve">Friedberg</t>
  </si>
  <si>
    <t xml:space="preserve">Publisher &amp; distributor</t>
  </si>
  <si>
    <t xml:space="preserve">5,000+ games &amp; toys distributed (Pegasus + partner publishers)</t>
  </si>
  <si>
    <t xml:space="preserve">Board games</t>
  </si>
  <si>
    <t xml:space="preserve">Founded 1993; exclusive DACH distributor for several publishers</t>
  </si>
  <si>
    <t xml:space="preserve">Board games are a strong Amazon category</t>
  </si>
  <si>
    <t xml:space="preserve">VEDES Großhandel GmbH</t>
  </si>
  <si>
    <t xml:space="preserve">https://www.vedes-gruppe.de</t>
  </si>
  <si>
    <t xml:space="preserve">Nuremberg (HQ); central warehouse Lotte/Osnabrück</t>
  </si>
  <si>
    <t xml:space="preserve">Toy wholesaler (arm of VEDES retail cooperative)</t>
  </si>
  <si>
    <t xml:space="preserve">Full branded toy range incl. exclusive Playmobil assortment (2026)</t>
  </si>
  <si>
    <t xml:space="preserve">Wholesale customers (~3,700 in 16 countries)</t>
  </si>
  <si>
    <t xml:space="preserve">16 countries - ask about UK</t>
  </si>
  <si>
    <t xml:space="preserve">Founded 1904; publishes financial reports; ~1,000 member retailers</t>
  </si>
  <si>
    <t xml:space="preserve">Ask about online retailers</t>
  </si>
  <si>
    <t xml:space="preserve">Company reports + Wikipedia</t>
  </si>
  <si>
    <t xml:space="preserve">Greece</t>
  </si>
  <si>
    <t xml:space="preserve">KORRES S.A. Natural Products</t>
  </si>
  <si>
    <t xml:space="preserve">https://www.korres.com</t>
  </si>
  <si>
    <t xml:space="preserve">Athens (Metamorfosi)</t>
  </si>
  <si>
    <t xml:space="preserve">3 Drosini &amp; Tatoiou St., 144 52 Metamorfosi, Athens</t>
  </si>
  <si>
    <t xml:space="preserve">KORRES skincare, Greek Yoghurt, Wild Rose, body butters</t>
  </si>
  <si>
    <t xml:space="preserve">Natural skincare</t>
  </si>
  <si>
    <t xml:space="preserve">Distributors in ~30 markets</t>
  </si>
  <si>
    <t xml:space="preserve">Listed on Athens Exchange (Euronext Athens)</t>
  </si>
  <si>
    <t xml:space="preserve">Korres skincare sells well; check brand gating</t>
  </si>
  <si>
    <t xml:space="preserve">Stock exchange filings + trade data</t>
  </si>
  <si>
    <t xml:space="preserve">APIVITA S.A.</t>
  </si>
  <si>
    <t xml:space="preserve">https://www.apivita.com</t>
  </si>
  <si>
    <t xml:space="preserve">Markopoulo (Attica)</t>
  </si>
  <si>
    <t xml:space="preserve">Industrial Park of Markopoulo, 19003 Markopoulo Mesogaias</t>
  </si>
  <si>
    <t xml:space="preserve">+30 210 2856350 (verify)</t>
  </si>
  <si>
    <t xml:space="preserve">APIVITA natural skin &amp; hair care (bee/propolis)</t>
  </si>
  <si>
    <t xml:space="preserve">Natural pharmacy cosmetics</t>
  </si>
  <si>
    <t xml:space="preserve">Distributors; worldwide distribution via PUIG</t>
  </si>
  <si>
    <t xml:space="preserve">Majority owned by PUIG since 2017; EU-funded facility</t>
  </si>
  <si>
    <t xml:space="preserve">Shampoos &amp; face masks have steady demand</t>
  </si>
  <si>
    <t xml:space="preserve">Business press + company directory</t>
  </si>
  <si>
    <t xml:space="preserve">Papoutsanis S.A.</t>
  </si>
  <si>
    <t xml:space="preserve">https://www.papoutsanis.gr</t>
  </si>
  <si>
    <t xml:space="preserve">Halkida / Nea Kifissia (Athens)</t>
  </si>
  <si>
    <t xml:space="preserve">2 Kalavryton Str., 145 64 Nea Kifissia; plant 71st km Athens-Lamia Rd, Halkida</t>
  </si>
  <si>
    <t xml:space="preserve">+30 22620 85 000</t>
  </si>
  <si>
    <t xml:space="preserve">info@papoutsanis.gr</t>
  </si>
  <si>
    <t xml:space="preserve">Manufacturer / brand owner (listed)</t>
  </si>
  <si>
    <t xml:space="preserve">Papoutsanis olive-oil soaps, Karavaki, Aloe Vera; private label &amp; hotel amenities</t>
  </si>
  <si>
    <t xml:space="preserve">Soap, shower gel &amp; body care</t>
  </si>
  <si>
    <t xml:space="preserve">Export to 25-45 countries; private label available</t>
  </si>
  <si>
    <t xml:space="preserve">Listed on Athens Exchange; official website contacts</t>
  </si>
  <si>
    <t xml:space="preserve">Olive-oil bar soaps are cheap &amp; light - very FBA friendly</t>
  </si>
  <si>
    <t xml:space="preserve">Official company website + stock exchange</t>
  </si>
  <si>
    <t xml:space="preserve">FREZYDERM S.A.</t>
  </si>
  <si>
    <t xml:space="preserve">https://www.frezyderm.com</t>
  </si>
  <si>
    <t xml:space="preserve">Athens</t>
  </si>
  <si>
    <t xml:space="preserve">Menandrou 75, 104 37 Athens</t>
  </si>
  <si>
    <t xml:space="preserve">+30 210 5246900 (verify)</t>
  </si>
  <si>
    <t xml:space="preserve">Frezyderm dermocosmetics, sun care, baby care, Frezylac</t>
  </si>
  <si>
    <t xml:space="preserve">Pharmacy dermocosmetics</t>
  </si>
  <si>
    <t xml:space="preserve">Distributors (~40 countries); export director listed</t>
  </si>
  <si>
    <t xml:space="preserve">CPHI Milan 2026 exhibitor; sold via Lyko; pharmaceutical directory listing</t>
  </si>
  <si>
    <t xml:space="preserve">Greek pharmacy skincare is cheaper than French equivalents</t>
  </si>
  <si>
    <t xml:space="preserve">Trade fair + pharma directory</t>
  </si>
  <si>
    <t xml:space="preserve">Hungary</t>
  </si>
  <si>
    <t xml:space="preserve">HELIA-D Kft.</t>
  </si>
  <si>
    <t xml:space="preserve">https://www.helia-d.hu</t>
  </si>
  <si>
    <t xml:space="preserve">Budapest / Veszprém (production)</t>
  </si>
  <si>
    <t xml:space="preserve">Production site in Veszprém; HQ Budapest</t>
  </si>
  <si>
    <t xml:space="preserve">Helia-D face &amp; body creams, Botanic, Professional anti-ageing</t>
  </si>
  <si>
    <t xml:space="preserve">Skincare (budget)</t>
  </si>
  <si>
    <t xml:space="preserve">Shops &amp; supermarkets abroad</t>
  </si>
  <si>
    <t xml:space="preserve">Budapest Stock Exchange BÉT50 company profile (2018); heritage Hungarian brand</t>
  </si>
  <si>
    <t xml:space="preserve">Low-cost anti-ageing creams with little UK competition</t>
  </si>
  <si>
    <t xml:space="preserve">Get registered address before ordering</t>
  </si>
  <si>
    <t xml:space="preserve">Stock exchange programme profile + business press</t>
  </si>
  <si>
    <t xml:space="preserve">BioTechUSA Kft.</t>
  </si>
  <si>
    <t xml:space="preserve">https://www.biotechusa.hu</t>
  </si>
  <si>
    <t xml:space="preserve">Budapest</t>
  </si>
  <si>
    <t xml:space="preserve">Huszti út 60, 1033 Budapest</t>
  </si>
  <si>
    <t xml:space="preserve">BioTechUSA protein, supplements, snacks; Scitec group</t>
  </si>
  <si>
    <t xml:space="preserve">Distributors &amp; partners (4,500 partners)</t>
  </si>
  <si>
    <t xml:space="preserve">Present in 100+ countries - ask</t>
  </si>
  <si>
    <t xml:space="preserve">~80% export; 270 franchise stores; Gulfood exhibitor</t>
  </si>
  <si>
    <t xml:space="preserve">Well-known Amazon EU brand</t>
  </si>
  <si>
    <t xml:space="preserve">Trade fair listing + business press</t>
  </si>
  <si>
    <t xml:space="preserve">Herbária Zrt.</t>
  </si>
  <si>
    <t xml:space="preserve">https://www.herbaria.hu</t>
  </si>
  <si>
    <t xml:space="preserve">Csata utca 27, 1135 Budapest</t>
  </si>
  <si>
    <t xml:space="preserve">+36 30 497 9443 (verify)</t>
  </si>
  <si>
    <t xml:space="preserve">herbaria@herbaria.hu</t>
  </si>
  <si>
    <t xml:space="preserve">Herbária herbal teas, functional teas, supplements, cosmetics; Tesco/Auchan/Spar private label</t>
  </si>
  <si>
    <t xml:space="preserve">Herbal teas &amp; supplements</t>
  </si>
  <si>
    <t xml:space="preserve">Export partners (Europe, Canada, Japan)</t>
  </si>
  <si>
    <t xml:space="preserve">Gulfood exhibitor; Hungarian Foreign Ministry trade brochure; 67-101 own/franchise shops</t>
  </si>
  <si>
    <t xml:space="preserve">Herbal teas are food - check UK food labelling rules</t>
  </si>
  <si>
    <t xml:space="preserve">Trade fair + government trade brochure</t>
  </si>
  <si>
    <t xml:space="preserve">Ireland</t>
  </si>
  <si>
    <t xml:space="preserve">National Beauty Distribution Ltd</t>
  </si>
  <si>
    <t xml:space="preserve">https://www.nationalbeauty.ie</t>
  </si>
  <si>
    <t xml:space="preserve">Blarney (Co. Cork)</t>
  </si>
  <si>
    <t xml:space="preserve">Unit 6, Blarney Business Park, Blarney, Co. Cork</t>
  </si>
  <si>
    <t xml:space="preserve">Importer / wholesaler</t>
  </si>
  <si>
    <t xml:space="preserve">Beauty &amp; cosmetics brands; makers of Bare by Vogue, Luna by Lisa (own brands)</t>
  </si>
  <si>
    <t xml:space="preserve">Beauty &amp; tanning</t>
  </si>
  <si>
    <t xml:space="preserve">Retailers (salons to high street)</t>
  </si>
  <si>
    <t xml:space="preserve">EU (Ireland) - ask about UK</t>
  </si>
  <si>
    <t xml:space="preserve">Cork Chamber member; Enterprise Ireland directory; CEO Kieran Walsh (award-winning)</t>
  </si>
  <si>
    <t xml:space="preserve">Own tanning brands sell well online</t>
  </si>
  <si>
    <t xml:space="preserve">Chamber of commerce + Enterprise Ireland</t>
  </si>
  <si>
    <t xml:space="preserve">PASS - well-known company: Listed in Enterprise Ireland's supplier directory; established Irish beauty distributor.</t>
  </si>
  <si>
    <t xml:space="preserve">Uniphar Wholesale Limited</t>
  </si>
  <si>
    <t xml:space="preserve">https://uniphar.ie</t>
  </si>
  <si>
    <t xml:space="preserve">Dublin (Citywest)</t>
  </si>
  <si>
    <t xml:space="preserve">4045 Kingswood Road, Citywest Business Park, Dublin 24, D24 V06K</t>
  </si>
  <si>
    <t xml:space="preserve">+353 1 428 7777 (verify)</t>
  </si>
  <si>
    <t xml:space="preserve">Wholesaler / distributor (listed)</t>
  </si>
  <si>
    <t xml:space="preserve">Pharmacy OTC, health &amp; beauty brands; Allcare, Hickey's, Life banners</t>
  </si>
  <si>
    <t xml:space="preserve">Pharmacy wholesale</t>
  </si>
  <si>
    <t xml:space="preserve">Trade account - mainly pharmacy &amp; retail customers</t>
  </si>
  <si>
    <t xml:space="preserve">Ask - operates UK &amp; EU</t>
  </si>
  <si>
    <t xml:space="preserve">Euronext-listed; ~50% of Irish pharmacy wholesale market; HPRA registered</t>
  </si>
  <si>
    <t xml:space="preserve">Wide OTC/health range; may prefer pharmacy accounts</t>
  </si>
  <si>
    <t xml:space="preserve">Confirm they will open an account for an online reseller</t>
  </si>
  <si>
    <t xml:space="preserve">HPRA register + company site</t>
  </si>
  <si>
    <t xml:space="preserve">Grandate (Como)</t>
  </si>
  <si>
    <t xml:space="preserve">Mid</t>
  </si>
  <si>
    <t xml:space="preserve">Via Saldarini Catelli 1, 22070 Grandate</t>
  </si>
  <si>
    <t xml:space="preserve">Baby products</t>
  </si>
  <si>
    <t xml:space="preserve">Subsidiaries &amp; exclusive distributors per country</t>
  </si>
  <si>
    <t xml:space="preserve">UK &amp; Ireland exclusive distributor: RKW Ltd (already in list)</t>
  </si>
  <si>
    <t xml:space="preserve">Present in 100+ countries; major Italian group</t>
  </si>
  <si>
    <t xml:space="preserve">For UK use RKW.</t>
  </si>
  <si>
    <t xml:space="preserve">Wikipedia + exchange announcement + trade press</t>
  </si>
  <si>
    <t xml:space="preserve">Foppapedretti S.p.A.</t>
  </si>
  <si>
    <t xml:space="preserve">https://www.foppapedretti.it</t>
  </si>
  <si>
    <t xml:space="preserve">Grumello del Monte (BG)</t>
  </si>
  <si>
    <t xml:space="preserve">HQ Grumello del Monte; operations in Bolgare (Bergamo)</t>
  </si>
  <si>
    <t xml:space="preserve">Foppapedretti cots, high chairs, Brevi (acquired)</t>
  </si>
  <si>
    <t xml:space="preserve">Baby furniture &amp; equipment</t>
  </si>
  <si>
    <t xml:space="preserve">International distribution partners</t>
  </si>
  <si>
    <t xml:space="preserve">Messe Frankfurt exhibitor; long-established Italian brand</t>
  </si>
  <si>
    <t xml:space="preserve">High chairs &amp; bouncers; bulky items cost more in FBA fees</t>
  </si>
  <si>
    <t xml:space="preserve">Company site + trade fair listing</t>
  </si>
  <si>
    <t xml:space="preserve">L'inglesina Baby S.p.A.</t>
  </si>
  <si>
    <t xml:space="preserve">https://www.inglesina.com</t>
  </si>
  <si>
    <t xml:space="preserve">Altavilla Vicentina (VI)</t>
  </si>
  <si>
    <t xml:space="preserve">Via Lago Maggiore 22/26, 36077 Altavilla Vicentina (verify)</t>
  </si>
  <si>
    <t xml:space="preserve">Inglesina strollers, Fast table chair, travel systems</t>
  </si>
  <si>
    <t xml:space="preserve">Strollers &amp; feeding</t>
  </si>
  <si>
    <t xml:space="preserve">Authorised retailer</t>
  </si>
  <si>
    <t xml:space="preserve">Specialist baby retailers / distributors; US subsidiary</t>
  </si>
  <si>
    <t xml:space="preserve">Established Italian pram maker with US subsidiary (import records)</t>
  </si>
  <si>
    <t xml:space="preserve">Fast clip-on table chair is a known Amazon seller</t>
  </si>
  <si>
    <t xml:space="preserve">Address from trade data - confirm on website</t>
  </si>
  <si>
    <t xml:space="preserve">Trade import records</t>
  </si>
  <si>
    <t xml:space="preserve">Deborah Group S.p.A.</t>
  </si>
  <si>
    <t xml:space="preserve">https://deborahmilano.com/en/about-us</t>
  </si>
  <si>
    <t xml:space="preserve">Milan</t>
  </si>
  <si>
    <t xml:space="preserve">Via Angelo Maj 19, 20135 Milano</t>
  </si>
  <si>
    <t xml:space="preserve">Deborah Milano, Debby, Rouge Baiser Paris, Dermolab, Bioetyc Uomo</t>
  </si>
  <si>
    <t xml:space="preserve">Cosmetics &amp; skincare</t>
  </si>
  <si>
    <t xml:space="preserve">Founded 1903; 4th-generation; backed by Sodalis Group</t>
  </si>
  <si>
    <t xml:space="preserve">Company site + investor profile</t>
  </si>
  <si>
    <t xml:space="preserve">Beta Utensili S.p.A.</t>
  </si>
  <si>
    <t xml:space="preserve">https://www.beta-tools.com</t>
  </si>
  <si>
    <t xml:space="preserve">Sovico (MB)</t>
  </si>
  <si>
    <t xml:space="preserve">Via Alessandro Volta 18, 20845 Sovico</t>
  </si>
  <si>
    <t xml:space="preserve">+39 039 2077 231</t>
  </si>
  <si>
    <t xml:space="preserve">Beta hand tools, tool trolleys, workwear</t>
  </si>
  <si>
    <t xml:space="preserve">Importers (~250) &amp; 11 branches incl. UK, FR, ES, PL</t>
  </si>
  <si>
    <t xml:space="preserve">Yes - has UK branch</t>
  </si>
  <si>
    <t xml:space="preserve">Confcommercio Milano member listing; long-established Italian tool maker</t>
  </si>
  <si>
    <t xml:space="preserve">Socket sets &amp; screwdrivers; branded but gated less often than some</t>
  </si>
  <si>
    <t xml:space="preserve">Trade association listing + company profile</t>
  </si>
  <si>
    <t xml:space="preserve">Fervi S.p.A.</t>
  </si>
  <si>
    <t xml:space="preserve">https://www.fervi.com</t>
  </si>
  <si>
    <t xml:space="preserve">Vignola (Modena)</t>
  </si>
  <si>
    <t xml:space="preserve">Via del Commercio 81, 41058 Vignola (MO)</t>
  </si>
  <si>
    <t xml:space="preserve">+39 059 767172</t>
  </si>
  <si>
    <t xml:space="preserve">info@fervi.com</t>
  </si>
  <si>
    <t xml:space="preserve">Brand owner / distributor (listed)</t>
  </si>
  <si>
    <t xml:space="preserve">Fervi workshop equipment, hand &amp; power tools, Riflex, Vogel Germany</t>
  </si>
  <si>
    <t xml:space="preserve">Workshop tools</t>
  </si>
  <si>
    <t xml:space="preserve">Agents &amp; distributors (50+ countries)</t>
  </si>
  <si>
    <t xml:space="preserve">Listed on Euronext Growth Milan</t>
  </si>
  <si>
    <t xml:space="preserve">Stock exchange profile + press release</t>
  </si>
  <si>
    <t xml:space="preserve">Aboca S.p.A. Società Agricola</t>
  </si>
  <si>
    <t xml:space="preserve">https://www.aboca.com</t>
  </si>
  <si>
    <t xml:space="preserve">Sansepolcro (Arezzo)</t>
  </si>
  <si>
    <t xml:space="preserve">Sansepolcro (AR), Tuscany</t>
  </si>
  <si>
    <t xml:space="preserve">+39 0575 746370</t>
  </si>
  <si>
    <t xml:space="preserve">Aboca Grintuss, Melilax, Fitonasal, herbal medical devices</t>
  </si>
  <si>
    <t xml:space="preserve">Natural health / OTC herbal</t>
  </si>
  <si>
    <t xml:space="preserve">Own subsidiaries (ES, FR, PL, DE, AT) + distributors</t>
  </si>
  <si>
    <t xml:space="preserve">SACE/CDP-backed financing (2022); Expopharm exhibitor; Austrian branch registered 2025</t>
  </si>
  <si>
    <t xml:space="preserve">Herbal cough syrups &amp; supplements; Amazon category approval needed</t>
  </si>
  <si>
    <t xml:space="preserve">State lender press release + company brochure + corporate register</t>
  </si>
  <si>
    <t xml:space="preserve">Laica S.p.A.</t>
  </si>
  <si>
    <t xml:space="preserve">https://www.laica.com</t>
  </si>
  <si>
    <t xml:space="preserve">Barbarano Mossano (Vicenza)</t>
  </si>
  <si>
    <t xml:space="preserve">Viale del Lavoro 10, 36048 Barbarano Mossano</t>
  </si>
  <si>
    <t xml:space="preserve">Laica scales, BP monitors, thermometers, water filter jugs</t>
  </si>
  <si>
    <t xml:space="preserve">Health devices &amp; scales</t>
  </si>
  <si>
    <t xml:space="preserve">Founded 1974; sold via MediaMarkt &amp; pharmacies across EU</t>
  </si>
  <si>
    <t xml:space="preserve">Scales &amp; filter jugs sell well</t>
  </si>
  <si>
    <t xml:space="preserve">Retailer listings (EU responsible person)</t>
  </si>
  <si>
    <t xml:space="preserve">Coccaglio (Brescia)</t>
  </si>
  <si>
    <t xml:space="preserve">Via Fogliano 1, 25030 Coccaglio (BS)</t>
  </si>
  <si>
    <t xml:space="preserve">Coffee &amp; cookware</t>
  </si>
  <si>
    <t xml:space="preserve">Distributors &amp; retailers (subsidiaries in DE, FR, US, AU, TR, JP)</t>
  </si>
  <si>
    <t xml:space="preserve">Ask - via distributors</t>
  </si>
  <si>
    <t xml:space="preserve">Milan-listed company</t>
  </si>
  <si>
    <t xml:space="preserve">Stock exchange profile</t>
  </si>
  <si>
    <t xml:space="preserve">Tenacta Group S.p.A. (Imetec, Bellissima)</t>
  </si>
  <si>
    <t xml:space="preserve">https://www.imetec.com</t>
  </si>
  <si>
    <t xml:space="preserve">Azzano San Paolo (Bergamo)</t>
  </si>
  <si>
    <t xml:space="preserve">Via Piemonte 5/11, 24052 Azzano San Paolo (BG)</t>
  </si>
  <si>
    <t xml:space="preserve">Imetec appliances, Bellissima hair tools, Dreamland, Daga heated blankets</t>
  </si>
  <si>
    <t xml:space="preserve">Small appliances &amp; hair care</t>
  </si>
  <si>
    <t xml:space="preserve">Reported UK sales director - ask</t>
  </si>
  <si>
    <t xml:space="preserve">Imetec founded 1973; LEI registered; sold in EU, Americas, AU, ME</t>
  </si>
  <si>
    <t xml:space="preserve">Bellissima hair tools sell well (electricals: UK plug)</t>
  </si>
  <si>
    <t xml:space="preserve">LEI register + trade press</t>
  </si>
  <si>
    <t xml:space="preserve">ALESSI S.p.A.</t>
  </si>
  <si>
    <t xml:space="preserve">https://www.alessi.com</t>
  </si>
  <si>
    <t xml:space="preserve">Crusinallo di Omegna</t>
  </si>
  <si>
    <t xml:space="preserve">Via Privata Alessi 6, 28887 Crusinallo di Omegna (VB)</t>
  </si>
  <si>
    <t xml:space="preserve">+39 0323 868611 (verify)</t>
  </si>
  <si>
    <t xml:space="preserve">Alessi kettles, coffee makers, kitchen accessories</t>
  </si>
  <si>
    <t xml:space="preserve">Design housewares</t>
  </si>
  <si>
    <t xml:space="preserve">Selected retail partners &amp; distributors</t>
  </si>
  <si>
    <t xml:space="preserve">Founded 1921; Maison&amp;Objet exhibitor</t>
  </si>
  <si>
    <t xml:space="preserve">Premium gifts; brand controls pricing</t>
  </si>
  <si>
    <t xml:space="preserve">Selective distribution - check Amazon resale terms</t>
  </si>
  <si>
    <t xml:space="preserve">Ariete S.p.A. (De'Longhi Group)</t>
  </si>
  <si>
    <t xml:space="preserve">https://www.ariete.net/en/profile</t>
  </si>
  <si>
    <t xml:space="preserve">Tuscany (Florence area)</t>
  </si>
  <si>
    <t xml:space="preserve">Tuscany</t>
  </si>
  <si>
    <t xml:space="preserve">Brand owner (De'Longhi subsidiary)</t>
  </si>
  <si>
    <t xml:space="preserve">Ariete retro small appliances, coffee machines, steam cleaners</t>
  </si>
  <si>
    <t xml:space="preserve">~60% exported; UK via De'Longhi partners (e.g. Bluestem) - ask</t>
  </si>
  <si>
    <t xml:space="preserve">Founded 1964; part of De'Longhi Group</t>
  </si>
  <si>
    <t xml:space="preserve">Guardini S.p.A.</t>
  </si>
  <si>
    <t xml:space="preserve">http://www.guardini.com</t>
  </si>
  <si>
    <t xml:space="preserve">Volpiano (Turin)</t>
  </si>
  <si>
    <t xml:space="preserve">Via Cravero 9, 10088 Volpiano (TO)</t>
  </si>
  <si>
    <t xml:space="preserve">+39 011 995 2890</t>
  </si>
  <si>
    <t xml:space="preserve">Guardini bakeware, cake tins, baking trays, muffin pans</t>
  </si>
  <si>
    <t xml:space="preserve">Distributors worldwide; also private label (PLMA exhibitor)</t>
  </si>
  <si>
    <t xml:space="preserve">Ambiente 2025/2026 &amp; PLMA Amsterdam exhibitor; ICE (Italian Trade Agency) listing</t>
  </si>
  <si>
    <t xml:space="preserve">Non-stick bakeware sells all year; Q4 baking peak</t>
  </si>
  <si>
    <t xml:space="preserve">Trade fair listings + Italian trade agency</t>
  </si>
  <si>
    <t xml:space="preserve">Ferplast S.p.A.</t>
  </si>
  <si>
    <t xml:space="preserve">https://www.ferplast.com</t>
  </si>
  <si>
    <t xml:space="preserve">Castelgomberto (Vicenza)</t>
  </si>
  <si>
    <t xml:space="preserve">Via I Maggio 5, 36070 Castelgomberto (VI)</t>
  </si>
  <si>
    <t xml:space="preserve">+39 0445 429111</t>
  </si>
  <si>
    <t xml:space="preserve">info@ferplast.com</t>
  </si>
  <si>
    <t xml:space="preserve">Ferplast cages, aquariums, beds, carriers, accessories - 5,000+ products</t>
  </si>
  <si>
    <t xml:space="preserve">Pet accessories &amp; habitats</t>
  </si>
  <si>
    <t xml:space="preserve">Reported UK branch - ask</t>
  </si>
  <si>
    <t xml:space="preserve">Active in 85+ countries; EU manufacturing; Interzoo &amp; Zoomark exhibitor</t>
  </si>
  <si>
    <t xml:space="preserve">Bulky cages = high FBA fees; accessories fine</t>
  </si>
  <si>
    <t xml:space="preserve">Georplast s.r.l.</t>
  </si>
  <si>
    <t xml:space="preserve">https://www.georplast.it</t>
  </si>
  <si>
    <t xml:space="preserve">Mezzago (MB)</t>
  </si>
  <si>
    <t xml:space="preserve">Via E. Curiel 57, 20883 Mezzago</t>
  </si>
  <si>
    <t xml:space="preserve">+39 039 602 0021</t>
  </si>
  <si>
    <t xml:space="preserve">georplast@georplast.it (verify)</t>
  </si>
  <si>
    <t xml:space="preserve">Georplast pet carriers, beds, bowls, litter trays</t>
  </si>
  <si>
    <t xml:space="preserve">Plastic pet accessories</t>
  </si>
  <si>
    <t xml:space="preserve">Distributors / pet retailers</t>
  </si>
  <si>
    <t xml:space="preserve">Interzoo, Zoomark &amp; Ambiente exhibitor; injection moulder since 1970</t>
  </si>
  <si>
    <t xml:space="preserve">Carriers &amp; litter trays are core Amazon pet lines</t>
  </si>
  <si>
    <t xml:space="preserve">Multiple trade fair listings</t>
  </si>
  <si>
    <t xml:space="preserve">Camon &amp; Croci Pet Group S.p.A.</t>
  </si>
  <si>
    <t xml:space="preserve">https://croci-group.com</t>
  </si>
  <si>
    <t xml:space="preserve">Castronno (Varese)</t>
  </si>
  <si>
    <t xml:space="preserve">Via S. Alessandro 8, 21040 Castronno</t>
  </si>
  <si>
    <t xml:space="preserve">+39 0332 870860</t>
  </si>
  <si>
    <t xml:space="preserve">info@croci.net</t>
  </si>
  <si>
    <t xml:space="preserve">Croci, Camon - 8,000+ pet accessories in 43 countries</t>
  </si>
  <si>
    <t xml:space="preserve">Exports to 43 countries - ask</t>
  </si>
  <si>
    <t xml:space="preserve">Zoomark &amp; Interzoo exhibitor</t>
  </si>
  <si>
    <t xml:space="preserve">IMAC S.r.l.</t>
  </si>
  <si>
    <t xml:space="preserve">https://www.imac.it</t>
  </si>
  <si>
    <t xml:space="preserve">Tezze di Arzignano (Vicenza)</t>
  </si>
  <si>
    <t xml:space="preserve">Via Ghisa 24, 36071 Tezze di Arzignano (VI)</t>
  </si>
  <si>
    <t xml:space="preserve">+39 0444 482301</t>
  </si>
  <si>
    <t xml:space="preserve">Manufacturer (made in Italy)</t>
  </si>
  <si>
    <t xml:space="preserve">IMAC cages, carriers, litter boxes, beds, bowls (1,500+ products)</t>
  </si>
  <si>
    <t xml:space="preserve">Distributors (Export Sales Manager Ileana Zambelli)</t>
  </si>
  <si>
    <t xml:space="preserve">Distributed in 48-71 countries - ask</t>
  </si>
  <si>
    <t xml:space="preserve">Interzoo &amp; Zoomark exhibitor</t>
  </si>
  <si>
    <t xml:space="preserve">United Pets S.r.l.</t>
  </si>
  <si>
    <t xml:space="preserve">https://www.unitedpets.com</t>
  </si>
  <si>
    <t xml:space="preserve">Viale Certosa 46, 20155 Milano</t>
  </si>
  <si>
    <t xml:space="preserve">+39 02 392 7041</t>
  </si>
  <si>
    <t xml:space="preserve">Brand owner / designer</t>
  </si>
  <si>
    <t xml:space="preserve">United Pets design dog &amp; cat accessories, bowls, poop bags</t>
  </si>
  <si>
    <t xml:space="preserve">Exports to 30+ countries - ask</t>
  </si>
  <si>
    <t xml:space="preserve">Zoomark exhibitor; Pitti Bimbo exhibitor</t>
  </si>
  <si>
    <t xml:space="preserve">Contact direct - not via Faire (Faire bans Amazon sellers)</t>
  </si>
  <si>
    <t xml:space="preserve">Cressi Sub S.p.A.</t>
  </si>
  <si>
    <t xml:space="preserve">https://www.cressi.it</t>
  </si>
  <si>
    <t xml:space="preserve">Genoa</t>
  </si>
  <si>
    <t xml:space="preserve">Via G. Adamoli 501, 16165 Genova</t>
  </si>
  <si>
    <t xml:space="preserve">Cressi masks, snorkels, fins, swim goggles, dive gear</t>
  </si>
  <si>
    <t xml:space="preserve">Snorkelling, swim &amp; diving</t>
  </si>
  <si>
    <t xml:space="preserve">Distributors &amp; branches (US, FR, ES, MX, BR, CN, TH)</t>
  </si>
  <si>
    <t xml:space="preserve">Family-owned since 1946; CNR public procurement supplier</t>
  </si>
  <si>
    <t xml:space="preserve">Snorkel sets &amp; swim goggles sell strongly in summer</t>
  </si>
  <si>
    <t xml:space="preserve">Public procurement record + trade data</t>
  </si>
  <si>
    <t xml:space="preserve">Brunner GmbH/Srl</t>
  </si>
  <si>
    <t xml:space="preserve">https://www.fierabolzano.it/en/tempo-libero/exhibitor/brunner-gmbh</t>
  </si>
  <si>
    <t xml:space="preserve">Bolzano</t>
  </si>
  <si>
    <t xml:space="preserve">Via Buozzi 8, Bolzano</t>
  </si>
  <si>
    <t xml:space="preserve">Brunner camping furniture, kitchens, coolers, caravan accessories</t>
  </si>
  <si>
    <t xml:space="preserve">Retailers &amp; dealers across Europe</t>
  </si>
  <si>
    <t xml:space="preserve">Distributes Europe-wide from 8 logistics centres - ask</t>
  </si>
  <si>
    <t xml:space="preserve">Founded 1960; leading Italian outdoor company; Fiera Bolzano exhibitor</t>
  </si>
  <si>
    <t xml:space="preserve">Pero (Milan)</t>
  </si>
  <si>
    <t xml:space="preserve">Pero (MI)</t>
  </si>
  <si>
    <t xml:space="preserve">Via 32 branches to wholesalers, school &amp; office suppliers, retailers</t>
  </si>
  <si>
    <t xml:space="preserve">Has UK branch (Daler-Rowney) - ask</t>
  </si>
  <si>
    <t xml:space="preserve">Milan-listed; 21 plants; 3,000+ staff; sells in 150+ countries</t>
  </si>
  <si>
    <t xml:space="preserve">Investor relations + company site</t>
  </si>
  <si>
    <t xml:space="preserve">CARIOCA S.p.A.</t>
  </si>
  <si>
    <t xml:space="preserve">https://www.carioca.com</t>
  </si>
  <si>
    <t xml:space="preserve">Settimo Torinese (Turin)</t>
  </si>
  <si>
    <t xml:space="preserve">Via Verga 40 Ter, Settimo Torinese</t>
  </si>
  <si>
    <t xml:space="preserve">amministrazione@carioca.it (ask for export)</t>
  </si>
  <si>
    <t xml:space="preserve">Carioca markers, colouring pencils, tempera</t>
  </si>
  <si>
    <t xml:space="preserve">Kids art &amp; colouring</t>
  </si>
  <si>
    <t xml:space="preserve">Distributors &amp; retailers; exports 70%+ of output to 80+ countries</t>
  </si>
  <si>
    <t xml:space="preserve">Creativeworld (Messe Frankfurt) 2026 exhibitor; ICE/Centro Estero listing</t>
  </si>
  <si>
    <t xml:space="preserve">Felt-tip and colouring sets sell well, especially back-to-school</t>
  </si>
  <si>
    <t xml:space="preserve">Trade fair listing + trade promotion directory</t>
  </si>
  <si>
    <t xml:space="preserve">Recanati (Marche)</t>
  </si>
  <si>
    <t xml:space="preserve">Zona Industriale Fontenoce, 62019 Recanati</t>
  </si>
  <si>
    <t xml:space="preserve">Educational toys &amp; puzzles</t>
  </si>
  <si>
    <t xml:space="preserve">Retailers (via local subsidiaries)</t>
  </si>
  <si>
    <t xml:space="preserve">Has a UK sales subsidiary - contact UK office</t>
  </si>
  <si>
    <t xml:space="preserve">Major Italian toy maker; subsidiaries in 9 countries; exports to 83</t>
  </si>
  <si>
    <t xml:space="preserve">Wikipedia + Forbes Italia</t>
  </si>
  <si>
    <t xml:space="preserve">Quercetti &amp; C. S.p.A.</t>
  </si>
  <si>
    <t xml:space="preserve">https://www.quercetti.com</t>
  </si>
  <si>
    <t xml:space="preserve">Turin</t>
  </si>
  <si>
    <t xml:space="preserve">Corso Vigevano 25, 10152 Torino</t>
  </si>
  <si>
    <t xml:space="preserve">+39 011 235656 (verify)</t>
  </si>
  <si>
    <t xml:space="preserve">export@quercetti.com</t>
  </si>
  <si>
    <t xml:space="preserve">Quercetti pegboards, marble runs, educational toys (made in Italy)</t>
  </si>
  <si>
    <t xml:space="preserve">Educational toys</t>
  </si>
  <si>
    <t xml:space="preserve">Distributors &amp; retailers (export dept.)</t>
  </si>
  <si>
    <t xml:space="preserve">Long-running Italian toy maker; Maison&amp;Objet exhibitor; US subsidiary</t>
  </si>
  <si>
    <t xml:space="preserve">Supply-chain profile + trade data</t>
  </si>
  <si>
    <t xml:space="preserve">Liscianigiochi S.p.A.</t>
  </si>
  <si>
    <t xml:space="preserve">https://www.liscianigiochi.it</t>
  </si>
  <si>
    <t xml:space="preserve">Teramo</t>
  </si>
  <si>
    <t xml:space="preserve">Via Ruscitti snc, 64100 Teramo</t>
  </si>
  <si>
    <t xml:space="preserve">Lisciani educational games, puzzles, Carotina, licensed games</t>
  </si>
  <si>
    <t xml:space="preserve">Educational games</t>
  </si>
  <si>
    <t xml:space="preserve">Exports worldwide - ask</t>
  </si>
  <si>
    <t xml:space="preserve">Major Italian toy maker (Il Sole 24 Ore profile)</t>
  </si>
  <si>
    <t xml:space="preserve">Business directory + national press</t>
  </si>
  <si>
    <t xml:space="preserve">PASS - well-known company: Major Italian toy &amp; games maker.</t>
  </si>
  <si>
    <t xml:space="preserve">Latvia</t>
  </si>
  <si>
    <t xml:space="preserve">AS MADARA Cosmetics</t>
  </si>
  <si>
    <t xml:space="preserve">https://madaracosmetics.lv/investors/</t>
  </si>
  <si>
    <t xml:space="preserve">Riga (Mārupe)</t>
  </si>
  <si>
    <t xml:space="preserve">Riga area, Latvia (see investor page)</t>
  </si>
  <si>
    <t xml:space="preserve">MÁDARA organic skincare, sun care, haircare</t>
  </si>
  <si>
    <t xml:space="preserve">Organic / natural skincare</t>
  </si>
  <si>
    <t xml:space="preserve">Distributors &amp; retailers in 35+ countries</t>
  </si>
  <si>
    <t xml:space="preserve">ISIN LV0000101624</t>
  </si>
  <si>
    <t xml:space="preserve">Listed on Nasdaq Riga First North (ISIN LV0000101624) since 2017</t>
  </si>
  <si>
    <t xml:space="preserve">Certified-organic skincare at Baltic cost levels; good fit for clean-beauty listings</t>
  </si>
  <si>
    <t xml:space="preserve">Stock exchange filings</t>
  </si>
  <si>
    <t xml:space="preserve">Lithuania</t>
  </si>
  <si>
    <t xml:space="preserve">BIOK laboratorija, UAB</t>
  </si>
  <si>
    <t xml:space="preserve">https://bioklab.com</t>
  </si>
  <si>
    <t xml:space="preserve">Vilnius district</t>
  </si>
  <si>
    <t xml:space="preserve">Ukmergės g. 451, Klevinės vs., LT-14199 Vilniaus r.</t>
  </si>
  <si>
    <t xml:space="preserve">+370 614 03676 (verify)</t>
  </si>
  <si>
    <t xml:space="preserve">Ecodenta toothpaste &amp; oral care, Margarita, RASA, BIOK natural cosmetics</t>
  </si>
  <si>
    <t xml:space="preserve">Oral care &amp; natural cosmetics</t>
  </si>
  <si>
    <t xml:space="preserve">Products sold in 50+ countries; export sales team</t>
  </si>
  <si>
    <t xml:space="preserve">Code 120536985 / VAT LT205369811</t>
  </si>
  <si>
    <t xml:space="preserve">Lithuanian register code 120536985; VAT LT205369811; since 1991; ~EUR 10.7m revenue (2024)</t>
  </si>
  <si>
    <t xml:space="preserve">Ecodenta toothpastes are cheap, light and repeat-purchase - strong Amazon fit</t>
  </si>
  <si>
    <t xml:space="preserve">Made a small loss in 2024</t>
  </si>
  <si>
    <t xml:space="preserve">Company registry (Scoris) + press</t>
  </si>
  <si>
    <t xml:space="preserve">Niedercorn</t>
  </si>
  <si>
    <t xml:space="preserve">Zone Industrielle Hahneboesch 151, 4562 Niedercorn</t>
  </si>
  <si>
    <t xml:space="preserve">Home storage &amp; organisation</t>
  </si>
  <si>
    <t xml:space="preserve">Retail &amp; distributor accounts</t>
  </si>
  <si>
    <t xml:space="preserve">Ask - Keter has UK operations</t>
  </si>
  <si>
    <t xml:space="preserve">Ambiente (Messe Frankfurt) exhibitor; 6 European factories, 75+ years</t>
  </si>
  <si>
    <t xml:space="preserve">Difrax B.V.</t>
  </si>
  <si>
    <t xml:space="preserve">https://difrax.com/en/pages/about-us</t>
  </si>
  <si>
    <t xml:space="preserve">Bilthoven</t>
  </si>
  <si>
    <t xml:space="preserve">Rembrandtlaan 42, Bilthoven</t>
  </si>
  <si>
    <t xml:space="preserve">sales@difrax.com</t>
  </si>
  <si>
    <t xml:space="preserve">Brand owner (building EU distributor network)</t>
  </si>
  <si>
    <t xml:space="preserve">Difrax bottles, dummies, feeding (Benelux market leader)</t>
  </si>
  <si>
    <t xml:space="preserve">Baby feeding</t>
  </si>
  <si>
    <t xml:space="preserve">Sold in 50+ countries - ask</t>
  </si>
  <si>
    <t xml:space="preserve">Benelux market leader in bottles &amp; pacifiers; now part of Canpol group</t>
  </si>
  <si>
    <t xml:space="preserve">Atelier 49 Nederland B.V. (Bébé-Jou, Luma)</t>
  </si>
  <si>
    <t xml:space="preserve">https://www.bebe-jou.com</t>
  </si>
  <si>
    <t xml:space="preserve">Staphorst</t>
  </si>
  <si>
    <t xml:space="preserve">Wethouder Buitenhuisstraat 1, 7951 SJ Staphorst</t>
  </si>
  <si>
    <t xml:space="preserve">Bébé-Jou changing mats, baby baths, bags; Luma Babycare</t>
  </si>
  <si>
    <t xml:space="preserve">Baby care accessories</t>
  </si>
  <si>
    <t xml:space="preserve">Has exclusive distributors abroad (e.g. Kids Inspirations, PL)</t>
  </si>
  <si>
    <t xml:space="preserve">Company directory + trade fair</t>
  </si>
  <si>
    <t xml:space="preserve">PASS - well-known company: Owner of Bébé-Jou &amp; Luma baby brands.</t>
  </si>
  <si>
    <t xml:space="preserve">Leiden</t>
  </si>
  <si>
    <t xml:space="preserve">12 Admiraal Banckertweg, Leiden (verify)</t>
  </si>
  <si>
    <t xml:space="preserve">FMCG A-brands</t>
  </si>
  <si>
    <t xml:space="preserve">Pallet / container level likely</t>
  </si>
  <si>
    <t xml:space="preserve">Exports to 75+ countries</t>
  </si>
  <si>
    <t xml:space="preserve">40+ years in business; LinkedIn company page</t>
  </si>
  <si>
    <t xml:space="preserve">LinkedIn + directories</t>
  </si>
  <si>
    <t xml:space="preserve">NaskorSports B.V.</t>
  </si>
  <si>
    <t xml:space="preserve">https://www.naskorsports.com</t>
  </si>
  <si>
    <t xml:space="preserve">Venlo (Tegelen)</t>
  </si>
  <si>
    <t xml:space="preserve">Trappistenweg 8, 5932 NB Venlo</t>
  </si>
  <si>
    <t xml:space="preserve">+31 77 720 1200</t>
  </si>
  <si>
    <t xml:space="preserve">Sports nutrition wholesaler</t>
  </si>
  <si>
    <t xml:space="preserve">140+ sports nutrition brands, 8,000+ products</t>
  </si>
  <si>
    <t xml:space="preserve">Sports nutrition / supplements</t>
  </si>
  <si>
    <t xml:space="preserve">Retailers, gyms, online shops</t>
  </si>
  <si>
    <t xml:space="preserve">Serves 33-40 countries - ask about UK</t>
  </si>
  <si>
    <t xml:space="preserve">Founded 2008; 3,700+ B2B customers; FIBO exhibitor; one of Europe's largest sports nutrition wholesalers</t>
  </si>
  <si>
    <t xml:space="preserve">Supplies online shops - good fit (supplements need Amazon compliance docs)</t>
  </si>
  <si>
    <t xml:space="preserve">Sales Director listed as Matthias Wolff.</t>
  </si>
  <si>
    <t xml:space="preserve">Directory + job listings + trade show</t>
  </si>
  <si>
    <t xml:space="preserve">PASS (checked) - Since 2008; FIBO 2026 exhibitor; 3,700+ trade customers.</t>
  </si>
  <si>
    <t xml:space="preserve">Parallel B.V. (ParallelBroker)</t>
  </si>
  <si>
    <t xml:space="preserve">https://parallelbroker.com</t>
  </si>
  <si>
    <t xml:space="preserve">Amsterdam</t>
  </si>
  <si>
    <t xml:space="preserve">Amsterdam (KvK registered)</t>
  </si>
  <si>
    <t xml:space="preserve">B2B FMCG marketplace (EEA parallel trade)</t>
  </si>
  <si>
    <t xml:space="preserve">~104,000 offers across 260 brands: P&amp;G, Unilever, Pampers, detergents, toiletries, food</t>
  </si>
  <si>
    <t xml:space="preserve">Per offer (e.g. 42-1,386 cartons Pampers; 72 cartons detergent)</t>
  </si>
  <si>
    <t xml:space="preserve">VAT-registered business (VAT IDs verified)</t>
  </si>
  <si>
    <t xml:space="preserve">EXW NL/DE - you arrange UK import</t>
  </si>
  <si>
    <t xml:space="preserve">Escrow: payment held until goods pass independent inspection; single contractual counterparty</t>
  </si>
  <si>
    <t xml:space="preserve">Parallel/grey stock - fine for unrestricted FMCG, weaker for brand-gated ungating</t>
  </si>
  <si>
    <t xml:space="preserve">Check fees on Pricing page. Pallet-level buying.</t>
  </si>
  <si>
    <t xml:space="preserve">CAUTION - Very new company (KvK 98007718); uses inspection + escrow model - start small.</t>
  </si>
  <si>
    <t xml:space="preserve">Valkenswaard</t>
  </si>
  <si>
    <t xml:space="preserve">Leenderweg 182, 5555 CJ Valkenswaard</t>
  </si>
  <si>
    <t xml:space="preserve">Household</t>
  </si>
  <si>
    <t xml:space="preserve">Retailers (local offices incl. UK)</t>
  </si>
  <si>
    <t xml:space="preserve">Yes - has UK office</t>
  </si>
  <si>
    <t xml:space="preserve">Major Dutch household brand; DC in Pelt, Belgium</t>
  </si>
  <si>
    <t xml:space="preserve">Contact UK office for UK accounts.</t>
  </si>
  <si>
    <t xml:space="preserve">Bolsius Nederland BV</t>
  </si>
  <si>
    <t xml:space="preserve">https://www.bolsius.com</t>
  </si>
  <si>
    <t xml:space="preserve">Schijndel</t>
  </si>
  <si>
    <t xml:space="preserve">Kerkendijk 126, 5482 KK Schijndel</t>
  </si>
  <si>
    <t xml:space="preserve">+31 73 543 3000</t>
  </si>
  <si>
    <t xml:space="preserve">Bolsius candles, tealights, citronella, LED candles</t>
  </si>
  <si>
    <t xml:space="preserve">Candles &amp; home fragrance</t>
  </si>
  <si>
    <t xml:space="preserve">Retail &amp; wholesale accounts; 6 sales offices</t>
  </si>
  <si>
    <t xml:space="preserve">Ask - present in 50+ countries</t>
  </si>
  <si>
    <t xml:space="preserve">Ambiente 2025/2026 exhibitor; European factories; stocked by Albert Heijn</t>
  </si>
  <si>
    <t xml:space="preserve">Scented &amp; citronella candles sell well (seasonal)</t>
  </si>
  <si>
    <t xml:space="preserve">Candles can be heavy - check FBA fees</t>
  </si>
  <si>
    <t xml:space="preserve">Trade fair exhibitor listing + retailer data</t>
  </si>
  <si>
    <t xml:space="preserve">Koopman International B.V.</t>
  </si>
  <si>
    <t xml:space="preserve">https://www.koopmanint.com/en/</t>
  </si>
  <si>
    <t xml:space="preserve">Distelweg 88, Amsterdam</t>
  </si>
  <si>
    <t xml:space="preserve">+31 20 494 7777</t>
  </si>
  <si>
    <t xml:space="preserve">info@koopmanint.com</t>
  </si>
  <si>
    <t xml:space="preserve">Importer / exporter (non-food)</t>
  </si>
  <si>
    <t xml:space="preserve">30,000+ non-food items: houseware, kitchen, storage, seasonal, garden, DIY</t>
  </si>
  <si>
    <t xml:space="preserve">General houseware</t>
  </si>
  <si>
    <t xml:space="preserve">Retail trade (supermarkets, hardware, webshops)</t>
  </si>
  <si>
    <t xml:space="preserve">Yes - Koopman International UK Ltd (SC376922)</t>
  </si>
  <si>
    <t xml:space="preserve">UK arm: CH SC376922</t>
  </si>
  <si>
    <t xml:space="preserve">Founded 1937; 17,500 m2 showroom; own DC</t>
  </si>
  <si>
    <t xml:space="preserve">Mostly own/unbranded lines - check listing ownership</t>
  </si>
  <si>
    <t xml:space="preserve">Company website (via search) + Companies House</t>
  </si>
  <si>
    <t xml:space="preserve">Mepal B.V.</t>
  </si>
  <si>
    <t xml:space="preserve">https://www.mepal.com</t>
  </si>
  <si>
    <t xml:space="preserve">Lochem</t>
  </si>
  <si>
    <t xml:space="preserve">Aalsvoort 101, 7241 MB Lochem</t>
  </si>
  <si>
    <t xml:space="preserve">+31 573 820 840</t>
  </si>
  <si>
    <t xml:space="preserve">info@mepal.com</t>
  </si>
  <si>
    <t xml:space="preserve">Mepal Campus lunchboxes &amp; bottles, storage, tableware</t>
  </si>
  <si>
    <t xml:space="preserve">Food storage / lunchware</t>
  </si>
  <si>
    <t xml:space="preserve">Dutch manufacturer (produces largely in NL); stocked by Kruidvat</t>
  </si>
  <si>
    <t xml:space="preserve">Lunchboxes &amp; drink bottles sell well, especially back-to-school</t>
  </si>
  <si>
    <t xml:space="preserve">Retailer GPSR manufacturer data</t>
  </si>
  <si>
    <t xml:space="preserve">PASS - well-known company: Well-known Dutch housewares maker.</t>
  </si>
  <si>
    <t xml:space="preserve">Tristar Europe B.V. (Smartwares Group)</t>
  </si>
  <si>
    <t xml:space="preserve">https://www.tristar.eu</t>
  </si>
  <si>
    <t xml:space="preserve">Tilburg</t>
  </si>
  <si>
    <t xml:space="preserve">Jules Verneweg 87, 5015 BH Tilburg</t>
  </si>
  <si>
    <t xml:space="preserve">Brand owner (small domestic appliances)</t>
  </si>
  <si>
    <t xml:space="preserve">Tristar air fryers, kitchen &amp; personal care appliances; Smartwares, Princess</t>
  </si>
  <si>
    <t xml:space="preserve">Electricals need UK plug versions - ask</t>
  </si>
  <si>
    <t xml:space="preserve">Part of Smartwares Group (NPM Capital backed); 24,000 m2 warehouse</t>
  </si>
  <si>
    <t xml:space="preserve">Budget appliances sell well; check UKCA/UK plug</t>
  </si>
  <si>
    <t xml:space="preserve">Product manuals + investor page</t>
  </si>
  <si>
    <t xml:space="preserve">Sunware B.V.</t>
  </si>
  <si>
    <t xml:space="preserve">https://www.sunware.nl</t>
  </si>
  <si>
    <t xml:space="preserve">Tilburg (20,000 m2 warehouse)</t>
  </si>
  <si>
    <t xml:space="preserve">Sunware Q-Line, Sigma Home storage boxes</t>
  </si>
  <si>
    <t xml:space="preserve">Home storage</t>
  </si>
  <si>
    <t xml:space="preserve">In Tilburg since 1991; sold via Hubo, Galaxus, Schäfer Shop</t>
  </si>
  <si>
    <t xml:space="preserve">Storage boxes: bulky - check FBA size tiers</t>
  </si>
  <si>
    <t xml:space="preserve">Company profile + retailer listings</t>
  </si>
  <si>
    <t xml:space="preserve">vidaXL / dropshippingXL</t>
  </si>
  <si>
    <t xml:space="preserve">https://www.vidaxl.com</t>
  </si>
  <si>
    <t xml:space="preserve">Venlo</t>
  </si>
  <si>
    <t xml:space="preserve">Brand owner + dropship/B2B programme</t>
  </si>
  <si>
    <t xml:space="preserve">vidaXL own-brand furniture, home, garden (100k+ SKUs)</t>
  </si>
  <si>
    <t xml:space="preserve">Home, furniture, garden</t>
  </si>
  <si>
    <t xml:space="preserve">None (dropship) / B2B bulk</t>
  </si>
  <si>
    <t xml:space="preserve">Registered seller (subscription)</t>
  </si>
  <si>
    <t xml:space="preserve">Yes (UK warehouse)</t>
  </si>
  <si>
    <t xml:space="preserve">Yes</t>
  </si>
  <si>
    <t xml:space="preserve">Large Dutch e-commerce group</t>
  </si>
  <si>
    <t xml:space="preserve">Permits marketplace selling; Amazon requires you to be seller of record on dropship orders</t>
  </si>
  <si>
    <t xml:space="preserve">Company FAQ + reviews</t>
  </si>
  <si>
    <t xml:space="preserve">Raalte</t>
  </si>
  <si>
    <t xml:space="preserve">Drostenkamp 3, 8101 BX Raalte (KvK 38018586)</t>
  </si>
  <si>
    <t xml:space="preserve">Pet health &amp; care</t>
  </si>
  <si>
    <t xml:space="preserve">Pet trade &amp; distributors</t>
  </si>
  <si>
    <t xml:space="preserve">Has UK presence - ask</t>
  </si>
  <si>
    <t xml:space="preserve">KvK 38018586</t>
  </si>
  <si>
    <t xml:space="preserve">Family business; KvK registered; sold internationally</t>
  </si>
  <si>
    <t xml:space="preserve">KvK data + trade press</t>
  </si>
  <si>
    <t xml:space="preserve">Van der Meer Groothandel in Dierbenodigdheden B.V.</t>
  </si>
  <si>
    <t xml:space="preserve">https://www.vandermeerrotterdam.nl</t>
  </si>
  <si>
    <t xml:space="preserve">Rotterdam</t>
  </si>
  <si>
    <t xml:space="preserve">Hongkongstraat 71, Rotterdam</t>
  </si>
  <si>
    <t xml:space="preserve">Cash &amp; carry wholesaler + dropship</t>
  </si>
  <si>
    <t xml:space="preserve">10,000+ pet products</t>
  </si>
  <si>
    <t xml:space="preserve">Pet supplies</t>
  </si>
  <si>
    <t xml:space="preserve">Pet shops &amp; online shops</t>
  </si>
  <si>
    <t xml:space="preserve">NL/BE/DE delivery 1-3 days</t>
  </si>
  <si>
    <t xml:space="preserve">Yes (webshops)</t>
  </si>
  <si>
    <t xml:space="preserve">One of NL's largest pet cash &amp; carries; WooCommerce/Lightspeed integrations</t>
  </si>
  <si>
    <t xml:space="preserve">Dropship integrations for webshops</t>
  </si>
  <si>
    <t xml:space="preserve">Directory + integration partners</t>
  </si>
  <si>
    <t xml:space="preserve">PASS (checked) - Established Rotterdam pet cash &amp; carry (10,000+ products).</t>
  </si>
  <si>
    <t xml:space="preserve">Beeztees</t>
  </si>
  <si>
    <t xml:space="preserve">https://www.beeztees.nl</t>
  </si>
  <si>
    <t xml:space="preserve">Waalwijk</t>
  </si>
  <si>
    <t xml:space="preserve">Energieweg 4, 5145 NW Waalwijk (verify)</t>
  </si>
  <si>
    <t xml:space="preserve">Beeztees, Karlie pet accessories</t>
  </si>
  <si>
    <t xml:space="preserve">~95 staff; owns Karlie brand &amp; a production site</t>
  </si>
  <si>
    <t xml:space="preserve">Industry directory + trade press</t>
  </si>
  <si>
    <t xml:space="preserve">PASS - well-known company: Major Dutch pet-accessory brand owner.</t>
  </si>
  <si>
    <t xml:space="preserve">NRG Fitness B.V.</t>
  </si>
  <si>
    <t xml:space="preserve">https://www.decathlon.nl/mp/seller/nrg-fitness-bv/14f44405-4091-46fe-a1eb-7c464a2aad45</t>
  </si>
  <si>
    <t xml:space="preserve">Halsteren (North Brabant)</t>
  </si>
  <si>
    <t xml:space="preserve">Vang 4-6, 4661 TX Halsteren</t>
  </si>
  <si>
    <t xml:space="preserve">Fitness distributor</t>
  </si>
  <si>
    <t xml:space="preserve">Centr, Centr x Hyrox, Garlando, Toorx</t>
  </si>
  <si>
    <t xml:space="preserve">Resellers</t>
  </si>
  <si>
    <t xml:space="preserve">Benelux &amp; Europe - ask about UK</t>
  </si>
  <si>
    <t xml:space="preserve">Yes (sells there itself)</t>
  </si>
  <si>
    <t xml:space="preserve">Sells via Decathlon, Bol &amp; Amazon marketplaces</t>
  </si>
  <si>
    <t xml:space="preserve">Already sells on Amazon - may compete; ask about reseller terms</t>
  </si>
  <si>
    <t xml:space="preserve">Marketplace seller profile + company profile</t>
  </si>
  <si>
    <t xml:space="preserve">PASS (checked) - Fitness distributor (Toorx, Garlando); note: negative Trustpilot reviews are about an unrelated gym chain.</t>
  </si>
  <si>
    <t xml:space="preserve">Ink, toner &amp; office</t>
  </si>
  <si>
    <t xml:space="preserve">Resellers, office retailers, webshops</t>
  </si>
  <si>
    <t xml:space="preserve">NL - ask</t>
  </si>
  <si>
    <t xml:space="preserve">Part of ALSO Holding (Swiss-listed)</t>
  </si>
  <si>
    <t xml:space="preserve">Complies BV</t>
  </si>
  <si>
    <t xml:space="preserve">https://wisepim.com/suppliers/complies</t>
  </si>
  <si>
    <t xml:space="preserve">IT &amp; office distributor</t>
  </si>
  <si>
    <t xml:space="preserve">IT hardware, software &amp; office products</t>
  </si>
  <si>
    <t xml:space="preserve">IT &amp; office</t>
  </si>
  <si>
    <t xml:space="preserve">Resellers &amp; webshops</t>
  </si>
  <si>
    <t xml:space="preserve">Founded 1992; 6,000 m2 warehouse</t>
  </si>
  <si>
    <t xml:space="preserve">Dropshipment for webshop owners</t>
  </si>
  <si>
    <t xml:space="preserve">PIM supplier profile</t>
  </si>
  <si>
    <t xml:space="preserve">PASS (checked) - IT/office distributor since 1992.</t>
  </si>
  <si>
    <t xml:space="preserve">European Player Network (EPN) - Asmodee</t>
  </si>
  <si>
    <t xml:space="preserve">https://epngames.com</t>
  </si>
  <si>
    <t xml:space="preserve">Helmond</t>
  </si>
  <si>
    <t xml:space="preserve">info@epn-europe.com</t>
  </si>
  <si>
    <t xml:space="preserve">Board game distributor (Asmodee Group)</t>
  </si>
  <si>
    <t xml:space="preserve">English-language tabletop games: AEG, Mandoo, Runes Editions + more</t>
  </si>
  <si>
    <t xml:space="preserve">Store orders ship from €500 (2023 report)</t>
  </si>
  <si>
    <t xml:space="preserve">Retailers via B2B webshop</t>
  </si>
  <si>
    <t xml:space="preserve">Europe-wide - ask</t>
  </si>
  <si>
    <t xml:space="preserve">Part of Asmodee Group; NL warehouse</t>
  </si>
  <si>
    <t xml:space="preserve">Board games sell strongly on Amazon UK</t>
  </si>
  <si>
    <t xml:space="preserve">Koninklijke Jumbo B.V. (Jumbo Group)</t>
  </si>
  <si>
    <t xml:space="preserve">https://www.jumbo.eu/en/about/</t>
  </si>
  <si>
    <t xml:space="preserve">Zaandam</t>
  </si>
  <si>
    <t xml:space="preserve">Westzijde 184, 1506 EK Zaandam</t>
  </si>
  <si>
    <t xml:space="preserve">Brand owner / publisher</t>
  </si>
  <si>
    <t xml:space="preserve">Jumbo games &amp; puzzles, Diset (ES), James Galt (UK), Dujardin (FR)</t>
  </si>
  <si>
    <t xml:space="preserve">Retailers; export department for other markets</t>
  </si>
  <si>
    <t xml:space="preserve">Yes - UK office (James Galt)</t>
  </si>
  <si>
    <t xml:space="preserve">Royal-warranted Dutch games company; ~130 staff; offices BE, DE, UK</t>
  </si>
  <si>
    <t xml:space="preserve">Puzzles &amp; games strong year-round</t>
  </si>
  <si>
    <t xml:space="preserve">PASS - well-known company: Royal Dutch games publisher (since 1853).</t>
  </si>
  <si>
    <t xml:space="preserve">Spectron The Toy Company</t>
  </si>
  <si>
    <t xml:space="preserve">https://www.spectrontoys.com</t>
  </si>
  <si>
    <t xml:space="preserve">Deventer</t>
  </si>
  <si>
    <t xml:space="preserve">Solingenstraat 53, 7421 ZR Deventer</t>
  </si>
  <si>
    <t xml:space="preserve">Exclusive Benelux distributor</t>
  </si>
  <si>
    <t xml:space="preserve">Silverlit, IMC Toys, TOMY, Lamaze, 3Doodler, XQ Toys, Gear2Play, Tech4Kids</t>
  </si>
  <si>
    <t xml:space="preserve">Retailers, online retailers, buying groups</t>
  </si>
  <si>
    <t xml:space="preserve">Benelux/DE focus - check</t>
  </si>
  <si>
    <t xml:space="preserve">Offices NL/DE/BE; MD John Boeyen</t>
  </si>
  <si>
    <t xml:space="preserve">Supplies online retailers</t>
  </si>
  <si>
    <t xml:space="preserve">For Amazon EU (DE/NL) more than UK.</t>
  </si>
  <si>
    <t xml:space="preserve">PASS (checked) - Benelux toy distributor since 1982 (Silverlit, IMC Toys).</t>
  </si>
  <si>
    <t xml:space="preserve">SES Creative B.V.</t>
  </si>
  <si>
    <t xml:space="preserve">https://www.ses-creative.com</t>
  </si>
  <si>
    <t xml:space="preserve">Enschede</t>
  </si>
  <si>
    <t xml:space="preserve">Marssteden 46, 7547 TC Enschede</t>
  </si>
  <si>
    <t xml:space="preserve">+31 53 428 9666</t>
  </si>
  <si>
    <t xml:space="preserve">SES Creative arts &amp; crafts, early-years creative toys (500+ products)</t>
  </si>
  <si>
    <t xml:space="preserve">Creative / craft toys</t>
  </si>
  <si>
    <t xml:space="preserve">Has UK &amp; Ireland country manager (Damien Collett)</t>
  </si>
  <si>
    <t xml:space="preserve">Sold in 70-75+ countries; London Toy Fair exhibitor</t>
  </si>
  <si>
    <t xml:space="preserve">Brand-direct invoices; craft kits are strong sellers</t>
  </si>
  <si>
    <t xml:space="preserve">Toy Fair listing + company profile</t>
  </si>
  <si>
    <t xml:space="preserve">Toi-Toys</t>
  </si>
  <si>
    <t xml:space="preserve">Eindhoven</t>
  </si>
  <si>
    <t xml:space="preserve">Luchthavenweg 48, 5657 EB Eindhoven (KvK 17072521)</t>
  </si>
  <si>
    <t xml:space="preserve">+31 40 254 3610 (verify)</t>
  </si>
  <si>
    <t xml:space="preserve">Toy wholesaler / own brand</t>
  </si>
  <si>
    <t xml:space="preserve">Toi-Toys pocket-money &amp; budget toys</t>
  </si>
  <si>
    <t xml:space="preserve">Budget toys</t>
  </si>
  <si>
    <t xml:space="preserve">Toy shops, supermarkets, drugstores, department stores</t>
  </si>
  <si>
    <t xml:space="preserve">KvK 17072521</t>
  </si>
  <si>
    <t xml:space="preserve">KvK registered</t>
  </si>
  <si>
    <t xml:space="preserve">Own-brand budget toys - watch FBA fees on low prices</t>
  </si>
  <si>
    <t xml:space="preserve">KvK data + data aggregator</t>
  </si>
  <si>
    <t xml:space="preserve">PASS (checked) - KvK 17072521 active since 1991; 54 FTE; accounts filed 2025.</t>
  </si>
  <si>
    <t xml:space="preserve">BrandLine Group Sp. z o.o. (Lionelo)</t>
  </si>
  <si>
    <t xml:space="preserve">https://www.lionelo.com</t>
  </si>
  <si>
    <t xml:space="preserve">Poznań</t>
  </si>
  <si>
    <t xml:space="preserve">ul. A. Kręglewskiego 1, 61-248 Poznań</t>
  </si>
  <si>
    <t xml:space="preserve">+48 61 222 2980</t>
  </si>
  <si>
    <t xml:space="preserve">sprzedaz@brandlinegroup.com</t>
  </si>
  <si>
    <t xml:space="preserve">Lionelo baby products; also Overmax electronics, Pelvio</t>
  </si>
  <si>
    <t xml:space="preserve">Nursery, feeding, baby tech</t>
  </si>
  <si>
    <t xml:space="preserve">Chains, distributors, agents, local shops &amp; marketplace stores</t>
  </si>
  <si>
    <t xml:space="preserve">Has international key account team - ask</t>
  </si>
  <si>
    <t xml:space="preserve">Yes (marketplace stores)</t>
  </si>
  <si>
    <t xml:space="preserve">~20 years trading; Kids' Time exhibitor</t>
  </si>
  <si>
    <t xml:space="preserve">Explicitly works with marketplace-type stores</t>
  </si>
  <si>
    <t xml:space="preserve">Trade fair listing + job listing</t>
  </si>
  <si>
    <t xml:space="preserve">4Kraft Sp. z o.o. (Kinderkraft, Kiddy)</t>
  </si>
  <si>
    <t xml:space="preserve">https://www.kinderkraft.com</t>
  </si>
  <si>
    <t xml:space="preserve">Poznań (offices also Frankfurt &amp; Suzhou)</t>
  </si>
  <si>
    <t xml:space="preserve">Brand owner (B2B &amp; e-commerce)</t>
  </si>
  <si>
    <t xml:space="preserve">Kinderkraft pushchairs, car seats, high chairs, cots; Kiddy car seats</t>
  </si>
  <si>
    <t xml:space="preserve">B2B partners &amp; e-commerce</t>
  </si>
  <si>
    <t xml:space="preserve">Yes (e-commerce focus)</t>
  </si>
  <si>
    <t xml:space="preserve">Established Polish nursery brand; offices in PL, DE, CN</t>
  </si>
  <si>
    <t xml:space="preserve">Very strong Amazon EU/UK brand; car seats need extra compliance care</t>
  </si>
  <si>
    <t xml:space="preserve">Investor &amp; company profiles</t>
  </si>
  <si>
    <t xml:space="preserve">Kids Inspirations Sp. z o.o.</t>
  </si>
  <si>
    <t xml:space="preserve">https://trade.gov.pl/en/?p=63431</t>
  </si>
  <si>
    <t xml:space="preserve">Warsaw</t>
  </si>
  <si>
    <t xml:space="preserve">+48 887 554 048</t>
  </si>
  <si>
    <t xml:space="preserve">sklep@kidsinspirations.pl</t>
  </si>
  <si>
    <t xml:space="preserve">Exclusive distributor</t>
  </si>
  <si>
    <t xml:space="preserve">Little Dutch, Baby Brezza, Auzou, TIMIO, Bébé-Jou (PL exclusive)</t>
  </si>
  <si>
    <t xml:space="preserve">Baby &amp; kids brands</t>
  </si>
  <si>
    <t xml:space="preserve">PL territory - ask about export</t>
  </si>
  <si>
    <t xml:space="preserve">Kids' Time exhibitor; listed on Polish trade portal</t>
  </si>
  <si>
    <t xml:space="preserve">Trade fair + gov trade portal</t>
  </si>
  <si>
    <t xml:space="preserve">Canpol Sp. z o.o. (Canpol babies, LOVI, Difrax)</t>
  </si>
  <si>
    <t xml:space="preserve">https://canpolbabies.com/gb_EN/about-us</t>
  </si>
  <si>
    <t xml:space="preserve">ul. Puławska 430, 02-884 Warszawa (KRS 0000732574)</t>
  </si>
  <si>
    <t xml:space="preserve">babies@canpolbabies.com</t>
  </si>
  <si>
    <t xml:space="preserve">Canpol babies, LOVI, Difrax - bottles, dummies, feeding, baby accessories</t>
  </si>
  <si>
    <t xml:space="preserve">Baby feeding &amp; accessories</t>
  </si>
  <si>
    <t xml:space="preserve">Sold in 50 countries - ask</t>
  </si>
  <si>
    <t xml:space="preserve">KRS 0000732574</t>
  </si>
  <si>
    <t xml:space="preserve">Leading baby-accessories producer in Poland/CEE; acquired Difrax</t>
  </si>
  <si>
    <t xml:space="preserve">Brand-direct invoices; also on Qogita</t>
  </si>
  <si>
    <t xml:space="preserve">Company registry + company site</t>
  </si>
  <si>
    <t xml:space="preserve">Ceba Sp. z o.o. (Ceba Baby)</t>
  </si>
  <si>
    <t xml:space="preserve">Oleśnica</t>
  </si>
  <si>
    <t xml:space="preserve">ul. Fabryczna 1, 56-400 Oleśnica</t>
  </si>
  <si>
    <t xml:space="preserve">kontakt@ceba.com.pl</t>
  </si>
  <si>
    <t xml:space="preserve">Ceba Baby changing mats, pregnancy &amp; nursing pillows, blankets</t>
  </si>
  <si>
    <t xml:space="preserve">Changing mats &amp; nursery textiles</t>
  </si>
  <si>
    <t xml:space="preserve">Via exclusive export partner (B2B platform)</t>
  </si>
  <si>
    <t xml:space="preserve">Since Jul 2025 export goes through an exclusive global export partner - ask Ceba for their details</t>
  </si>
  <si>
    <t xml:space="preserve">Named manufacturer &amp; EU responsible person on Shop Apotheke / Kaufland listings; all products made in Poland</t>
  </si>
  <si>
    <t xml:space="preserve">Changing mats &amp; nursing pillows sell well; Polish factory prices</t>
  </si>
  <si>
    <t xml:space="preserve">Retailer GPSR data + LinkedIn announcement</t>
  </si>
  <si>
    <t xml:space="preserve">PASS - well-known company: Large Polish changing-mat maker; named EU responsible person on major retailers.</t>
  </si>
  <si>
    <t xml:space="preserve">WOMAR (Zaffiro brand)</t>
  </si>
  <si>
    <t xml:space="preserve">Częstochowa</t>
  </si>
  <si>
    <t xml:space="preserve">ul. Żyzna 13C, 42-202 Częstochowa</t>
  </si>
  <si>
    <t xml:space="preserve">+48 34 369 71 38</t>
  </si>
  <si>
    <t xml:space="preserve">export@womar.com.pl</t>
  </si>
  <si>
    <t xml:space="preserve">Zaffiro baby carriers &amp; slings, sleeping bags, wool blankets, cot &amp; pram bedding</t>
  </si>
  <si>
    <t xml:space="preserve">Baby textiles &amp; carriers</t>
  </si>
  <si>
    <t xml:space="preserve">Export department; seeking new business partners &amp; shops</t>
  </si>
  <si>
    <t xml:space="preserve">Kids' Time 2025 &amp; 2026 exhibitor (Targi Kielce); sold by Kruidvat (NL); producing since 1989</t>
  </si>
  <si>
    <t xml:space="preserve">Baby slings &amp; wool blankets made in Poland - good margin</t>
  </si>
  <si>
    <t xml:space="preserve">Trade fair exhibitor + retailer GPSR data</t>
  </si>
  <si>
    <t xml:space="preserve">BabyOno</t>
  </si>
  <si>
    <t xml:space="preserve">babyono@babyono.pl (verify)</t>
  </si>
  <si>
    <t xml:space="preserve">BabyOno baby care, feeding, maternity accessories</t>
  </si>
  <si>
    <t xml:space="preserve">Baby accessories</t>
  </si>
  <si>
    <t xml:space="preserve">Founded 1990; sold by major PL/CZ pharmacy chains</t>
  </si>
  <si>
    <t xml:space="preserve">Also on Qogita</t>
  </si>
  <si>
    <t xml:space="preserve">Retailer listings</t>
  </si>
  <si>
    <t xml:space="preserve">Eveline Cosmetics</t>
  </si>
  <si>
    <t xml:space="preserve">https://www.eveline.com.pl</t>
  </si>
  <si>
    <t xml:space="preserve">Lesznowola (near Warsaw)</t>
  </si>
  <si>
    <t xml:space="preserve">ul. Żytnia, Lesznowola (verify)</t>
  </si>
  <si>
    <t xml:space="preserve">+48 22 228 8228 (verify)</t>
  </si>
  <si>
    <t xml:space="preserve">Brand owner / manufacturer &amp; exporter</t>
  </si>
  <si>
    <t xml:space="preserve">Eveline skincare, makeup, body care</t>
  </si>
  <si>
    <t xml:space="preserve">Mass beauty</t>
  </si>
  <si>
    <t xml:space="preserve">Present in 70+ countries - ask</t>
  </si>
  <si>
    <t xml:space="preserve">Largest Polish cosmetics manufacturer &amp; exporter (Targi Kielce)</t>
  </si>
  <si>
    <t xml:space="preserve">Brand-direct invoices; budget beauty sells well</t>
  </si>
  <si>
    <t xml:space="preserve">Has export directors by region.</t>
  </si>
  <si>
    <t xml:space="preserve">Trade fair notice + data aggregator</t>
  </si>
  <si>
    <t xml:space="preserve">PASS - well-known company: One of Poland's largest cosmetics makers.</t>
  </si>
  <si>
    <t xml:space="preserve">Ziaja Ltd</t>
  </si>
  <si>
    <t xml:space="preserve">https://www.ziaja.com</t>
  </si>
  <si>
    <t xml:space="preserve">Gdańsk</t>
  </si>
  <si>
    <t xml:space="preserve">Ziaja skincare &amp; body care</t>
  </si>
  <si>
    <t xml:space="preserve">Skincare</t>
  </si>
  <si>
    <t xml:space="preserve">Already sold in UK - ask who the UK distributor is</t>
  </si>
  <si>
    <t xml:space="preserve">Founded 1989; sold in 10+ countries</t>
  </si>
  <si>
    <t xml:space="preserve">Wikipedia</t>
  </si>
  <si>
    <t xml:space="preserve">Bielenda Group S.A.</t>
  </si>
  <si>
    <t xml:space="preserve">https://www.bielenda.pl/en/about-us</t>
  </si>
  <si>
    <t xml:space="preserve">Kraków</t>
  </si>
  <si>
    <t xml:space="preserve">Fabryczna 20, 31-553 Kraków</t>
  </si>
  <si>
    <t xml:space="preserve">Bielenda, Bielenda Professional, Soraya, Dermika, BodyBoom</t>
  </si>
  <si>
    <t xml:space="preserve">Skincare &amp; body care</t>
  </si>
  <si>
    <t xml:space="preserve">Distributors &amp; retailers (international sales team in Kraków)</t>
  </si>
  <si>
    <t xml:space="preserve">Sold in 45-55 countries incl. UK - ask</t>
  </si>
  <si>
    <t xml:space="preserve">Major Polish cosmetics group; own R&amp;D &amp; manufacturing</t>
  </si>
  <si>
    <t xml:space="preserve">Good-value skincare brands; brand-direct invoices</t>
  </si>
  <si>
    <t xml:space="preserve">Company site + job listings</t>
  </si>
  <si>
    <t xml:space="preserve">Delia Cosmetics Sp. z o.o.</t>
  </si>
  <si>
    <t xml:space="preserve">https://www.delia.pl</t>
  </si>
  <si>
    <t xml:space="preserve">Rzgów (Łódź)</t>
  </si>
  <si>
    <t xml:space="preserve">ul. Leśna 5, 95-030 Rzgów</t>
  </si>
  <si>
    <t xml:space="preserve">+48 42 225 44 84 (verify)</t>
  </si>
  <si>
    <t xml:space="preserve">Delia, Cameleo (hair), Humanist</t>
  </si>
  <si>
    <t xml:space="preserve">Hair colour, nail &amp; skincare</t>
  </si>
  <si>
    <t xml:space="preserve">Distributors (75+ countries)</t>
  </si>
  <si>
    <t xml:space="preserve">Polish government export portal (trade.gov.pl) profile; ~EUR 35m turnover; ISO 9001 / GMP; 2 factories</t>
  </si>
  <si>
    <t xml:space="preserve">Polish cosmetics are cheap to buy wholesale - good margin on hennas &amp; brow tints</t>
  </si>
  <si>
    <t xml:space="preserve">Government export portal + trade data</t>
  </si>
  <si>
    <t xml:space="preserve">Dr Irena Eris S.A.</t>
  </si>
  <si>
    <t xml:space="preserve">https://www.drirenaerissa.pl</t>
  </si>
  <si>
    <t xml:space="preserve">Piaseczno (Warsaw)</t>
  </si>
  <si>
    <t xml:space="preserve">ul. Armii Krajowej 12, 05-500 Piaseczno</t>
  </si>
  <si>
    <t xml:space="preserve">+48 22 717 1111</t>
  </si>
  <si>
    <t xml:space="preserve">Dr Irena Eris, Pharmaceris, Lirene, Emotopic, Under Twenty</t>
  </si>
  <si>
    <t xml:space="preserve">Skincare (premium to budget)</t>
  </si>
  <si>
    <t xml:space="preserve">Distributors in 60-70+ countries; International Markets Director</t>
  </si>
  <si>
    <t xml:space="preserve">KRS 0000051003</t>
  </si>
  <si>
    <t xml:space="preserve">KRS 0000051003; filed prospectus with Polish regulator (KNF)</t>
  </si>
  <si>
    <t xml:space="preserve">Lirene &amp; Pharmaceris give a cheap and a pharmacy tier from one supplier</t>
  </si>
  <si>
    <t xml:space="preserve">KRS registry + financial press</t>
  </si>
  <si>
    <t xml:space="preserve">Laboratorium Kosmetyków Naturalnych Farmona Sp. z o.o.</t>
  </si>
  <si>
    <t xml:space="preserve">https://farmona.pl/en/company/export/</t>
  </si>
  <si>
    <t xml:space="preserve">Jugowicka 10C, Kraków</t>
  </si>
  <si>
    <t xml:space="preserve">Farmona, Tutti Frutti, Nivelazione, Herbal Care, Radical</t>
  </si>
  <si>
    <t xml:space="preserve">Distributors (seeking new markets)</t>
  </si>
  <si>
    <t xml:space="preserve">ISO 22716 GMP certified; Cosmoprof &amp; Beautyworld exhibitor</t>
  </si>
  <si>
    <t xml:space="preserve">Has a dedicated export page.</t>
  </si>
  <si>
    <t xml:space="preserve">Company export page + trade data</t>
  </si>
  <si>
    <t xml:space="preserve">Davi (Hurtownia Davi)</t>
  </si>
  <si>
    <t xml:space="preserve">Czachorów (near Gostyń)</t>
  </si>
  <si>
    <t xml:space="preserve">Czachorów, Gostyń</t>
  </si>
  <si>
    <t xml:space="preserve">+48 603 670 521 (2016 - verify)</t>
  </si>
  <si>
    <t xml:space="preserve">Cosmetics wholesaler &amp; importer</t>
  </si>
  <si>
    <t xml:space="preserve">Mass cosmetics + exclusive Spanish &amp; Italian imported brands</t>
  </si>
  <si>
    <t xml:space="preserve">Anyone selling cosmetics - B2B platform</t>
  </si>
  <si>
    <t xml:space="preserve">Established Polish wholesaler; B2B platform since 2019; 24h dispatch</t>
  </si>
  <si>
    <t xml:space="preserve">Trade press (Wiadomości Kosmetyczne)</t>
  </si>
  <si>
    <t xml:space="preserve">PASS (checked) - 25+ years; supplies Dino, Żabka and other chains (trade press).</t>
  </si>
  <si>
    <t xml:space="preserve">INGLOT Sp. z o.o.</t>
  </si>
  <si>
    <t xml:space="preserve">https://corp.inglotcosmetics.com/about-us/company-overview/</t>
  </si>
  <si>
    <t xml:space="preserve">Przemyśl</t>
  </si>
  <si>
    <t xml:space="preserve">Lwowska 154, 37-700 Przemyśl</t>
  </si>
  <si>
    <t xml:space="preserve">INGLOT makeup, nail polish, Freedom System palettes</t>
  </si>
  <si>
    <t xml:space="preserve">Distribution partners (CSO Joanna Kobryło expanding channels)</t>
  </si>
  <si>
    <t xml:space="preserve">Exports to 90 markets - ask</t>
  </si>
  <si>
    <t xml:space="preserve">Family-owned; own factory; US subsidiary</t>
  </si>
  <si>
    <t xml:space="preserve">Corporate site + business press</t>
  </si>
  <si>
    <t xml:space="preserve">CAUTION - Genuine brand owner, but in a public dispute with its Spanish distributor Hipercosmo (Sept 2026) - get distribution terms in writing.</t>
  </si>
  <si>
    <t xml:space="preserve">Laboratorium Kosmetyczne Joanna sp.j.</t>
  </si>
  <si>
    <t xml:space="preserve">ul. Gen. Józefa Zajączka 11/C2, 01-510 Warszawa</t>
  </si>
  <si>
    <t xml:space="preserve">joanna@joanna.pl</t>
  </si>
  <si>
    <t xml:space="preserve">Joanna hair care, hair colour, depilation</t>
  </si>
  <si>
    <t xml:space="preserve">Hair care (budget)</t>
  </si>
  <si>
    <t xml:space="preserve">Distributors / foreign partners</t>
  </si>
  <si>
    <t xml:space="preserve">NIP 1180024208</t>
  </si>
  <si>
    <t xml:space="preserve">40-year Polish brand (438 products); covered by trade press</t>
  </si>
  <si>
    <t xml:space="preserve">Very low unit cost hair care; check UK labelling</t>
  </si>
  <si>
    <t xml:space="preserve">Trade press + company registry listing</t>
  </si>
  <si>
    <t xml:space="preserve">Oceanic S.A. (AA cosmetics)</t>
  </si>
  <si>
    <t xml:space="preserve">http://www.oceanic.com.pl</t>
  </si>
  <si>
    <t xml:space="preserve">Sopot</t>
  </si>
  <si>
    <t xml:space="preserve">ul. Łokietka 58, 81-736 Sopot</t>
  </si>
  <si>
    <t xml:space="preserve">+48 58 550 88 00</t>
  </si>
  <si>
    <t xml:space="preserve">AA hypoallergenic skincare, AA Intymna; private label</t>
  </si>
  <si>
    <t xml:space="preserve">Sensitive-skin skincare</t>
  </si>
  <si>
    <t xml:space="preserve">Distributors; private label partners</t>
  </si>
  <si>
    <t xml:space="preserve">ISO &amp; GMP plant (Trąbki Małe); long-running US export records</t>
  </si>
  <si>
    <t xml:space="preserve">Hypoallergenic creams sell well; low Polish unit cost</t>
  </si>
  <si>
    <t xml:space="preserve">Business directory + trade data</t>
  </si>
  <si>
    <t xml:space="preserve">PASS - well-known company: Established Polish cosmetics maker (AA brand), ISO/GMP plant.</t>
  </si>
  <si>
    <t xml:space="preserve">TOYA S.A. (YATO, VOREL, STHOR, FLO, LUND)</t>
  </si>
  <si>
    <t xml:space="preserve">https://toya.pl/en/toya-group</t>
  </si>
  <si>
    <t xml:space="preserve">Wrocław</t>
  </si>
  <si>
    <t xml:space="preserve">ul. Sołtysowicka 13-15, 51-168 Wrocław</t>
  </si>
  <si>
    <t xml:space="preserve">+48 71 32 46 200</t>
  </si>
  <si>
    <t xml:space="preserve">export@yato.pl</t>
  </si>
  <si>
    <t xml:space="preserve">YATO professional tools, VOREL, STHOR, FLO garden, LUND</t>
  </si>
  <si>
    <t xml:space="preserve">Hand &amp; power tools</t>
  </si>
  <si>
    <t xml:space="preserve">Distributes to 100+ countries - ask</t>
  </si>
  <si>
    <t xml:space="preserve">Warsaw-listed group; Messe Frankfurt exhibitor; subsidiaries RO &amp; CN</t>
  </si>
  <si>
    <t xml:space="preserve">YATO is widely sold on Amazon EU - brand-direct invoices</t>
  </si>
  <si>
    <t xml:space="preserve">Dedicated export email.</t>
  </si>
  <si>
    <t xml:space="preserve">Company profile (trade fair) + company site</t>
  </si>
  <si>
    <t xml:space="preserve">Logo-Tools Sp. z o.o.</t>
  </si>
  <si>
    <t xml:space="preserve">https://logo-tools.pl</t>
  </si>
  <si>
    <t xml:space="preserve">Puszczykowo (near Poznań)</t>
  </si>
  <si>
    <t xml:space="preserve">ul. Gen. J. H. Dąbrowskiego 22, 62-040 Puszczykowo</t>
  </si>
  <si>
    <t xml:space="preserve">Distributor + own brand</t>
  </si>
  <si>
    <t xml:space="preserve">Knipex, Ridgid, Virax, Super-Ego, Alpen + own brand</t>
  </si>
  <si>
    <t xml:space="preserve">KRS 0000646758</t>
  </si>
  <si>
    <t xml:space="preserve">KRS 0000646758, NIP 7831749974</t>
  </si>
  <si>
    <t xml:space="preserve">Knipex is a strong Amazon seller - confirm official distributor status</t>
  </si>
  <si>
    <t xml:space="preserve">Company registry</t>
  </si>
  <si>
    <t xml:space="preserve">PASS (checked) - KRS 0000646758 active.</t>
  </si>
  <si>
    <t xml:space="preserve">Floraland Sp. z o.o. Sp.k. (Greenmill)</t>
  </si>
  <si>
    <t xml:space="preserve">https://www.greenmill.pl</t>
  </si>
  <si>
    <t xml:space="preserve">Nieporęt (Warsaw)</t>
  </si>
  <si>
    <t xml:space="preserve">ul. Strużańska 28, Stanisławów Pierwszy, 05-126 Nieporęt</t>
  </si>
  <si>
    <t xml:space="preserve">Greenmill garden tools, hoses &amp; watering; Mastergrillparty BBQ</t>
  </si>
  <si>
    <t xml:space="preserve">Wholesale &amp; retail chains; exports to IE, IT, Baltics, Balkans</t>
  </si>
  <si>
    <t xml:space="preserve">KRS 0000392886</t>
  </si>
  <si>
    <t xml:space="preserve">KRS 0000392886; NIP 5361908663; trade.gov.pl profile; 25+ years</t>
  </si>
  <si>
    <t xml:space="preserve">Hose fittings, sprayers &amp; hand tools - spring/summer peak</t>
  </si>
  <si>
    <t xml:space="preserve">Government export portal + KRS registry</t>
  </si>
  <si>
    <t xml:space="preserve">GTX Poland Sp. z o.o. Sp. k. (formerly Grupa Topex)</t>
  </si>
  <si>
    <t xml:space="preserve">https://www.gtx-group.com/en/about-the-company/</t>
  </si>
  <si>
    <t xml:space="preserve">Pograniczna 2/4, 02-285 Warszawa</t>
  </si>
  <si>
    <t xml:space="preserve">office@gtx-group.com</t>
  </si>
  <si>
    <t xml:space="preserve">NEO TOOLS, TOPEX, VERTO, TOP TOOLS, GRAPHITE, BAILDON</t>
  </si>
  <si>
    <t xml:space="preserve">Sales partners (4,000 worldwide)</t>
  </si>
  <si>
    <t xml:space="preserve">Sold in 40 countries - ask</t>
  </si>
  <si>
    <t xml:space="preserve">Major Polish tools group; subsidiaries in RO, UA, CN</t>
  </si>
  <si>
    <t xml:space="preserve">Own brands = direct invoices; NEO Tools strong on Amazon EU</t>
  </si>
  <si>
    <t xml:space="preserve">Dedra Exim Sp. z o.o.</t>
  </si>
  <si>
    <t xml:space="preserve">https://www.dedra.pl</t>
  </si>
  <si>
    <t xml:space="preserve">Pruszków (near Warsaw)</t>
  </si>
  <si>
    <t xml:space="preserve">ul. 3 Maja 8, 05-800 Pruszków</t>
  </si>
  <si>
    <t xml:space="preserve">+48 22 73 83 777</t>
  </si>
  <si>
    <t xml:space="preserve">Dedra power tools, garden &amp; workshop equipment</t>
  </si>
  <si>
    <t xml:space="preserve">Power tools &amp; garden</t>
  </si>
  <si>
    <t xml:space="preserve">Trade - B2B portal</t>
  </si>
  <si>
    <t xml:space="preserve">Operates in 13 European countries - ask</t>
  </si>
  <si>
    <t xml:space="preserve">Founded 1991; ~300 staff</t>
  </si>
  <si>
    <t xml:space="preserve">Product manuals + directories</t>
  </si>
  <si>
    <t xml:space="preserve">STALCO S.K.A.</t>
  </si>
  <si>
    <t xml:space="preserve">https://www.stalco.pl</t>
  </si>
  <si>
    <t xml:space="preserve">Skawina (Kraków)</t>
  </si>
  <si>
    <t xml:space="preserve">ul. Ofiar Katynia 1, 32-050 Skawina</t>
  </si>
  <si>
    <t xml:space="preserve">Brand owner / manufacturer-distributor</t>
  </si>
  <si>
    <t xml:space="preserve">Stalco hand &amp; power tools, fasteners, painting accessories, PPE, building chemicals</t>
  </si>
  <si>
    <t xml:space="preserve">DIY tools &amp; fixings</t>
  </si>
  <si>
    <t xml:space="preserve">DIY chains &amp; builders' merchants</t>
  </si>
  <si>
    <t xml:space="preserve">KRS 0000425156</t>
  </si>
  <si>
    <t xml:space="preserve">KRS 0000425156; trade.gov.pl listing</t>
  </si>
  <si>
    <t xml:space="preserve">Fixings assortments &amp; hand tools - cheap Polish pricing</t>
  </si>
  <si>
    <t xml:space="preserve">Don't confuse with Stalco-Industries (waste compactors)</t>
  </si>
  <si>
    <t xml:space="preserve">KRS registry + government export portal</t>
  </si>
  <si>
    <t xml:space="preserve">Trybuny Ludów 15, 30-660 Kraków (KRS 0000567077, NIP 6793113882)</t>
  </si>
  <si>
    <t xml:space="preserve">Mass fragrance / FMCG</t>
  </si>
  <si>
    <t xml:space="preserve">Exports - check UK</t>
  </si>
  <si>
    <t xml:space="preserve">20+ years in wholesale perfume &amp; cosmetics</t>
  </si>
  <si>
    <t xml:space="preserve">Registry data - find website</t>
  </si>
  <si>
    <t xml:space="preserve">Parfum Company Sp. z o.o. S.K.A.</t>
  </si>
  <si>
    <t xml:space="preserve">Zakręt (near Warsaw)</t>
  </si>
  <si>
    <t xml:space="preserve">Lubelska 42, 05-077 Zakręt (NIP 1132861515)</t>
  </si>
  <si>
    <t xml:space="preserve">Hundreds of thousands of perfumes in stock; B2B platform</t>
  </si>
  <si>
    <t xml:space="preserve">Designer fragrance</t>
  </si>
  <si>
    <t xml:space="preserve">B2B platform registration</t>
  </si>
  <si>
    <t xml:space="preserve">15+ years trading; claims largest perfume wholesaler in Poland</t>
  </si>
  <si>
    <t xml:space="preserve">Job portal listing - find website</t>
  </si>
  <si>
    <t xml:space="preserve">PASS (checked) - Registered (NIP 1132861515); no complaints found.</t>
  </si>
  <si>
    <t xml:space="preserve">LA RIVE S.A.</t>
  </si>
  <si>
    <t xml:space="preserve">https://larive-parfums.com</t>
  </si>
  <si>
    <t xml:space="preserve">Grudziądz</t>
  </si>
  <si>
    <t xml:space="preserve">ul. Składowa 2-6, 86-300 Grudziądz</t>
  </si>
  <si>
    <t xml:space="preserve">Export Department form on website</t>
  </si>
  <si>
    <t xml:space="preserve">La Rive perfumes, colognes, deodorants, shower gels</t>
  </si>
  <si>
    <t xml:space="preserve">Budget fragrance (own brand)</t>
  </si>
  <si>
    <t xml:space="preserve">One main distributor per country (50-60 countries); apply via export form</t>
  </si>
  <si>
    <t xml:space="preserve">Ask - check if a UK distributor already exists</t>
  </si>
  <si>
    <t xml:space="preserve">KRS 0000290290</t>
  </si>
  <si>
    <t xml:space="preserve">KRS 0000290290; NIP 876-22-33-480; own perfume factory</t>
  </si>
  <si>
    <t xml:space="preserve">Very low-cost own-brand perfume; liquids = hazmat on Amazon (need SDS)</t>
  </si>
  <si>
    <t xml:space="preserve">Own brand only (not designer) - fine for Amazon; perfume is dangerous goods</t>
  </si>
  <si>
    <t xml:space="preserve">Company website + KRS registry</t>
  </si>
  <si>
    <t xml:space="preserve">CAUTION - Real manufacturer, but La Rive fragrances were named in an EU Safety Gate alert (May 2025, banned Lilial/BMHCA) - ask for current CPNP + IFRA compliance documents.</t>
  </si>
  <si>
    <t xml:space="preserve">Olimp Laboratories Sp. z o.o. (Olimp Sport Nutrition)</t>
  </si>
  <si>
    <t xml:space="preserve">https://www.olimp-supplements.com</t>
  </si>
  <si>
    <t xml:space="preserve">Dębica</t>
  </si>
  <si>
    <t xml:space="preserve">Pustynia 84F, 39-200 Dębica</t>
  </si>
  <si>
    <t xml:space="preserve">Brand owner / manufacturer (pharma)</t>
  </si>
  <si>
    <t xml:space="preserve">Olimp Sport Nutrition, Olimp Labs supplements</t>
  </si>
  <si>
    <t xml:space="preserve">Sports nutrition &amp; supplements</t>
  </si>
  <si>
    <t xml:space="preserve">Distributors &amp; retailers (export specialists per market)</t>
  </si>
  <si>
    <t xml:space="preserve">Exports widely - ask</t>
  </si>
  <si>
    <t xml:space="preserve">Operating since 1990; pharma manufacturer; international trade-fair exhibitor</t>
  </si>
  <si>
    <t xml:space="preserve">Supplements need compliant UK labels</t>
  </si>
  <si>
    <t xml:space="preserve">Trademark registry + job listings</t>
  </si>
  <si>
    <t xml:space="preserve">ZIP Wieczorek Sp. z o.o.</t>
  </si>
  <si>
    <t xml:space="preserve">https://www.trade.gov.pl/en/?p=51061</t>
  </si>
  <si>
    <t xml:space="preserve">Lublin</t>
  </si>
  <si>
    <t xml:space="preserve">Biskupińska 59, 20-830 Lublin</t>
  </si>
  <si>
    <t xml:space="preserve">Branded FMCG wholesaler / exporter</t>
  </si>
  <si>
    <t xml:space="preserve">Branded cosmetics, detergents, beverages, bakery</t>
  </si>
  <si>
    <t xml:space="preserve">B2B - invites direct enquiries</t>
  </si>
  <si>
    <t xml:space="preserve">Exports across EU - ask about UK</t>
  </si>
  <si>
    <t xml:space="preserve">LEI 259400D1L7KLV95ORL10</t>
  </si>
  <si>
    <t xml:space="preserve">Family firm founded 1990; listed by Polish Investment &amp; Trade Agency; has LEI</t>
  </si>
  <si>
    <t xml:space="preserve">Government trade portal + LEI register</t>
  </si>
  <si>
    <t xml:space="preserve">PASS (checked) - Listed on Poland's government export portal; family firm since 1990.</t>
  </si>
  <si>
    <t xml:space="preserve">Olivit Sp. z o.o.</t>
  </si>
  <si>
    <t xml:space="preserve">https://olivit.pl</t>
  </si>
  <si>
    <t xml:space="preserve">ul. Blacharska 11, 61-006 Poznań</t>
  </si>
  <si>
    <t xml:space="preserve">Supplements &amp; vitamins distributor</t>
  </si>
  <si>
    <t xml:space="preserve">~50 brands / 9,000+ products incl. own brand Osavi</t>
  </si>
  <si>
    <t xml:space="preserve">Vitamins &amp; supplements</t>
  </si>
  <si>
    <t xml:space="preserve">Yes - has GB warehouse</t>
  </si>
  <si>
    <t xml:space="preserve">Exports to 50+ countries; WorldFood Poland exhibitor; GOED member</t>
  </si>
  <si>
    <t xml:space="preserve">UK warehouse removes import hassle</t>
  </si>
  <si>
    <t xml:space="preserve">Trade fair catalogue + industry profiles</t>
  </si>
  <si>
    <t xml:space="preserve">OstroVit Sp. z o.o.</t>
  </si>
  <si>
    <t xml:space="preserve">Zambrów</t>
  </si>
  <si>
    <t xml:space="preserve">ul. Sitarska 16, 18-300 Zambrów</t>
  </si>
  <si>
    <t xml:space="preserve">Wholesale-export B2B portal (see website)</t>
  </si>
  <si>
    <t xml:space="preserve">OstroVit vitamins, supplements, protein, healthy snacks</t>
  </si>
  <si>
    <t xml:space="preserve">Supplements &amp; sports nutrition</t>
  </si>
  <si>
    <t xml:space="preserve">Via B2B wholesale portal</t>
  </si>
  <si>
    <t xml:space="preserve">Separate wholesale-export channel; sold in 40-70 countries</t>
  </si>
  <si>
    <t xml:space="preserve">KRS 0000994529 / NIP 7231641151</t>
  </si>
  <si>
    <t xml:space="preserve">KRS 0000994529; NIP 7231641151; REGON 523562090; sold via Qogita</t>
  </si>
  <si>
    <t xml:space="preserve">Very cheap vitamins (D3+K2 etc.) - check UK labelling &amp; Amazon approval</t>
  </si>
  <si>
    <t xml:space="preserve">KRS registry + wholesale marketplace</t>
  </si>
  <si>
    <t xml:space="preserve">SFD S.A. (Allnutrition)</t>
  </si>
  <si>
    <t xml:space="preserve">https://sfdsa.pl</t>
  </si>
  <si>
    <t xml:space="preserve">Opole</t>
  </si>
  <si>
    <t xml:space="preserve">ul. Głogowska 41, 45-315 Opole</t>
  </si>
  <si>
    <t xml:space="preserve">+48 77 549 25 00</t>
  </si>
  <si>
    <t xml:space="preserve">sekretariat@sfd.pl (ask for export / wholesale)</t>
  </si>
  <si>
    <t xml:space="preserve">SFD Nutrition, Allnutrition, Alldeynn, FitKing, NutLove</t>
  </si>
  <si>
    <t xml:space="preserve">Sports nutrition &amp; healthy food</t>
  </si>
  <si>
    <t xml:space="preserve">Sells to foreign wholesale buyers; 20+ European countries</t>
  </si>
  <si>
    <t xml:space="preserve">KRS 0000373427</t>
  </si>
  <si>
    <t xml:space="preserve">Listed on Warsaw Stock Exchange (NewConnect, ticker SFD); KRS 0000373427; ~300 staff</t>
  </si>
  <si>
    <t xml:space="preserve">Protein, creatine &amp; peanut butters at Polish prices; supplements need Amazon approval</t>
  </si>
  <si>
    <t xml:space="preserve">Stock exchange profile + KRS registry</t>
  </si>
  <si>
    <t xml:space="preserve">Trec Nutrition Sp. z o.o. (Aflofarm group)</t>
  </si>
  <si>
    <t xml:space="preserve">https://www.trec.pl</t>
  </si>
  <si>
    <t xml:space="preserve">Gdynia</t>
  </si>
  <si>
    <t xml:space="preserve">Inż. J. Śmidowicza 48, 81-127 Gdynia</t>
  </si>
  <si>
    <t xml:space="preserve">Trec Nutrition, Formotiva, Beltor, Better Choice</t>
  </si>
  <si>
    <t xml:space="preserve">Owned by Aflofarm (major Polish pharma); own Gdynia plant</t>
  </si>
  <si>
    <t xml:space="preserve">Parent company announcement + registry</t>
  </si>
  <si>
    <t xml:space="preserve">KONEX Sp. z o.o.</t>
  </si>
  <si>
    <t xml:space="preserve">https://www.konex.pl</t>
  </si>
  <si>
    <t xml:space="preserve">Łódź</t>
  </si>
  <si>
    <t xml:space="preserve">ul. Chłopska 5/9, 91-202 Łódź</t>
  </si>
  <si>
    <t xml:space="preserve">export@konex.pl</t>
  </si>
  <si>
    <t xml:space="preserve">Konex mops, brushes, dustpans, cleaning sets; private label</t>
  </si>
  <si>
    <t xml:space="preserve">Household cleaning articles</t>
  </si>
  <si>
    <t xml:space="preserve">Wholesale &amp; private label; exports to FR, NL, DE, US</t>
  </si>
  <si>
    <t xml:space="preserve">trade.gov.pl profile; founded 1990; 110 staff; ~EUR 7m turnover (2023)</t>
  </si>
  <si>
    <t xml:space="preserve">Cleaning tools are cheap to make in PL; bundles work well</t>
  </si>
  <si>
    <t xml:space="preserve">Government export portal + company profile PDF</t>
  </si>
  <si>
    <t xml:space="preserve">Florentyna Sp. z o.o. (Florina)</t>
  </si>
  <si>
    <t xml:space="preserve">https://florina.pl</t>
  </si>
  <si>
    <t xml:space="preserve">Poland (see website)</t>
  </si>
  <si>
    <t xml:space="preserve">Florina cookware, pans, kitchen utensils</t>
  </si>
  <si>
    <t xml:space="preserve">Cookware &amp; kitchen tools</t>
  </si>
  <si>
    <t xml:space="preserve">Retail &amp; wholesale accounts</t>
  </si>
  <si>
    <t xml:space="preserve">Ambiente 2025 exhibitor; sold via Media Expert &amp; Morele</t>
  </si>
  <si>
    <t xml:space="preserve">Budget cookware sets; check against Tefal pricing</t>
  </si>
  <si>
    <t xml:space="preserve">Get the registered address (KRS) before ordering</t>
  </si>
  <si>
    <t xml:space="preserve">Gerlach S.A.</t>
  </si>
  <si>
    <t xml:space="preserve">https://www.gerlach.pl</t>
  </si>
  <si>
    <t xml:space="preserve">Drzewica (Łódź)</t>
  </si>
  <si>
    <t xml:space="preserve">ul. Braci Kobylańskich 41, 26-340 Drzewica</t>
  </si>
  <si>
    <t xml:space="preserve">Gerlach cutlery, cookware, kitchen knives</t>
  </si>
  <si>
    <t xml:space="preserve">Cutlery &amp; cookware</t>
  </si>
  <si>
    <t xml:space="preserve">Partners in W. Europe, Nordics, Baltics etc.</t>
  </si>
  <si>
    <t xml:space="preserve">Already sells to the UK</t>
  </si>
  <si>
    <t xml:space="preserve">Historic Polish cutlery brand; listed on Polish Investment &amp; Trade Agency portal</t>
  </si>
  <si>
    <t xml:space="preserve">Government trade portal + business database</t>
  </si>
  <si>
    <t xml:space="preserve">M.T.M. Sp. z o.o. Sp.K.</t>
  </si>
  <si>
    <t xml:space="preserve">ul. Mechaników 10, 03-684 Warszawa</t>
  </si>
  <si>
    <t xml:space="preserve">+48 22 678 54 10</t>
  </si>
  <si>
    <t xml:space="preserve">MTM plastic clothes pegs, hangers, food containers</t>
  </si>
  <si>
    <t xml:space="preserve">Household plastics</t>
  </si>
  <si>
    <t xml:space="preserve">Supplies large European distributors (30+ years)</t>
  </si>
  <si>
    <t xml:space="preserve">Ambiente 2025 exhibitor</t>
  </si>
  <si>
    <t xml:space="preserve">Pegs &amp; hangers multipacks - cheap, light, repeat buys</t>
  </si>
  <si>
    <t xml:space="preserve">N2H Sp. z o.o. (Homla)</t>
  </si>
  <si>
    <t xml:space="preserve">https://www.trade.gov.pl/en/?p=150252</t>
  </si>
  <si>
    <t xml:space="preserve">Brand owner / retailer seeking distributors</t>
  </si>
  <si>
    <t xml:space="preserve">Homla kitchenware, tableware, glassware, textiles, home accessories</t>
  </si>
  <si>
    <t xml:space="preserve">Home &amp; kitchen</t>
  </si>
  <si>
    <t xml:space="preserve">Distributors (W. Europe, Nordics, Balkans)</t>
  </si>
  <si>
    <t xml:space="preserve">Seeking Western European partners</t>
  </si>
  <si>
    <t xml:space="preserve">Listed on Polish Investment &amp; Trade Agency portal</t>
  </si>
  <si>
    <t xml:space="preserve">Government trade portal</t>
  </si>
  <si>
    <t xml:space="preserve">Amiplay Sp. z o.o. (Comfy)</t>
  </si>
  <si>
    <t xml:space="preserve">https://www.amiplay.eu</t>
  </si>
  <si>
    <t xml:space="preserve">Częstochowa / Warsaw</t>
  </si>
  <si>
    <t xml:space="preserve">ul. Meliorantów 67AB, 42-209 Częstochowa (Comfy brand office: ul. Krasnowolska 50, Warsaw)</t>
  </si>
  <si>
    <t xml:space="preserve">+48 696 607 221 (export director: +48 888 787 666)</t>
  </si>
  <si>
    <t xml:space="preserve">Comfy &amp; Amiplay dog/cat toys, beds, leads, travel &amp; hygiene</t>
  </si>
  <si>
    <t xml:space="preserve">Distributors / pet retail</t>
  </si>
  <si>
    <t xml:space="preserve">Interzoo exhibitor (Hall 1); made in Poland</t>
  </si>
  <si>
    <t xml:space="preserve">Dog toys &amp; leads - core Amazon pet lines at Polish prices</t>
  </si>
  <si>
    <t xml:space="preserve">Cazo Sp. z o.o.</t>
  </si>
  <si>
    <t xml:space="preserve">https://cazo.eu</t>
  </si>
  <si>
    <t xml:space="preserve">ul. Rakowska 1, 42-208 Częstochowa</t>
  </si>
  <si>
    <t xml:space="preserve">+48 34 323 50 77</t>
  </si>
  <si>
    <t xml:space="preserve">cazo@cazo.eu</t>
  </si>
  <si>
    <t xml:space="preserve">Cazo dog &amp; cat beds, mattresses, houses, carriers</t>
  </si>
  <si>
    <t xml:space="preserve">Pet beds &amp; carriers</t>
  </si>
  <si>
    <t xml:space="preserve">Distributors in 30+ countries</t>
  </si>
  <si>
    <t xml:space="preserve">Zoomark 2025 exhibitor (Polish pavilion); stocked by Alve (EE)</t>
  </si>
  <si>
    <t xml:space="preserve">Pet beds sell well; bulky - check FBA size tiers</t>
  </si>
  <si>
    <t xml:space="preserve">EMPETS Group</t>
  </si>
  <si>
    <t xml:space="preserve">https://www.empets.pl</t>
  </si>
  <si>
    <t xml:space="preserve">ul. Ogrodowa 29a, 42-200 Częstochowa (or Meliorantów 67c)</t>
  </si>
  <si>
    <t xml:space="preserve">+48 882 668 215</t>
  </si>
  <si>
    <t xml:space="preserve">biuro@empetsgroup.com</t>
  </si>
  <si>
    <t xml:space="preserve">Empets pet beds, Hoppa modular cat trees</t>
  </si>
  <si>
    <t xml:space="preserve">Pet beds &amp; cat furniture</t>
  </si>
  <si>
    <t xml:space="preserve">Customers in 29 countries</t>
  </si>
  <si>
    <t xml:space="preserve">Interzoo &amp; Zoomark 2025 exhibitor; trade.gov.pl profile; 18 years making beds</t>
  </si>
  <si>
    <t xml:space="preserve">Cat trees &amp; beds - strong Amazon demand</t>
  </si>
  <si>
    <t xml:space="preserve">Two addresses listed - confirm</t>
  </si>
  <si>
    <t xml:space="preserve">Trade fairs + government export portal</t>
  </si>
  <si>
    <t xml:space="preserve">Laboratorium DermaPharm Sp. z o.o.</t>
  </si>
  <si>
    <t xml:space="preserve">https://dermapharm.com.pl/en/</t>
  </si>
  <si>
    <t xml:space="preserve">ul. Człuchowska 12A, 01-100 Warszawa</t>
  </si>
  <si>
    <t xml:space="preserve">+48 604 555 652</t>
  </si>
  <si>
    <t xml:space="preserve">a.gorzkowska@dermapharm.com.pl</t>
  </si>
  <si>
    <t xml:space="preserve">Dr Seidel, Mr. Smell, Sabunol pet care</t>
  </si>
  <si>
    <t xml:space="preserve">Pet grooming, hygiene &amp; health</t>
  </si>
  <si>
    <t xml:space="preserve">Distributors</t>
  </si>
  <si>
    <t xml:space="preserve">Interzoo &amp; Zoomark exhibitor; trade.gov.pl profile; since 1993</t>
  </si>
  <si>
    <t xml:space="preserve">Pet shampoos, odour removers &amp; flea products - steady Amazon demand</t>
  </si>
  <si>
    <t xml:space="preserve">Flea/tick products may need biocide registration in UK</t>
  </si>
  <si>
    <t xml:space="preserve">Vet Planet Sp. z o.o. (Vet Expert)</t>
  </si>
  <si>
    <t xml:space="preserve">https://vetexpert.eu</t>
  </si>
  <si>
    <t xml:space="preserve">Łomianki (Warsaw)</t>
  </si>
  <si>
    <t xml:space="preserve">Łomianki, Poland</t>
  </si>
  <si>
    <t xml:space="preserve">Vet Expert pet supplements, dental care, shampoos</t>
  </si>
  <si>
    <t xml:space="preserve">Pet health &amp; supplements</t>
  </si>
  <si>
    <t xml:space="preserve">Distributors in 40+ countries; ~50% of sales exported</t>
  </si>
  <si>
    <t xml:space="preserve">Interzoo exhibitor catalogue; covered by Petfood Industry trade press</t>
  </si>
  <si>
    <t xml:space="preserve">Joint &amp; coat supplements for dogs sell well; light parcels</t>
  </si>
  <si>
    <t xml:space="preserve">Trade fair catalogue + trade press</t>
  </si>
  <si>
    <t xml:space="preserve">Dingo Sp. z o.o.</t>
  </si>
  <si>
    <t xml:space="preserve">https://www.interzoo.com/en/exhibitors/dingo-sp-z-oo-2498563</t>
  </si>
  <si>
    <t xml:space="preserve">Manufacturer (incl. private label)</t>
  </si>
  <si>
    <t xml:space="preserve">Dingo collars, harnesses, leashes, training gear; private-label option</t>
  </si>
  <si>
    <t xml:space="preserve">In the pet industry since 1977; Interzoo exhibitor</t>
  </si>
  <si>
    <t xml:space="preserve">Private-label option could support your own Amazon brand later</t>
  </si>
  <si>
    <t xml:space="preserve">MPPK Group Sp. z o.o.</t>
  </si>
  <si>
    <t xml:space="preserve">Szymanów (Wrocław area)</t>
  </si>
  <si>
    <t xml:space="preserve">ul. Północna 1, Szymanów</t>
  </si>
  <si>
    <t xml:space="preserve">Country of Animals, Mr Meaty, Wiejska Zagroda, Pan Mięsko</t>
  </si>
  <si>
    <t xml:space="preserve">Actively seeking new distributors</t>
  </si>
  <si>
    <t xml:space="preserve">trade.gov.pl profile; exclusive distributor of Alpha Spirit in PL</t>
  </si>
  <si>
    <t xml:space="preserve">Natural treats are lighter than food - better for FBA</t>
  </si>
  <si>
    <t xml:space="preserve">Acquired by private-equity fund Avallon MBO (2023) - stable owner; contact via trade.gov.pl profile</t>
  </si>
  <si>
    <t xml:space="preserve">Government export portal</t>
  </si>
  <si>
    <t xml:space="preserve">P.W. Hobby (Vitapol)</t>
  </si>
  <si>
    <t xml:space="preserve">https://hobby.bydgoszcz.pl/en/about-us/</t>
  </si>
  <si>
    <t xml:space="preserve">Brzoza (near Bydgoszcz)</t>
  </si>
  <si>
    <t xml:space="preserve">Kobylarnia 20A, 86-061 Brzoza</t>
  </si>
  <si>
    <t xml:space="preserve">Vitapol food &amp; treats for small mammals, rodents, birds, dogs</t>
  </si>
  <si>
    <t xml:space="preserve">Small-animal &amp; bird food</t>
  </si>
  <si>
    <t xml:space="preserve">Producing Vitapol since 1992; on Polish vet authority export-approved list</t>
  </si>
  <si>
    <t xml:space="preserve">Food items: check expiry rules for FBA</t>
  </si>
  <si>
    <t xml:space="preserve">Company site + government approved-plant list</t>
  </si>
  <si>
    <t xml:space="preserve">Bacha Sport Sp. z o.o.</t>
  </si>
  <si>
    <t xml:space="preserve">https://www.decathlon.pl/mp/seller/bacha-sport/4aef1923-5ee8-4c39-8d70-d4fa38144749</t>
  </si>
  <si>
    <t xml:space="preserve">Gliwice</t>
  </si>
  <si>
    <t xml:space="preserve">ul. Kozielska 439, 44-164 Gliwice</t>
  </si>
  <si>
    <t xml:space="preserve">Authorised importer / distributor</t>
  </si>
  <si>
    <t xml:space="preserve">adidas Training Hardware, Reebok Fitness, LifeTime, NordicTrack</t>
  </si>
  <si>
    <t xml:space="preserve">Fitness equipment</t>
  </si>
  <si>
    <t xml:space="preserve">Trading in Poland since 1991; Decathlon marketplace seller</t>
  </si>
  <si>
    <t xml:space="preserve">adidas/Reebok fitness accessories sell well on Amazon</t>
  </si>
  <si>
    <t xml:space="preserve">Marketplace + job portal</t>
  </si>
  <si>
    <t xml:space="preserve">Larix Janusz Pieła S.K.A.</t>
  </si>
  <si>
    <t xml:space="preserve">https://www.larix.com.pl</t>
  </si>
  <si>
    <t xml:space="preserve">Bielsko-Biała</t>
  </si>
  <si>
    <t xml:space="preserve">ul. Elizy Orzeszkowej 40, 43-300 Bielsko-Biała (verify - Buczkowice also listed)</t>
  </si>
  <si>
    <t xml:space="preserve">B2B partner platform</t>
  </si>
  <si>
    <t xml:space="preserve">Exclusive distributor + brand owner</t>
  </si>
  <si>
    <t xml:space="preserve">Uvex, Reusch, CamelBak, Odlo, Meindl, K2, Sea to Summit, Protest; own brand Viking</t>
  </si>
  <si>
    <t xml:space="preserve">Outdoor, ski &amp; cycling gear</t>
  </si>
  <si>
    <t xml:space="preserve">Trade account (B2B platform)</t>
  </si>
  <si>
    <t xml:space="preserve">Retail partners; exclusive PL distributor</t>
  </si>
  <si>
    <t xml:space="preserve">Unlikely for third-party brands (PL territory) - Viking own brand may be open</t>
  </si>
  <si>
    <t xml:space="preserve">KRS 0000950849</t>
  </si>
  <si>
    <t xml:space="preserve">KRS 0000950849; Targi Kielce online partner</t>
  </si>
  <si>
    <t xml:space="preserve">Viking gloves/hats (own brand) are the realistic export line</t>
  </si>
  <si>
    <t xml:space="preserve">Exclusive PL distribution - ask about Viking brand for UK</t>
  </si>
  <si>
    <t xml:space="preserve">KRS registry + trade fair</t>
  </si>
  <si>
    <t xml:space="preserve">Cumulus Sp. z o.o.</t>
  </si>
  <si>
    <t xml:space="preserve">https://cumulus.equipment</t>
  </si>
  <si>
    <t xml:space="preserve">ul. Opata Hackiego 19, Gdynia</t>
  </si>
  <si>
    <t xml:space="preserve">+48 58 620 94 12</t>
  </si>
  <si>
    <t xml:space="preserve">Cumulus down sleeping bags, down jackets, quilts</t>
  </si>
  <si>
    <t xml:space="preserve">Camping &amp; bikepacking sleep gear</t>
  </si>
  <si>
    <t xml:space="preserve">Retail partners in Europe &amp; beyond</t>
  </si>
  <si>
    <t xml:space="preserve">KRS 0000709355</t>
  </si>
  <si>
    <t xml:space="preserve">KRS 0000709355; makes in Gdynia; featured by Bikepacking.com</t>
  </si>
  <si>
    <t xml:space="preserve">Premium down bags - higher ticket, lower competition than budget bags</t>
  </si>
  <si>
    <t xml:space="preserve">KRS registry + company site + trade press</t>
  </si>
  <si>
    <t xml:space="preserve">Meteor (Polish sports brand)</t>
  </si>
  <si>
    <t xml:space="preserve">https://www.meteor.pl</t>
  </si>
  <si>
    <t xml:space="preserve">Zadębie 44, 20-231 Lublin</t>
  </si>
  <si>
    <t xml:space="preserve">kontakt@meteor.pl</t>
  </si>
  <si>
    <t xml:space="preserve">Meteor balls, fitness accessories, camping &amp; tourist gear</t>
  </si>
  <si>
    <t xml:space="preserve">Sports &amp; fitness accessories</t>
  </si>
  <si>
    <t xml:space="preserve">Brand since 1992; sold via Decathlon PL/BE &amp; Kaufland</t>
  </si>
  <si>
    <t xml:space="preserve">Budget fitness accessories = good FBA fit</t>
  </si>
  <si>
    <t xml:space="preserve">Marketplace listing (EU info)</t>
  </si>
  <si>
    <t xml:space="preserve">Spokey Sp. z o.o.</t>
  </si>
  <si>
    <t xml:space="preserve">https://www.spokey.pl</t>
  </si>
  <si>
    <t xml:space="preserve">Katowice</t>
  </si>
  <si>
    <t xml:space="preserve">Al. Walentego Roździeńskiego 188C, 40-203 Katowice</t>
  </si>
  <si>
    <t xml:space="preserve">Spokey fitness, camping, cycling, water sports accessories</t>
  </si>
  <si>
    <t xml:space="preserve">Fitness &amp; outdoor accessories</t>
  </si>
  <si>
    <t xml:space="preserve">Sells to 25 European countries - ask</t>
  </si>
  <si>
    <t xml:space="preserve">Decathlon marketplace seller; stocked by Empik, Digitec</t>
  </si>
  <si>
    <t xml:space="preserve">Small fitness accessories = good FBA fit</t>
  </si>
  <si>
    <t xml:space="preserve">Business database + retailer pages</t>
  </si>
  <si>
    <t xml:space="preserve">PASS - well-known company: Well-known Polish sports brand (20+ countries).</t>
  </si>
  <si>
    <t xml:space="preserve">Euro-Trade Sp. z o.o. Sp.K. (Starpak)</t>
  </si>
  <si>
    <t xml:space="preserve">ul. Łokietka 155, 31-263 Kraków</t>
  </si>
  <si>
    <t xml:space="preserve">+48 12 614 42 00</t>
  </si>
  <si>
    <t xml:space="preserve">biuro@euro-trade.pl</t>
  </si>
  <si>
    <t xml:space="preserve">Starpak school &amp; office supplies, art &amp; craft, gifts; toys (8 own brands)</t>
  </si>
  <si>
    <t xml:space="preserve">School, office &amp; craft supplies</t>
  </si>
  <si>
    <t xml:space="preserve">Wholesale accounts</t>
  </si>
  <si>
    <t xml:space="preserve">Ambiente (Messe Frankfurt) exhibitor; trading since 1991</t>
  </si>
  <si>
    <t xml:space="preserve">Cheap school &amp; craft sets; good for multipack listings</t>
  </si>
  <si>
    <t xml:space="preserve">Trade fair listing + retailer GPSR data</t>
  </si>
  <si>
    <t xml:space="preserve">St. Majewski Sp. z o.o. (incl. Unipap)</t>
  </si>
  <si>
    <t xml:space="preserve">Pruszków (Warsaw)</t>
  </si>
  <si>
    <t xml:space="preserve">ul. Kredkowa 1, 05-800 Pruszków</t>
  </si>
  <si>
    <t xml:space="preserve">+48 22 758 70 41</t>
  </si>
  <si>
    <t xml:space="preserve">st-majewski@st-majewski.pl</t>
  </si>
  <si>
    <t xml:space="preserve">Bambino crayons &amp; pencils, Stright, St. Majewski notebooks, pencil cases, schoolbags, licensed collections</t>
  </si>
  <si>
    <t xml:space="preserve">School supplies</t>
  </si>
  <si>
    <t xml:space="preserve">Domestic &amp; EU wholesale</t>
  </si>
  <si>
    <t xml:space="preserve">NIP 5341012604</t>
  </si>
  <si>
    <t xml:space="preserve">Ambiente 2025 exhibitor; pencil factory since 1889; NIP 5341012604</t>
  </si>
  <si>
    <t xml:space="preserve">Poland is #2 in Europe for notebook exports - very cheap school supplies</t>
  </si>
  <si>
    <t xml:space="preserve">Interdruk S.A.</t>
  </si>
  <si>
    <t xml:space="preserve">http://www.interdruk.com.pl</t>
  </si>
  <si>
    <t xml:space="preserve">Łucka 15/3002, 00-842 Warszawa</t>
  </si>
  <si>
    <t xml:space="preserve">+48 22 486 60 00</t>
  </si>
  <si>
    <t xml:space="preserve">info@interdruk.com.pl</t>
  </si>
  <si>
    <t xml:space="preserve">Stationery manufacturer</t>
  </si>
  <si>
    <t xml:space="preserve">Interdruk notebooks, school &amp; office supplies, art materials</t>
  </si>
  <si>
    <t xml:space="preserve">Major Polish stationery maker (KRS registered)</t>
  </si>
  <si>
    <t xml:space="preserve">Own brand = direct invoices</t>
  </si>
  <si>
    <t xml:space="preserve">Business database + retail product labels</t>
  </si>
  <si>
    <t xml:space="preserve">COBI S.A.</t>
  </si>
  <si>
    <t xml:space="preserve">https://www.cobi.pl</t>
  </si>
  <si>
    <t xml:space="preserve">Warsaw (HQ); factory Mielec</t>
  </si>
  <si>
    <t xml:space="preserve">Jaskrów 11, 04-709 Warszawa (KRS 0000025310)</t>
  </si>
  <si>
    <t xml:space="preserve">COBI construction blocks (military, vehicles, licensed sets)</t>
  </si>
  <si>
    <t xml:space="preserve">Building blocks</t>
  </si>
  <si>
    <t xml:space="preserve">Has a GB sales office</t>
  </si>
  <si>
    <t xml:space="preserve">KRS 0000025310</t>
  </si>
  <si>
    <t xml:space="preserve">Own factory in Mielec SEZ; sold in ~50 countries; Spielwarenmesse exhibitor</t>
  </si>
  <si>
    <t xml:space="preserve">Strong Amazon seller (LEGO alternative, not LEGO-gated)</t>
  </si>
  <si>
    <t xml:space="preserve">Company site + registry</t>
  </si>
  <si>
    <t xml:space="preserve">Trefl S.A.</t>
  </si>
  <si>
    <t xml:space="preserve">https://www.trefl.com/en/</t>
  </si>
  <si>
    <t xml:space="preserve">Kontenerowa 25, 81-155 Gdynia (KRS 0000036560)</t>
  </si>
  <si>
    <t xml:space="preserve">trefl@trefl.com</t>
  </si>
  <si>
    <t xml:space="preserve">Trefl puzzles, board &amp; card games, licensed games</t>
  </si>
  <si>
    <t xml:space="preserve">Puzzles &amp; games</t>
  </si>
  <si>
    <t xml:space="preserve">Exports to 80 countries - ask</t>
  </si>
  <si>
    <t xml:space="preserve">KRS 0000036560</t>
  </si>
  <si>
    <t xml:space="preserve">40+ years; Spielwarenmesse exhibitor; HKTDC-listed exporter</t>
  </si>
  <si>
    <t xml:space="preserve">Brand-direct invoices; puzzles sell year-round</t>
  </si>
  <si>
    <t xml:space="preserve">Trade fair magazine + registry</t>
  </si>
  <si>
    <t xml:space="preserve">YAMANN Sp. z o.o.</t>
  </si>
  <si>
    <t xml:space="preserve">Bielany Wrocławskie (Wrocław)</t>
  </si>
  <si>
    <t xml:space="preserve">ul. Polna 1, 55-040 Bielany Wrocławskie</t>
  </si>
  <si>
    <t xml:space="preserve">LEGO-branded goods distributor</t>
  </si>
  <si>
    <t xml:space="preserve">LEGO-licensed stationery, storage, keyrings, puzzles, plush</t>
  </si>
  <si>
    <t xml:space="preserve">LEGO licensed products</t>
  </si>
  <si>
    <t xml:space="preserve">Chains, toy shops, e-commerce</t>
  </si>
  <si>
    <t xml:space="preserve">Yes (e-commerce)</t>
  </si>
  <si>
    <t xml:space="preserve">Small firm; 30-year family wholesale background</t>
  </si>
  <si>
    <t xml:space="preserve">Serves e-commerce channels</t>
  </si>
  <si>
    <t xml:space="preserve">Confirm LEGO licence status.</t>
  </si>
  <si>
    <t xml:space="preserve">Job portal + business database</t>
  </si>
  <si>
    <t xml:space="preserve">CHECK - limited public info: verify registration &amp; bank details before paying</t>
  </si>
  <si>
    <t xml:space="preserve">ANEK Sp. z o.o. (Smily Play)</t>
  </si>
  <si>
    <t xml:space="preserve">https://anek.com.pl</t>
  </si>
  <si>
    <t xml:space="preserve">Ożarów Mazowiecki (Warsaw)</t>
  </si>
  <si>
    <t xml:space="preserve">ul. Poznańska 320, 05-850 Ożarów Mazowiecki</t>
  </si>
  <si>
    <t xml:space="preserve">+48 22 123 08 14</t>
  </si>
  <si>
    <t xml:space="preserve">zabawki@anek.com.pl</t>
  </si>
  <si>
    <t xml:space="preserve">Manufacturer / brand owner / distributor</t>
  </si>
  <si>
    <t xml:space="preserve">Smily Play baby &amp; toddler toys; also distributes Mattel &amp; Hasbro</t>
  </si>
  <si>
    <t xml:space="preserve">Baby &amp; toddler toys + branded toys</t>
  </si>
  <si>
    <t xml:space="preserve">Specialist retailers; some exports</t>
  </si>
  <si>
    <t xml:space="preserve">Kids' Time 2024 exhibitor (Targi Kielce); family firm 30+ years</t>
  </si>
  <si>
    <t xml:space="preserve">Distributor of Mattel/Hasbro in PL - ask about export of branded lines</t>
  </si>
  <si>
    <t xml:space="preserve">Branded Mattel/Hasbro may be territory-restricted</t>
  </si>
  <si>
    <t xml:space="preserve">Trade fair exhibitor + retailer data + trade press</t>
  </si>
  <si>
    <t xml:space="preserve">Granna Sp. z o.o.</t>
  </si>
  <si>
    <t xml:space="preserve">https://www.granna.pl</t>
  </si>
  <si>
    <t xml:space="preserve">ul. Edwarda Jelinka 48, 01-646 Warszawa</t>
  </si>
  <si>
    <t xml:space="preserve">handel@granna.pl</t>
  </si>
  <si>
    <t xml:space="preserve">Granna board games (Superfarmer, Potwory do szafy)</t>
  </si>
  <si>
    <t xml:space="preserve">Family &amp; kids board games</t>
  </si>
  <si>
    <t xml:space="preserve">Distributors (28+ countries)</t>
  </si>
  <si>
    <t xml:space="preserve">Kids' Time 2025 (Targi Kielce) exhibitor; partner of Passport Game Studios (Canada)</t>
  </si>
  <si>
    <t xml:space="preserve">Kids board games sell year-round, peak in Q4</t>
  </si>
  <si>
    <t xml:space="preserve">Wader-Woźniak Sp. z o.o.</t>
  </si>
  <si>
    <t xml:space="preserve">https://www.wader.toys</t>
  </si>
  <si>
    <t xml:space="preserve">Dąbrowa Górnicza</t>
  </si>
  <si>
    <t xml:space="preserve">Rudna 30, 42-530 Dąbrowa Górnicza (KRS 0000119923)</t>
  </si>
  <si>
    <t xml:space="preserve">+48 32 264 60 40</t>
  </si>
  <si>
    <t xml:space="preserve">mail@wader.toys.pl</t>
  </si>
  <si>
    <t xml:space="preserve">Wader plastic toys, vehicles, sand &amp; garden toys</t>
  </si>
  <si>
    <t xml:space="preserve">Plastic toys</t>
  </si>
  <si>
    <t xml:space="preserve">KRS 0000119923</t>
  </si>
  <si>
    <t xml:space="preserve">Founded 1990; Kids' Time exhibitor; LEI registered</t>
  </si>
  <si>
    <t xml:space="preserve">Trade fair listing + registry</t>
  </si>
  <si>
    <t xml:space="preserve">MARIOINEX Fabryka Zabawek Marian Suchanek</t>
  </si>
  <si>
    <t xml:space="preserve">ul. Bieszczadzka 6/8, 42-226 Częstochowa</t>
  </si>
  <si>
    <t xml:space="preserve">+48 34 368 25 06</t>
  </si>
  <si>
    <t xml:space="preserve">biuro@marioinex.com.pl</t>
  </si>
  <si>
    <t xml:space="preserve">Marioinex Waffle construction blocks, mini waffle, building bricks</t>
  </si>
  <si>
    <t xml:space="preserve">Wholesale / retail chains (Media Expert)</t>
  </si>
  <si>
    <t xml:space="preserve">Family toy factory since 1986; GPSR contact published (gpsr@marioinex.com.pl)</t>
  </si>
  <si>
    <t xml:space="preserve">Waffle blocks are a cheap LEGO-alternative niche; some items made in China</t>
  </si>
  <si>
    <t xml:space="preserve">Check country of origin per product</t>
  </si>
  <si>
    <t xml:space="preserve">Retailer GPSR data + employer registry</t>
  </si>
  <si>
    <t xml:space="preserve">TM Toys Sp. z o.o.</t>
  </si>
  <si>
    <t xml:space="preserve">https://tmtoys.pl</t>
  </si>
  <si>
    <t xml:space="preserve">Szczecin</t>
  </si>
  <si>
    <t xml:space="preserve">Zbożowa 4, 70-653 Szczecin (KRS 0000035010)</t>
  </si>
  <si>
    <t xml:space="preserve">Distributor &amp; manufacturer</t>
  </si>
  <si>
    <t xml:space="preserve">Branded &amp; licensed character toys</t>
  </si>
  <si>
    <t xml:space="preserve">Has 'distributor markets' team - ask</t>
  </si>
  <si>
    <t xml:space="preserve">KRS 0000035010</t>
  </si>
  <si>
    <t xml:space="preserve">Since 1997; Commercial Director CEE &amp; Distributor Markets: Kamila Kwaśniewska</t>
  </si>
  <si>
    <t xml:space="preserve">KRS registry + org profile</t>
  </si>
  <si>
    <t xml:space="preserve">Zabawkarstwo Wiesław Suchanek</t>
  </si>
  <si>
    <t xml:space="preserve">https://suchanek-zabawki.pl</t>
  </si>
  <si>
    <t xml:space="preserve">ul. św. Anny 2/4, 42-226 Częstochowa</t>
  </si>
  <si>
    <t xml:space="preserve">+48 601 063 256</t>
  </si>
  <si>
    <t xml:space="preserve">firma@suchanek-zabawki.pl</t>
  </si>
  <si>
    <t xml:space="preserve">Plastic push/pull toys, trucks, educational toys</t>
  </si>
  <si>
    <t xml:space="preserve">Toddler plastic toys</t>
  </si>
  <si>
    <t xml:space="preserve">Export buyers (EU, Nordics, Middle East)</t>
  </si>
  <si>
    <t xml:space="preserve">Polish government export portal profile; family toy maker since 1981</t>
  </si>
  <si>
    <t xml:space="preserve">Cheap, made-in-EU toddler toys; check UKCA/CE and toy safety documents</t>
  </si>
  <si>
    <t xml:space="preserve">Small family firm - ask for EN71 test reports</t>
  </si>
  <si>
    <t xml:space="preserve">Portugal</t>
  </si>
  <si>
    <t xml:space="preserve">Ach. Brito &amp; C.ª, S.A.</t>
  </si>
  <si>
    <t xml:space="preserve">https://achbrito.com</t>
  </si>
  <si>
    <t xml:space="preserve">Vila do Conde (Fajozes)</t>
  </si>
  <si>
    <t xml:space="preserve">Rua Castelões Sul 346, 4485-103 Fajozes</t>
  </si>
  <si>
    <t xml:space="preserve">Ach. Brito, Confiança, Claus Porto soaps &amp; fragrance</t>
  </si>
  <si>
    <t xml:space="preserve">Luxury &amp; heritage soaps</t>
  </si>
  <si>
    <t xml:space="preserve">Exports to 50+ countries; US subsidiary</t>
  </si>
  <si>
    <t xml:space="preserve">Yes - sold in Harrods</t>
  </si>
  <si>
    <t xml:space="preserve">Portuguese registry (S.A., share capital EUR 1.04m); founded 1887; stocked by Harrods &amp; Bergdorf Goodman</t>
  </si>
  <si>
    <t xml:space="preserve">Gift soaps sell well in Q4; Claus Porto is premium</t>
  </si>
  <si>
    <t xml:space="preserve">Business registry + company press release</t>
  </si>
  <si>
    <t xml:space="preserve">Domingos de Sousa &amp; Filhos, S.A.</t>
  </si>
  <si>
    <t xml:space="preserve">Gandarela (Guimarães)</t>
  </si>
  <si>
    <t xml:space="preserve">Gandarela, Guimarães</t>
  </si>
  <si>
    <t xml:space="preserve">+351 253 480 030</t>
  </si>
  <si>
    <t xml:space="preserve">Jacquard &amp; terry towels, bathrobes</t>
  </si>
  <si>
    <t xml:space="preserve">Towels</t>
  </si>
  <si>
    <t xml:space="preserve">Exports to Europe, Japan, USA</t>
  </si>
  <si>
    <t xml:space="preserve">Heimtextil 2025 exhibitor; founded 1961</t>
  </si>
  <si>
    <t xml:space="preserve">Towel bales &amp; sets sell steadily</t>
  </si>
  <si>
    <t xml:space="preserve">Têxteis J.F. Almeida, S.A. (JFA)</t>
  </si>
  <si>
    <t xml:space="preserve">Moreira de Cónegos (Guimarães)</t>
  </si>
  <si>
    <t xml:space="preserve">Moreira de Cónegos, Guimarães</t>
  </si>
  <si>
    <t xml:space="preserve">+351 253 560 000</t>
  </si>
  <si>
    <t xml:space="preserve">Vertical manufacturer</t>
  </si>
  <si>
    <t xml:space="preserve">Towels, bathrobes, home textiles</t>
  </si>
  <si>
    <t xml:space="preserve">Towels &amp; home textiles</t>
  </si>
  <si>
    <t xml:space="preserve">80% of production exported</t>
  </si>
  <si>
    <t xml:space="preserve">Heimtextil 2025 exhibitor; founded 1979; large vertical mill</t>
  </si>
  <si>
    <t xml:space="preserve">Private-label towel ranges possible</t>
  </si>
  <si>
    <t xml:space="preserve">Villafelpos - Comércio e Indústria Têxtil, S.A.</t>
  </si>
  <si>
    <t xml:space="preserve">Guimarães</t>
  </si>
  <si>
    <t xml:space="preserve">Zona Industrial do Candoso, Guimarães</t>
  </si>
  <si>
    <t xml:space="preserve">+351 253 520 570</t>
  </si>
  <si>
    <t xml:space="preserve">Bath towels, beach towels, bathrobes</t>
  </si>
  <si>
    <t xml:space="preserve">Towels &amp; bath textiles</t>
  </si>
  <si>
    <t xml:space="preserve">On request (usually per colour/design)</t>
  </si>
  <si>
    <t xml:space="preserve">Agents on 5 continents</t>
  </si>
  <si>
    <t xml:space="preserve">Heimtextil 2025 exhibitor; since 1997</t>
  </si>
  <si>
    <t xml:space="preserve">Portuguese cotton towels - premium quality at mid price</t>
  </si>
  <si>
    <t xml:space="preserve">Alumínios Manuel G. Vieira &amp; Filhos, Lda.</t>
  </si>
  <si>
    <t xml:space="preserve">Cesar (Oliveira de Azeméis)</t>
  </si>
  <si>
    <t xml:space="preserve">Rua do Mergulhão, 3700-627 Cesar</t>
  </si>
  <si>
    <t xml:space="preserve">Aluminium &amp; stainless pressure cookers, non-stick frying pans</t>
  </si>
  <si>
    <t xml:space="preserve">Cookware</t>
  </si>
  <si>
    <t xml:space="preserve">Domestic &amp; HoReCa distribution</t>
  </si>
  <si>
    <t xml:space="preserve">NIF 503905267</t>
  </si>
  <si>
    <t xml:space="preserve">Ambiente 2025 exhibitor; founded 1976</t>
  </si>
  <si>
    <t xml:space="preserve">Non-stick pans at Portuguese factory prices</t>
  </si>
  <si>
    <t xml:space="preserve">Ernesto Grilo Sucessores, Lda.</t>
  </si>
  <si>
    <t xml:space="preserve">http://www.grilofactory.com</t>
  </si>
  <si>
    <t xml:space="preserve">Serzedo (Vila Nova de Gaia)</t>
  </si>
  <si>
    <t xml:space="preserve">Rua Caminho do Senhor 408, 4410-083 Serzedo, V.N. Gaia</t>
  </si>
  <si>
    <t xml:space="preserve">+351 22 762 6830</t>
  </si>
  <si>
    <t xml:space="preserve">Bakeware &amp; cookware (cake tins, roasting trays)</t>
  </si>
  <si>
    <t xml:space="preserve">Exports 30%+ (Europe, Angola, Mozambique)</t>
  </si>
  <si>
    <t xml:space="preserve">Ambiente 2025, Maison &amp; Objet &amp; Interiorlifestyle Tokyo exhibitor; founded 1929</t>
  </si>
  <si>
    <t xml:space="preserve">Bakeware sets - cheap Portuguese production</t>
  </si>
  <si>
    <t xml:space="preserve">Pereira &amp; Freitas, Lda.</t>
  </si>
  <si>
    <t xml:space="preserve">https://www.valentinibianco.com</t>
  </si>
  <si>
    <t xml:space="preserve">Polvoreira (Guimarães)</t>
  </si>
  <si>
    <t xml:space="preserve">Rua da Estrada Nacional 105, 4835-164 Polvoreira, Guimarães</t>
  </si>
  <si>
    <t xml:space="preserve">Manufacturer / licensee</t>
  </si>
  <si>
    <t xml:space="preserve">Valentini Bianco towels; Pierre Cardin licensed towels &amp; bathrobes</t>
  </si>
  <si>
    <t xml:space="preserve">Branded towels</t>
  </si>
  <si>
    <t xml:space="preserve">Wholesale &amp; retail</t>
  </si>
  <si>
    <t xml:space="preserve">Ask - check Pierre Cardin licence territory</t>
  </si>
  <si>
    <t xml:space="preserve">Heimtextil 2025 exhibitor; since 1974; active LEI 549300WCUQWUDCXVDK62</t>
  </si>
  <si>
    <t xml:space="preserve">Branded (Pierre Cardin) towels at factory prices</t>
  </si>
  <si>
    <t xml:space="preserve">Licensed brand - confirm UK/Amazon rights</t>
  </si>
  <si>
    <t xml:space="preserve">RENA - Luís Ferreira &amp; Ferreira, S.A.</t>
  </si>
  <si>
    <t xml:space="preserve">Muro (Trofa, Porto area)</t>
  </si>
  <si>
    <t xml:space="preserve">Lugar da Carriça, Lotes 18/19/20, 4745-312 Muro</t>
  </si>
  <si>
    <t xml:space="preserve">+351 22 986 7000</t>
  </si>
  <si>
    <t xml:space="preserve">RENA plastic kitchen, cleaning &amp; storage products</t>
  </si>
  <si>
    <t xml:space="preserve">Household plastics &amp; storage</t>
  </si>
  <si>
    <t xml:space="preserve">Retail &amp; wholesale</t>
  </si>
  <si>
    <t xml:space="preserve">Ambiente 2025 exhibitor; founded 1997; IAPMEI PME Líder 2024</t>
  </si>
  <si>
    <t xml:space="preserve">Storage boxes &amp; cleaning sets</t>
  </si>
  <si>
    <t xml:space="preserve">Silampos S.A.</t>
  </si>
  <si>
    <t xml:space="preserve">https://silampos.pt</t>
  </si>
  <si>
    <t xml:space="preserve">Rua das Cortinhas 301, 3701-906 Cesar (verify)</t>
  </si>
  <si>
    <t xml:space="preserve">Silampos stainless steel cookware</t>
  </si>
  <si>
    <t xml:space="preserve">Export distributors &amp; retailers (50+ countries)</t>
  </si>
  <si>
    <t xml:space="preserve">Manufacturing since 1951</t>
  </si>
  <si>
    <t xml:space="preserve">Stainless pans &amp; pots - a competitive but steady category</t>
  </si>
  <si>
    <t xml:space="preserve">Company history page + business data</t>
  </si>
  <si>
    <t xml:space="preserve">Ambar - Passion S.A.</t>
  </si>
  <si>
    <t xml:space="preserve">Porto</t>
  </si>
  <si>
    <t xml:space="preserve">Rua Manuel Pinto de Azevedo 363, Porto</t>
  </si>
  <si>
    <t xml:space="preserve">+351 22 615 1400</t>
  </si>
  <si>
    <t xml:space="preserve">Ambar notebooks, school &amp; office paper products</t>
  </si>
  <si>
    <t xml:space="preserve">Notebooks &amp; paper stationery</t>
  </si>
  <si>
    <t xml:space="preserve">Professional customer area; exports to 23-30 countries; Spanish subsidiary</t>
  </si>
  <si>
    <t xml:space="preserve">Ambiente &amp; Paperworld Middle East exhibitor; 80+ years trading</t>
  </si>
  <si>
    <t xml:space="preserve">Notebooks/back-to-school - cheap Portuguese paper products</t>
  </si>
  <si>
    <t xml:space="preserve">Trade fair exhibitor listings</t>
  </si>
  <si>
    <t xml:space="preserve">Bi-silque - Produtos de Comunicação Visual, S.A.</t>
  </si>
  <si>
    <t xml:space="preserve">Esmoriz (Ovar)</t>
  </si>
  <si>
    <t xml:space="preserve">Rua Cais da Estação 340, 3885-528 Esmoriz</t>
  </si>
  <si>
    <t xml:space="preserve">+351 256 750 120</t>
  </si>
  <si>
    <t xml:space="preserve">Bi-Office whiteboards, noticeboards, flipcharts</t>
  </si>
  <si>
    <t xml:space="preserve">Visual communication / office</t>
  </si>
  <si>
    <t xml:space="preserve">Office dealers &amp; distributors (80+ countries)</t>
  </si>
  <si>
    <t xml:space="preserve">Yes - Bi-Office is sold in UK</t>
  </si>
  <si>
    <t xml:space="preserve">NIF 500924902</t>
  </si>
  <si>
    <t xml:space="preserve">Portuguese registry (NIF 500924902); Paperworld Middle East exhibitor</t>
  </si>
  <si>
    <t xml:space="preserve">Whiteboards &amp; cork boards sell well; large boards are oversize</t>
  </si>
  <si>
    <t xml:space="preserve">Company registry (eInforma) + trade fair</t>
  </si>
  <si>
    <t xml:space="preserve">Science4you S.A.</t>
  </si>
  <si>
    <t xml:space="preserve">Lisbon</t>
  </si>
  <si>
    <t xml:space="preserve">Lisbon (offices also in Porto)</t>
  </si>
  <si>
    <t xml:space="preserve">Science4you science &amp; educational kits</t>
  </si>
  <si>
    <t xml:space="preserve">STEM / educational toys</t>
  </si>
  <si>
    <t xml:space="preserve">Distributors in countries without a subsidiary (60+ countries)</t>
  </si>
  <si>
    <t xml:space="preserve">Yes - has London subsidiary</t>
  </si>
  <si>
    <t xml:space="preserve">Portugal Ventures portfolio company; leading Portuguese educational toy maker</t>
  </si>
  <si>
    <t xml:space="preserve">Science kits sell well, peak at Christmas</t>
  </si>
  <si>
    <t xml:space="preserve">Investor portfolio + business press</t>
  </si>
  <si>
    <t xml:space="preserve">PASS - well-known company: Leading Portuguese educational-toy maker (Portugal Ventures portfolio).</t>
  </si>
  <si>
    <t xml:space="preserve">Săvinești / Piatra Neamț</t>
  </si>
  <si>
    <t xml:space="preserve">Chimiei 67A, Săvinești 617410, Piatra Neamț</t>
  </si>
  <si>
    <t xml:space="preserve">K-beauty skincare</t>
  </si>
  <si>
    <t xml:space="preserve">Min. order value €500, no per-item minimum</t>
  </si>
  <si>
    <t xml:space="preserve">B2B (shops, salons, online retailers)</t>
  </si>
  <si>
    <t xml:space="preserve">Check post-Brexit shipping</t>
  </si>
  <si>
    <t xml:space="preserve">Launched 2025; mostly positive Trustpilot reviews; ships from EU stock</t>
  </si>
  <si>
    <t xml:space="preserve">Trustpilot company profile + press release</t>
  </si>
  <si>
    <t xml:space="preserve">FARMEC S.A. (Gerovital)</t>
  </si>
  <si>
    <t xml:space="preserve">https://www.farmec.ro</t>
  </si>
  <si>
    <t xml:space="preserve">Cluj-Napoca</t>
  </si>
  <si>
    <t xml:space="preserve">Str. Henri Barbusse 16, Cluj-Napoca</t>
  </si>
  <si>
    <t xml:space="preserve">+40 264 432 172 (verify)</t>
  </si>
  <si>
    <t xml:space="preserve">export@farmec.ro</t>
  </si>
  <si>
    <t xml:space="preserve">Gerovital H3, Gerovital Plant, Farmec</t>
  </si>
  <si>
    <t xml:space="preserve">Skincare &amp; anti-ageing</t>
  </si>
  <si>
    <t xml:space="preserve">Export distributors (30+ countries)</t>
  </si>
  <si>
    <t xml:space="preserve">CUI 199150</t>
  </si>
  <si>
    <t xml:space="preserve">Romanian joint-stock company; Beautyworld Middle East exhibitor</t>
  </si>
  <si>
    <t xml:space="preserve">Gerovital H3 anti-ageing creams have niche demand</t>
  </si>
  <si>
    <t xml:space="preserve">Contact name in older docs may be outdated</t>
  </si>
  <si>
    <t xml:space="preserve">Chamber business offer + registry (termene.ro) + trade fair</t>
  </si>
  <si>
    <t xml:space="preserve">Hofigal Export Import S.A.</t>
  </si>
  <si>
    <t xml:space="preserve">https://www.hofigal.eu</t>
  </si>
  <si>
    <t xml:space="preserve">Bucharest</t>
  </si>
  <si>
    <t xml:space="preserve">Intrarea Serelor nr. 2, Sector 4, Bucharest</t>
  </si>
  <si>
    <t xml:space="preserve">Hofigal food supplements, herbal cosmetics</t>
  </si>
  <si>
    <t xml:space="preserve">Natural supplements</t>
  </si>
  <si>
    <t xml:space="preserve">Export department (EU, Australia, NZ)</t>
  </si>
  <si>
    <t xml:space="preserve">CUI 384530</t>
  </si>
  <si>
    <t xml:space="preserve">Romanian registry CUI 384530; founded 1991</t>
  </si>
  <si>
    <t xml:space="preserve">Supplements need Amazon approval &amp; UK-compliant labels</t>
  </si>
  <si>
    <t xml:space="preserve">Business registry (termene.ro) + business press</t>
  </si>
  <si>
    <t xml:space="preserve">Slovenia</t>
  </si>
  <si>
    <t xml:space="preserve">TOSAMA d.o.o.</t>
  </si>
  <si>
    <t xml:space="preserve">https://www.tosama.si</t>
  </si>
  <si>
    <t xml:space="preserve">Domžale</t>
  </si>
  <si>
    <t xml:space="preserve">Šaranovičeva cesta 35, 1230 Domžale</t>
  </si>
  <si>
    <t xml:space="preserve">Tosama cotton wool, cotton pads &amp; buds, organic pads, tampons; private label</t>
  </si>
  <si>
    <t xml:space="preserve">Cotton &amp; feminine hygiene</t>
  </si>
  <si>
    <t xml:space="preserve">Export &amp; private label</t>
  </si>
  <si>
    <t xml:space="preserve">ICEA organic-cotton certificate valid to Jan 2027; long-running US export shipments</t>
  </si>
  <si>
    <t xml:space="preserve">Organic cotton pads/buds - repeat purchase, light to ship</t>
  </si>
  <si>
    <t xml:space="preserve">Company website + certification body</t>
  </si>
  <si>
    <t xml:space="preserve">PASS - well-known company: Established Slovenian cotton-products maker (ICEA certified).</t>
  </si>
  <si>
    <t xml:space="preserve">Spain</t>
  </si>
  <si>
    <t xml:space="preserve">BigBuy</t>
  </si>
  <si>
    <t xml:space="preserve">https://www.bigbuy.eu</t>
  </si>
  <si>
    <t xml:space="preserve">Valencia</t>
  </si>
  <si>
    <t xml:space="preserve">B2B wholesale / dropship platform</t>
  </si>
  <si>
    <t xml:space="preserve">~5,000 brands, 200k+ products</t>
  </si>
  <si>
    <t xml:space="preserve">General merchandise / beauty / toys</t>
  </si>
  <si>
    <t xml:space="preserve">Very low (€0.01 on B2B packs) - subscription packs apply</t>
  </si>
  <si>
    <t xml:space="preserve">Business account + pack</t>
  </si>
  <si>
    <t xml:space="preserve">Established 2010-2012; marketplace integrations incl. Amazon</t>
  </si>
  <si>
    <t xml:space="preserve">Has a marketplace pack with Amazon integration</t>
  </si>
  <si>
    <t xml:space="preserve">Check brand restrictions per item.</t>
  </si>
  <si>
    <t xml:space="preserve">Company website + reviews</t>
  </si>
  <si>
    <t xml:space="preserve">R&amp;J Cambrass S.A.</t>
  </si>
  <si>
    <t xml:space="preserve">Ontinyent (Valencia)</t>
  </si>
  <si>
    <t xml:space="preserve">Ontinyent, Valencia</t>
  </si>
  <si>
    <t xml:space="preserve">+34 96 291 2965</t>
  </si>
  <si>
    <t xml:space="preserve">Contact form via ASEPRI brand page</t>
  </si>
  <si>
    <t xml:space="preserve">Cambrass baby textiles - cot bedding, sleeping bags, changing bags, muslins</t>
  </si>
  <si>
    <t xml:space="preserve">Baby textiles</t>
  </si>
  <si>
    <t xml:space="preserve">70%+ of production exported to 60+ countries</t>
  </si>
  <si>
    <t xml:space="preserve">ASEPRI member; Kind + Jugend exhibitor (Spanish pavilion, ICEX-backed); since 1984</t>
  </si>
  <si>
    <t xml:space="preserve">Made-in-Spain baby textiles; changing bags &amp; sleeping bags sell well</t>
  </si>
  <si>
    <t xml:space="preserve">Trade association + trade fair</t>
  </si>
  <si>
    <t xml:space="preserve">AC Marca Personal Care S.L. (Denenes)</t>
  </si>
  <si>
    <t xml:space="preserve">L'Hospitalet de Llobregat (Barcelona)</t>
  </si>
  <si>
    <t xml:space="preserve">L'Hospitalet de Llobregat, Barcelona</t>
  </si>
  <si>
    <t xml:space="preserve">contacto@acmarca.com</t>
  </si>
  <si>
    <t xml:space="preserve">Denenes baby colognes, shampoos, nappy cream</t>
  </si>
  <si>
    <t xml:space="preserve">Baby toiletries</t>
  </si>
  <si>
    <t xml:space="preserve">Named manufacturer on EU retailer GPSR listings (Druni); brand since 1962</t>
  </si>
  <si>
    <t xml:space="preserve">Spanish baby cologne niche - low competition in UK</t>
  </si>
  <si>
    <t xml:space="preserve">Confirm brand ownership &amp; get full address</t>
  </si>
  <si>
    <t xml:space="preserve">Retailer GPSR data</t>
  </si>
  <si>
    <t xml:space="preserve">Jané Group (Jané, Concord, Be Cool)</t>
  </si>
  <si>
    <t xml:space="preserve">https://www.jane.es</t>
  </si>
  <si>
    <t xml:space="preserve">Barcelona</t>
  </si>
  <si>
    <t xml:space="preserve">Mercaders 34, Barcelona (verify)</t>
  </si>
  <si>
    <t xml:space="preserve">+34 937 031 800 (verify)</t>
  </si>
  <si>
    <t xml:space="preserve">Jané, Concord, Be Cool pushchairs, car seats, nursery</t>
  </si>
  <si>
    <t xml:space="preserve">Distributors (international sales director)</t>
  </si>
  <si>
    <t xml:space="preserve">Distributes worldwide - ask</t>
  </si>
  <si>
    <t xml:space="preserve">Founded 1932; Spain's largest pushchair maker; ~€37m turnover</t>
  </si>
  <si>
    <t xml:space="preserve">Trade press + company directories</t>
  </si>
  <si>
    <t xml:space="preserve">Suavinex (Laboratorios Suavinex S.L.)</t>
  </si>
  <si>
    <t xml:space="preserve">https://www.suavinex.com/en/about-us</t>
  </si>
  <si>
    <t xml:space="preserve">Alicante</t>
  </si>
  <si>
    <t xml:space="preserve">Suavinex dummies, bottles, teethers, baby cosmetics</t>
  </si>
  <si>
    <t xml:space="preserve">Baby feeding &amp; care</t>
  </si>
  <si>
    <t xml:space="preserve">Pharmacies, baby specialists, distributors</t>
  </si>
  <si>
    <t xml:space="preserve">Sold in 20+ markets - ask</t>
  </si>
  <si>
    <t xml:space="preserve">Exporting since 1992; logistics subsidiary in Slovakia; country distributors appointed</t>
  </si>
  <si>
    <t xml:space="preserve">Company site + trade press</t>
  </si>
  <si>
    <t xml:space="preserve">ISDIN S.A.</t>
  </si>
  <si>
    <t xml:space="preserve">https://www.isdin.com</t>
  </si>
  <si>
    <t xml:space="preserve">C/ Provençals 33, 08019 Barcelona</t>
  </si>
  <si>
    <t xml:space="preserve">+34 93 519 11 00</t>
  </si>
  <si>
    <t xml:space="preserve">customer.es@isdin.com</t>
  </si>
  <si>
    <t xml:space="preserve">ISDIN sun care (Fotoprotector), Ureadin, Lambdapil</t>
  </si>
  <si>
    <t xml:space="preserve">Dermocosmetics / pharmacy skincare</t>
  </si>
  <si>
    <t xml:space="preserve">Pharmacy &amp; distributor accounts; country offices</t>
  </si>
  <si>
    <t xml:space="preserve">Major Spanish dermocosmetics lab; Catalonia exporter directory</t>
  </si>
  <si>
    <t xml:space="preserve">ISDIN sun care sells strongly in summer</t>
  </si>
  <si>
    <t xml:space="preserve">Official contact page + Catalonia supplier directory</t>
  </si>
  <si>
    <t xml:space="preserve">PASS - well-known company: Major Spanish dermocosmetics lab.</t>
  </si>
  <si>
    <t xml:space="preserve">Bella Aurora Labs S.A.</t>
  </si>
  <si>
    <t xml:space="preserve">Santa Coloma de Cervelló (Barcelona)</t>
  </si>
  <si>
    <t xml:space="preserve">Colonia Güell - Filatures, 08690 Santa Coloma de Cervelló</t>
  </si>
  <si>
    <t xml:space="preserve">+34 934 781 112 (verify)</t>
  </si>
  <si>
    <t xml:space="preserve">Bella Aurora anti-dark-spot creams, sun care</t>
  </si>
  <si>
    <t xml:space="preserve">Pharmacy skincare</t>
  </si>
  <si>
    <t xml:space="preserve">Exclusive distributors per market (EU &amp; Americas)</t>
  </si>
  <si>
    <t xml:space="preserve">Ask - may have an exclusive UK partner</t>
  </si>
  <si>
    <t xml:space="preserve">Long-running export records to US &amp; Colombia; heritage Spanish brand</t>
  </si>
  <si>
    <t xml:space="preserve">Dark-spot creams are a strong Amazon niche</t>
  </si>
  <si>
    <t xml:space="preserve">Exclusive distribution model</t>
  </si>
  <si>
    <t xml:space="preserve">Trade data + business directories</t>
  </si>
  <si>
    <t xml:space="preserve">PASS - well-known company: Heritage Spanish skincare brand with long export record.</t>
  </si>
  <si>
    <t xml:space="preserve">Berioska S.L. (Babaria)</t>
  </si>
  <si>
    <t xml:space="preserve">https://www.babaria.es</t>
  </si>
  <si>
    <t xml:space="preserve">Cheste (Valencia)</t>
  </si>
  <si>
    <t xml:space="preserve">Cheste, Valencia</t>
  </si>
  <si>
    <t xml:space="preserve">+34 962 51 26 00 (verify)</t>
  </si>
  <si>
    <t xml:space="preserve">Babaria natural-origin skincare, body &amp; sun care</t>
  </si>
  <si>
    <t xml:space="preserve">Skincare &amp; sun care</t>
  </si>
  <si>
    <t xml:space="preserve">Exports to Europe, Americas, Africa - ask</t>
  </si>
  <si>
    <t xml:space="preserve">Backed by Corpfin Capital to expand abroad; subsidiaries in PE, MX, CO, MA</t>
  </si>
  <si>
    <t xml:space="preserve">Trade press + company profile</t>
  </si>
  <si>
    <t xml:space="preserve">Instituto Español S.A.</t>
  </si>
  <si>
    <t xml:space="preserve">https://www.institutoespanol.com</t>
  </si>
  <si>
    <t xml:space="preserve">Hinojos (Huelva)</t>
  </si>
  <si>
    <t xml:space="preserve">Polígono Industrial Las Dueñas, Nave 1, 21740 Hinojos</t>
  </si>
  <si>
    <t xml:space="preserve">Instituto Español body care, urea creams, gels, deodorants</t>
  </si>
  <si>
    <t xml:space="preserve">Body care &amp; hygiene</t>
  </si>
  <si>
    <t xml:space="preserve">Exports to 55 countries - ask</t>
  </si>
  <si>
    <t xml:space="preserve">Exporting since ~1985; own manufacturing</t>
  </si>
  <si>
    <t xml:space="preserve">Good-value body care - brand-direct invoices</t>
  </si>
  <si>
    <t xml:space="preserve">Trade data + encyclopedia entry</t>
  </si>
  <si>
    <t xml:space="preserve">PASS - well-known company: Major Spanish toiletries maker.</t>
  </si>
  <si>
    <t xml:space="preserve">RUBI Tools Group S.A.</t>
  </si>
  <si>
    <t xml:space="preserve">https://www.rubi.com/en/group</t>
  </si>
  <si>
    <t xml:space="preserve">Rubí (Barcelona)</t>
  </si>
  <si>
    <t xml:space="preserve">Avinguda Olimpíades 89-91, 08191 Rubí</t>
  </si>
  <si>
    <t xml:space="preserve">+34 936 806 500</t>
  </si>
  <si>
    <t xml:space="preserve">RUBI tile cutters, tiling tools &amp; machines</t>
  </si>
  <si>
    <t xml:space="preserve">Tiling tools</t>
  </si>
  <si>
    <t xml:space="preserve">Distributors (11 subsidiaries)</t>
  </si>
  <si>
    <t xml:space="preserve">Sales in 120+ countries - ask (has UK subsidiary)</t>
  </si>
  <si>
    <t xml:space="preserve">CERSAIE exhibitor; production in Spain &amp; China</t>
  </si>
  <si>
    <t xml:space="preserve">Trade fair listing + company site</t>
  </si>
  <si>
    <t xml:space="preserve">Bellota Herramientas S.L.U.</t>
  </si>
  <si>
    <t xml:space="preserve">https://www.bellota.com</t>
  </si>
  <si>
    <t xml:space="preserve">Legazpi (Gipuzkoa)</t>
  </si>
  <si>
    <t xml:space="preserve">Urola 10, 20230 Legazpi</t>
  </si>
  <si>
    <t xml:space="preserve">+34 943 739 000</t>
  </si>
  <si>
    <t xml:space="preserve">Bellota hand tools, garden &amp; agricultural tools, construction tools</t>
  </si>
  <si>
    <t xml:space="preserve">Hand &amp; garden tools</t>
  </si>
  <si>
    <t xml:space="preserve">Sells in 120+ countries - ask</t>
  </si>
  <si>
    <t xml:space="preserve">Founded 1908; major Spanish tool maker</t>
  </si>
  <si>
    <t xml:space="preserve">Trade directory + trade data</t>
  </si>
  <si>
    <t xml:space="preserve">EGA Master S.L.</t>
  </si>
  <si>
    <t xml:space="preserve">https://www.egamaster.com</t>
  </si>
  <si>
    <t xml:space="preserve">Vitoria-Gasteiz</t>
  </si>
  <si>
    <t xml:space="preserve">C/ Zorrolleta 11-12, Pol. Ind. Júndiz, 01015 Vitoria</t>
  </si>
  <si>
    <t xml:space="preserve">master@egamaster.com</t>
  </si>
  <si>
    <t xml:space="preserve">EGA Master hand tools, non-sparking &amp; insulated tools</t>
  </si>
  <si>
    <t xml:space="preserve">Industrial hand tools</t>
  </si>
  <si>
    <t xml:space="preserve">Distributors (150 countries)</t>
  </si>
  <si>
    <t xml:space="preserve">SAHA Expo 2026 exhibitor; offshore industry supplier listing</t>
  </si>
  <si>
    <t xml:space="preserve">Industrial focus; pipe wrenches &amp; specialist tools fit niche listings</t>
  </si>
  <si>
    <t xml:space="preserve">Trade fair listing + industry directory</t>
  </si>
  <si>
    <t xml:space="preserve">Grupo Saphir Parfums</t>
  </si>
  <si>
    <t xml:space="preserve">Zaragoza</t>
  </si>
  <si>
    <t xml:space="preserve">Zaragoza, Aragón</t>
  </si>
  <si>
    <t xml:space="preserve">Manufacturer / brand owner / licensee</t>
  </si>
  <si>
    <t xml:space="preserve">Saphir own-brand perfumes, Alvarez Gómez, licences (Hannibal Laguna)</t>
  </si>
  <si>
    <t xml:space="preserve">Budget &amp; licensed fragrance</t>
  </si>
  <si>
    <t xml:space="preserve">Distributors (~20 markets); contract filling</t>
  </si>
  <si>
    <t xml:space="preserve">~EUR 57m turnover (2016); 20+ production lines, 22m bottles/yr; covered by Modaes &amp; Alimarket</t>
  </si>
  <si>
    <t xml:space="preserve">Own brands OK - but avoid 'smell-alike' lines on Amazon</t>
  </si>
  <si>
    <t xml:space="preserve">RED FLAG: past trademark/unfair-competition case brought by Puig - buy own-brand/licensed lines only</t>
  </si>
  <si>
    <t xml:space="preserve">Business press + regional investment agency</t>
  </si>
  <si>
    <t xml:space="preserve">CAUTION - Large real manufacturer (~EUR 57m turnover) but had a trademark / unfair-competition case brought by Puig - buy own-brand or licensed lines only.</t>
  </si>
  <si>
    <t xml:space="preserve">Laboratorios Byly S.A.</t>
  </si>
  <si>
    <t xml:space="preserve">Barberà del Vallès (Barcelona)</t>
  </si>
  <si>
    <t xml:space="preserve">Ronda de Santa María 200, 08210 Barberà del Vallès</t>
  </si>
  <si>
    <t xml:space="preserve">info@byly.com</t>
  </si>
  <si>
    <t xml:space="preserve">Byly deodorants, depilatory creams</t>
  </si>
  <si>
    <t xml:space="preserve">Deodorants &amp; hair removal</t>
  </si>
  <si>
    <t xml:space="preserve">Distributors (owns Difusión Idesa)</t>
  </si>
  <si>
    <t xml:space="preserve">Trading since 1942; BYLY trademark registered 1970; export records</t>
  </si>
  <si>
    <t xml:space="preserve">Cheap deodorant creams/roll-ons; sprays are hazmat</t>
  </si>
  <si>
    <t xml:space="preserve">Aerosols = dangerous goods on Amazon</t>
  </si>
  <si>
    <t xml:space="preserve">Trademark record + trade data</t>
  </si>
  <si>
    <t xml:space="preserve">Lékué S.L.</t>
  </si>
  <si>
    <t xml:space="preserve">https://www.lekue.com</t>
  </si>
  <si>
    <t xml:space="preserve">La Llagosta / Barcelona</t>
  </si>
  <si>
    <t xml:space="preserve">C/ Barcelona 16, 08120 La Llagosta (Barcelona)</t>
  </si>
  <si>
    <t xml:space="preserve">info@lekue.com</t>
  </si>
  <si>
    <t xml:space="preserve">Lékué silicone cookware, steam cases, lunch boxes, baking</t>
  </si>
  <si>
    <t xml:space="preserve">Has own UK &amp; Ireland subsidiary</t>
  </si>
  <si>
    <t xml:space="preserve">Spanish Patent Office case study; own UK subsidiary</t>
  </si>
  <si>
    <t xml:space="preserve">Strong Amazon kitchen brand</t>
  </si>
  <si>
    <t xml:space="preserve">Government publication + trade press</t>
  </si>
  <si>
    <t xml:space="preserve">Cecotec Innovaciones S.L.</t>
  </si>
  <si>
    <t xml:space="preserve">https://www.cecotec.es</t>
  </si>
  <si>
    <t xml:space="preserve">Alfafar (Valencia)</t>
  </si>
  <si>
    <t xml:space="preserve">Alfafar, Valencia (see cecotec.es)</t>
  </si>
  <si>
    <t xml:space="preserve">Cecotec Conga robot vacuums, Mambo kitchen robots, air fryers</t>
  </si>
  <si>
    <t xml:space="preserve">Retailers &amp; official country distributors (50 countries)</t>
  </si>
  <si>
    <t xml:space="preserve">Registered SL (Iberinform); sold via El Corte Inglés; subsidiaries in 6 countries</t>
  </si>
  <si>
    <t xml:space="preserve">Air fryers &amp; robot vacuums are Amazon top sellers; Cecotec sells direct on Amazon</t>
  </si>
  <si>
    <t xml:space="preserve">Brand sells direct on Amazon - check whether 3P resale is allowed</t>
  </si>
  <si>
    <t xml:space="preserve">Registry (Iberinform) + trade press (Alimarket)</t>
  </si>
  <si>
    <t xml:space="preserve">IBILI Menaje S.A.</t>
  </si>
  <si>
    <t xml:space="preserve">https://ibilimenaje.com/es</t>
  </si>
  <si>
    <t xml:space="preserve">Bergara (Gipuzkoa)</t>
  </si>
  <si>
    <t xml:space="preserve">Bº San Juan s/n, 20570 Bergara</t>
  </si>
  <si>
    <t xml:space="preserve">+34 943 763 544</t>
  </si>
  <si>
    <t xml:space="preserve">Ibili kitchen gadgets, bakeware, paella pans, cookware</t>
  </si>
  <si>
    <t xml:space="preserve">Kitchen utensils &amp; bakeware</t>
  </si>
  <si>
    <t xml:space="preserve">Distributors in 60-75 countries</t>
  </si>
  <si>
    <t xml:space="preserve">Ambiente exhibitor; Marcos Larrañaga industrial group; 16,000 m² distribution centre</t>
  </si>
  <si>
    <t xml:space="preserve">Wide gadget range at Spanish prices - good for bundles</t>
  </si>
  <si>
    <t xml:space="preserve">Trade fair listing + supplier directory</t>
  </si>
  <si>
    <t xml:space="preserve">Arquivet SLU</t>
  </si>
  <si>
    <t xml:space="preserve">https://www.arquivet.com</t>
  </si>
  <si>
    <t xml:space="preserve">Les Franqueses del Vallès (Barcelona)</t>
  </si>
  <si>
    <t xml:space="preserve">Carrer de França 13, 08520 Les Franqueses del Vallès</t>
  </si>
  <si>
    <t xml:space="preserve">+34 938 40 20 66</t>
  </si>
  <si>
    <t xml:space="preserve">Producer &amp; distributor</t>
  </si>
  <si>
    <t xml:space="preserve">Arquivet natural pet food, Arquizoo, Wind + accessories</t>
  </si>
  <si>
    <t xml:space="preserve">Retailers, vets, wholesalers</t>
  </si>
  <si>
    <t xml:space="preserve">Has export manager (Nicolas Weber)</t>
  </si>
  <si>
    <t xml:space="preserve">Gaun S.A.</t>
  </si>
  <si>
    <t xml:space="preserve">https://www.gaunsa.com</t>
  </si>
  <si>
    <t xml:space="preserve">Librilla (Murcia)</t>
  </si>
  <si>
    <t xml:space="preserve">Librilla, Murcia</t>
  </si>
  <si>
    <t xml:space="preserve">+34 968 65 81 36</t>
  </si>
  <si>
    <t xml:space="preserve">info@gaunsa.com</t>
  </si>
  <si>
    <t xml:space="preserve">Gaun pet accessories &amp; small-breeder products</t>
  </si>
  <si>
    <t xml:space="preserve">Pet &amp; aviary accessories</t>
  </si>
  <si>
    <t xml:space="preserve">Distributors (60+ countries)</t>
  </si>
  <si>
    <t xml:space="preserve">Zoomark exhibitor</t>
  </si>
  <si>
    <t xml:space="preserve">Bird &amp; small-animal accessories - a less crowded niche</t>
  </si>
  <si>
    <t xml:space="preserve">GOSBI PET FOOD S.A.</t>
  </si>
  <si>
    <t xml:space="preserve">https://www.gosbi.com</t>
  </si>
  <si>
    <t xml:space="preserve">Santa Llogaia d'Àlguema (Girona)</t>
  </si>
  <si>
    <t xml:space="preserve">Crta. N-IIa km 1.5, 17771 Santa Llogaia d'Àlguema, Girona</t>
  </si>
  <si>
    <t xml:space="preserve">+34 972 527 102 (export manager: Egle Irtmonaite)</t>
  </si>
  <si>
    <t xml:space="preserve">Gosbi dog &amp; cat food</t>
  </si>
  <si>
    <t xml:space="preserve">Premium pet food</t>
  </si>
  <si>
    <t xml:space="preserve">Distributors (has export manager)</t>
  </si>
  <si>
    <t xml:space="preserve">Interzoo exhibitor; producing since 2003</t>
  </si>
  <si>
    <t xml:space="preserve">Pet food is heavy and competitive; treats/small bags work better</t>
  </si>
  <si>
    <t xml:space="preserve">Nayeco S.L. (NUZOA group)</t>
  </si>
  <si>
    <t xml:space="preserve">https://www.nayeco.com/es</t>
  </si>
  <si>
    <t xml:space="preserve">Collbató (Barcelona)</t>
  </si>
  <si>
    <t xml:space="preserve">C/ Esparreguera 7-9, 08293 Collbató</t>
  </si>
  <si>
    <t xml:space="preserve">+34 937 779 750</t>
  </si>
  <si>
    <t xml:space="preserve">Manufacturer / importer / distributor</t>
  </si>
  <si>
    <t xml:space="preserve">Nayeco dog chews, cat accessories, aquarium &amp; reptile supplies</t>
  </si>
  <si>
    <t xml:space="preserve">Retailers (10 agents in ES/PT); export specialist Anna Vilar</t>
  </si>
  <si>
    <t xml:space="preserve">Has export team - ask</t>
  </si>
  <si>
    <t xml:space="preserve">Trading since 1983/1993; Interzoo exhibitor</t>
  </si>
  <si>
    <t xml:space="preserve">Trade fair listing + directory</t>
  </si>
  <si>
    <t xml:space="preserve">Jim Sports Group (Softee)</t>
  </si>
  <si>
    <t xml:space="preserve">https://www.jimsports.com</t>
  </si>
  <si>
    <t xml:space="preserve">Spain (see website)</t>
  </si>
  <si>
    <t xml:space="preserve">comunicacion@jimsports.com</t>
  </si>
  <si>
    <t xml:space="preserve">Brand owner / manufacturer / distributor</t>
  </si>
  <si>
    <t xml:space="preserve">Softee, Vibor-A, Enebe, Black Crown padel</t>
  </si>
  <si>
    <t xml:space="preserve">Padel, fitness &amp; team-sport equipment</t>
  </si>
  <si>
    <t xml:space="preserve">ISPO Munich 2025 exhibitor (Spanish pavilion, AFYDAD); sells on Decathlon marketplace</t>
  </si>
  <si>
    <t xml:space="preserve">Padel is fast-growing in UK; Softee fitness accessories</t>
  </si>
  <si>
    <t xml:space="preserve">Trade fair exhibitor list</t>
  </si>
  <si>
    <t xml:space="preserve">APLI Paper S.A.U.</t>
  </si>
  <si>
    <t xml:space="preserve">https://www.apli.com</t>
  </si>
  <si>
    <t xml:space="preserve">Avda. Arraona 120-124, Centro Industrial Santiga, 08210 Barberà del Vallès</t>
  </si>
  <si>
    <t xml:space="preserve">+34 937 479 100</t>
  </si>
  <si>
    <t xml:space="preserve">apli@apli.com</t>
  </si>
  <si>
    <t xml:space="preserve">APLI labels, Miquelrius notebooks, Agipa, Decadry, Back2Fun</t>
  </si>
  <si>
    <t xml:space="preserve">Labels &amp; stationery</t>
  </si>
  <si>
    <t xml:space="preserve">Distributors &amp; office dealers (80-85+ countries)</t>
  </si>
  <si>
    <t xml:space="preserve">Ask - Agipa/Decadry well known in UK</t>
  </si>
  <si>
    <t xml:space="preserve">Spain's leading label maker; Ambiente exhibitor; Catalonia exporter directory</t>
  </si>
  <si>
    <t xml:space="preserve">Printer labels sell steadily - strong repeat purchases</t>
  </si>
  <si>
    <t xml:space="preserve">Trade fair listing + regional exporter directory</t>
  </si>
  <si>
    <t xml:space="preserve">Factis S.A. (MILAN)</t>
  </si>
  <si>
    <t xml:space="preserve">https://www.milan.es</t>
  </si>
  <si>
    <t xml:space="preserve">Mont-ras (Girona)</t>
  </si>
  <si>
    <t xml:space="preserve">Barri de Morena 4, 17253 Mont-ras</t>
  </si>
  <si>
    <t xml:space="preserve">+34 972 30 32 00</t>
  </si>
  <si>
    <t xml:space="preserve">MILAN erasers, pencils, school &amp; office supplies</t>
  </si>
  <si>
    <t xml:space="preserve">Exports to 120+ countries - ask</t>
  </si>
  <si>
    <t xml:space="preserve">WIPO case study; Ambiente exhibitor; Polish branch MILAN Polska</t>
  </si>
  <si>
    <t xml:space="preserve">WIPO + trade fair listing</t>
  </si>
  <si>
    <t xml:space="preserve">JOVI S.A.</t>
  </si>
  <si>
    <t xml:space="preserve">https://www.jovi.es</t>
  </si>
  <si>
    <t xml:space="preserve">Avda. Bizet, Pol. Ind. Can Jardí, 08191 Rubí</t>
  </si>
  <si>
    <t xml:space="preserve">Jovi Plastilina modelling clay, air-dry clay, crayons, tempera, face paint</t>
  </si>
  <si>
    <t xml:space="preserve">Kids art &amp; craft</t>
  </si>
  <si>
    <t xml:space="preserve">Distributors in 80+ countries; US subsidiary (Jovi Color Inc.)</t>
  </si>
  <si>
    <t xml:space="preserve">Spanish registry (Iberinform); made in Barcelona; long-running US export records</t>
  </si>
  <si>
    <t xml:space="preserve">Modelling clay &amp; craft sets - cheap, light, strong Q4 &amp; back-to-school</t>
  </si>
  <si>
    <t xml:space="preserve">Business registry + trade data</t>
  </si>
  <si>
    <t xml:space="preserve">CSP - Comercial del Sur de Papelería (Liderpapel)</t>
  </si>
  <si>
    <t xml:space="preserve">https://www.cspapeleria.com</t>
  </si>
  <si>
    <t xml:space="preserve">Málaga (HQ); DCs Guadalajara, Caudebec, Lyon</t>
  </si>
  <si>
    <t xml:space="preserve">France, Portugal</t>
  </si>
  <si>
    <t xml:space="preserve">Málaga, Spain</t>
  </si>
  <si>
    <t xml:space="preserve">Manufacturer &amp; wholesale distributor</t>
  </si>
  <si>
    <t xml:space="preserve">Liderpapel (own, 1,500+ products), Q-Connect (exclusive) + exclusive rights to international stationery brands</t>
  </si>
  <si>
    <t xml:space="preserve">Stationery resellers (dealer network)</t>
  </si>
  <si>
    <t xml:space="preserve">Iberia &amp; France focus - ask</t>
  </si>
  <si>
    <t xml:space="preserve">Founded 1958; 325-425 staff; acquired ADVEO France assets Dec 2025</t>
  </si>
  <si>
    <t xml:space="preserve">Own brand Liderpapel = direct invoices</t>
  </si>
  <si>
    <t xml:space="preserve">Distribuidora Universal S.L. (DUNSA Group)</t>
  </si>
  <si>
    <t xml:space="preserve">La Garriga (Barcelona)</t>
  </si>
  <si>
    <t xml:space="preserve">C/ Josep Maria Sert 17-3, 08530 La Garriga</t>
  </si>
  <si>
    <t xml:space="preserve">+34 938 71 80 64</t>
  </si>
  <si>
    <t xml:space="preserve">INSTANT, PLAYCOLOR</t>
  </si>
  <si>
    <t xml:space="preserve">Distributors &amp; direct customers (40+ countries)</t>
  </si>
  <si>
    <t xml:space="preserve">Creativeworld 2025 (Messe Frankfurt) exhibitor; family-run manufacturer</t>
  </si>
  <si>
    <t xml:space="preserve">Playcolor solid paint sticks suit the kids crafts category</t>
  </si>
  <si>
    <t xml:space="preserve">Educa Borrás S.A.U.</t>
  </si>
  <si>
    <t xml:space="preserve">https://www.educaborras.com</t>
  </si>
  <si>
    <t xml:space="preserve">Sant Quirze del Vallès (Barcelona)</t>
  </si>
  <si>
    <t xml:space="preserve">C/ Osana 1, 08192 Sant Quirze del Vallès</t>
  </si>
  <si>
    <t xml:space="preserve">Educa puzzles, Chicos toys, board games</t>
  </si>
  <si>
    <t xml:space="preserve">Listed in Catalonia supplier directory; long-running exporter (US, MX, DE, FR, IT)</t>
  </si>
  <si>
    <t xml:space="preserve">CEO: Susana Dabán.</t>
  </si>
  <si>
    <t xml:space="preserve">Regional supplier directory + trade data</t>
  </si>
  <si>
    <t xml:space="preserve">PASS - well-known company: Spain's leading puzzle maker (since 1920s).</t>
  </si>
  <si>
    <t xml:space="preserve">Colorbaby S.L.</t>
  </si>
  <si>
    <t xml:space="preserve">Ibi (Alicante)</t>
  </si>
  <si>
    <t xml:space="preserve">Calle Córdoba 15, 03440 Ibi</t>
  </si>
  <si>
    <t xml:space="preserve">Colorbaby dolls, outdoor toys, licensed toys &amp; leisure</t>
  </si>
  <si>
    <t xml:space="preserve">Toys &amp; leisure (mass market)</t>
  </si>
  <si>
    <t xml:space="preserve">CIF B03170578 / LEI 95980020140005590772</t>
  </si>
  <si>
    <t xml:space="preserve">Active LEI record; AEO-certified; 7 logistics centres (80,000+ pallets); Spielwarenmesse exhibitor</t>
  </si>
  <si>
    <t xml:space="preserve">Large licensed range - check brand/IP gating</t>
  </si>
  <si>
    <t xml:space="preserve">LEI registry + trade press</t>
  </si>
  <si>
    <t xml:space="preserve">Miniland S.A.</t>
  </si>
  <si>
    <t xml:space="preserve">https://www.minilandgroup.com</t>
  </si>
  <si>
    <t xml:space="preserve">Onil (Alicante)</t>
  </si>
  <si>
    <t xml:space="preserve">C/ La Patronal 8-10, P.I. La Marjal I, 03430 Onil</t>
  </si>
  <si>
    <t xml:space="preserve">+34 965 564 950</t>
  </si>
  <si>
    <t xml:space="preserve">Miniland Educational dolls &amp; STEM, Miniland Baby (thermometers, monitors)</t>
  </si>
  <si>
    <t xml:space="preserve">Educational toys &amp; baby care</t>
  </si>
  <si>
    <t xml:space="preserve">Distributors &amp; retailers; US subsidiary (Miami)</t>
  </si>
  <si>
    <t xml:space="preserve">CIF A03197308</t>
  </si>
  <si>
    <t xml:space="preserve">CIF A03197308; Spielwarenmesse exhibitor via IBIAE; Spanish government case study</t>
  </si>
  <si>
    <t xml:space="preserve">Educational dolls &amp; baby thermometers sell well</t>
  </si>
  <si>
    <t xml:space="preserve">Business registry (Iberinform) + supplier directory + trade fair</t>
  </si>
  <si>
    <t xml:space="preserve">Cefa Toys S.A.</t>
  </si>
  <si>
    <t xml:space="preserve">https://cefatoys.com</t>
  </si>
  <si>
    <t xml:space="preserve">La Muela (Zaragoza)</t>
  </si>
  <si>
    <t xml:space="preserve">C/ Santo Domingo 10, P.I. Centro Vía, 50196 La Muela</t>
  </si>
  <si>
    <t xml:space="preserve">+34 976 144 659</t>
  </si>
  <si>
    <t xml:space="preserve">Cefa Toys craft kits, kids appliances, licensed toys (Disney, Ben 10)</t>
  </si>
  <si>
    <t xml:space="preserve">Role-play &amp; craft toys</t>
  </si>
  <si>
    <t xml:space="preserve">Retail &amp; distributors</t>
  </si>
  <si>
    <t xml:space="preserve">Active LEI; stocked by El Corte Inglés; spun off from CEFA group (1946)</t>
  </si>
  <si>
    <t xml:space="preserve">Licensed lines may be territory-restricted</t>
  </si>
  <si>
    <t xml:space="preserve">LEI registry + supplier directory + retailer</t>
  </si>
  <si>
    <t xml:space="preserve">DISET S.A. (Jumbo Group)</t>
  </si>
  <si>
    <t xml:space="preserve">https://www.diset.com</t>
  </si>
  <si>
    <t xml:space="preserve">Barcelona (Zona Franca)</t>
  </si>
  <si>
    <t xml:space="preserve">Calle C 3, Sector B, Zona Franca, 08040 Barcelona</t>
  </si>
  <si>
    <t xml:space="preserve">+34 933 367 462</t>
  </si>
  <si>
    <t xml:space="preserve">Diset educational games, puzzles, board games</t>
  </si>
  <si>
    <t xml:space="preserve">Educational &amp; board games</t>
  </si>
  <si>
    <t xml:space="preserve">Southern Europe focus; Jumbo export dept for other markets</t>
  </si>
  <si>
    <t xml:space="preserve">Ask - or via Jumbo</t>
  </si>
  <si>
    <t xml:space="preserve">CIF A08261588</t>
  </si>
  <si>
    <t xml:space="preserve">CIF A08261588; part of Koninklijke Jumbo group</t>
  </si>
  <si>
    <t xml:space="preserve">Educational games for 3-8 yrs; cheap vs UK brands</t>
  </si>
  <si>
    <t xml:space="preserve">Sister company of Jumbo (NL), already on list</t>
  </si>
  <si>
    <t xml:space="preserve">Business registry + group website</t>
  </si>
  <si>
    <t xml:space="preserve">Famosa (Fábricas Agrupadas de Muñecas de Onil S.A.)</t>
  </si>
  <si>
    <t xml:space="preserve">https://www.famosa.es</t>
  </si>
  <si>
    <t xml:space="preserve">Alicante / Ibi</t>
  </si>
  <si>
    <t xml:space="preserve">P.I. Derramador, C/ Albacete s/n, Ibi (Alicante)</t>
  </si>
  <si>
    <t xml:space="preserve">Famosa dolls (Nenuco, Nancy), Pinypon, licensed toys</t>
  </si>
  <si>
    <t xml:space="preserve">Dolls &amp; toys</t>
  </si>
  <si>
    <t xml:space="preserve">Subsidiaries in MX &amp; US - ask about UK</t>
  </si>
  <si>
    <t xml:space="preserve">Spain's best-known toy maker; export department &amp; overseas subsidiaries</t>
  </si>
  <si>
    <t xml:space="preserve">Customs trade data</t>
  </si>
  <si>
    <t xml:space="preserve">Industrial Juguetera S.A. (Injusa)</t>
  </si>
  <si>
    <t xml:space="preserve">Av. Azorín 20, 03440 Ibi</t>
  </si>
  <si>
    <t xml:space="preserve">+34 965 550 862</t>
  </si>
  <si>
    <t xml:space="preserve">Injusa ride-ons, battery cars, push cars</t>
  </si>
  <si>
    <t xml:space="preserve">Ride-on toys</t>
  </si>
  <si>
    <t xml:space="preserve">National &amp; international distribution</t>
  </si>
  <si>
    <t xml:space="preserve">Spielwarenmesse exhibitor via IBIAE; covered by regional business press</t>
  </si>
  <si>
    <t xml:space="preserve">Ride-ons sell well at Christmas but are bulky - oversize FBA fees</t>
  </si>
  <si>
    <t xml:space="preserve">Supplier directory + business press</t>
  </si>
  <si>
    <t xml:space="preserve">Scandinavian Cosmetics AB (Storskogen group)</t>
  </si>
  <si>
    <t xml:space="preserve">https://www.scandinaviancosmetics.se</t>
  </si>
  <si>
    <t xml:space="preserve">Malmö (offices Copenhagen &amp; Oslo)</t>
  </si>
  <si>
    <t xml:space="preserve">Agnesfridsvägen 182, Malmö</t>
  </si>
  <si>
    <t xml:space="preserve">+46 40 31 15 00</t>
  </si>
  <si>
    <t xml:space="preserve">Beauty distributor &amp; brand manager</t>
  </si>
  <si>
    <t xml:space="preserve">80+ mass &amp; luxury beauty/fragrance brands across the Nordics</t>
  </si>
  <si>
    <t xml:space="preserve">Beauty &amp; fragrance</t>
  </si>
  <si>
    <t xml:space="preserve">Retailers (Nordic territory)</t>
  </si>
  <si>
    <t xml:space="preserve">Nordic focus - ask about export</t>
  </si>
  <si>
    <t xml:space="preserve">~235 staff; acquired by Storskogen (listed) 2022</t>
  </si>
  <si>
    <t xml:space="preserve">Authorised Nordic distributor = strong invoices</t>
  </si>
  <si>
    <t xml:space="preserve">Press release (Cision) + investor profile</t>
  </si>
  <si>
    <t xml:space="preserve">IsaDora AB</t>
  </si>
  <si>
    <t xml:space="preserve">https://www.isadora.com</t>
  </si>
  <si>
    <t xml:space="preserve">Malmö</t>
  </si>
  <si>
    <t xml:space="preserve">Malmö (HQ)</t>
  </si>
  <si>
    <t xml:space="preserve">IsaDora makeup &amp; nail polish</t>
  </si>
  <si>
    <t xml:space="preserve">Own distribution in 7 EU countries; external distributors elsewhere</t>
  </si>
  <si>
    <t xml:space="preserve">Present in 40+ markets - ask</t>
  </si>
  <si>
    <t xml:space="preserve">~200 staff; Axcel (PE) investment; own production</t>
  </si>
  <si>
    <t xml:space="preserve">Investor announcement</t>
  </si>
  <si>
    <t xml:space="preserve">PASS - well-known company: Established Swedish make-up brand.</t>
  </si>
  <si>
    <t xml:space="preserve">Bronsåldersgatan 5, 213 76 Malmö</t>
  </si>
  <si>
    <t xml:space="preserve">Oral care</t>
  </si>
  <si>
    <t xml:space="preserve">Via subsidiaries &amp; country distributors</t>
  </si>
  <si>
    <t xml:space="preserve">Ask which partner/subsidiary covers UK</t>
  </si>
  <si>
    <t xml:space="preserve">Major Swedish oral-care manufacturer; global subsidiary network</t>
  </si>
  <si>
    <t xml:space="preserve">Cederroth AB (Orkla Home &amp; Personal Care)</t>
  </si>
  <si>
    <t xml:space="preserve">https://www.cederroth.com</t>
  </si>
  <si>
    <t xml:space="preserve">Upplands Väsby (Stockholm)</t>
  </si>
  <si>
    <t xml:space="preserve">Salvequick plasters, LdB, Bliw, Samarin, Grumme, Multiplex, LongoVital, Allévo</t>
  </si>
  <si>
    <t xml:space="preserve">Personal care &amp; first aid</t>
  </si>
  <si>
    <t xml:space="preserve">Grocery, pharmacy &amp; distributors in other countries</t>
  </si>
  <si>
    <t xml:space="preserve">Represented via distributors - ask</t>
  </si>
  <si>
    <t xml:space="preserve">Part of Orkla (Oslo-listed) since 2015</t>
  </si>
  <si>
    <t xml:space="preserve">Salvequick first aid sells well</t>
  </si>
  <si>
    <t xml:space="preserve">Orkla press releases</t>
  </si>
  <si>
    <t xml:space="preserve">STIGA Sports AB</t>
  </si>
  <si>
    <t xml:space="preserve">https://www.stigasports.com</t>
  </si>
  <si>
    <t xml:space="preserve">Eskilstuna</t>
  </si>
  <si>
    <t xml:space="preserve">Tång Lindströms väg 7-9, 633 46 Eskilstuna</t>
  </si>
  <si>
    <t xml:space="preserve">STIGA table tennis, sledges, games tables</t>
  </si>
  <si>
    <t xml:space="preserve">Table tennis &amp; winter play</t>
  </si>
  <si>
    <t xml:space="preserve">Partners in 100+ countries</t>
  </si>
  <si>
    <t xml:space="preserve">Org.nr 556448-8178</t>
  </si>
  <si>
    <t xml:space="preserve">Org.nr 556448-8178; Swedish royal warrant holder; 75+ years</t>
  </si>
  <si>
    <t xml:space="preserve">Table tennis bats/balls sell year-round; sledges in winter</t>
  </si>
  <si>
    <t xml:space="preserve">Company site + press releases</t>
  </si>
  <si>
    <t xml:space="preserve">Malmö (HQ since 2006)</t>
  </si>
  <si>
    <t xml:space="preserve">Retailers (via Ravensburger sales in many markets)</t>
  </si>
  <si>
    <t xml:space="preserve">Ravensburger UK handles UK - ask</t>
  </si>
  <si>
    <t xml:space="preserve">Iconic Swedish brand; owned by Ravensburger since 2015</t>
  </si>
  <si>
    <t xml:space="preserve">Ask Ravensburger UK for trade account.</t>
  </si>
  <si>
    <t xml:space="preserve">Wikipedia + trade blog</t>
  </si>
  <si>
    <t xml:space="preserve">Micki Leksaker AB</t>
  </si>
  <si>
    <t xml:space="preserve">https://mickiofsweden.com/en/b2b/</t>
  </si>
  <si>
    <t xml:space="preserve">Gemla</t>
  </si>
  <si>
    <t xml:space="preserve">Industrivägen 7, SE-355 73 Gemla</t>
  </si>
  <si>
    <t xml:space="preserve">Micki wooden toys, Pippi Longstocking licensed toys, play kitchens</t>
  </si>
  <si>
    <t xml:space="preserve">Retailers - B2B login &amp; retailer enquiry on website</t>
  </si>
  <si>
    <t xml:space="preserve">Has UK web shop &amp; sells across Europe - ask</t>
  </si>
  <si>
    <t xml:space="preserve">Nordic Swan Ecolabel products; staff in DK, NO, FI, DE</t>
  </si>
  <si>
    <t xml:space="preserve">Business registry + company B2B page</t>
  </si>
  <si>
    <t xml:space="preserve">Switzerland</t>
  </si>
  <si>
    <t xml:space="preserve">Carletto AG (Carletto Deutschland)</t>
  </si>
  <si>
    <t xml:space="preserve">Brunnen (CH); Nuremberg office for Germany</t>
  </si>
  <si>
    <t xml:space="preserve">Higher (non-EU)</t>
  </si>
  <si>
    <t xml:space="preserve">Brunnen, Switzerland</t>
  </si>
  <si>
    <t xml:space="preserve">Toy &amp; games distributor</t>
  </si>
  <si>
    <t xml:space="preserve">60+ premium toy &amp; game brands (incl. Ty plush)</t>
  </si>
  <si>
    <t xml:space="preserve">Toys &amp; games</t>
  </si>
  <si>
    <t xml:space="preserve">Retailers (~4,500 clients)</t>
  </si>
  <si>
    <t xml:space="preserve">DACH focus - ask</t>
  </si>
  <si>
    <t xml:space="preserve">Founded 1986; one of the leading DACH toy distributors</t>
  </si>
  <si>
    <t xml:space="preserve">Non-EU (Swiss) HQ; German ops via Nuremberg.</t>
  </si>
  <si>
    <t xml:space="preserve">Company profile (jobs.ch)</t>
  </si>
  <si>
    <t xml:space="preserve">London (HQ)</t>
  </si>
  <si>
    <t xml:space="preserve">UK (no import)</t>
  </si>
  <si>
    <t xml:space="preserve">H&amp;B / fragrance / household</t>
  </si>
  <si>
    <t xml:space="preserve">Low (historically from ~€1k) - check current</t>
  </si>
  <si>
    <t xml:space="preserve">Business registration</t>
  </si>
  <si>
    <t xml:space="preserve">Raised $86m Series B (Dawn Capital, 2023)</t>
  </si>
  <si>
    <t xml:space="preserve">Best single starting point for branded fragrance &amp; beauty.</t>
  </si>
  <si>
    <t xml:space="preserve">Company website + TechCrunch</t>
  </si>
  <si>
    <t xml:space="preserve">Martley, Worcestershire</t>
  </si>
  <si>
    <t xml:space="preserve">Martley, Worcs (Companies House reg. office)</t>
  </si>
  <si>
    <t xml:space="preserve">Baby accessories &amp; feeding</t>
  </si>
  <si>
    <t xml:space="preserve">Low MOQs (self-described)</t>
  </si>
  <si>
    <t xml:space="preserve">Registered trade customers</t>
  </si>
  <si>
    <t xml:space="preserve">CH 01475315</t>
  </si>
  <si>
    <t xml:space="preserve">Companies House 01475315; incorporated 1980</t>
  </si>
  <si>
    <t xml:space="preserve">Director: Seb Shrubb.</t>
  </si>
  <si>
    <t xml:space="preserve">Companies House + trade press</t>
  </si>
  <si>
    <t xml:space="preserve">Baby Brands Direct</t>
  </si>
  <si>
    <t xml:space="preserve">https://www.babybrandsdirect.co.uk</t>
  </si>
  <si>
    <t xml:space="preserve">Greenford, Middlesex</t>
  </si>
  <si>
    <t xml:space="preserve">Unit 32, Metropolitan Park, Taunton Road, Greenford UB6 8UQ</t>
  </si>
  <si>
    <t xml:space="preserve">Distributor (80 brands)</t>
  </si>
  <si>
    <t xml:space="preserve">~2,500 lines from 80+ brands incl. Fisher-Price, Kikka Boo</t>
  </si>
  <si>
    <t xml:space="preserve">Baby &amp; nursery</t>
  </si>
  <si>
    <t xml:space="preserve">Independent retailers - registration</t>
  </si>
  <si>
    <t xml:space="preserve">Restricts</t>
  </si>
  <si>
    <t xml:space="preserve">Yes (sister site)</t>
  </si>
  <si>
    <t xml:space="preserve">Sole UK distributor for Kikka Boo (trade press)</t>
  </si>
  <si>
    <t xml:space="preserve">CAUTION: states auction-site traders not accepted. Sister site 'Baby Products Wholesaler' offers no MOV + dropshipping - ask which accepts online sellers</t>
  </si>
  <si>
    <t xml:space="preserve">CAUTION - No Companies House record found under this name - confirm the legal entity.</t>
  </si>
  <si>
    <t xml:space="preserve">Wholesale Baby Products (W.B.P)</t>
  </si>
  <si>
    <t xml:space="preserve">https://www.wholesalebabyproducts.co.uk</t>
  </si>
  <si>
    <t xml:space="preserve">Oldbury, West Midlands</t>
  </si>
  <si>
    <t xml:space="preserve">Unit 21, Fountain Business Park, Fountain Lane, Oldbury B69 3BH</t>
  </si>
  <si>
    <t xml:space="preserve">Wholesaler / exporter</t>
  </si>
  <si>
    <t xml:space="preserve">Baby products 0-36 months</t>
  </si>
  <si>
    <t xml:space="preserve">Baby</t>
  </si>
  <si>
    <t xml:space="preserve">15+ years exporting</t>
  </si>
  <si>
    <t xml:space="preserve">Baby is gated on Amazon - get invoices</t>
  </si>
  <si>
    <t xml:space="preserve">Directory</t>
  </si>
  <si>
    <t xml:space="preserve">Dartford, Kent</t>
  </si>
  <si>
    <t xml:space="preserve">Long Reach, Galleon Boulevard, Crossways Business Park, Dartford DA2 6QE</t>
  </si>
  <si>
    <t xml:space="preserve">On request (£50 carriage-paid quoted under a member scheme)</t>
  </si>
  <si>
    <t xml:space="preserve">Resellers only - never supplies end users</t>
  </si>
  <si>
    <t xml:space="preserve">Yes (GB &amp; Ireland)</t>
  </si>
  <si>
    <t xml:space="preserve">CH 00529964</t>
  </si>
  <si>
    <t xml:space="preserve">UK's largest hand &amp; power tool distributor; Companies House 00529964; 100+ sales reps; 24h delivery</t>
  </si>
  <si>
    <t xml:space="preserve">Top DIY pick.</t>
  </si>
  <si>
    <t xml:space="preserve">Companies House + directories</t>
  </si>
  <si>
    <t xml:space="preserve">Chandler's Ford, Hampshire</t>
  </si>
  <si>
    <t xml:space="preserve">Hursley Road, Chandler's Ford SO53 1YF</t>
  </si>
  <si>
    <t xml:space="preserve">Hand &amp; power tools, garage, garden</t>
  </si>
  <si>
    <t xml:space="preserve">Stockist application; area sales manager approves</t>
  </si>
  <si>
    <t xml:space="preserve">Long-established UK tool brand; 1,500+ Trustpilot reviews; B2B stockist hub</t>
  </si>
  <si>
    <t xml:space="preserve">Apply at drapertools.com/register-as-a-stockist.</t>
  </si>
  <si>
    <t xml:space="preserve">Glasgow</t>
  </si>
  <si>
    <t xml:space="preserve">Power tools</t>
  </si>
  <si>
    <t xml:space="preserve">Bosch System Specialist dealer listing; family business</t>
  </si>
  <si>
    <t xml:space="preserve">Bosch dealer list</t>
  </si>
  <si>
    <t xml:space="preserve">Toolstek (ETrader Direct Ltd)</t>
  </si>
  <si>
    <t xml:space="preserve">https://www.ebay.com/str/toolstek</t>
  </si>
  <si>
    <t xml:space="preserve">England</t>
  </si>
  <si>
    <t xml:space="preserve">Specialist tool distributor</t>
  </si>
  <si>
    <t xml:space="preserve">Hand &amp; power tools; exclusive UK distributor of Wokin</t>
  </si>
  <si>
    <t xml:space="preserve">Sub-distributor / retail partner applications</t>
  </si>
  <si>
    <t xml:space="preserve">CH 08156269</t>
  </si>
  <si>
    <t xml:space="preserve">Companies House 08156269; 129k+ items sold on eBay</t>
  </si>
  <si>
    <t xml:space="preserve">Actively recruits online retail partners</t>
  </si>
  <si>
    <t xml:space="preserve">eBay store profile + Companies House no.</t>
  </si>
  <si>
    <t xml:space="preserve">PASS (checked) - Trading name of ETrader Direct Ltd (CH 08156269); exclusive UK Wokin distributor; 129k items sold.</t>
  </si>
  <si>
    <t xml:space="preserve">Redditch, Worcestershire</t>
  </si>
  <si>
    <t xml:space="preserve">18 Oxleasow Road, Redditch, Worcestershire, B98 0RE</t>
  </si>
  <si>
    <t xml:space="preserve">Designer / mass fragrance</t>
  </si>
  <si>
    <t xml:space="preserve">Yes (UK based); also international</t>
  </si>
  <si>
    <t xml:space="preserve">Established 1984; supplies pharmacies, department stores &amp; online retailers. Same address as Lexon (UK) Ltd (MHRA-licensed wholesaler)</t>
  </si>
  <si>
    <t xml:space="preserve">Appears to share premises with Lexon UK group.</t>
  </si>
  <si>
    <t xml:space="preserve">Wembley / Watford (outskirts of London)</t>
  </si>
  <si>
    <t xml:space="preserve">Reg. office: 78 Wembley Park Drive, Wembley, HA9 8HE (trade site may be Amertrans Park, Bushey Mill Lane, Watford WD24 7JG)</t>
  </si>
  <si>
    <t xml:space="preserve">Yes (UK based)</t>
  </si>
  <si>
    <t xml:space="preserve">Family business since 1986; Companies House 02171783, SIC 46450 (wholesale of perfume &amp; cosmetics)</t>
  </si>
  <si>
    <t xml:space="preserve">Confirm which address is current before visiting.</t>
  </si>
  <si>
    <t xml:space="preserve">Companies House + job listing</t>
  </si>
  <si>
    <t xml:space="preserve">Affinity Fragrances</t>
  </si>
  <si>
    <t xml:space="preserve">https://www.affinityfragrances.com</t>
  </si>
  <si>
    <t xml:space="preserve">Iver, Buckinghamshire</t>
  </si>
  <si>
    <t xml:space="preserve">Iver, Buckinghamshire (confirm full address)</t>
  </si>
  <si>
    <t xml:space="preserve">Branded perfumes &amp; beauty</t>
  </si>
  <si>
    <t xml:space="preserve">Yes (UK based); international expansion</t>
  </si>
  <si>
    <t xml:space="preserve">Founded 2016; reported revenue £125m+ (Retail Merchandiser feature)</t>
  </si>
  <si>
    <t xml:space="preserve">Large volume player - ask about smaller starter orders</t>
  </si>
  <si>
    <t xml:space="preserve">Big supplier - MOQs may be high for a new account.</t>
  </si>
  <si>
    <t xml:space="preserve">Press + directory - confirm contacts on website</t>
  </si>
  <si>
    <t xml:space="preserve">PASS (checked) - Trade press: ~GBP 125m revenue; official UK distributor of Messi fragrances.</t>
  </si>
  <si>
    <t xml:space="preserve">Agence de Parfumerie</t>
  </si>
  <si>
    <t xml:space="preserve">https://www.agencedeparfumerie.co.uk</t>
  </si>
  <si>
    <t xml:space="preserve">Welwyn Garden City, Hertfordshire</t>
  </si>
  <si>
    <t xml:space="preserve">Unit 10 Bridge Gate Centre, Welwyn Garden City, Hertfordshire</t>
  </si>
  <si>
    <t xml:space="preserve">+44 20 3198 4600</t>
  </si>
  <si>
    <t xml:space="preserve">Wholesaler + online retailer</t>
  </si>
  <si>
    <t xml:space="preserve">Branded fragrances</t>
  </si>
  <si>
    <t xml:space="preserve">Business purchasing account</t>
  </si>
  <si>
    <t xml:space="preserve">Founded 2014; small firm (2-10 staff)</t>
  </si>
  <si>
    <t xml:space="preserve">Small supplier - good for low starter quantities</t>
  </si>
  <si>
    <t xml:space="preserve">Also sells retail, so check wholesale pricing is competitive.</t>
  </si>
  <si>
    <t xml:space="preserve">CAUTION - Directory info only (small retailer-wholesaler) - confirm Companies House number.</t>
  </si>
  <si>
    <t xml:space="preserve">Nationwide branches</t>
  </si>
  <si>
    <t xml:space="preserve">See branch finder</t>
  </si>
  <si>
    <t xml:space="preserve">FMCG</t>
  </si>
  <si>
    <t xml:space="preserve">None in branch</t>
  </si>
  <si>
    <t xml:space="preserve">Business registration; VAT no. for some credit tiers</t>
  </si>
  <si>
    <t xml:space="preserve">UK's largest cash &amp; carry (Tesco group)</t>
  </si>
  <si>
    <t xml:space="preserve">Register online at booker.co.uk.</t>
  </si>
  <si>
    <t xml:space="preserve">Well-known</t>
  </si>
  <si>
    <t xml:space="preserve">Nationwide warehouses</t>
  </si>
  <si>
    <t xml:space="preserve">FMCG / general</t>
  </si>
  <si>
    <t xml:space="preserve">None</t>
  </si>
  <si>
    <t xml:space="preserve">One business document &lt;3 months old (VAT cert, Companies House cert or business bank statement) + photo ID, in person</t>
  </si>
  <si>
    <t xml:space="preserve">Official membership page</t>
  </si>
  <si>
    <t xml:space="preserve">Official website</t>
  </si>
  <si>
    <t xml:space="preserve">Bestway Wholesale</t>
  </si>
  <si>
    <t xml:space="preserve">https://www.bestwaywholesale.co.uk</t>
  </si>
  <si>
    <t xml:space="preserve">HQ Park Royal, London + depots</t>
  </si>
  <si>
    <t xml:space="preserve">2 Abbey Road, Park Royal, London NW10 7BW</t>
  </si>
  <si>
    <t xml:space="preserve">+44 1738 646666 (Wholesale) / +44 20 8453 1234 (Group)</t>
  </si>
  <si>
    <t xml:space="preserve">bestway.group@bestway.co.uk</t>
  </si>
  <si>
    <t xml:space="preserve">Cash &amp; carry / delivered</t>
  </si>
  <si>
    <t xml:space="preserve">Grocery, household, H&amp;B</t>
  </si>
  <si>
    <t xml:space="preserve">None in depot</t>
  </si>
  <si>
    <t xml:space="preserve">Trade registration</t>
  </si>
  <si>
    <t xml:space="preserve">Companies House 01207120; major UK wholesaler</t>
  </si>
  <si>
    <t xml:space="preserve">Dhamecha Cash &amp; Carry</t>
  </si>
  <si>
    <t xml:space="preserve">https://www.dhamecha.com</t>
  </si>
  <si>
    <t xml:space="preserve">London, Midlands, North West (13 depots)</t>
  </si>
  <si>
    <t xml:space="preserve">Wembley: Wembley Stadium Ind. Est., First Way, HA9 0TU</t>
  </si>
  <si>
    <t xml:space="preserve">+44 20 8903 8181 (Wembley)</t>
  </si>
  <si>
    <t xml:space="preserve">Cash &amp; carry</t>
  </si>
  <si>
    <t xml:space="preserve">Strictly trade only</t>
  </si>
  <si>
    <t xml:space="preserve">~14,000 trade customers; acquired Hyperama depots</t>
  </si>
  <si>
    <t xml:space="preserve">Trade press / Unitas listing</t>
  </si>
  <si>
    <t xml:space="preserve">DK Wholesale</t>
  </si>
  <si>
    <t xml:space="preserve">https://www.dkwholesale.com</t>
  </si>
  <si>
    <t xml:space="preserve">Manchester</t>
  </si>
  <si>
    <t xml:space="preserve">4 Harthill Street, Manchester M8 8AG</t>
  </si>
  <si>
    <t xml:space="preserve">+44 161 832 5200</t>
  </si>
  <si>
    <t xml:space="preserve">dkwholesaleltd@gmail.com</t>
  </si>
  <si>
    <t xml:space="preserve">General wholesaler</t>
  </si>
  <si>
    <t xml:space="preserve">Beauty, toys, electronics, gifts, household</t>
  </si>
  <si>
    <t xml:space="preserve">Founded 1983; Trustpilot profile</t>
  </si>
  <si>
    <t xml:space="preserve">Gmail address - confirm company number.</t>
  </si>
  <si>
    <t xml:space="preserve">Trustpilot listing</t>
  </si>
  <si>
    <t xml:space="preserve">PASS (checked) - D.K. (Wholesale) Ltd, Companies House 01557367 active since 1981.</t>
  </si>
  <si>
    <t xml:space="preserve">Hancocks (World of Sweets)</t>
  </si>
  <si>
    <t xml:space="preserve">https://www.hancocks.co.uk</t>
  </si>
  <si>
    <t xml:space="preserve">Loughborough (HQ) + depots</t>
  </si>
  <si>
    <t xml:space="preserve">25 Jubilee Drive, Loughborough LE11 5TX</t>
  </si>
  <si>
    <t xml:space="preserve">Confectionery cash &amp; carry</t>
  </si>
  <si>
    <t xml:space="preserve">5,000+ sweets &amp; chocolate SKUs, novelty</t>
  </si>
  <si>
    <t xml:space="preserve">Confectionery / grocery</t>
  </si>
  <si>
    <t xml:space="preserve">Any business requiring wholesale confectionery</t>
  </si>
  <si>
    <t xml:space="preserve">Companies House 00868097; est. 1962</t>
  </si>
  <si>
    <t xml:space="preserve">Grocery is a huge Amazon UK category; watch expiry dates (FBA rules)</t>
  </si>
  <si>
    <t xml:space="preserve">Parfetts (Parfett &amp; Sons Ltd)</t>
  </si>
  <si>
    <t xml:space="preserve">https://www.parfetts.co.uk</t>
  </si>
  <si>
    <t xml:space="preserve">Stockport (HQ) + depots incl. Sheffield</t>
  </si>
  <si>
    <t xml:space="preserve">Sheffield depot: Europa Drive, Shepcote Business Park, S9 1XT</t>
  </si>
  <si>
    <t xml:space="preserve">+44 114 251 8888 (Sheffield)</t>
  </si>
  <si>
    <t xml:space="preserve">Grocery, household, H&amp;B, confectionery</t>
  </si>
  <si>
    <t xml:space="preserve">Family-owned independent wholesaler</t>
  </si>
  <si>
    <t xml:space="preserve">PASS - well-known company: Major UK cash &amp; carry group.</t>
  </si>
  <si>
    <t xml:space="preserve">Padiham, Burnley, Lancashire</t>
  </si>
  <si>
    <t xml:space="preserve">Unit 14A Mead Way, Shuttleworth Mead Business Park, Padiham, BB12 7NG</t>
  </si>
  <si>
    <t xml:space="preserve">Health / OTC / toiletries</t>
  </si>
  <si>
    <t xml:space="preserve">No minimum order in UK; free delivery over £200 ex VAT</t>
  </si>
  <si>
    <t xml:space="preserve">Open trade account to see prices</t>
  </si>
  <si>
    <t xml:space="preserve">Yes; also ships to IE/NI/EU</t>
  </si>
  <si>
    <t xml:space="preserve">Long-established family wholesaler; listed in Better Retailing supplier directory</t>
  </si>
  <si>
    <t xml:space="preserve">Low barrier to start - good first account.</t>
  </si>
  <si>
    <t xml:space="preserve">PB Wholesale (Protein Bargain Wholesale)</t>
  </si>
  <si>
    <t xml:space="preserve">https://www.proteinbargainwholesale.co.uk</t>
  </si>
  <si>
    <t xml:space="preserve">Liverpool</t>
  </si>
  <si>
    <t xml:space="preserve">7 Webber Road, Liverpool (verify)</t>
  </si>
  <si>
    <t xml:space="preserve">CNP, Mountain Joe's, Per4M + other sports nutrition brands</t>
  </si>
  <si>
    <t xml:space="preserve">Registered trade account</t>
  </si>
  <si>
    <t xml:space="preserve">Part of PB Group; dedicated account managers</t>
  </si>
  <si>
    <t xml:space="preserve">Supplies online retailers - supplements sell well on Amazon UK</t>
  </si>
  <si>
    <t xml:space="preserve">Trustpilot + trade press</t>
  </si>
  <si>
    <t xml:space="preserve">CAUTION - Very few reviews; registration not confirmed - check Companies House.</t>
  </si>
  <si>
    <t xml:space="preserve">CLF Distribution</t>
  </si>
  <si>
    <t xml:space="preserve">https://www.clfdistribution.com</t>
  </si>
  <si>
    <t xml:space="preserve">Southampton</t>
  </si>
  <si>
    <t xml:space="preserve">Reg: Unit 3, Quest 271 Test Lane, Southampton SO16 9SD (licensed site: Building 210, Nursling Ind. Est., Mauretania Rd, SO16 0YS)</t>
  </si>
  <si>
    <t xml:space="preserve">+44 23 8127 7000</t>
  </si>
  <si>
    <t xml:space="preserve">customerservices@clfdistribution.com</t>
  </si>
  <si>
    <t xml:space="preserve">Hundreds of health, wellness, natural beauty &amp; lifestyle brands</t>
  </si>
  <si>
    <t xml:space="preserve">Health / natural beauty / supplements</t>
  </si>
  <si>
    <t xml:space="preserve">Independent retailers - trade account</t>
  </si>
  <si>
    <t xml:space="preserve">Employee-owned; MHRA wholesale licence site listed</t>
  </si>
  <si>
    <t xml:space="preserve">CAUTION: says its brands are exclusive to independents &amp; not discounted online - ask about online/Amazon policy before applying</t>
  </si>
  <si>
    <t xml:space="preserve">Great range but may restrict marketplace selling.</t>
  </si>
  <si>
    <t xml:space="preserve">Directory + MHRA doc</t>
  </si>
  <si>
    <t xml:space="preserve">PASS (checked) - MHRA wholesale authorisation; employee-owned; 25+ years.</t>
  </si>
  <si>
    <t xml:space="preserve">Lexon (UK) Ltd</t>
  </si>
  <si>
    <t xml:space="preserve">18 Oxleasow Road, Moons Moat East, Redditch, B98 0RE</t>
  </si>
  <si>
    <t xml:space="preserve">+44 1527 501900</t>
  </si>
  <si>
    <t xml:space="preserve">Pharmaceutical / healthcare wholesaler (MHRA licensed)</t>
  </si>
  <si>
    <t xml:space="preserve">OTC, fragrances, parallel imports, generics</t>
  </si>
  <si>
    <t xml:space="preserve">Health / OTC / fragrance</t>
  </si>
  <si>
    <t xml:space="preserve">Primarily pharmacies - ask about non-pharmacy retail accounts</t>
  </si>
  <si>
    <t xml:space="preserve">Companies House 03076698; MHRA WDA(H) 15184 (sites: Redditch, Leeds, East Kilbride, Ferryhill)</t>
  </si>
  <si>
    <t xml:space="preserve">Licensed wholesaler = strong invoices; may only supply pharmacies for medicines</t>
  </si>
  <si>
    <t xml:space="preserve">Sister business to Knights Fragrances (same address).</t>
  </si>
  <si>
    <t xml:space="preserve">Companies House + MHRA</t>
  </si>
  <si>
    <t xml:space="preserve">PASS (checked) - Companies House 03076698 active; MHRA wholesale dealer authorisation.</t>
  </si>
  <si>
    <t xml:space="preserve">Reliance Medical Ltd</t>
  </si>
  <si>
    <t xml:space="preserve">https://www.reliancemedical.co.uk</t>
  </si>
  <si>
    <t xml:space="preserve">Talke, Staffordshire (older address: Congleton, Cheshire)</t>
  </si>
  <si>
    <t xml:space="preserve">Older listing: The Radnor Building, Radnor Park Trading Estate, Back Lane, Congleton CW12 4XP</t>
  </si>
  <si>
    <t xml:space="preserve">Trade-only distributor / manufacturer</t>
  </si>
  <si>
    <t xml:space="preserve">First aid kits (BS 8599), dressings, first aid consumables</t>
  </si>
  <si>
    <t xml:space="preserve">First aid / healthcare</t>
  </si>
  <si>
    <t xml:space="preserve">Trade only - sells to distributors</t>
  </si>
  <si>
    <t xml:space="preserve">Supplies NHS &amp; government; largest UK first aid distributor network</t>
  </si>
  <si>
    <t xml:space="preserve">First aid kits sell well on Amazon UK</t>
  </si>
  <si>
    <t xml:space="preserve">Predator Nutrition (wholesale)</t>
  </si>
  <si>
    <t xml:space="preserve">https://www.predatornutrition.com</t>
  </si>
  <si>
    <t xml:space="preserve">Leeds</t>
  </si>
  <si>
    <t xml:space="preserve">Sports supplement wholesaler &amp; retailer</t>
  </si>
  <si>
    <t xml:space="preserve">Exclusive EU distributor: Driven Sports, Body Nutrition, MTS Nutrition + others</t>
  </si>
  <si>
    <t xml:space="preserve">Self-described leading European sports supplement wholesaler</t>
  </si>
  <si>
    <t xml:space="preserve">Third-party profile</t>
  </si>
  <si>
    <t xml:space="preserve">CAUTION - Registered company (11652099) but classed as an online retailer - confirm trade invoices.</t>
  </si>
  <si>
    <t xml:space="preserve">Stoke-on-Trent</t>
  </si>
  <si>
    <t xml:space="preserve">Sutton House, Berryhill Road, Fenton, Stoke-on-Trent ST4 2NL</t>
  </si>
  <si>
    <t xml:space="preserve">Small domestic appliances &amp; housewares</t>
  </si>
  <si>
    <t xml:space="preserve">Est. 1989; 15 brands; Ambiente exhibitor</t>
  </si>
  <si>
    <t xml:space="preserve">Trade press + exhibitor listing</t>
  </si>
  <si>
    <t xml:space="preserve">Bradford</t>
  </si>
  <si>
    <t xml:space="preserve">Belfry House, Roydsdale Way, Euroway Trading Estate, Bradford BD4 6SU</t>
  </si>
  <si>
    <t xml:space="preserve">Kitchen electricals &amp; cookware</t>
  </si>
  <si>
    <t xml:space="preserve">Retailers - 24/7 trade site with live stock</t>
  </si>
  <si>
    <t xml:space="preserve">20+ years; BHETA &amp; Bira supplier; trade arm Trade Direct Electrical Appliances</t>
  </si>
  <si>
    <t xml:space="preserve">Trade press + association listings</t>
  </si>
  <si>
    <t xml:space="preserve">Ipswich area</t>
  </si>
  <si>
    <t xml:space="preserve">Exclusive De'Longhi Group partnership (BHETA news)</t>
  </si>
  <si>
    <t xml:space="preserve">Trade association news</t>
  </si>
  <si>
    <t xml:space="preserve">Burton McCall</t>
  </si>
  <si>
    <t xml:space="preserve">Leicester</t>
  </si>
  <si>
    <t xml:space="preserve">163 Parker Drive, Leicester LE4 0JP</t>
  </si>
  <si>
    <t xml:space="preserve">sales@burton-mccall.co.uk</t>
  </si>
  <si>
    <t xml:space="preserve">Housewares distributor</t>
  </si>
  <si>
    <t xml:space="preserve">Microplane (UK) + premium kitchenware brands</t>
  </si>
  <si>
    <t xml:space="preserve">Companies House 02168907</t>
  </si>
  <si>
    <t xml:space="preserve">Established UK housewares distributor</t>
  </si>
  <si>
    <t xml:space="preserve">HAUS Marketing &amp; Distribution</t>
  </si>
  <si>
    <t xml:space="preserve">https://hauswares.co.uk</t>
  </si>
  <si>
    <t xml:space="preserve">Stoke-on-Trent (offices &amp; warehouse)</t>
  </si>
  <si>
    <t xml:space="preserve">+44 1782 572910</t>
  </si>
  <si>
    <t xml:space="preserve">info@inthehaus.co.uk</t>
  </si>
  <si>
    <t xml:space="preserve">Exclusive UK importer / distributor</t>
  </si>
  <si>
    <t xml:space="preserve">De Buyer, Scanpan, Emile Henry, Vacu Vin (+ others)</t>
  </si>
  <si>
    <t xml:space="preserve">Premium cookware</t>
  </si>
  <si>
    <t xml:space="preserve">Retailers - trade portal log-in</t>
  </si>
  <si>
    <t xml:space="preserve">20 years in housewares; Bira supplier</t>
  </si>
  <si>
    <t xml:space="preserve">Premium brands may set online pricing rules</t>
  </si>
  <si>
    <t xml:space="preserve">Bira listing + trade press</t>
  </si>
  <si>
    <t xml:space="preserve">PASS (checked) - Companies House 02984465 active (accounts to Mar 2025).</t>
  </si>
  <si>
    <t xml:space="preserve">SQ Professional Ltd</t>
  </si>
  <si>
    <t xml:space="preserve">https://www.great.gov.uk/international/buy-from-the-uk/find-a-supplier/supplier/07179010</t>
  </si>
  <si>
    <t xml:space="preserve">Enfield</t>
  </si>
  <si>
    <t xml:space="preserve">Kitchenware &amp; houseware supplier</t>
  </si>
  <si>
    <t xml:space="preserve">Own-brand &amp; licensed kitchenware/houseware</t>
  </si>
  <si>
    <t xml:space="preserve">Wholesalers, multiples, retailers</t>
  </si>
  <si>
    <t xml:space="preserve">CH 07179010</t>
  </si>
  <si>
    <t xml:space="preserve">Companies House 07179010</t>
  </si>
  <si>
    <t xml:space="preserve">Gov supplier directory</t>
  </si>
  <si>
    <t xml:space="preserve">PASS (checked) - Listed on the UK government's Find a Supplier (CH 07179010).</t>
  </si>
  <si>
    <t xml:space="preserve">Gamston, Nottingham</t>
  </si>
  <si>
    <t xml:space="preserve">Pedigree House, Ambleside, Gamston, Nottingham NG2 6NQ</t>
  </si>
  <si>
    <t xml:space="preserve">Box or pallet accounts</t>
  </si>
  <si>
    <t xml:space="preserve">Register at petproducts.co.uk/register</t>
  </si>
  <si>
    <t xml:space="preserve">50+ years supplying UK pet retailers; Companies House 01047681</t>
  </si>
  <si>
    <t xml:space="preserve">Company website + price guide</t>
  </si>
  <si>
    <t xml:space="preserve">Paws Products Wholesale</t>
  </si>
  <si>
    <t xml:space="preserve">https://www.pawsproducts.com</t>
  </si>
  <si>
    <t xml:space="preserve">Keighley area, West Yorkshire</t>
  </si>
  <si>
    <t xml:space="preserve">+44 1535 517334</t>
  </si>
  <si>
    <t xml:space="preserve">info@pawsproducts.com</t>
  </si>
  <si>
    <t xml:space="preserve">Pet accessories &amp; products</t>
  </si>
  <si>
    <t xml:space="preserve">Pet</t>
  </si>
  <si>
    <t xml:space="preserve">Trade-only clientele</t>
  </si>
  <si>
    <t xml:space="preserve">Pet Business World directory listing</t>
  </si>
  <si>
    <t xml:space="preserve">Accepts card/PayPal.</t>
  </si>
  <si>
    <t xml:space="preserve">Trade directory</t>
  </si>
  <si>
    <t xml:space="preserve">CAUTION - Trade-directory listing only; no Companies House record found - confirm the legal entity.</t>
  </si>
  <si>
    <t xml:space="preserve">PMS International</t>
  </si>
  <si>
    <t xml:space="preserve">International House, Cricketers Way, Basildon, Essex SS13 1ST</t>
  </si>
  <si>
    <t xml:space="preserve">Importer / distributor</t>
  </si>
  <si>
    <t xml:space="preserve">K9, Playful Pets, Crufts-branded pet products</t>
  </si>
  <si>
    <t xml:space="preserve">Companies House 01439694</t>
  </si>
  <si>
    <t xml:space="preserve">Pet Business World trade directory</t>
  </si>
  <si>
    <t xml:space="preserve">Gymkit UK</t>
  </si>
  <si>
    <t xml:space="preserve">https://www.gymkituk.com</t>
  </si>
  <si>
    <t xml:space="preserve">Whittlesey, Peterborough</t>
  </si>
  <si>
    <t xml:space="preserve">130 Station Road, Whittlesey, Peterborough PE7 2EY</t>
  </si>
  <si>
    <t xml:space="preserve">+44 1733 205551</t>
  </si>
  <si>
    <t xml:space="preserve">Distributor (wholesale to trade)</t>
  </si>
  <si>
    <t xml:space="preserve">Teeter inversion tables (European distributor), Renpho, Mad Dogg/Spinning + fitness kit</t>
  </si>
  <si>
    <t xml:space="preserve">Trading since 2003; supplies 50+ retailers incl. John Lewis</t>
  </si>
  <si>
    <t xml:space="preserve">Renpho &amp; Teeter are popular on Amazon</t>
  </si>
  <si>
    <t xml:space="preserve">Industry directory profile</t>
  </si>
  <si>
    <t xml:space="preserve">PASS (checked) - Fitness distributor since 2003 (Health Club Management supplier listing).</t>
  </si>
  <si>
    <t xml:space="preserve">Vango (AMG Group Ltd)</t>
  </si>
  <si>
    <t xml:space="preserve">https://www.vango.co.uk</t>
  </si>
  <si>
    <t xml:space="preserve">Port Glasgow / Renfrew, Scotland</t>
  </si>
  <si>
    <t xml:space="preserve">Port Glasgow (HQ), Renfrew distribution centre</t>
  </si>
  <si>
    <t xml:space="preserve">Vango, Force Ten + AMG outdoor brands</t>
  </si>
  <si>
    <t xml:space="preserve">Tents &amp; camping</t>
  </si>
  <si>
    <t xml:space="preserve">Stockist application</t>
  </si>
  <si>
    <t xml:space="preserve">Distributes to 40+ countries; 113k sq ft DC</t>
  </si>
  <si>
    <t xml:space="preserve">Brand-direct; check stockist online rules</t>
  </si>
  <si>
    <t xml:space="preserve">PASS - well-known company: Major UK outdoor brand (Vango tents).</t>
  </si>
  <si>
    <t xml:space="preserve">Hykeham Wholesale Ltd</t>
  </si>
  <si>
    <t xml:space="preserve">https://hykew-hykehamwholesale.dc02.gob2b.com</t>
  </si>
  <si>
    <t xml:space="preserve">Lincoln</t>
  </si>
  <si>
    <t xml:space="preserve">99 Doddington Road, Lincoln LN6 7HD</t>
  </si>
  <si>
    <t xml:space="preserve">Cycling trade wholesaler</t>
  </si>
  <si>
    <t xml:space="preserve">Bike accessories, components, wheels; UK distributor for Kross bikes</t>
  </si>
  <si>
    <t xml:space="preserve">Trade account - independent bike shops</t>
  </si>
  <si>
    <t xml:space="preserve">CH 04582675</t>
  </si>
  <si>
    <t xml:space="preserve">Companies House 04582675; 50+ years supplying the trade; up to 10% settlement discount</t>
  </si>
  <si>
    <t xml:space="preserve">MD: Paul Walker.</t>
  </si>
  <si>
    <t xml:space="preserve">PASS (checked) - Companies House 04582675 active; appointed UK distributor for Kross bikes (2026).</t>
  </si>
  <si>
    <t xml:space="preserve">Galaxy Wholesalers Ltd</t>
  </si>
  <si>
    <t xml:space="preserve">https://supplier-directory.betterretailing.com/suppliers/galaxy-wholesalers/</t>
  </si>
  <si>
    <t xml:space="preserve">London</t>
  </si>
  <si>
    <t xml:space="preserve">4 Chase Road, London NW10 6HZ</t>
  </si>
  <si>
    <t xml:space="preserve">B2B stationery wholesaler</t>
  </si>
  <si>
    <t xml:space="preserve">Market-leading branded stationery</t>
  </si>
  <si>
    <t xml:space="preserve">Branded stationery</t>
  </si>
  <si>
    <t xml:space="preserve">Independent retailers, businesses, schools</t>
  </si>
  <si>
    <t xml:space="preserve">CH 02872447</t>
  </si>
  <si>
    <t xml:space="preserve">Companies House 02872447 (active)</t>
  </si>
  <si>
    <t xml:space="preserve">Branded stationery (BIC, Pilot etc.) is steady on Amazon</t>
  </si>
  <si>
    <t xml:space="preserve">Companies House + supplier directory</t>
  </si>
  <si>
    <t xml:space="preserve">PASS (checked) - Companies House 02872447 active since 1993.</t>
  </si>
  <si>
    <t xml:space="preserve">VOW Wholesale (evo Group)</t>
  </si>
  <si>
    <t xml:space="preserve">Sheffield</t>
  </si>
  <si>
    <t xml:space="preserve">Sheffield (VOW Europe Ltd reg. office)</t>
  </si>
  <si>
    <t xml:space="preserve">Business supplies wholesaler</t>
  </si>
  <si>
    <t xml:space="preserve">24,000+ office products incl. 5 Star brand; took over Exertis Supplies (2026)</t>
  </si>
  <si>
    <t xml:space="preserve">Office supplies &amp; print consumables</t>
  </si>
  <si>
    <t xml:space="preserve">Resellers (4,000+ reseller customers)</t>
  </si>
  <si>
    <t xml:space="preserve">Yes (UK &amp; Ireland)</t>
  </si>
  <si>
    <t xml:space="preserve">CH 01204488</t>
  </si>
  <si>
    <t xml:space="preserve">Companies House 01204488 (VOW Europe Ltd); part of evo Group</t>
  </si>
  <si>
    <t xml:space="preserve">Reseller-focused - ask about marketplace sellers</t>
  </si>
  <si>
    <t xml:space="preserve">The Impact Distribution Group</t>
  </si>
  <si>
    <t xml:space="preserve">https://supplier-directory.betterretailing.com/?p=1293</t>
  </si>
  <si>
    <t xml:space="preserve">Liversedge, West Yorkshire</t>
  </si>
  <si>
    <t xml:space="preserve">c/o Nak, Triton House, Hare Park Lane, Liversedge WF15 8HN</t>
  </si>
  <si>
    <t xml:space="preserve">Buying group of ~20 stationery/card/party wholesalers</t>
  </si>
  <si>
    <t xml:space="preserve">Stationery, greetings cards, party goods</t>
  </si>
  <si>
    <t xml:space="preserve">Stationery &amp; party</t>
  </si>
  <si>
    <t xml:space="preserve">Varies by member</t>
  </si>
  <si>
    <t xml:space="preserve">Trade only - delivered or cash &amp; carry</t>
  </si>
  <si>
    <t xml:space="preserve">One of the largest independent UK stationery wholesale groups</t>
  </si>
  <si>
    <t xml:space="preserve">Contact individual member wholesalers</t>
  </si>
  <si>
    <t xml:space="preserve">Supplier directory</t>
  </si>
  <si>
    <t xml:space="preserve">West Design Products</t>
  </si>
  <si>
    <t xml:space="preserve">West House, Shearway Business Park, Pent Road, Folkestone CT19 4RJ</t>
  </si>
  <si>
    <t xml:space="preserve">+44 1303 297888 (verify)</t>
  </si>
  <si>
    <t xml:space="preserve">Manufacturer / wholesaler (trade only)</t>
  </si>
  <si>
    <t xml:space="preserve">Art &amp; craft goods</t>
  </si>
  <si>
    <t xml:space="preserve">Companies House 02723202</t>
  </si>
  <si>
    <t xml:space="preserve">Supplies UK, Europe &amp; global trade</t>
  </si>
  <si>
    <t xml:space="preserve">Contact directly (not via Faire - Faire bans Amazon sellers)</t>
  </si>
  <si>
    <t xml:space="preserve">Ripley, Derbyshire</t>
  </si>
  <si>
    <t xml:space="preserve">Asher Lane Business Park, Ripley, DE5 3SW</t>
  </si>
  <si>
    <t xml:space="preserve">Companies House 01936299; official distributor status for major brands</t>
  </si>
  <si>
    <t xml:space="preserve">Top pick for branded toys.</t>
  </si>
  <si>
    <t xml:space="preserve">Runcorn, Cheshire</t>
  </si>
  <si>
    <t xml:space="preserve">Runcorn, Cheshire (see website)</t>
  </si>
  <si>
    <t xml:space="preserve">Trade - retailers &amp; online sellers</t>
  </si>
  <si>
    <t xml:space="preserve">800+ Trustpilot reviews; Toy Fair exhibitor</t>
  </si>
  <si>
    <t xml:space="preserve">Trustpilot + Toy Fair</t>
  </si>
  <si>
    <t xml:space="preserve">Soham, Ely, Cambridgeshire</t>
  </si>
  <si>
    <t xml:space="preserve">27 Regal Drive, Soham, Ely, CB7 5BE</t>
  </si>
  <si>
    <t xml:space="preserve">Branded toys &amp; games</t>
  </si>
  <si>
    <t xml:space="preserve">On request (B2B website)</t>
  </si>
  <si>
    <t xml:space="preserve">Trade account via B2B site</t>
  </si>
  <si>
    <t xml:space="preserve">28+ years; supplies key online retailers &amp; buying groups</t>
  </si>
  <si>
    <t xml:space="preserve">Order online via B2B site.</t>
  </si>
  <si>
    <t xml:space="preserve">Directory + Toy Fair listing</t>
  </si>
  <si>
    <t xml:space="preserve">John Adams Leisure Ltd</t>
  </si>
  <si>
    <t xml:space="preserve">https://www.johnadams.co.uk</t>
  </si>
  <si>
    <t xml:space="preserve">Huntingdon, Cambridgeshire</t>
  </si>
  <si>
    <t xml:space="preserve">Hercules House, Pierson Road, Enterprise Campus, Alconbury Weald, Huntingdon PE28 4YA</t>
  </si>
  <si>
    <t xml:space="preserve">+44 1480 414361</t>
  </si>
  <si>
    <t xml:space="preserve">Games, science &amp; craft kits, Peterkin brands</t>
  </si>
  <si>
    <t xml:space="preserve">Companies House 01761275; London Toy Fair exhibitor</t>
  </si>
  <si>
    <t xml:space="preserve">Brand owner - direct invoices</t>
  </si>
  <si>
    <t xml:space="preserve">Companies House + gov supplier directory</t>
  </si>
  <si>
    <t xml:space="preserve">One For Fun</t>
  </si>
  <si>
    <t xml:space="preserve">Cambuslang, Glasgow</t>
  </si>
  <si>
    <t xml:space="preserve">3-5 Cambuslang Way, Gateway Office Park, Cambuslang, Glasgow G32 8ND</t>
  </si>
  <si>
    <t xml:space="preserve">+44 141 613 2525</t>
  </si>
  <si>
    <t xml:space="preserve">Wholesaler / distributor</t>
  </si>
  <si>
    <t xml:space="preserve">HGL, Tobar, Ozbozz; licensed Maisto, Bburago, Dream Beams, Dino Collecto</t>
  </si>
  <si>
    <t xml:space="preserve">Toys, games, gifts, gadgets</t>
  </si>
  <si>
    <t xml:space="preserve">45-50+ years; ~81 staff; showrooms Glasgow/LA/HK</t>
  </si>
  <si>
    <t xml:space="preserve">Route to Tobar products.</t>
  </si>
  <si>
    <t xml:space="preserve">Directory + Toy Fair</t>
  </si>
  <si>
    <t xml:space="preserve">PASS (checked) - Active since 1977; London Toy Fair exhibitor.</t>
  </si>
  <si>
    <t xml:space="preserve">Peterkin UK Ltd (John Adams group)</t>
  </si>
  <si>
    <t xml:space="preserve">https://www.peterkin.co.uk</t>
  </si>
  <si>
    <t xml:space="preserve">Henley-on-Thames (reg.)</t>
  </si>
  <si>
    <t xml:space="preserve">Old London House, Stoke Row, Henley-on-Thames RG9 5QL</t>
  </si>
  <si>
    <t xml:space="preserve">sales@peterkin.co.uk</t>
  </si>
  <si>
    <t xml:space="preserve">Dolls World, Brookite, Action Man + distributed brands</t>
  </si>
  <si>
    <t xml:space="preserve">Trade - via local rep</t>
  </si>
  <si>
    <t xml:space="preserve">Companies House 00566155 (est. 1956)</t>
  </si>
  <si>
    <t xml:space="preserve">Brand owner - ask about authorised reseller status</t>
  </si>
  <si>
    <t xml:space="preserve">Character Options Ltd</t>
  </si>
  <si>
    <t xml:space="preserve">https://www.character-online.com</t>
  </si>
  <si>
    <t xml:space="preserve">Oldham</t>
  </si>
  <si>
    <t xml:space="preserve">Lees Brook Mill, Lees Road, Oldham OL4 5JL</t>
  </si>
  <si>
    <t xml:space="preserve">+44 161 633 9800</t>
  </si>
  <si>
    <t xml:space="preserve">Licensed &amp; own-brand toys (Peppa Pig, Doctor Who etc. - check current)</t>
  </si>
  <si>
    <t xml:space="preserve">Branded / licensed toys</t>
  </si>
  <si>
    <t xml:space="preserve">Trade - national accounts</t>
  </si>
  <si>
    <t xml:space="preserve">Part of The Character Group plc (LSE listed); Toy Industry Award winner</t>
  </si>
  <si>
    <t xml:space="preserve">Sales Director listed as David Bramford.</t>
  </si>
  <si>
    <t xml:space="preserve">Trade press + directory</t>
  </si>
  <si>
    <t xml:space="preserve">Keycraft</t>
  </si>
  <si>
    <t xml:space="preserve">https://gb.keycraftglobal.com</t>
  </si>
  <si>
    <t xml:space="preserve">Peterhead, Scotland (UK) / La Garde (FR)</t>
  </si>
  <si>
    <t xml:space="preserve">Blackhouse Industrial Estate, Peterhead AB42 1BN</t>
  </si>
  <si>
    <t xml:space="preserve">+33 1 44 29 03 52 (customer service)</t>
  </si>
  <si>
    <t xml:space="preserve">Pocket money toys, science &amp; craft kits, plush, stationery</t>
  </si>
  <si>
    <t xml:space="preserve">Pocket money toys</t>
  </si>
  <si>
    <t xml:space="preserve">On request (counter display units)</t>
  </si>
  <si>
    <t xml:space="preserve">Founded 1974</t>
  </si>
  <si>
    <t xml:space="preserve">Own brands - low price point, check FBA fees</t>
  </si>
  <si>
    <t xml:space="preserve">Trade show listing</t>
  </si>
  <si>
    <t xml:space="preserve">Puckator Ltd</t>
  </si>
  <si>
    <t xml:space="preserve">https://www.puckator.co.uk</t>
  </si>
  <si>
    <t xml:space="preserve">Cornwall</t>
  </si>
  <si>
    <t xml:space="preserve">See website</t>
  </si>
  <si>
    <t xml:space="preserve">Gift &amp; novelty wholesaler</t>
  </si>
  <si>
    <t xml:space="preserve">Licensed gifts, novelty toys, stationery</t>
  </si>
  <si>
    <t xml:space="preserve">Gifts / novelty</t>
  </si>
  <si>
    <t xml:space="preserve">£50 minimum (£75 shown on toy pages); free delivery over £100</t>
  </si>
  <si>
    <t xml:space="preserve">Trade account - VAT number NOT required</t>
  </si>
  <si>
    <t xml:space="preserve">Toy Fair exhibitor; same-day dispatch before 11am</t>
  </si>
  <si>
    <t xml:space="preserve">Low MOQ - good for testing products</t>
  </si>
  <si>
    <t xml:space="preserve">Low Priority suppliers (priority 1-2) - reference only</t>
  </si>
  <si>
    <t xml:space="preserve">42 suppliers moved off the main Suppliers tab: weak Amazon fit, marketplaces/retailers, or capped after the scam check. Work the main list first; vet these carefully before paying.</t>
  </si>
  <si>
    <t xml:space="preserve">Key Brands</t>
  </si>
  <si>
    <t xml:space="preserve">Why low priority / notes</t>
  </si>
  <si>
    <t xml:space="preserve">SWAROVSKI OPTIK Vertriebs GmbH</t>
  </si>
  <si>
    <t xml:space="preserve">https://www.swarovskioptik.com</t>
  </si>
  <si>
    <t xml:space="preserve">+43 5223 511-0</t>
  </si>
  <si>
    <t xml:space="preserve">info@swarovskioptik.com</t>
  </si>
  <si>
    <t xml:space="preserve">Swarovski Optik binoculars, scopes</t>
  </si>
  <si>
    <t xml:space="preserve">Selective distribution - Amazon resale may be restricted; High-ticket, low volume; brand control is strict</t>
  </si>
  <si>
    <t xml:space="preserve">https://swarovskioptik.com/ch/en/hunting/about-us/quality-and-innovation/facts-and-figures</t>
  </si>
  <si>
    <t xml:space="preserve">Euro Cosmetic</t>
  </si>
  <si>
    <t xml:space="preserve">https://www.eurocosmetic.be</t>
  </si>
  <si>
    <t xml:space="preserve">+32 472 ... (see website)</t>
  </si>
  <si>
    <t xml:space="preserve">Distributor / wholesaler</t>
  </si>
  <si>
    <t xml:space="preserve">Cosmetic brands (salons &amp; retailers)</t>
  </si>
  <si>
    <t xml:space="preserve">CAUTION - Likely Eurocosmetics &amp; Accessoires BVBA (BE0479.392.014) - confirm before ordering.</t>
  </si>
  <si>
    <t xml:space="preserve">https://oncosmetics.com/company/eurocosmetic-international/</t>
  </si>
  <si>
    <t xml:space="preserve">Iventas</t>
  </si>
  <si>
    <t xml:space="preserve">https://bulmedica.bg/en/main/iventas-2/</t>
  </si>
  <si>
    <t xml:space="preserve">Importer / national distributor</t>
  </si>
  <si>
    <t xml:space="preserve">Philips AVENT, Philips Sonicare, Tommee Tippee + others</t>
  </si>
  <si>
    <t xml:space="preserve">CAUTION - Details only from its own page - verify in the Bulgarian Commercial Register.</t>
  </si>
  <si>
    <t xml:space="preserve">Samohýl Group</t>
  </si>
  <si>
    <t xml:space="preserve">https://samohyl.cz/?lang=en</t>
  </si>
  <si>
    <t xml:space="preserve">Wholesaler / exclusive distributor</t>
  </si>
  <si>
    <t xml:space="preserve">Exclusive CZ distributor for ~20 brands incl. KONG</t>
  </si>
  <si>
    <t xml:space="preserve">PASS (checked) - Listed among Forbes Czech's largest family firms (2026); vet wholesaler since 1991.</t>
  </si>
  <si>
    <t xml:space="preserve">Teddies s.r.o.</t>
  </si>
  <si>
    <t xml:space="preserve">Toy importer / wholesaler</t>
  </si>
  <si>
    <t xml:space="preserve">Teddies plush &amp; toys range (sold via Alza etc.)</t>
  </si>
  <si>
    <t xml:space="preserve">PASS (checked) - Registered (IČ 28268164); no insolvency found.</t>
  </si>
  <si>
    <t xml:space="preserve">https://www.emis.cn/php/company-profile/CZ/Teddies_SRO_en_6714203.html</t>
  </si>
  <si>
    <t xml:space="preserve">Ankorstore</t>
  </si>
  <si>
    <t xml:space="preserve">https://www.ankorstore.com</t>
  </si>
  <si>
    <t xml:space="preserve">Wholesale marketplace (independent brands)</t>
  </si>
  <si>
    <t xml:space="preserve">~30,000 independent brands - beauty, toys, gifts, home</t>
  </si>
  <si>
    <t xml:space="preserve">60-day payment terms.; CAUTION: many brands prohibit marketplace resale - check each brand</t>
  </si>
  <si>
    <t xml:space="preserve">PASS - well-known company: Major VC-backed European wholesale marketplace.</t>
  </si>
  <si>
    <t xml:space="preserve">https://alven.co/news/ankorstore-reaches-unicorn-status-in-only-two-years-with-its-last-e250-million-series-c-funding-round</t>
  </si>
  <si>
    <t xml:space="preserve">Stocklear</t>
  </si>
  <si>
    <t xml:space="preserve">https://www.stocklear.com</t>
  </si>
  <si>
    <t xml:space="preserve">B2B auction marketplace (overstock &amp; returns)</t>
  </si>
  <si>
    <t xml:space="preserve">Non-food overstock &amp; returns from retailers like Carrefour, Leroy Merlin, Decathlon</t>
  </si>
  <si>
    <t xml:space="preserve">Same caution as other liquidation - condition varies</t>
  </si>
  <si>
    <t xml:space="preserve">PASS (checked) - VC-backed French B2B auction platform (escrow payments).</t>
  </si>
  <si>
    <t xml:space="preserve">https://app.dealroom.co/companies/stocklear_1</t>
  </si>
  <si>
    <t xml:space="preserve">CSP Cosmetics</t>
  </si>
  <si>
    <t xml:space="preserve">https://www.cspcosmetics.com</t>
  </si>
  <si>
    <t xml:space="preserve">+33 7 53 39 50 23</t>
  </si>
  <si>
    <t xml:space="preserve">Wholesale distributor</t>
  </si>
  <si>
    <t xml:space="preserve">The Ordinary, CeraVe, Cetaphil (claims authorised)</t>
  </si>
  <si>
    <t xml:space="preserve">CeraVe / The Ordinary are huge Amazon sellers but heavily counterfeited - demand authorisation proof</t>
  </si>
  <si>
    <t xml:space="preserve">CAUTION - Real company (SIREN 904632312, ~EUR 36m revenue) but loss-making with negative equity - avoid large prepayments.</t>
  </si>
  <si>
    <t xml:space="preserve">https://oncosmetics.com/company/csp-cosmetics/</t>
  </si>
  <si>
    <t xml:space="preserve">NOBILIS Group GmbH</t>
  </si>
  <si>
    <t xml:space="preserve">Authorised brand distributor</t>
  </si>
  <si>
    <t xml:space="preserve">Lacoste (DACH), Xerjoff, Casamorati + prestige &amp; lifestyle fragrances</t>
  </si>
  <si>
    <t xml:space="preserve">Long-term target once you have a track record.; Authorised distributor - best invoice quality but selective about accounts</t>
  </si>
  <si>
    <t xml:space="preserve">PASS (checked) - Major DACH fragrance distributor; co-owned by Gebr. Heinemann; Lacoste &amp; Elizabeth Arden contracts.</t>
  </si>
  <si>
    <t xml:space="preserve">https://fashionunited.de/nachrichten/business/lacoste-gibt-parfum-vertrieb-fuer-dach-region-an-die-nobilis-group-ab/2024010554623</t>
  </si>
  <si>
    <t xml:space="preserve">IHTCT GmbH</t>
  </si>
  <si>
    <t xml:space="preserve">https://www.odoo.com/ar/customers/ihtct-gmbh-6263453</t>
  </si>
  <si>
    <t xml:space="preserve">Licensed pharma &amp; healthcare distributor (export B2B)</t>
  </si>
  <si>
    <t xml:space="preserve">Healthcare products, medical devices, beauty &amp; skincare, baby, toys</t>
  </si>
  <si>
    <t xml:space="preserve">CAUTION - Self-described licensed pharma wholesaler - ask for the wholesale licence and HRB number.</t>
  </si>
  <si>
    <t xml:space="preserve">Landahl &amp; Baumann Spielwaren GmbH</t>
  </si>
  <si>
    <t xml:space="preserve">Toy wholesaler</t>
  </si>
  <si>
    <t xml:space="preserve">Branded toys - Europe-wide</t>
  </si>
  <si>
    <t xml:space="preserve">PASS (checked) - ~50 staff licensed-toy wholesaler; no insolvency found.</t>
  </si>
  <si>
    <t xml:space="preserve">https://www.ausbildung.de/unternehmen/landahl-baumann-spielwaren-gmbh/stellen/</t>
  </si>
  <si>
    <t xml:space="preserve">Xpert Professional</t>
  </si>
  <si>
    <t xml:space="preserve">https://www.irishbeauty.ie/Xpert-Professional-expand-Olaplex-distribution.html</t>
  </si>
  <si>
    <t xml:space="preserve">Professional haircare distributor</t>
  </si>
  <si>
    <t xml:space="preserve">Olaplex (IE, Scotland, SE England), Alfaparf, Joico, R+Co, Moroccanoil</t>
  </si>
  <si>
    <t xml:space="preserve">Listed for reference - unlikely to supply Amazon sellers.; CAUTION: pro brands usually prohibit Amazon resale</t>
  </si>
  <si>
    <t xml:space="preserve">PASS (checked) - Olaplex distributor for Ireland since 2015; trading since 1997.</t>
  </si>
  <si>
    <t xml:space="preserve">Brandsdistribution</t>
  </si>
  <si>
    <t xml:space="preserve">https://www.brandsdistribution.com</t>
  </si>
  <si>
    <t xml:space="preserve">+39 011 198 292 34</t>
  </si>
  <si>
    <t xml:space="preserve">B2B fashion wholesale / dropship</t>
  </si>
  <si>
    <t xml:space="preserve">120+ fashion brands: clothing, shoes, bags, accessories</t>
  </si>
  <si>
    <t xml:space="preserve">Fashion rather than core niches.</t>
  </si>
  <si>
    <t xml:space="preserve">PASS (checked) - Established Turin B2B platform (IDT S.p.A.), 450k+ registered retailers.</t>
  </si>
  <si>
    <t xml:space="preserve">https://www.cbinsights.com/company/brandsdistributioncom/</t>
  </si>
  <si>
    <t xml:space="preserve">Profumerie P &amp; P Srl</t>
  </si>
  <si>
    <t xml:space="preserve">https://www.profumeriepep.it</t>
  </si>
  <si>
    <t xml:space="preserve">Wholesaler + retail</t>
  </si>
  <si>
    <t xml:space="preserve">Perfumes</t>
  </si>
  <si>
    <t xml:space="preserve">CAUTION - Real company (~EUR 6.5m revenue) but registered as a perfume RETAILER - check invoices meet Amazon rules.</t>
  </si>
  <si>
    <t xml:space="preserve">https://atoka.io/public/it/azienda/profumerie-p-p-srl/b936935a4339</t>
  </si>
  <si>
    <t xml:space="preserve">Joy Toy SpA</t>
  </si>
  <si>
    <t xml:space="preserve">Licensed toy distributor</t>
  </si>
  <si>
    <t xml:space="preserve">Licensed toys &amp; plush (30 years)</t>
  </si>
  <si>
    <t xml:space="preserve">PASS (checked) - Licensed-goods specialist since 1989; no insolvency found.</t>
  </si>
  <si>
    <t xml:space="preserve">https://faire.com/brand/b_th6zdpbbr9</t>
  </si>
  <si>
    <t xml:space="preserve">Doho</t>
  </si>
  <si>
    <t xml:space="preserve">https://linkedin.com/company/do-ho</t>
  </si>
  <si>
    <t xml:space="preserve">Retailer &amp; wholesaler</t>
  </si>
  <si>
    <t xml:space="preserve">Bosch, Makita, DeWalt, Metabo, Stanley</t>
  </si>
  <si>
    <t xml:space="preserve">Small firm - verify.</t>
  </si>
  <si>
    <t xml:space="preserve">CAUTION - Founded 2019 retailer; Lithuanian registration code not found - retailer invoices may not suit Amazon.</t>
  </si>
  <si>
    <t xml:space="preserve">B&amp;S Group (B&amp;S Beauty)</t>
  </si>
  <si>
    <t xml:space="preserve">+352 26870881 (Luxembourg)</t>
  </si>
  <si>
    <t xml:space="preserve">Large distributor</t>
  </si>
  <si>
    <t xml:space="preserve">Beauty, personal care, health, food, liquor - major fragrance distributor</t>
  </si>
  <si>
    <t xml:space="preserve">Major player - better for later scale</t>
  </si>
  <si>
    <t xml:space="preserve">PASS - well-known company: Euronext-listed distribution group.</t>
  </si>
  <si>
    <t xml:space="preserve">https://www.morningstar.com.au/investments/security/fra/70B</t>
  </si>
  <si>
    <t xml:space="preserve">Beautinow B.V.</t>
  </si>
  <si>
    <t xml:space="preserve">https://beautinow.com/wholesale-perfume-supplier-europe/</t>
  </si>
  <si>
    <t xml:space="preserve">+31 684 714 856 (WhatsApp - verify)</t>
  </si>
  <si>
    <t xml:space="preserve">via website wholesale form</t>
  </si>
  <si>
    <t xml:space="preserve">2,000+ fragrances, 200+ designer &amp; niche brands</t>
  </si>
  <si>
    <t xml:space="preserve">Also offers dropshipping</t>
  </si>
  <si>
    <t xml:space="preserve">CAUTION - Parallel importer; Trustpilot 3.8 but some reports of non-delivery and a suspected counterfeit (2025). Small test order only.</t>
  </si>
  <si>
    <t xml:space="preserve">METRO / Makro (EU cash &amp; carry)</t>
  </si>
  <si>
    <t xml:space="preserve">https://www.makro.nl</t>
  </si>
  <si>
    <t xml:space="preserve">FMCG, household, H&amp;B, toys, electronics</t>
  </si>
  <si>
    <t xml:space="preserve">Useful for Amazon EU sellers</t>
  </si>
  <si>
    <t xml:space="preserve">https://help.makro.nl/en/support/solutions/articles/77000586989-can-i-use-a-foreign-makro-or-metro-card-</t>
  </si>
  <si>
    <t xml:space="preserve">Topbrands</t>
  </si>
  <si>
    <t xml:space="preserve">https://www.topbrands.nl</t>
  </si>
  <si>
    <t xml:space="preserve">via contact form</t>
  </si>
  <si>
    <t xml:space="preserve">A-brand stock-lot trader</t>
  </si>
  <si>
    <t xml:space="preserve">160m+ A-brand items from 200+ manufacturers: personal care, home care, confectionery</t>
  </si>
  <si>
    <t xml:space="preserve">Target later when volumes grow.; Stock lots - check expiry/packaging condition</t>
  </si>
  <si>
    <t xml:space="preserve">PASS (checked) - Trading since 2002; offices in 5 EU countries; supplies large retail chains.</t>
  </si>
  <si>
    <t xml:space="preserve">https://www.topbrands.nl/faq/</t>
  </si>
  <si>
    <t xml:space="preserve">Van der Tang Trading (cosmeticapartijen.nl)</t>
  </si>
  <si>
    <t xml:space="preserve">https://www.cosmeticapartijen.nl</t>
  </si>
  <si>
    <t xml:space="preserve">Drugstore goods wholesaler</t>
  </si>
  <si>
    <t xml:space="preserve">Baby care, hair, makeup, oral hygiene, skincare - branded drugstore lots</t>
  </si>
  <si>
    <t xml:space="preserve">Stock lots - check dates &amp; packaging</t>
  </si>
  <si>
    <t xml:space="preserve">PASS (checked) - Established family drugstore wholesaler (11-50 staff); no complaints found.</t>
  </si>
  <si>
    <t xml:space="preserve">https://oncosmetics.com/company/van-der-tang-trading/</t>
  </si>
  <si>
    <t xml:space="preserve">Papillon Pet Products B.V.</t>
  </si>
  <si>
    <t xml:space="preserve">https://www.papillonpetproducts.com</t>
  </si>
  <si>
    <t xml:space="preserve">+31 162 311 109</t>
  </si>
  <si>
    <t xml:space="preserve">info@papillonpetproducts.com</t>
  </si>
  <si>
    <t xml:space="preserve">Papillon pet accessories (mainly imported)</t>
  </si>
  <si>
    <t xml:space="preserve">PASS (checked) - Interzoo &amp; Zoomark 2025 exhibitor; exports to 30 countries.</t>
  </si>
  <si>
    <t xml:space="preserve">https://www.interzoo.com/en/exhibitors/papillon-pet-products-bv-2227601</t>
  </si>
  <si>
    <t xml:space="preserve">Bellus Toys B.V.</t>
  </si>
  <si>
    <t xml:space="preserve">https://iaapa.org/partners/marketplace/bellus-toys-bv</t>
  </si>
  <si>
    <t xml:space="preserve">Plush &amp; small toys</t>
  </si>
  <si>
    <t xml:space="preserve">CAUTION - Small (since 2015), mainly vending/capsule toys - low Amazon fit.</t>
  </si>
  <si>
    <t xml:space="preserve">Channel Distribution B.V.</t>
  </si>
  <si>
    <t xml:space="preserve">https://www.channeldistribution.nl</t>
  </si>
  <si>
    <t xml:space="preserve">+31 512 570 050</t>
  </si>
  <si>
    <t xml:space="preserve">Gifts &amp; gadgets wholesaler</t>
  </si>
  <si>
    <t xml:space="preserve">Gifts, gadgets, novelty</t>
  </si>
  <si>
    <t xml:space="preserve">PASS (checked) - Since 2014; own 4,500 m² warehouse; exclusive Benelux brand agencies.</t>
  </si>
  <si>
    <t xml:space="preserve">https://www.ampliz.com/company/channel-distribution-bv/90357002</t>
  </si>
  <si>
    <t xml:space="preserve">Merkandi</t>
  </si>
  <si>
    <t xml:space="preserve">https://merkandi.com</t>
  </si>
  <si>
    <t xml:space="preserve">Stock-lot / liquidation marketplace</t>
  </si>
  <si>
    <t xml:space="preserve">Overstock, clearance, returns (mixed condition)</t>
  </si>
  <si>
    <t xml:space="preserve">CAUTION: filter for 'New' grade only; vet each seller</t>
  </si>
  <si>
    <t xml:space="preserve">CAUTION - Platform is real but sellers are third parties - vet every seller separately.</t>
  </si>
  <si>
    <t xml:space="preserve">https://tr-web.dev.trustradius.com/products/merkandi-com</t>
  </si>
  <si>
    <t xml:space="preserve">Alpex-Tools</t>
  </si>
  <si>
    <t xml:space="preserve">Tools wholesaler</t>
  </si>
  <si>
    <t xml:space="preserve">Tools, power tools, welding &amp; abrasives</t>
  </si>
  <si>
    <t xml:space="preserve">PASS (checked) - Trading since 1993; NIP 9562331451.</t>
  </si>
  <si>
    <t xml:space="preserve">https://www.aplikuj.pl/pracodawca/159889/alpex-tools/opinie</t>
  </si>
  <si>
    <t xml:space="preserve">Profimed</t>
  </si>
  <si>
    <t xml:space="preserve">Oral care distributor</t>
  </si>
  <si>
    <t xml:space="preserve">7+ global professional oral care brands (CEE)</t>
  </si>
  <si>
    <t xml:space="preserve">PASS (checked) - CEDE dental fair exhibitor; TePe distributor in Central Europe.</t>
  </si>
  <si>
    <t xml:space="preserve">https://www.cede.pl/2019/en/exhibition/exhibitors-catalogue/?exh=5799</t>
  </si>
  <si>
    <t xml:space="preserve">Hurtowniakarm.pl</t>
  </si>
  <si>
    <t xml:space="preserve">https://hurtowniakarm.pl</t>
  </si>
  <si>
    <t xml:space="preserve">Pet food wholesaler</t>
  </si>
  <si>
    <t xml:space="preserve">Pet food brands</t>
  </si>
  <si>
    <t xml:space="preserve">PASS (checked) - Registered Sp. z o.o. (NIP 9372759476); Google 4.9/5 from 126 reviews.</t>
  </si>
  <si>
    <t xml:space="preserve">https://business.google.com/v/_/08939480399253784979/a394/_</t>
  </si>
  <si>
    <t xml:space="preserve">Marba-Sport (e-hurtowniasportowa.pl)</t>
  </si>
  <si>
    <t xml:space="preserve">https://e-hurtowniasportowa.pl</t>
  </si>
  <si>
    <t xml:space="preserve">Sports wholesaler &amp; manufacturer</t>
  </si>
  <si>
    <t xml:space="preserve">Sports &amp; tourism equipment</t>
  </si>
  <si>
    <t xml:space="preserve">PASS (checked) - Wholesaler since 1991; Decathlon marketplace seller.</t>
  </si>
  <si>
    <t xml:space="preserve">https://www.pracuj.pl/praca/specjalista-specjalistka-ds-obslugi-klienta-b2b-miszewko-pow-kartuski-gdynska-69a,oferta,1003183320</t>
  </si>
  <si>
    <t xml:space="preserve">Hurtownia Ikonka</t>
  </si>
  <si>
    <t xml:space="preserve">https://ikonka.pl</t>
  </si>
  <si>
    <t xml:space="preserve">Wholesaler + dropshipping</t>
  </si>
  <si>
    <t xml:space="preserve">Toys, electronics, kids' goods, home (mostly imported unbranded)</t>
  </si>
  <si>
    <t xml:space="preserve">Mostly generic goods - check for brand registry / listing ownership issues</t>
  </si>
  <si>
    <t xml:space="preserve">CAUTION - Only self-published claims found - check NIP on the Polish VAT whitelist.</t>
  </si>
  <si>
    <t xml:space="preserve">https://www.aplikuj.pl/pracodawca/412938/hurtownia-ikonka</t>
  </si>
  <si>
    <t xml:space="preserve">Smart Baby Brands</t>
  </si>
  <si>
    <t xml:space="preserve">Official distributor</t>
  </si>
  <si>
    <t xml:space="preserve">Joie, Joie Signature, Nuna, Tavo</t>
  </si>
  <si>
    <t xml:space="preserve">Useful for Amazon.es; not for UK.; Territorial distributor - UK rights belong to Joie UK</t>
  </si>
  <si>
    <t xml:space="preserve">PASS (checked) - Official Joie distributor for Spain/Portugal since 2014 (trade press).</t>
  </si>
  <si>
    <t xml:space="preserve">https://www.interempresas.net/Puericultura/609658-Smart-Baby-Brands-se-refuerza-en-Espana-y-Portugal.html</t>
  </si>
  <si>
    <t xml:space="preserve">Tata Batata</t>
  </si>
  <si>
    <t xml:space="preserve">Mid-high end nursery &amp; baby furniture brands</t>
  </si>
  <si>
    <t xml:space="preserve">CAUTION - Only directory information (2-10 staff) - confirm registration.</t>
  </si>
  <si>
    <t xml:space="preserve">https://www.arounddeal.com/c/tata-batata/e1vibvmjrt</t>
  </si>
  <si>
    <t xml:space="preserve">Bizak S.A.</t>
  </si>
  <si>
    <t xml:space="preserve">https://www.bizak.es</t>
  </si>
  <si>
    <t xml:space="preserve">+34 944 34 190 (verify)</t>
  </si>
  <si>
    <t xml:space="preserve">Toy brand &amp; distributor</t>
  </si>
  <si>
    <t xml:space="preserve">Bizak + distributed brands (Salta Pirata etc.)</t>
  </si>
  <si>
    <t xml:space="preserve">https://www.iberinform.es/empresa/17738/bizak</t>
  </si>
  <si>
    <t xml:space="preserve">Nomaco Spain</t>
  </si>
  <si>
    <t xml:space="preserve">+34 917 462 601</t>
  </si>
  <si>
    <t xml:space="preserve">Meccano, Crayola, Nikko, Bontempi, Welly, K's Kids</t>
  </si>
  <si>
    <t xml:space="preserve">PASS (checked) - Toy wholesaler since 2007; supplies El Corte Inglés, Carrefour, Alcampo.</t>
  </si>
  <si>
    <t xml:space="preserve">https://proveedores.com/proveedores/nomaco/</t>
  </si>
  <si>
    <t xml:space="preserve">Aston &amp; Fincher</t>
  </si>
  <si>
    <t xml:space="preserve">https://www.astonandfincher.co.uk</t>
  </si>
  <si>
    <t xml:space="preserve">Hair &amp; beauty trade wholesaler</t>
  </si>
  <si>
    <t xml:space="preserve">Professional hair, beauty, barbering &amp; nail brands</t>
  </si>
  <si>
    <t xml:space="preserve">Better for beauty consumables than gated pro brands.; CAUTION: many pro brands forbid online/Amazon resale - check per brand</t>
  </si>
  <si>
    <t xml:space="preserve">PASS (checked) - Companies House 00970902 active; trading since 1959; 34 stores.</t>
  </si>
  <si>
    <t xml:space="preserve">https://www.astonandfincher.co.uk/pages/new-customers</t>
  </si>
  <si>
    <t xml:space="preserve">Capital Hair &amp; Beauty</t>
  </si>
  <si>
    <t xml:space="preserve">https://www.capitalhairandbeauty.co.uk</t>
  </si>
  <si>
    <t xml:space="preserve">+44 330 094 0450 (verify)</t>
  </si>
  <si>
    <t xml:space="preserve">Professional hair &amp; beauty</t>
  </si>
  <si>
    <t xml:space="preserve">Same caution as other pro-beauty suppliers</t>
  </si>
  <si>
    <t xml:space="preserve">PASS (checked) - Companies House 00530201 active.</t>
  </si>
  <si>
    <t xml:space="preserve">https://pay.company-information.service.gov.uk/company/00530201</t>
  </si>
  <si>
    <t xml:space="preserve">Exquisite Cosmetics Ltd</t>
  </si>
  <si>
    <t xml:space="preserve">https://www.exquisitecosmetics.co.uk</t>
  </si>
  <si>
    <t xml:space="preserve">Makeup and skincare</t>
  </si>
  <si>
    <t xml:space="preserve">PASS (checked) - Companies House 01315797 active since 1977.</t>
  </si>
  <si>
    <t xml:space="preserve">https://pay.company-information.service.gov.uk/company/01315797</t>
  </si>
  <si>
    <t xml:space="preserve">Wholesale Clearance UK</t>
  </si>
  <si>
    <t xml:space="preserve">https://www.wholesaleclearance.co.uk</t>
  </si>
  <si>
    <t xml:space="preserve">Clearance / surplus wholesaler</t>
  </si>
  <si>
    <t xml:space="preserve">Branded clearance &amp; surplus</t>
  </si>
  <si>
    <t xml:space="preserve">CAUTION: clearance stock may be damaged/expired - check condition</t>
  </si>
  <si>
    <t xml:space="preserve">PASS (checked) - Trustpilot 4.5/5 from 261 reviews; replies to all negative reviews.</t>
  </si>
  <si>
    <t xml:space="preserve">https://wholesalehelper.io/es/blog/Los-10-principales-proveedores-mayoristas-del-Reino-Unido/</t>
  </si>
  <si>
    <t xml:space="preserve">Kinetic Natural Product Distributor (Kinetic Enterprises Ltd)</t>
  </si>
  <si>
    <t xml:space="preserve">https://www.kinetic4health.co.uk</t>
  </si>
  <si>
    <t xml:space="preserve">Natural &amp; organic beauty, nutrition, superfoods</t>
  </si>
  <si>
    <t xml:space="preserve">Ask about online-seller policy</t>
  </si>
  <si>
    <t xml:space="preserve">PASS (checked) - Active company (02565441) with LEI; trading since 1990.</t>
  </si>
  <si>
    <t xml:space="preserve">https://cosmeticsbusiness.com/kinetic-natural-products-distributor-120192</t>
  </si>
  <si>
    <t xml:space="preserve">Suma Wholefoods</t>
  </si>
  <si>
    <t xml:space="preserve">https://www.suma.coop</t>
  </si>
  <si>
    <t xml:space="preserve">Wholesaler (co-op)</t>
  </si>
  <si>
    <t xml:space="preserve">Natural/organic food, health &amp; eco beauty/household</t>
  </si>
  <si>
    <t xml:space="preserve">PASS - well-known company: Large UK wholefood co-operative wholesaler (since 1977).</t>
  </si>
  <si>
    <t xml:space="preserve">https://de.trustpilot.com/review/www.suma.coop?page=3</t>
  </si>
  <si>
    <t xml:space="preserve">Pan-European / Online</t>
  </si>
  <si>
    <t xml:space="preserve">B-Stock - Amazon EU Liquidation Auctions</t>
  </si>
  <si>
    <t xml:space="preserve">https://bstock.com/amazoneu/about/</t>
  </si>
  <si>
    <t xml:space="preserve">Official Amazon liquidation auction marketplace</t>
  </si>
  <si>
    <t xml:space="preserve">Amazon EU/UK customer returns, overstock &amp; salvage - electronics, toys, home, sports, pets, office</t>
  </si>
  <si>
    <t xml:space="preserve">CAUTION: returns can't be sold as 'New' on Amazon - grade carefully, resell as Used/elsewhere</t>
  </si>
  <si>
    <t xml:space="preserve">PASS - well-known company: Amazon's official liquidation partner.</t>
  </si>
  <si>
    <t xml:space="preserve">Faire</t>
  </si>
  <si>
    <t xml:space="preserve">https://www.faire.com</t>
  </si>
  <si>
    <t xml:space="preserve">Wholesale marketplace</t>
  </si>
  <si>
    <t xml:space="preserve">100,000+ brands incl. Bigjigs Toys</t>
  </si>
  <si>
    <t xml:space="preserve">Listed so you know to avoid it for Amazon.; NOT SUITABLE: Faire states it cannot fulfil orders for retailers selling on Amazon/eBay/Etsy</t>
  </si>
  <si>
    <t xml:space="preserve">CAUTION - Legitimate, but bans Amazon sellers - contact brands directly instead.</t>
  </si>
  <si>
    <t xml:space="preserve">https://faire.com/support/articles/29881314074139</t>
  </si>
  <si>
    <t xml:space="preserve">Company Page Search</t>
  </si>
  <si>
    <t xml:space="preserve">Find Sales / Account Managers</t>
  </si>
  <si>
    <t xml:space="preserve">Person Name</t>
  </si>
  <si>
    <t xml:space="preserve">Job Title</t>
  </si>
  <si>
    <t xml:space="preserve">Profile URL</t>
  </si>
  <si>
    <t xml:space="preserve">Connection Sent</t>
  </si>
  <si>
    <t xml:space="preserve">Accepted?</t>
  </si>
  <si>
    <t xml:space="preserve">Message Sent</t>
  </si>
  <si>
    <t xml:space="preserve">Reply?</t>
  </si>
  <si>
    <t xml:space="preserve">Notes</t>
  </si>
  <si>
    <t xml:space="preserve">Company page</t>
  </si>
  <si>
    <t xml:space="preserve">Find people</t>
  </si>
  <si>
    <t xml:space="preserve">Suppliers</t>
  </si>
  <si>
    <t xml:space="preserve">Priority 4-5</t>
  </si>
  <si>
    <t xml:space="preserve">Niches covered</t>
  </si>
  <si>
    <t xml:space="preserve">Jump to list</t>
  </si>
  <si>
    <t xml:space="preserve">Price Level</t>
  </si>
  <si>
    <t xml:space="preserve">Stationery &amp; Office, Toys &amp; Games</t>
  </si>
  <si>
    <t xml:space="preserve">Go to &gt;</t>
  </si>
  <si>
    <t xml:space="preserve">DIY &amp; Tools, Fragrance, Home &amp; Kitchen, Pet Supplies</t>
  </si>
  <si>
    <t xml:space="preserve">Beauty, Home &amp; Kitchen</t>
  </si>
  <si>
    <t xml:space="preserve">Beauty, DIY &amp; Tools, Fragrance, Health &amp; Personal Care, Home &amp; Kitchen, Pet Supplies, Sports &amp; Outdoors, Stationery &amp; Office, Toys &amp; Games</t>
  </si>
  <si>
    <t xml:space="preserve">Baby Products, Beauty, Pet Supplies, Sports &amp; Outdoors, Stationery &amp; Office, Toys &amp; Games</t>
  </si>
  <si>
    <t xml:space="preserve">Beauty, DIY &amp; Tools, Home &amp; Kitchen, Toys &amp; Games</t>
  </si>
  <si>
    <t xml:space="preserve">Baby Products, Health &amp; Personal Care, Pet Supplies, Sports &amp; Outdoors, Stationery &amp; Office, Toys &amp; Games</t>
  </si>
  <si>
    <t xml:space="preserve">B2B Marketplace, Baby Products, Beauty, DIY &amp; Tools, Fragrance, Health &amp; Personal Care, Home &amp; Kitchen, Pet Supplies, Sports &amp; Outdoors, Stationery &amp; Office, Toys &amp; Games</t>
  </si>
  <si>
    <t xml:space="preserve">Beauty, Health &amp; Personal Care</t>
  </si>
  <si>
    <t xml:space="preserve">Baby Products, Beauty, DIY &amp; Tools, Health &amp; Personal Care, Home &amp; Kitchen, Pet Supplies, Sports &amp; Outdoors, Stationery &amp; Office, Toys &amp; Games</t>
  </si>
  <si>
    <t xml:space="preserve">Baby Products, General Wholesale / FMCG, Health &amp; Personal Care, Home &amp; Kitchen, Pet Supplies, Sports &amp; Outdoors, Stationery &amp; Office, Toys &amp; Games</t>
  </si>
  <si>
    <t xml:space="preserve">Baby Products, Beauty, DIY &amp; Tools, Fragrance, Health &amp; Personal Care, Home &amp; Kitchen, Pet Supplies, Sports &amp; Outdoors, Stationery &amp; Office, Toys &amp; Games</t>
  </si>
  <si>
    <t xml:space="preserve">Beauty, Home &amp; Kitchen, Stationery &amp; Office, Toys &amp; Games</t>
  </si>
  <si>
    <t xml:space="preserve">Beauty, Health &amp; Personal Care, Sports &amp; Outdoors, Toys &amp; Games</t>
  </si>
  <si>
    <t xml:space="preserve">B2B Marketplace, Baby Products, DIY &amp; Tools, Fragrance, General Wholesale / FMCG, Health &amp; Personal Care, Home &amp; Kitchen, Pet Supplies, Sports &amp; Outdoors, Stationery &amp; Office, Toys &amp; Games</t>
  </si>
  <si>
    <t xml:space="preserve">Total</t>
  </si>
  <si>
    <t xml:space="preserve">Where to buy each niche cheapest in the EU</t>
  </si>
  <si>
    <t xml:space="preserve">Guide only - always compare landed cost (unit price + freight + duty/VAT) in the Profit Calculator. Low-cost countries are cheapest for their OWN manufacturers' brands; big international brands are often cheapest from large German / Dutch distributors because of volume. 'On your list' counts are live formulas.</t>
  </si>
  <si>
    <t xml:space="preserve">Niche</t>
  </si>
  <si>
    <t xml:space="preserve">Cheapest EU countries (best first)</t>
  </si>
  <si>
    <t xml:space="preserve">Why it's cheaper there</t>
  </si>
  <si>
    <t xml:space="preserve">Good brands / makers to start with</t>
  </si>
  <si>
    <t xml:space="preserve">On your list: Low-cost countries</t>
  </si>
  <si>
    <t xml:space="preserve">On your list: total</t>
  </si>
  <si>
    <t xml:space="preserve">Poland, Spain, Lithuania</t>
  </si>
  <si>
    <t xml:space="preserve">Poland is a major nursery-goods producer with low labour costs (bottles, teethers, prams, car seats). Spain has big feeding/soother makers at mid prices.</t>
  </si>
  <si>
    <t xml:space="preserve">Canpol babies, BabyOno, Lionelo, Kinderkraft (PL); Suavinex, Jané (ES)</t>
  </si>
  <si>
    <t xml:space="preserve">Poland, Bulgaria, Czech Republic, Romania, Spain</t>
  </si>
  <si>
    <t xml:space="preserve">Poland has one of Europe's largest cosmetics industries with very low unit prices; Bulgaria is cheapest for rose-based products; Czech &amp; Romanian brands are cheap with little UK competition.</t>
  </si>
  <si>
    <t xml:space="preserve">Ziaja, Eveline, Bielenda, Farmona, Delia (PL); Bulgarian Rose, Lema (BG); Dermacol, Manufaktura (CZ); Gerovital (RO)</t>
  </si>
  <si>
    <t xml:space="preserve">Poland, Czech Republic, Spain</t>
  </si>
  <si>
    <t xml:space="preserve">Polish tool groups (TOYA/YATO, GTX/NEO, Dedra) import and assemble at scale and sell well below German brand prices.</t>
  </si>
  <si>
    <t xml:space="preserve">TOYA/YATO, GTX Poland, Dedra, Logo-Tools (PL); Bellota, EGA Master (ES)</t>
  </si>
  <si>
    <t xml:space="preserve">Poland, Spain, Netherlands/Germany (distributors)</t>
  </si>
  <si>
    <t xml:space="preserve">Polish &amp; Spanish fragrance houses make cheap 'inspired' and own-brand lines; genuine designer fragrance is usually cheapest from large NL/DE distributors - but check authenticity and invoices carefully.</t>
  </si>
  <si>
    <t xml:space="preserve">Parfum Company (PL); Instituto Español (ES); verified NL/DE distributors only</t>
  </si>
  <si>
    <t xml:space="preserve">Poland, Netherlands, Germany</t>
  </si>
  <si>
    <t xml:space="preserve">Poland for cheap local FMCG; NL/DE for large multi-brand distributors and clearance stock.</t>
  </si>
  <si>
    <t xml:space="preserve">Check Due Diligence tab before any clearance / stock-lot deal</t>
  </si>
  <si>
    <t xml:space="preserve">Poland, Hungary, Czech Republic</t>
  </si>
  <si>
    <t xml:space="preserve">Poland &amp; Hungary are big sports-nutrition producers (Olimp, Trec, BioTechUSA); Czech makers are cheap for oral care &amp; brushes.</t>
  </si>
  <si>
    <t xml:space="preserve">Olimp, Trec (PL); BioTechUSA (HU); Nutrend, Spokar, Alpa (CZ)</t>
  </si>
  <si>
    <t xml:space="preserve">Poland, Czech Republic, Portugal</t>
  </si>
  <si>
    <t xml:space="preserve">Low manufacturing costs for cookware, cleaning tools, kitchen utensils and storage; Portugal is cheap for cookware, ceramics and textiles.</t>
  </si>
  <si>
    <t xml:space="preserve">Gerlach, Konex, Homla (PL); Tescoma, BLEX, Dřevotvar (CZ); Silampos (PT)</t>
  </si>
  <si>
    <t xml:space="preserve">Poland is a major pet food &amp; accessories producer (86-88% of its pet food is exported within the EU); Spanish &amp; Italian accessory makers are mid-priced.</t>
  </si>
  <si>
    <t xml:space="preserve">Dingo, Vitapol, DermaPharm (PL); Funky Dog (CZ); Gaun (ES); Georplast (IT)</t>
  </si>
  <si>
    <t xml:space="preserve">Polish fitness/sports accessory brands are cheap and well known in Central Europe; Spain for padel &amp; fitness accessories.</t>
  </si>
  <si>
    <t xml:space="preserve">Spokey, Meteor, Bacha Sport (PL); Softee/Jim Sports (ES)</t>
  </si>
  <si>
    <t xml:space="preserve">Poland, Czech Republic, Spain, Portugal</t>
  </si>
  <si>
    <t xml:space="preserve">Local paper &amp; stationery industries with low costs; Spain's APLI &amp; MILAN are cheap for labels and school supplies.</t>
  </si>
  <si>
    <t xml:space="preserve">Interdruk (PL); KOH-I-NOOR (CZ); APLI, MILAN (ES); Bi-silque (PT)</t>
  </si>
  <si>
    <t xml:space="preserve">Poland &amp; Czechia make puzzles and board games cheaply in-house (Trefl, Dino); Spain's Ibi/Onil toy cluster for dolls, ride-ons and outdoor toys.</t>
  </si>
  <si>
    <t xml:space="preserve">Trefl, COBI, Wader, Granna (PL); Dino Toys, Albi (CZ); Miniland, Colorbaby, Famosa (ES)</t>
  </si>
  <si>
    <t xml:space="preserve">Varies</t>
  </si>
  <si>
    <t xml:space="preserve">Marketplaces aggregate many sellers - prices vary by seller. Verify each seller's company registration and VAT number.</t>
  </si>
  <si>
    <t xml:space="preserve">See Due Diligence tab</t>
  </si>
  <si>
    <t xml:space="preserve">Avoiding scammers when buying cheap</t>
  </si>
  <si>
    <t xml:space="preserve">- Prices far below every other quote are the #1 warning sign - genuine low-cost countries are cheaper, not 70% cheaper.</t>
  </si>
  <si>
    <t xml:space="preserve">- Check the company on the official register: Poland KRS/CEIDG, Czech ARES/justice.cz, Bulgaria Commercial Register (EIK), Romania ONRC, Lithuania Registrų centras, Spain Registro Mercantil, Portugal NIF. Then check the VAT number on the EU VIES site.</t>
  </si>
  <si>
    <t xml:space="preserve">- Prefer suppliers listed by a government export agency (CzechTrade, trade.gov.pl / PAIH, ICEX, AICEP) or exhibiting at major trade fairs - these are noted in the Legitimacy Evidence column.</t>
  </si>
  <si>
    <t xml:space="preserve">- Bank details must be in the company's own name and country. Never pay a personal account, crypto, or a 'new' bank account sent by email - phone the supplier on a number from their website to confirm.</t>
  </si>
  <si>
    <t xml:space="preserve">- Start with a small test order, ask for an invoice that meets Amazon's requirements, and use a card or escrow-style payment where possible for the first order.</t>
  </si>
  <si>
    <t xml:space="preserve">Contact First - best EU suppliers with a direct phone or email</t>
  </si>
  <si>
    <t xml:space="preserve">99 priority 4-5 EU suppliers that passed the scam check and list a phone number or email, ordered cheapest country first (Low-cost &gt; Mid &gt; Higher), then country and niche. Status updates live from the Suppliers tab - click 'Open row' to log your outreach there.</t>
  </si>
  <si>
    <t xml:space="preserve">Status (live)</t>
  </si>
  <si>
    <t xml:space="preserve">Go to</t>
  </si>
  <si>
    <t xml:space="preserve">Open row &gt;</t>
  </si>
  <si>
    <t xml:space="preserve">Suppliers in list</t>
  </si>
  <si>
    <t xml:space="preserve">Amazon UK gating (check Seller Central)</t>
  </si>
  <si>
    <t xml:space="preserve">Compliance / documents to ask for</t>
  </si>
  <si>
    <t xml:space="preserve">What tends to sell</t>
  </si>
  <si>
    <t xml:space="preserve">Sourcing tips</t>
  </si>
  <si>
    <t xml:space="preserve">Depends on brand.</t>
  </si>
  <si>
    <t xml:space="preserve">Ask platform for commercial invoices + compliance docs per product.</t>
  </si>
  <si>
    <t xml:space="preserve">Branded H&amp;B (Qogita), FMCG (Parallel), general merchandise (BigBuy, zentrada).</t>
  </si>
  <si>
    <t xml:space="preserve">Fastest way to test a niche with low MOQs; liquidation platforms are not suitable for 'New' Amazon listings.</t>
  </si>
  <si>
    <t xml:space="preserve">Category and many brands may need approval; formula, car seats &amp; safety items are high scrutiny.</t>
  </si>
  <si>
    <t xml:space="preserve">EN/BS safety standards (e.g. EN 14350 feeding, EN 1888 pushchairs), UKCA/CE, age warnings.</t>
  </si>
  <si>
    <t xml:space="preserve">Feeding bottles, dummies, teethers, nappies, baby toiletries, monitors.</t>
  </si>
  <si>
    <t xml:space="preserve">Avoid infant formula and car seats until established; feeding &amp; soothers (MAM, Tommee Tippee) are steady sellers.</t>
  </si>
  <si>
    <t xml:space="preserve">Many brands gated; prestige/luxury beauty is the hardest. Some topical products need approval.</t>
  </si>
  <si>
    <t xml:space="preserve">UK Responsible Person + SCPN notification; batch codes &amp; expiry/PAO; INCI ingredients; CPNP for EU stock.</t>
  </si>
  <si>
    <t xml:space="preserve">K-beauty (COSRX, Beauty of Joseon, Anua), derma skincare (CeraVe), mass cosmetics, hair care.</t>
  </si>
  <si>
    <t xml:space="preserve">Counterfeits are common in CeraVe/The Ordinary - insist on authorised-distributor proof. Pro-salon brands usually ban Amazon.</t>
  </si>
  <si>
    <t xml:space="preserve">Mostly ungated; big power-tool brands (DeWalt, Makita, Bosch) are often restricted.</t>
  </si>
  <si>
    <t xml:space="preserve">Lithium batteries = hazmat (SDS / UN38.3); UKCA/CE for power tools; UK plugs.</t>
  </si>
  <si>
    <t xml:space="preserve">Hand tools, accessories &amp; consumables, garage/workshop, cordless tool kits.</t>
  </si>
  <si>
    <t xml:space="preserve">Toolbank is trade-only for resellers; Draper has a stockist programme with brand-direct invoices.</t>
  </si>
  <si>
    <t xml:space="preserve">Many designer brands are brand-gated. Fragrance is also hazmat (flammable).</t>
  </si>
  <si>
    <t xml:space="preserve">Safety Data Sheet (SDS) per product for hazmat review; sealed retail stock only (no testers); UK RP on pack.</t>
  </si>
  <si>
    <t xml:space="preserve">Designer gift sets (Q4), Arabian brands (Lattafa, Armaf), mass fragrance &amp; body sprays.</t>
  </si>
  <si>
    <t xml:space="preserve">Arabian-brand distributors are often easier to get approved with; ask designer wholesalers for authorised-distributor invoices.</t>
  </si>
  <si>
    <t xml:space="preserve">Grocery may need approval; FMCG brands vary.</t>
  </si>
  <si>
    <t xml:space="preserve">Expiry dates (FBA min. remaining shelf life), batch codes.</t>
  </si>
  <si>
    <t xml:space="preserve">Household cleaning, toiletries, confectionery, multipacks.</t>
  </si>
  <si>
    <t xml:space="preserve">Cash &amp; carry promotions can work for arbitrage-style wholesale; margins are thin.</t>
  </si>
  <si>
    <t xml:space="preserve">Some brands gated; supplements, OTC medicines and topicals face extra scrutiny.</t>
  </si>
  <si>
    <t xml:space="preserve">Supplements: label compliance &amp; batch CoA; GSL medicines: MHRA rules; electrical grooming: UKCA/CE.</t>
  </si>
  <si>
    <t xml:space="preserve">Oral care, shaving, deodorants, vitamins, sports nutrition, first aid.</t>
  </si>
  <si>
    <t xml:space="preserve">Sports nutrition and first aid are strong for wholesale; check expiry dates for FBA (min. shelf life).</t>
  </si>
  <si>
    <t xml:space="preserve">Largely ungated; some premium brands restricted.</t>
  </si>
  <si>
    <t xml:space="preserve">Electricals: UKCA/CE + UK plug + WEEE; food-contact materials compliance for kitchenware.</t>
  </si>
  <si>
    <t xml:space="preserve">Small appliances (Tower, Swan, Kenwood), storage, kitchen gadgets, cookware.</t>
  </si>
  <si>
    <t xml:space="preserve">Brand owners like RKW (Tower/Swan) supply directly; watch MAP pricing on premium cookware.</t>
  </si>
  <si>
    <t xml:space="preserve">Mostly open; some major brands restricted.</t>
  </si>
  <si>
    <t xml:space="preserve">Pet food: labelling &amp; expiry; accessories: general product safety.</t>
  </si>
  <si>
    <t xml:space="preserve">Toys (KONG, Trixie), grooming, beds, treats, cat litter accessories.</t>
  </si>
  <si>
    <t xml:space="preserve">Trixie sells direct to retailers with a UK warehouse - good first call. Heavy bulky food has high FBA fees.</t>
  </si>
  <si>
    <t xml:space="preserve">Mostly ungated; branded apparel/footwear (Nike, adidas) often restricted.</t>
  </si>
  <si>
    <t xml:space="preserve">Gas canisters &amp; some fuels are hazmat; bike parts safety; fitness equipment weight = high FBA fees.</t>
  </si>
  <si>
    <t xml:space="preserve">Home fitness accessories, cycling accessories, camping gear, team sports.</t>
  </si>
  <si>
    <t xml:space="preserve">Small/light items (bike accessories, resistance bands) work best for FBA fees.</t>
  </si>
  <si>
    <t xml:space="preserve">Largely ungated.</t>
  </si>
  <si>
    <t xml:space="preserve">Ink/toner: counterfeit risk - originals only from authorised distributors; art materials: toy-safety if for children.</t>
  </si>
  <si>
    <t xml:space="preserve">Branded pens (Pilot, BIC, Stabilo), notebooks, art supplies, school supplies, labels.</t>
  </si>
  <si>
    <t xml:space="preserve">Low price points - bundle/multipacks to beat FBA fees.</t>
  </si>
  <si>
    <t xml:space="preserve">Brand-gated (LEGO, Disney, Hasbro, Mattel). Amazon has restricted new sellers in Q4 in past years.</t>
  </si>
  <si>
    <t xml:space="preserve">UKCA/CE marking, EN71 test reports, age &amp; small-parts warnings, UK importer address on pack.</t>
  </si>
  <si>
    <t xml:space="preserve">Board games, LEGO-licensed goods, collectibles (Funko), pocket-money toys, licensed character toys.</t>
  </si>
  <si>
    <t xml:space="preserve">Official UK distributors (A.B. Gee, Wind Designs) give the best invoices; board games via EPN are low-risk.</t>
  </si>
  <si>
    <t xml:space="preserve">Gating rules change often - always confirm in Seller Central (Add a Product &gt; search ASIN &gt; 'Request approval').</t>
  </si>
  <si>
    <t xml:space="preserve">Profit Calculator - Amazon UK (FBA)</t>
  </si>
  <si>
    <t xml:space="preserve">Blue = your inputs. Black = formulas. Assumes you are VAT-registered (input VAT reclaimed, fees shown ex VAT).</t>
  </si>
  <si>
    <t xml:space="preserve">EUR to GBP rate</t>
  </si>
  <si>
    <t xml:space="preserve">Placeholder - update to today's rate (e.g. from xe.com) before using.</t>
  </si>
  <si>
    <t xml:space="preserve">UK VAT rate</t>
  </si>
  <si>
    <t xml:space="preserve">Standard UK VAT rate. Some baby/children's items are zero-rated - adjust per row.</t>
  </si>
  <si>
    <t xml:space="preserve">Default referral fee</t>
  </si>
  <si>
    <t xml:space="preserve">Typical Amazon UK referral fee; varies by category (check Amazon's fee schedule).</t>
  </si>
  <si>
    <t xml:space="preserve">Target ROI</t>
  </si>
  <si>
    <t xml:space="preserve">Your minimum ROI to buy. Change to suit your strategy.</t>
  </si>
  <si>
    <t xml:space="preserve">Product</t>
  </si>
  <si>
    <t xml:space="preserve">Supplier</t>
  </si>
  <si>
    <t xml:space="preserve">ASIN</t>
  </si>
  <si>
    <t xml:space="preserve">Unit cost (supplier ccy, ex VAT)</t>
  </si>
  <si>
    <t xml:space="preserve">Currency</t>
  </si>
  <si>
    <t xml:space="preserve">FX to GBP</t>
  </si>
  <si>
    <t xml:space="preserve">Unit cost £</t>
  </si>
  <si>
    <t xml:space="preserve">Freight / unit £</t>
  </si>
  <si>
    <t xml:space="preserve">Import duty %</t>
  </si>
  <si>
    <t xml:space="preserve">Duty £</t>
  </si>
  <si>
    <t xml:space="preserve">Prep / other £</t>
  </si>
  <si>
    <t xml:space="preserve">Landed cost £</t>
  </si>
  <si>
    <t xml:space="preserve">Sell price inc VAT £</t>
  </si>
  <si>
    <t xml:space="preserve">VAT rate</t>
  </si>
  <si>
    <t xml:space="preserve">Sell price ex VAT £</t>
  </si>
  <si>
    <t xml:space="preserve">Referral %</t>
  </si>
  <si>
    <t xml:space="preserve">Referral fee £</t>
  </si>
  <si>
    <t xml:space="preserve">FBA fee £</t>
  </si>
  <si>
    <t xml:space="preserve">Storage / other fees £</t>
  </si>
  <si>
    <t xml:space="preserve">Net profit £</t>
  </si>
  <si>
    <t xml:space="preserve">ROI</t>
  </si>
  <si>
    <t xml:space="preserve">Margin</t>
  </si>
  <si>
    <t xml:space="preserve">Break-even price inc VAT £</t>
  </si>
  <si>
    <t xml:space="preserve">Verdict</t>
  </si>
  <si>
    <t xml:space="preserve">Example: Arabian EDP 100ml</t>
  </si>
  <si>
    <t xml:space="preserve">B0EXAMPLE1</t>
  </si>
  <si>
    <t xml:space="preserve">EUR</t>
  </si>
  <si>
    <t xml:space="preserve">Example: Pet toy (UK supplier)</t>
  </si>
  <si>
    <t xml:space="preserve">B0EXAMPLE2</t>
  </si>
  <si>
    <t xml:space="preserve">GBP</t>
  </si>
  <si>
    <t xml:space="preserve">Notes: rows 11-12 are examples with made-up prices - overwrite them. FBA fee: use Amazon's Revenue Calculator for the ASIN. Import duty: look up the commodity code on the UK Trade Tariff (gov.uk/trade-tariff); EU-origin goods may qualify for 0% under the UK-EU TCA with proof of origin. VAT &amp; Referral columns default from the settings above - type over them per product if different.</t>
  </si>
  <si>
    <t xml:space="preserve">Outreach templates - replace [brackets] before sending</t>
  </si>
  <si>
    <t xml:space="preserve">Email 1 - First contact</t>
  </si>
  <si>
    <t xml:space="preserve">Subject: Trade account enquiry - Crowsons Distribution (UK online retailer)</t>
  </si>
  <si>
    <t xml:space="preserve">Hi [Name / Sales Team],
I'm [Your Name], founder of Crowsons Distribution, a UK-registered online retailer (Company No. [xxxx], VAT No. [xxxx]). We sell branded [category] to UK customers through our online channels, including Amazon UK.
We're looking for reliable, long-term suppliers and would like to open a trade account with [Company]. Could you please let me know:
  1. Your trade account application process and requirements
  2. Minimum order quantity / minimum order value
  3. Current price list or stock list
  4. Payment terms and delivery options to the UK
  5. Whether you're happy to supply retailers who sell online / on marketplaces
We place repeat orders on lines that sell well, and we're happy to start with a test order.
Kind regards,
[Your Name]
Crowsons Distribution
[Phone] | [Email] | [Website]</t>
  </si>
  <si>
    <t xml:space="preserve">Email 1b - EU supplier version</t>
  </si>
  <si>
    <t xml:space="preserve">Subject: Trade account enquiry - UK online retailer (delivery to UK)</t>
  </si>
  <si>
    <t xml:space="preserve">Hello [Name / Sales Team],
I'm [Your Name] from Crowsons Distribution, a UK-registered online retailer (Company No. [xxxx], UK VAT No. [xxxx], EORI [GBxxxx]). We'd like to open a trade account with [Company] for [category].
Could you please share:
  1. Your account requirements and minimum order value
  2. Your price list / stock list
  3. Whether you deliver to the UK - ideally DDP (delivered duty paid) or with export paperwork (commercial invoice, statement of origin)
  4. Whether products are labelled/compliant for the UK market (UK Responsible Person / UKCA where relevant)
  5. Whether you supply retailers selling on online marketplaces
Happy to start with a trial order. English is easiest for us, but we can work with a translated message if preferred.
Best regards,
[Your Name]
Crowsons Distribution
[Phone] | [Email] | [Website]</t>
  </si>
  <si>
    <t xml:space="preserve">Email 2 - Follow-up (5 working days)</t>
  </si>
  <si>
    <t xml:space="preserve">Subject: Re: Trade account enquiry - Crowsons Distribution</t>
  </si>
  <si>
    <t xml:space="preserve">Hi [Name],
Just following up on my email from [day] about opening a trade account. We're keen to place an initial order in the next few weeks - is there a price list or application form you could share?
If there's a better person to speak to, I'd be grateful if you could point me in the right direction.
Thanks,
[Your Name]</t>
  </si>
  <si>
    <t xml:space="preserve">LinkedIn connection note (max 300 chars)</t>
  </si>
  <si>
    <t xml:space="preserve">Hi [First name], I run Crowsons Distribution, a UK online retailer of branded [category]. I'm looking to open trade accounts with established distributors like [Company] and would love to connect.</t>
  </si>
  <si>
    <t xml:space="preserve">LinkedIn message (after they accept)</t>
  </si>
  <si>
    <t xml:space="preserve">Thanks for connecting, [First name]!
We're a UK-registered online retailer (Amazon UK + own channels) growing our range of branded [category]. I'd love to explore opening a trade account with [Company]. Who's the best person to speak to about new accounts, and is there a price list or application form you could share?
Happy to jump on a quick call if easier.</t>
  </si>
  <si>
    <t xml:space="preserve">Invoice / Amazon ungating request</t>
  </si>
  <si>
    <t xml:space="preserve">Subject: Invoice requirements for our order</t>
  </si>
  <si>
    <t xml:space="preserve">Hi [Name],
Thanks for processing our order. For our records, could you please make sure the invoice shows:
  - Your company name, full address, phone number and website
  - Our company name and address: [Crowsons Distribution, address]
  - Invoice date, product names/descriptions and quantities (in units)
  - Prices are optional and can be hidden if you prefer
If available, could you also send Safety Data Sheets (SDS) / compliance documents for the products?
Many thanks,
[Your Name]</t>
  </si>
  <si>
    <t xml:space="preserve">Outreach dashboard</t>
  </si>
  <si>
    <t xml:space="preserve">All figures are formulas linked to the Suppliers tab.</t>
  </si>
  <si>
    <t xml:space="preserve">Contacted+</t>
  </si>
  <si>
    <t xml:space="preserve">Approved</t>
  </si>
  <si>
    <t xml:space="preserve">Low-cost country</t>
  </si>
  <si>
    <t xml:space="preserve">Outreach status</t>
  </si>
  <si>
    <t xml:space="preserve">Count</t>
  </si>
  <si>
    <t xml:space="preserve">% of list</t>
  </si>
  <si>
    <t xml:space="preserve">Contacted</t>
  </si>
  <si>
    <t xml:space="preserve">Follow-up sent</t>
  </si>
  <si>
    <t xml:space="preserve">Replied</t>
  </si>
  <si>
    <t xml:space="preserve">Application submitted</t>
  </si>
  <si>
    <t xml:space="preserve">Account approved</t>
  </si>
  <si>
    <t xml:space="preserve">Price list received</t>
  </si>
  <si>
    <t xml:space="preserve">First order placed</t>
  </si>
  <si>
    <t xml:space="preserve">Rejected</t>
  </si>
  <si>
    <t xml:space="preserve">Not suitable</t>
  </si>
  <si>
    <t xml:space="preserve">Follow-ups overdue</t>
  </si>
  <si>
    <t xml:space="preserve">Resource</t>
  </si>
  <si>
    <t xml:space="preserve">Type</t>
  </si>
  <si>
    <t xml:space="preserve">Use it for</t>
  </si>
  <si>
    <t xml:space="preserve">Link</t>
  </si>
  <si>
    <t xml:space="preserve">Companies House</t>
  </si>
  <si>
    <t xml:space="preserve">UK registry</t>
  </si>
  <si>
    <t xml:space="preserve">Verify any UK supplier: status, address, directors, SIC 46450 = perfume &amp; cosmetics wholesale</t>
  </si>
  <si>
    <t xml:space="preserve">https://find-and-update.company-information.service.gov.uk/</t>
  </si>
  <si>
    <t xml:space="preserve">EU VIES VAT checker</t>
  </si>
  <si>
    <t xml:space="preserve">EU registry</t>
  </si>
  <si>
    <t xml:space="preserve">Confirm an EU supplier's VAT number is real and active</t>
  </si>
  <si>
    <t xml:space="preserve">https://ec.europa.eu/taxation_customs/vies/</t>
  </si>
  <si>
    <t xml:space="preserve">KvK (Netherlands)</t>
  </si>
  <si>
    <t xml:space="preserve">Verify Dutch companies (many EU wholesalers are Dutch)</t>
  </si>
  <si>
    <t xml:space="preserve">https://www.kvk.nl/en/</t>
  </si>
  <si>
    <t xml:space="preserve">KRS / rejestr.io (Poland)</t>
  </si>
  <si>
    <t xml:space="preserve">Verify Polish companies by KRS / NIP number</t>
  </si>
  <si>
    <t xml:space="preserve">https://rejestr.io/</t>
  </si>
  <si>
    <t xml:space="preserve">Handelsregister (Germany)</t>
  </si>
  <si>
    <t xml:space="preserve">Verify German companies (also check the website 'Impressum')</t>
  </si>
  <si>
    <t xml:space="preserve">https://www.handelsregister.de/</t>
  </si>
  <si>
    <t xml:space="preserve">GLEIF LEI search</t>
  </si>
  <si>
    <t xml:space="preserve">Global registry</t>
  </si>
  <si>
    <t xml:space="preserve">Check a company's Legal Entity Identifier</t>
  </si>
  <si>
    <t xml:space="preserve">https://search.gleif.org/</t>
  </si>
  <si>
    <t xml:space="preserve">MHRA licence register</t>
  </si>
  <si>
    <t xml:space="preserve">UK regulator</t>
  </si>
  <si>
    <t xml:space="preserve">Check a health/pharma wholesaler holds a wholesale dealer licence</t>
  </si>
  <si>
    <t xml:space="preserve">https://cms.mhra.gov.uk/mhra/wholesale-dealer-licences</t>
  </si>
  <si>
    <t xml:space="preserve">UK Trade Tariff</t>
  </si>
  <si>
    <t xml:space="preserve">UK gov tool</t>
  </si>
  <si>
    <t xml:space="preserve">Look up commodity codes &amp; import duty for EU purchases</t>
  </si>
  <si>
    <t xml:space="preserve">https://www.gov.uk/trade-tariff</t>
  </si>
  <si>
    <t xml:space="preserve">Better Retailing Supplier Directory</t>
  </si>
  <si>
    <t xml:space="preserve">UK directory</t>
  </si>
  <si>
    <t xml:space="preserve">UK wholesalers incl. toys, health &amp; beauty, grocery</t>
  </si>
  <si>
    <t xml:space="preserve">https://supplier-directory.betterretailing.com/</t>
  </si>
  <si>
    <t xml:space="preserve">Bira supplier directory</t>
  </si>
  <si>
    <t xml:space="preserve">Suppliers to independent retailers (housewares, DIY, toys, gifts)</t>
  </si>
  <si>
    <t xml:space="preserve">https://bira.co.uk/</t>
  </si>
  <si>
    <t xml:space="preserve">BHETA (housewares association)</t>
  </si>
  <si>
    <t xml:space="preserve">UK housewares &amp; electrical suppliers</t>
  </si>
  <si>
    <t xml:space="preserve">https://www.bheta.co.uk/</t>
  </si>
  <si>
    <t xml:space="preserve">Pet wholesalers &amp; distributors</t>
  </si>
  <si>
    <t xml:space="preserve">https://www.petbusinessworld.co.uk/trade-directory/</t>
  </si>
  <si>
    <t xml:space="preserve">great.gov.uk Find a Supplier</t>
  </si>
  <si>
    <t xml:space="preserve">UK gov directory</t>
  </si>
  <si>
    <t xml:space="preserve">UK companies listing their supply capability</t>
  </si>
  <si>
    <t xml:space="preserve">https://www.great.gov.uk/international/buy-from-the-uk/find-a-supplier/</t>
  </si>
  <si>
    <t xml:space="preserve">trade.gov.pl exporter catalogue</t>
  </si>
  <si>
    <t xml:space="preserve">PL gov directory</t>
  </si>
  <si>
    <t xml:space="preserve">Polish exporters &amp; wholesalers by sector</t>
  </si>
  <si>
    <t xml:space="preserve">https://www.trade.gov.pl/en/</t>
  </si>
  <si>
    <t xml:space="preserve">CzechTrade exporters catalogue</t>
  </si>
  <si>
    <t xml:space="preserve">CZ gov directory</t>
  </si>
  <si>
    <t xml:space="preserve">Czech exporters (pet, toys, household)</t>
  </si>
  <si>
    <t xml:space="preserve">https://exporters.czechtrade.cz/en</t>
  </si>
  <si>
    <t xml:space="preserve">ARES (Czech business register)</t>
  </si>
  <si>
    <t xml:space="preserve">CZ registry</t>
  </si>
  <si>
    <t xml:space="preserve">Verify a Czech company by IČO</t>
  </si>
  <si>
    <t xml:space="preserve">https://ares.gov.cz/</t>
  </si>
  <si>
    <t xml:space="preserve">Bulgarian Commercial Register</t>
  </si>
  <si>
    <t xml:space="preserve">BG registry</t>
  </si>
  <si>
    <t xml:space="preserve">Verify a Bulgarian company by EIK</t>
  </si>
  <si>
    <t xml:space="preserve">https://portal.registryagency.bg/en/</t>
  </si>
  <si>
    <t xml:space="preserve">Romanian Trade Register (ONRC)</t>
  </si>
  <si>
    <t xml:space="preserve">RO registry</t>
  </si>
  <si>
    <t xml:space="preserve">Verify a Romanian company by CUI</t>
  </si>
  <si>
    <t xml:space="preserve">https://www.onrc.ro/index.php/en/</t>
  </si>
  <si>
    <t xml:space="preserve">Lithuanian Registry Centre</t>
  </si>
  <si>
    <t xml:space="preserve">LT registry</t>
  </si>
  <si>
    <t xml:space="preserve">Verify a Lithuanian company by code</t>
  </si>
  <si>
    <t xml:space="preserve">https://www.registrucentras.lt/en/</t>
  </si>
  <si>
    <t xml:space="preserve">Enterprise Lithuania exporters database</t>
  </si>
  <si>
    <t xml:space="preserve">LT gov directory</t>
  </si>
  <si>
    <t xml:space="preserve">Lithuanian manufacturers (profiles reviewed by the agency)</t>
  </si>
  <si>
    <t xml:space="preserve">https://www.enterpriselithuania.com/en/</t>
  </si>
  <si>
    <t xml:space="preserve">AICEP Portugal Global</t>
  </si>
  <si>
    <t xml:space="preserve">PT gov agency</t>
  </si>
  <si>
    <t xml:space="preserve">Portuguese exporters by sector (cookware, textiles, cork)</t>
  </si>
  <si>
    <t xml:space="preserve">https://www.portugalglobal.pt/en/</t>
  </si>
  <si>
    <t xml:space="preserve">ICEX Spain</t>
  </si>
  <si>
    <t xml:space="preserve">ES gov agency</t>
  </si>
  <si>
    <t xml:space="preserve">Spanish exporters &amp; national pavilions at trade fairs</t>
  </si>
  <si>
    <t xml:space="preserve">https://www.icex.es/en/</t>
  </si>
  <si>
    <t xml:space="preserve">ASEPRI (Spanish children's products assoc.)</t>
  </si>
  <si>
    <t xml:space="preserve">ES trade assoc.</t>
  </si>
  <si>
    <t xml:space="preserve">Spanish baby &amp; toy brands with export showrooms</t>
  </si>
  <si>
    <t xml:space="preserve">https://asepri.com/en/</t>
  </si>
  <si>
    <t xml:space="preserve">Heimtextil (Frankfurt, Jan)</t>
  </si>
  <si>
    <t xml:space="preserve">Trade show</t>
  </si>
  <si>
    <t xml:space="preserve">Towels &amp; home textiles - Portuguese mills exhibit here</t>
  </si>
  <si>
    <t xml:space="preserve">https://heimtextil.messefrankfurt.com/</t>
  </si>
  <si>
    <t xml:space="preserve">Kids' Time (Kielce, Feb)</t>
  </si>
  <si>
    <t xml:space="preserve">Polish/CEE baby &amp; toy makers</t>
  </si>
  <si>
    <t xml:space="preserve">https://www.targikielce.pl/en/kids-time</t>
  </si>
  <si>
    <t xml:space="preserve">Enterprise Europe Network partnering</t>
  </si>
  <si>
    <t xml:space="preserve">EU gov directory</t>
  </si>
  <si>
    <t xml:space="preserve">EU companies seeking distributors / buyers</t>
  </si>
  <si>
    <t xml:space="preserve">https://een.ec.europa.eu/partnering-opportunities</t>
  </si>
  <si>
    <t xml:space="preserve">Europages</t>
  </si>
  <si>
    <t xml:space="preserve">EU directory</t>
  </si>
  <si>
    <t xml:space="preserve">Search EU wholesalers by product &amp; country</t>
  </si>
  <si>
    <t xml:space="preserve">https://www.europages.co.uk/</t>
  </si>
  <si>
    <t xml:space="preserve">wer liefert was (wlw)</t>
  </si>
  <si>
    <t xml:space="preserve">DE directory</t>
  </si>
  <si>
    <t xml:space="preserve">German B2B supplier search</t>
  </si>
  <si>
    <t xml:space="preserve">https://www.wlw.de/</t>
  </si>
  <si>
    <t xml:space="preserve">Kompass</t>
  </si>
  <si>
    <t xml:space="preserve">Global directory</t>
  </si>
  <si>
    <t xml:space="preserve">Company search by NACE code (e.g. 46.45 perfume &amp; cosmetics wholesale)</t>
  </si>
  <si>
    <t xml:space="preserve">https://www.kompass.com/</t>
  </si>
  <si>
    <t xml:space="preserve">CosmeticIndex - EU distributors</t>
  </si>
  <si>
    <t xml:space="preserve">Beauty directory</t>
  </si>
  <si>
    <t xml:space="preserve">Cosmetic distributors &amp; wholesalers across Europe</t>
  </si>
  <si>
    <t xml:space="preserve">https://www.cosmeticindex.com/~cosmetic-distributors-wholesalers_Europe</t>
  </si>
  <si>
    <t xml:space="preserve">Interzoo exhibitor list (Nuremberg)</t>
  </si>
  <si>
    <t xml:space="preserve">Every major EU pet brand &amp; distributor - exhibitor pages list contacts</t>
  </si>
  <si>
    <t xml:space="preserve">https://www.interzoo.com/en/exhibitors</t>
  </si>
  <si>
    <t xml:space="preserve">Zoomark exhibitor catalogue (Bologna)</t>
  </si>
  <si>
    <t xml:space="preserve">Pet suppliers with full contact details</t>
  </si>
  <si>
    <t xml:space="preserve">https://www.zoomark.it/en/</t>
  </si>
  <si>
    <t xml:space="preserve">Ambiente (Frankfurt, Feb)</t>
  </si>
  <si>
    <t xml:space="preserve">Housewares, kitchen &amp; home suppliers</t>
  </si>
  <si>
    <t xml:space="preserve">https://ambiente.messefrankfurt.com/</t>
  </si>
  <si>
    <t xml:space="preserve">IFA Berlin (Sept)</t>
  </si>
  <si>
    <t xml:space="preserve">Consumer electronics &amp; small appliances wholesalers</t>
  </si>
  <si>
    <t xml:space="preserve">https://www.ifa-berlin.com/</t>
  </si>
  <si>
    <t xml:space="preserve">FIBO Cologne (April)</t>
  </si>
  <si>
    <t xml:space="preserve">Fitness &amp; sports nutrition distributors</t>
  </si>
  <si>
    <t xml:space="preserve">https://www.fibo.com/</t>
  </si>
  <si>
    <t xml:space="preserve">Eurobike Frankfurt</t>
  </si>
  <si>
    <t xml:space="preserve">Cycling brands &amp; distributors</t>
  </si>
  <si>
    <t xml:space="preserve">https://www.eurobike.com/</t>
  </si>
  <si>
    <t xml:space="preserve">Kind + Jugend Cologne</t>
  </si>
  <si>
    <t xml:space="preserve">Baby &amp; nursery brands and distributors</t>
  </si>
  <si>
    <t xml:space="preserve">https://www.kindundjugend.com/</t>
  </si>
  <si>
    <t xml:space="preserve">Paperworld / Creativeworld (Frankfurt)</t>
  </si>
  <si>
    <t xml:space="preserve">Stationery, office &amp; art/craft suppliers</t>
  </si>
  <si>
    <t xml:space="preserve">https://creativeworld.messefrankfurt.com/</t>
  </si>
  <si>
    <t xml:space="preserve">London Toy Fair (January)</t>
  </si>
  <si>
    <t xml:space="preserve">UK toy distributors - exhibitor list is a ready-made supplier list</t>
  </si>
  <si>
    <t xml:space="preserve">https://www.toyfair.co.uk/</t>
  </si>
  <si>
    <t xml:space="preserve">Spielwarenmesse Nuremberg (Jan/Feb)</t>
  </si>
  <si>
    <t xml:space="preserve">World's biggest toy fair - EU toy distributors</t>
  </si>
  <si>
    <t xml:space="preserve">https://www.spielwarenmesse.de/</t>
  </si>
  <si>
    <t xml:space="preserve">Cosmoprof Worldwide Bologna (March)</t>
  </si>
  <si>
    <t xml:space="preserve">Beauty &amp; fragrance brands and distributors</t>
  </si>
  <si>
    <t xml:space="preserve">https://www.cosmoprof.com/</t>
  </si>
  <si>
    <t xml:space="preserve">Spring Fair Birmingham (Feb)</t>
  </si>
  <si>
    <t xml:space="preserve">UK gifts, toys, beauty &amp; home wholesale</t>
  </si>
  <si>
    <t xml:space="preserve">https://www.springfair.com/</t>
  </si>
  <si>
    <t xml:space="preserve">Brand 'Where to buy' / 'Trade' pages</t>
  </si>
  <si>
    <t xml:space="preserve">Go to a brand's UK site and look for 'Stockists', 'Trade' or 'Distributors' to find authorised wholesalers</t>
  </si>
  <si>
    <t xml:space="preserve">LinkedIn search: 'distributor' + brand</t>
  </si>
  <si>
    <t xml:space="preserve">e.g. 'Trixie distributor UK' or 'Hasbro distributor' and filter by Companies / People</t>
  </si>
  <si>
    <t xml:space="preserve">https://www.linkedin.com/search/results/companies/?keywords=distributor</t>
  </si>
  <si>
    <t xml:space="preserve">Why it matters</t>
  </si>
  <si>
    <t xml:space="preserve">How</t>
  </si>
  <si>
    <t xml:space="preserve">Company is registered &amp; active</t>
  </si>
  <si>
    <t xml:space="preserve">Fake wholesalers often use made-up company names</t>
  </si>
  <si>
    <t xml:space="preserve">Companies House (UK), KvK (NL), KRS (PL), Handelsregister (DE), VIES VAT check (EU)</t>
  </si>
  <si>
    <t xml:space="preserve">Physical address matches registry</t>
  </si>
  <si>
    <t xml:space="preserve">A real warehouse/office is a good sign; residential or virtual offices are a warning</t>
  </si>
  <si>
    <t xml:space="preserve">Google Maps Street View + registry address</t>
  </si>
  <si>
    <t xml:space="preserve">Business email domain (not Gmail/Hotmail)</t>
  </si>
  <si>
    <t xml:space="preserve">Free email addresses are common with scam suppliers</t>
  </si>
  <si>
    <t xml:space="preserve">Ask for a contact on the company domain</t>
  </si>
  <si>
    <t xml:space="preserve">VAT number on invoices</t>
  </si>
  <si>
    <t xml:space="preserve">Needed for Amazon ungating and your VAT reclaim</t>
  </si>
  <si>
    <t xml:space="preserve">Check the VAT number on HMRC / VIES</t>
  </si>
  <si>
    <t xml:space="preserve">Brand authorisation (for gated brands)</t>
  </si>
  <si>
    <t xml:space="preserve">Authorised-distributor invoices are the most accepted for Amazon ungating</t>
  </si>
  <si>
    <t xml:space="preserve">Ask: 'Are you an authorised distributor for [brand]? Can you share a letter?'</t>
  </si>
  <si>
    <t xml:space="preserve">Prices are realistic</t>
  </si>
  <si>
    <t xml:space="preserve">Prices far below other wholesalers suggest counterfeit or grey stock</t>
  </si>
  <si>
    <t xml:space="preserve">Compare to 2-3 other suppliers and the Amazon Buy Box</t>
  </si>
  <si>
    <t xml:space="preserve">Reviews &amp; reputation</t>
  </si>
  <si>
    <t xml:space="preserve">Past complaints reveal problems</t>
  </si>
  <si>
    <t xml:space="preserve">Trustpilot, Google reviews, UK Business Forums, Amazon seller forums, council / Trading Standards news</t>
  </si>
  <si>
    <t xml:space="preserve">Insolvency check</t>
  </si>
  <si>
    <t xml:space="preserve">Suppliers in administration may not deliver or honour returns</t>
  </si>
  <si>
    <t xml:space="preserve">Companies House filing history + The Gazette insolvency notices</t>
  </si>
  <si>
    <t xml:space="preserve">Safe payment for first order</t>
  </si>
  <si>
    <t xml:space="preserve">Bank transfer to a new supplier is hard to recover</t>
  </si>
  <si>
    <t xml:space="preserve">Start small; use credit card / trade credit where possible; never pay a personal account</t>
  </si>
  <si>
    <t xml:space="preserve">Non-compliant stock gets removed from Amazon</t>
  </si>
  <si>
    <t xml:space="preserve">Cosmetics: UK RP + SCPN. Toys: UKCA/CE + EN71. Electricals: UK plug + UKCA/CE. Fragrance/batteries: SDS</t>
  </si>
  <si>
    <t xml:space="preserve">EU import paperwork</t>
  </si>
  <si>
    <t xml:space="preserve">Missing paperwork = customs delays and surprise charges</t>
  </si>
  <si>
    <t xml:space="preserve">Get EORI; ask for commercial invoice + statement of origin; agree Incoterms (DDP easiest)</t>
  </si>
  <si>
    <t xml:space="preserve">Online / marketplace selling allowed</t>
  </si>
  <si>
    <t xml:space="preserve">Some suppliers cancel accounts that sell on Amazon</t>
  </si>
  <si>
    <t xml:space="preserve">Ask in your first email</t>
  </si>
  <si>
    <t xml:space="preserve">Sealed retail stock (no testers / returns)</t>
  </si>
  <si>
    <t xml:space="preserve">Testers, unboxed or returned goods cannot be sold as new on Amazon</t>
  </si>
  <si>
    <t xml:space="preserve">Confirm in writing before ordering</t>
  </si>
  <si>
    <t xml:space="preserve">Suppliers removed after the anti-scam check (Oct 2026)</t>
  </si>
  <si>
    <t xml:space="preserve">25 suppliers were taken off the Suppliers tab because they showed scam warning signs, insolvency, regulator fines, or no independent evidence that the business exists. Do NOT order from these.</t>
  </si>
  <si>
    <t xml:space="preserve">Why it failed</t>
  </si>
  <si>
    <t xml:space="preserve">Website (do not use)</t>
  </si>
  <si>
    <t xml:space="preserve">Baekho Beauty</t>
  </si>
  <si>
    <t xml:space="preserve">Founded 2025, 2 people, Odoo website - no track record or independent evidence.</t>
  </si>
  <si>
    <t xml:space="preserve">https://www.baekhobeauty.com</t>
  </si>
  <si>
    <t xml:space="preserve">German Formula Express</t>
  </si>
  <si>
    <t xml:space="preserve">Thin directory profile only; infant formula is a high counterfeit / expiry-risk product.</t>
  </si>
  <si>
    <t xml:space="preserve">Global Beauty Brands</t>
  </si>
  <si>
    <t xml:space="preserve">Directory listing only (2-10 staff); no commercial-register entry or reviews found.</t>
  </si>
  <si>
    <t xml:space="preserve">The Italian Factory</t>
  </si>
  <si>
    <t xml:space="preserve">Only a self-listing on the ItalianModa marketplace; no registry entry or reviews found.</t>
  </si>
  <si>
    <t xml:space="preserve">https://www.italianmoda.com/italy-FASHION%2DACCESSORIES%5FPerfumes%5FCosmetics</t>
  </si>
  <si>
    <t xml:space="preserve">AH Beauté BV</t>
  </si>
  <si>
    <t xml:space="preserve">Only a Beautetrade listing - no KvK record or independent evidence found.</t>
  </si>
  <si>
    <t xml:space="preserve">https://www.beautetrade.com/suppliers/ah-beauty-bv-107939/</t>
  </si>
  <si>
    <t xml:space="preserve">EleganceWholesale</t>
  </si>
  <si>
    <t xml:space="preserve">Only its own website/testimonials; no KvK/VAT or independent evidence - classic fake 'luxury perfume wholesaler' pattern.</t>
  </si>
  <si>
    <t xml:space="preserve">https://elegancewholesale.co.nl</t>
  </si>
  <si>
    <t xml:space="preserve">Europe Pharma Group B.V.</t>
  </si>
  <si>
    <t xml:space="preserve">Only a self-published Beautetrade listing - no registry entry, reviews or independent evidence found.</t>
  </si>
  <si>
    <t xml:space="preserve">https://www.beautetrade.com/suppliers/europe-pharma-group-bv-83659/</t>
  </si>
  <si>
    <t xml:space="preserve">Groothandel Beauty</t>
  </si>
  <si>
    <t xml:space="preserve">Directory listing only; no KvK registration or reviews found.</t>
  </si>
  <si>
    <t xml:space="preserve">https://www.groothandelbeauty.nl</t>
  </si>
  <si>
    <t xml:space="preserve">Join Stadskanaal B.V.</t>
  </si>
  <si>
    <t xml:space="preserve">Registered activity is an interior outlet store, no staff, equity down ~96% in 2024; only self-description on the Beautetrade B2B board.</t>
  </si>
  <si>
    <t xml:space="preserve">https://www.beautetrade.com/products/global-wholesale-distributor-of-cosmetics-skincare-fragrances/75837</t>
  </si>
  <si>
    <t xml:space="preserve">Tunturi New Fitness B.V.</t>
  </si>
  <si>
    <t xml:space="preserve">Parent company Accell Group declared bankrupt (11 Aug 2026); Tunturi brand being sold off - supply and invoices uncertain.</t>
  </si>
  <si>
    <t xml:space="preserve">https://www.tunturi.com</t>
  </si>
  <si>
    <t xml:space="preserve">W Pharma Europe</t>
  </si>
  <si>
    <t xml:space="preserve">Only an Odoo-hosted website; no company registration or wholesale licence found.</t>
  </si>
  <si>
    <t xml:space="preserve">https://w-pharma-europe3.odoo.com</t>
  </si>
  <si>
    <t xml:space="preserve">Symphonya.eu</t>
  </si>
  <si>
    <t xml:space="preserve">No company registration, address or reviews found - only a promotional partner listing.</t>
  </si>
  <si>
    <t xml:space="preserve">https://symphonya.eu</t>
  </si>
  <si>
    <t xml:space="preserve">Extrabiuro.pl</t>
  </si>
  <si>
    <t xml:space="preserve">No company, registry entry or reviews found.</t>
  </si>
  <si>
    <t xml:space="preserve">https://extrabiuro.pl</t>
  </si>
  <si>
    <t xml:space="preserve">Filip i S-ka Dromader Sp. j.</t>
  </si>
  <si>
    <t xml:space="preserve">Sanctioned by Poland's UOKiK for non-compliant toys (incl. a 2022 fine) - toy safety risk.</t>
  </si>
  <si>
    <t xml:space="preserve">http://www.dromader.com.pl</t>
  </si>
  <si>
    <t xml:space="preserve">OrientFragance</t>
  </si>
  <si>
    <t xml:space="preserve">Only its own website's claims; no registry or brand confirmation (Arabian perfume is a heavily counterfeited category).</t>
  </si>
  <si>
    <t xml:space="preserve">https://www.orientfragance.com</t>
  </si>
  <si>
    <t xml:space="preserve">Patner Iberia SL (European Tools)</t>
  </si>
  <si>
    <t xml:space="preserve">Online retail store (ManoMano seller), not a wholesaler; CIF not found - retailer invoices won't support Amazon ungating.</t>
  </si>
  <si>
    <t xml:space="preserve">https://www.manomano.es/vendedor-2206963</t>
  </si>
  <si>
    <t xml:space="preserve">Cherry Cosmetics</t>
  </si>
  <si>
    <t xml:space="preserve">No Companies House record found; directory listing only.</t>
  </si>
  <si>
    <t xml:space="preserve">https://www.cherrycosmetics.co.uk</t>
  </si>
  <si>
    <t xml:space="preserve">Connect Distribution</t>
  </si>
  <si>
    <t xml:space="preserve">Entered administration in 2023; assets sold to Screwfix and company renamed CD Realisations 2023 Ltd.</t>
  </si>
  <si>
    <t xml:space="preserve">https://www.connect-distribution.co.uk</t>
  </si>
  <si>
    <t xml:space="preserve">GP Supplies</t>
  </si>
  <si>
    <t xml:space="preserve">Companies House: G P Supplies Ltd (04074035) DISSOLVED.</t>
  </si>
  <si>
    <t xml:space="preserve">Karysrol Ltd</t>
  </si>
  <si>
    <t xml:space="preserve">No Companies House record found; only a self-published profile on a B2B listing site.</t>
  </si>
  <si>
    <t xml:space="preserve">https://b2brazil.com/hotsite/karysrolltd</t>
  </si>
  <si>
    <t xml:space="preserve">LookinStyle</t>
  </si>
  <si>
    <t xml:space="preserve">No Companies House record found; describes itself as a retailer.</t>
  </si>
  <si>
    <t xml:space="preserve">https://www.lookinstyle.co.uk</t>
  </si>
  <si>
    <t xml:space="preserve">Ludonex Ltd</t>
  </si>
  <si>
    <t xml:space="preserve">Only a Beautetrade listing - no Companies House record found.</t>
  </si>
  <si>
    <t xml:space="preserve">https://www.beautetrade.com/suppliers/ludonex-ltd-108314/</t>
  </si>
  <si>
    <t xml:space="preserve">Shure Cosmetics (Shure Enterprises UK Ltd)</t>
  </si>
  <si>
    <t xml:space="preserve">Fined ~GBP 23k by Royal Greenwich Council (2025) for selling unapproved perfume.</t>
  </si>
  <si>
    <t xml:space="preserve">https://www.shure-cosmetics.co.uk</t>
  </si>
  <si>
    <t xml:space="preserve">Star Perfumes (Star Global Trading Ltd)</t>
  </si>
  <si>
    <t xml:space="preserve">Companies House: Star Global Trading Ltd (05157558) shown IN LIQUIDATION with overdue accounts.</t>
  </si>
  <si>
    <t xml:space="preserve">https://www.starperfumes.com</t>
  </si>
  <si>
    <t xml:space="preserve">Toolstream / Silverline Tools</t>
  </si>
  <si>
    <t xml:space="preserve">Reported to have entered administration (Dec 2025).</t>
  </si>
</sst>
</file>

<file path=xl/styles.xml><?xml version="1.0" encoding="utf-8"?>
<styleSheet xmlns="http://schemas.openxmlformats.org/spreadsheetml/2006/main">
  <numFmts count="8">
    <numFmt numFmtId="164" formatCode="General"/>
    <numFmt numFmtId="165" formatCode="dd/mm/yyyy"/>
    <numFmt numFmtId="166" formatCode="0.0000"/>
    <numFmt numFmtId="167" formatCode="0%"/>
    <numFmt numFmtId="168" formatCode="#,##0.00"/>
    <numFmt numFmtId="169" formatCode="\£#,##0.00;[RED]&quot;-£&quot;#,##0.00;\-"/>
    <numFmt numFmtId="170" formatCode="0.0%;[RED]\-0.0%;\-"/>
    <numFmt numFmtId="171" formatCode="0.0%"/>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name val="Arial"/>
      <family val="0"/>
      <charset val="1"/>
    </font>
    <font>
      <b val="true"/>
      <sz val="12"/>
      <color rgb="FF1F3864"/>
      <name val="Arial"/>
      <family val="0"/>
      <charset val="1"/>
    </font>
    <font>
      <b val="true"/>
      <sz val="10"/>
      <name val="Arial"/>
      <family val="0"/>
      <charset val="1"/>
    </font>
    <font>
      <b val="true"/>
      <sz val="10"/>
      <color rgb="FFFFFFFF"/>
      <name val="Arial"/>
      <family val="0"/>
      <charset val="1"/>
    </font>
    <font>
      <u val="single"/>
      <sz val="10"/>
      <color rgb="FF0563C1"/>
      <name val="Arial"/>
      <family val="0"/>
      <charset val="1"/>
    </font>
    <font>
      <sz val="10"/>
      <color rgb="FF008000"/>
      <name val="Arial"/>
      <family val="0"/>
      <charset val="1"/>
    </font>
    <font>
      <i val="true"/>
      <sz val="9"/>
      <name val="Arial"/>
      <family val="0"/>
      <charset val="1"/>
    </font>
    <font>
      <sz val="10"/>
      <color rgb="FF0000FF"/>
      <name val="Arial"/>
      <family val="0"/>
      <charset val="1"/>
    </font>
    <font>
      <sz val="9"/>
      <color rgb="FF595959"/>
      <name val="Arial"/>
      <family val="0"/>
      <charset val="1"/>
    </font>
    <font>
      <sz val="10"/>
      <name val="Arial"/>
      <family val="2"/>
    </font>
  </fonts>
  <fills count="12">
    <fill>
      <patternFill patternType="none"/>
    </fill>
    <fill>
      <patternFill patternType="gray125"/>
    </fill>
    <fill>
      <patternFill patternType="solid">
        <fgColor rgb="FF1F3864"/>
        <bgColor rgb="FF333333"/>
      </patternFill>
    </fill>
    <fill>
      <patternFill patternType="solid">
        <fgColor rgb="FFC6EFCE"/>
        <bgColor rgb="FFE2EFDA"/>
      </patternFill>
    </fill>
    <fill>
      <patternFill patternType="solid">
        <fgColor rgb="FFF8CBAD"/>
        <bgColor rgb="FFFFC7CE"/>
      </patternFill>
    </fill>
    <fill>
      <patternFill patternType="solid">
        <fgColor rgb="FFBF8F00"/>
        <bgColor rgb="FF808000"/>
      </patternFill>
    </fill>
    <fill>
      <patternFill patternType="solid">
        <fgColor rgb="FFDDEBF7"/>
        <bgColor rgb="FFE2EFDA"/>
      </patternFill>
    </fill>
    <fill>
      <patternFill patternType="solid">
        <fgColor rgb="FFFFF2CC"/>
        <bgColor rgb="FFFCE4D6"/>
      </patternFill>
    </fill>
    <fill>
      <patternFill patternType="solid">
        <fgColor rgb="FFFCE4D6"/>
        <bgColor rgb="FFFFF2CC"/>
      </patternFill>
    </fill>
    <fill>
      <patternFill patternType="solid">
        <fgColor rgb="FFE2EFDA"/>
        <bgColor rgb="FFDDEBF7"/>
      </patternFill>
    </fill>
    <fill>
      <patternFill patternType="solid">
        <fgColor rgb="FFFFEB9C"/>
        <bgColor rgb="FFFFF2CC"/>
      </patternFill>
    </fill>
    <fill>
      <patternFill patternType="solid">
        <fgColor rgb="FFF2F2F2"/>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5" fillId="3" borderId="2"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2"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general" vertical="top" textRotation="0" wrapText="true" indent="0" shrinkToFit="false"/>
      <protection locked="true" hidden="false"/>
    </xf>
    <xf numFmtId="164" fontId="5" fillId="6" borderId="2"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center" vertical="top" textRotation="0" wrapText="false" indent="0" shrinkToFit="false"/>
      <protection locked="true" hidden="false"/>
    </xf>
    <xf numFmtId="164" fontId="5" fillId="7" borderId="2" xfId="0" applyFont="true" applyBorder="true" applyAlignment="true" applyProtection="false">
      <alignment horizontal="general" vertical="top" textRotation="0" wrapText="true" indent="0" shrinkToFit="false"/>
      <protection locked="true" hidden="false"/>
    </xf>
    <xf numFmtId="165" fontId="5" fillId="7" borderId="2"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5" fontId="5" fillId="7" borderId="1" xfId="0" applyFont="true" applyBorder="true" applyAlignment="true" applyProtection="false">
      <alignment horizontal="general" vertical="top" textRotation="0" wrapText="true" indent="0" shrinkToFit="false"/>
      <protection locked="true" hidden="false"/>
    </xf>
    <xf numFmtId="164" fontId="7" fillId="8" borderId="2" xfId="0" applyFont="true" applyBorder="true" applyAlignment="true" applyProtection="false">
      <alignment horizontal="general" vertical="top" textRotation="0" wrapText="true" indent="0" shrinkToFit="false"/>
      <protection locked="true" hidden="false"/>
    </xf>
    <xf numFmtId="164" fontId="5" fillId="8" borderId="2"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2"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1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2" fillId="7"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2" fillId="7" borderId="0" xfId="0" applyFont="true" applyBorder="false" applyAlignment="false" applyProtection="false">
      <alignment horizontal="general" vertical="bottom" textRotation="0" wrapText="false" indent="0" shrinkToFit="false"/>
      <protection locked="true" hidden="false"/>
    </xf>
    <xf numFmtId="164" fontId="12" fillId="7" borderId="1" xfId="0" applyFont="true" applyBorder="true" applyAlignment="false" applyProtection="false">
      <alignment horizontal="general" vertical="bottom" textRotation="0" wrapText="false" indent="0" shrinkToFit="false"/>
      <protection locked="true" hidden="false"/>
    </xf>
    <xf numFmtId="168" fontId="12" fillId="7"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9" fontId="12" fillId="7" borderId="1" xfId="0" applyFont="true" applyBorder="true" applyAlignment="false" applyProtection="false">
      <alignment horizontal="general" vertical="bottom" textRotation="0" wrapText="false" indent="0" shrinkToFit="false"/>
      <protection locked="true" hidden="false"/>
    </xf>
    <xf numFmtId="170" fontId="12" fillId="7" borderId="1" xfId="0" applyFont="true" applyBorder="true" applyAlignment="false" applyProtection="false">
      <alignment horizontal="general" vertical="bottom" textRotation="0" wrapText="false" indent="0" shrinkToFit="false"/>
      <protection locked="true" hidden="false"/>
    </xf>
    <xf numFmtId="170" fontId="5" fillId="7"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5" fillId="11"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C6EFCE"/>
          <bgColor rgb="FF000000"/>
        </patternFill>
      </fill>
    </dxf>
    <dxf>
      <fill>
        <patternFill patternType="solid">
          <fgColor rgb="FFF8CBAD"/>
          <bgColor rgb="FF000000"/>
        </patternFill>
      </fill>
    </dxf>
    <dxf>
      <fill>
        <patternFill patternType="solid">
          <fgColor rgb="FFDDEBF7"/>
          <bgColor rgb="FF000000"/>
        </patternFill>
      </fill>
    </dxf>
    <dxf>
      <fill>
        <patternFill patternType="solid">
          <fgColor rgb="FFFCE4D6"/>
          <bgColor rgb="FF000000"/>
        </patternFill>
      </fill>
    </dxf>
    <dxf>
      <fill>
        <patternFill patternType="solid">
          <fgColor rgb="FF63BE7B"/>
          <bgColor rgb="FF000000"/>
        </patternFill>
      </fill>
    </dxf>
    <dxf>
      <fill>
        <patternFill patternType="solid">
          <fgColor rgb="FFB1D580"/>
          <bgColor rgb="FF000000"/>
        </patternFill>
      </fill>
    </dxf>
    <dxf>
      <fill>
        <patternFill patternType="solid">
          <fgColor rgb="FFE2EFDA"/>
          <bgColor rgb="FF000000"/>
        </patternFill>
      </fill>
    </dxf>
    <dxf>
      <fill>
        <patternFill patternType="solid">
          <fgColor rgb="FFD9D9D9"/>
          <bgColor rgb="FF000000"/>
        </patternFill>
      </fill>
    </dxf>
    <dxf>
      <fill>
        <patternFill patternType="solid">
          <fgColor rgb="FFFFEB9C"/>
          <bgColor rgb="FF000000"/>
        </patternFill>
      </fill>
    </dxf>
    <dxf>
      <fill>
        <patternFill patternType="solid">
          <fgColor rgb="FFFFC7CE"/>
          <bgColor rgb="FF000000"/>
        </patternFill>
      </fill>
    </dxf>
    <dxf>
      <fill>
        <patternFill patternType="solid">
          <fgColor rgb="FFBF8F00"/>
          <bgColor rgb="FF000000"/>
        </patternFill>
      </fill>
    </dxf>
    <dxf>
      <fill>
        <patternFill patternType="solid">
          <fgColor rgb="FFFFF2CC"/>
          <bgColor rgb="FF000000"/>
        </patternFill>
      </fill>
    </dxf>
    <dxf>
      <fill>
        <patternFill>
          <bgColor rgb="FF63BE7B"/>
        </patternFill>
      </fill>
    </dxf>
    <dxf>
      <fill>
        <patternFill>
          <bgColor rgb="FFB1D580"/>
        </patternFill>
      </fill>
    </dxf>
    <dxf>
      <fill>
        <patternFill>
          <bgColor rgb="FFF8696B"/>
        </patternFill>
      </fill>
    </dxf>
    <dxf>
      <font>
        <name val="Arial"/>
        <charset val="1"/>
        <family val="0"/>
        <b val="1"/>
        <color rgb="FFFFFFFF"/>
      </font>
      <fill>
        <patternFill>
          <bgColor rgb="FFF8696B"/>
        </patternFill>
      </fill>
    </dxf>
    <dxf>
      <fill>
        <patternFill>
          <bgColor rgb="FFC6EFCE"/>
        </patternFill>
      </fill>
    </dxf>
    <dxf>
      <fill>
        <patternFill>
          <bgColor rgb="FFFFEB9C"/>
        </patternFill>
      </fill>
    </dxf>
    <dxf>
      <fill>
        <patternFill>
          <bgColor rgb="FFF8CBAD"/>
        </patternFill>
      </fill>
    </dxf>
    <dxf>
      <fill>
        <patternFill>
          <bgColor rgb="FFD9D9D9"/>
        </patternFill>
      </fill>
    </dxf>
    <dxf>
      <fill>
        <patternFill>
          <bgColor rgb="FFFCE4D6"/>
        </patternFill>
      </fill>
    </dxf>
    <dxf>
      <fill>
        <patternFill>
          <bgColor rgb="FFFFC7CE"/>
        </patternFill>
      </fill>
    </dxf>
    <dxf>
      <fill>
        <patternFill patternType="solid">
          <fgColor rgb="FF008000"/>
          <bgColor rgb="FF000000"/>
        </patternFill>
      </fill>
    </dxf>
    <dxf>
      <fill>
        <patternFill patternType="solid">
          <fgColor rgb="FFF2F2F2"/>
          <bgColor rgb="FF000000"/>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2F2F2"/>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8696B"/>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B1D580"/>
      <rgbColor rgb="FFFFC7CE"/>
      <rgbColor rgb="FFFCE4D6"/>
      <rgbColor rgb="FFF8CBAD"/>
      <rgbColor rgb="FF3366FF"/>
      <rgbColor rgb="FF63BE7B"/>
      <rgbColor rgb="FF99CC00"/>
      <rgbColor rgb="FFFFCC00"/>
      <rgbColor rgb="FFBF8F00"/>
      <rgbColor rgb="FFFF6600"/>
      <rgbColor rgb="FF595959"/>
      <rgbColor rgb="FF969696"/>
      <rgbColor rgb="FF1F3864"/>
      <rgbColor rgb="FF339966"/>
      <rgbColor rgb="FF0061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qogita.com/" TargetMode="External"/><Relationship Id="rId2" Type="http://schemas.openxmlformats.org/officeDocument/2006/relationships/hyperlink" Target="Crowsons_Wholesale_Suppliers.xlsx" TargetMode="External"/><Relationship Id="rId3" Type="http://schemas.openxmlformats.org/officeDocument/2006/relationships/hyperlink" Target="https://www.babybase.co.uk/" TargetMode="External"/><Relationship Id="rId4" Type="http://schemas.openxmlformats.org/officeDocument/2006/relationships/hyperlink" Target="Crowsons_Wholesale_Suppliers.xlsx" TargetMode="External"/><Relationship Id="rId5" Type="http://schemas.openxmlformats.org/officeDocument/2006/relationships/hyperlink" Target="https://www.beaba.com/" TargetMode="External"/><Relationship Id="rId6" Type="http://schemas.openxmlformats.org/officeDocument/2006/relationships/hyperlink" Target="Crowsons_Wholesale_Suppliers.xlsx" TargetMode="External"/><Relationship Id="rId7" Type="http://schemas.openxmlformats.org/officeDocument/2006/relationships/hyperlink" Target="https://www.mapa.de/" TargetMode="External"/><Relationship Id="rId8" Type="http://schemas.openxmlformats.org/officeDocument/2006/relationships/hyperlink" Target="Crowsons_Wholesale_Suppliers.xlsx" TargetMode="External"/><Relationship Id="rId9" Type="http://schemas.openxmlformats.org/officeDocument/2006/relationships/hyperlink" Target="https://www.mambaby.com/" TargetMode="External"/><Relationship Id="rId10" Type="http://schemas.openxmlformats.org/officeDocument/2006/relationships/hyperlink" Target="Crowsons_Wholesale_Suppliers.xlsx" TargetMode="External"/><Relationship Id="rId11" Type="http://schemas.openxmlformats.org/officeDocument/2006/relationships/hyperlink" Target="https://www.artsana.com/" TargetMode="External"/><Relationship Id="rId12" Type="http://schemas.openxmlformats.org/officeDocument/2006/relationships/hyperlink" Target="Crowsons_Wholesale_Suppliers.xlsx" TargetMode="External"/><Relationship Id="rId13" Type="http://schemas.openxmlformats.org/officeDocument/2006/relationships/hyperlink" Target="https://www.cosnova.com/" TargetMode="External"/><Relationship Id="rId14" Type="http://schemas.openxmlformats.org/officeDocument/2006/relationships/hyperlink" Target="Crowsons_Wholesale_Suppliers.xlsx" TargetMode="External"/><Relationship Id="rId15" Type="http://schemas.openxmlformats.org/officeDocument/2006/relationships/hyperlink" Target="https://www.weleda.de/" TargetMode="External"/><Relationship Id="rId16" Type="http://schemas.openxmlformats.org/officeDocument/2006/relationships/hyperlink" Target="Crowsons_Wholesale_Suppliers.xlsx" TargetMode="External"/><Relationship Id="rId17" Type="http://schemas.openxmlformats.org/officeDocument/2006/relationships/hyperlink" Target="https://qudobeauty.com/" TargetMode="External"/><Relationship Id="rId18" Type="http://schemas.openxmlformats.org/officeDocument/2006/relationships/hyperlink" Target="Crowsons_Wholesale_Suppliers.xlsx" TargetMode="External"/><Relationship Id="rId19" Type="http://schemas.openxmlformats.org/officeDocument/2006/relationships/hyperlink" Target="https://www.toolbank.com/" TargetMode="External"/><Relationship Id="rId20" Type="http://schemas.openxmlformats.org/officeDocument/2006/relationships/hyperlink" Target="Crowsons_Wholesale_Suppliers.xlsx" TargetMode="External"/><Relationship Id="rId21" Type="http://schemas.openxmlformats.org/officeDocument/2006/relationships/hyperlink" Target="https://www.fiskarsgroup.com/" TargetMode="External"/><Relationship Id="rId22" Type="http://schemas.openxmlformats.org/officeDocument/2006/relationships/hyperlink" Target="Crowsons_Wholesale_Suppliers.xlsx" TargetMode="External"/><Relationship Id="rId23" Type="http://schemas.openxmlformats.org/officeDocument/2006/relationships/hyperlink" Target="https://www.einhell.com/einhell-worldwide/" TargetMode="External"/><Relationship Id="rId24" Type="http://schemas.openxmlformats.org/officeDocument/2006/relationships/hyperlink" Target="Crowsons_Wholesale_Suppliers.xlsx" TargetMode="External"/><Relationship Id="rId25" Type="http://schemas.openxmlformats.org/officeDocument/2006/relationships/hyperlink" Target="https://www.fischer.de/" TargetMode="External"/><Relationship Id="rId26" Type="http://schemas.openxmlformats.org/officeDocument/2006/relationships/hyperlink" Target="Crowsons_Wholesale_Suppliers.xlsx" TargetMode="External"/><Relationship Id="rId27" Type="http://schemas.openxmlformats.org/officeDocument/2006/relationships/hyperlink" Target="https://www.gardena.com/" TargetMode="External"/><Relationship Id="rId28" Type="http://schemas.openxmlformats.org/officeDocument/2006/relationships/hyperlink" Target="Crowsons_Wholesale_Suppliers.xlsx" TargetMode="External"/><Relationship Id="rId29" Type="http://schemas.openxmlformats.org/officeDocument/2006/relationships/hyperlink" Target="https://www.knipex.com/" TargetMode="External"/><Relationship Id="rId30" Type="http://schemas.openxmlformats.org/officeDocument/2006/relationships/hyperlink" Target="Crowsons_Wholesale_Suppliers.xlsx" TargetMode="External"/><Relationship Id="rId31" Type="http://schemas.openxmlformats.org/officeDocument/2006/relationships/hyperlink" Target="https://www.wera.de/" TargetMode="External"/><Relationship Id="rId32" Type="http://schemas.openxmlformats.org/officeDocument/2006/relationships/hyperlink" Target="Crowsons_Wholesale_Suppliers.xlsx" TargetMode="External"/><Relationship Id="rId33" Type="http://schemas.openxmlformats.org/officeDocument/2006/relationships/hyperlink" Target="https://www.wiha.com/" TargetMode="External"/><Relationship Id="rId34" Type="http://schemas.openxmlformats.org/officeDocument/2006/relationships/hyperlink" Target="Crowsons_Wholesale_Suppliers.xlsx" TargetMode="External"/><Relationship Id="rId35" Type="http://schemas.openxmlformats.org/officeDocument/2006/relationships/hyperlink" Target="https://www.drapertools.com/" TargetMode="External"/><Relationship Id="rId36" Type="http://schemas.openxmlformats.org/officeDocument/2006/relationships/hyperlink" Target="Crowsons_Wholesale_Suppliers.xlsx" TargetMode="External"/><Relationship Id="rId37" Type="http://schemas.openxmlformats.org/officeDocument/2006/relationships/hyperlink" Target="https://bosch-pt.com/uk_bssdealer/uk/en/start/bss_acct/dealers_list/campbell_miller.htm" TargetMode="External"/><Relationship Id="rId38" Type="http://schemas.openxmlformats.org/officeDocument/2006/relationships/hyperlink" Target="Crowsons_Wholesale_Suppliers.xlsx" TargetMode="External"/><Relationship Id="rId39" Type="http://schemas.openxmlformats.org/officeDocument/2006/relationships/hyperlink" Target="https://www.knights-fragrances.co.uk/" TargetMode="External"/><Relationship Id="rId40" Type="http://schemas.openxmlformats.org/officeDocument/2006/relationships/hyperlink" Target="Crowsons_Wholesale_Suppliers.xlsx" TargetMode="External"/><Relationship Id="rId41" Type="http://schemas.openxmlformats.org/officeDocument/2006/relationships/hyperlink" Target="https://www.bjutip.com/" TargetMode="External"/><Relationship Id="rId42" Type="http://schemas.openxmlformats.org/officeDocument/2006/relationships/hyperlink" Target="Crowsons_Wholesale_Suppliers.xlsx" TargetMode="External"/><Relationship Id="rId43" Type="http://schemas.openxmlformats.org/officeDocument/2006/relationships/hyperlink" Target="https://www.shaneel.com/shaneel-enterprises" TargetMode="External"/><Relationship Id="rId44" Type="http://schemas.openxmlformats.org/officeDocument/2006/relationships/hyperlink" Target="Crowsons_Wholesale_Suppliers.xlsx" TargetMode="External"/><Relationship Id="rId45" Type="http://schemas.openxmlformats.org/officeDocument/2006/relationships/hyperlink" Target="Crowsons_Wholesale_Suppliers.xlsx" TargetMode="External"/><Relationship Id="rId46" Type="http://schemas.openxmlformats.org/officeDocument/2006/relationships/hyperlink" Target="Crowsons_Wholesale_Suppliers.xlsx" TargetMode="External"/><Relationship Id="rId47" Type="http://schemas.openxmlformats.org/officeDocument/2006/relationships/hyperlink" Target="https://www.westcoastsupplygroup.com/" TargetMode="External"/><Relationship Id="rId48" Type="http://schemas.openxmlformats.org/officeDocument/2006/relationships/hyperlink" Target="Crowsons_Wholesale_Suppliers.xlsx" TargetMode="External"/><Relationship Id="rId49" Type="http://schemas.openxmlformats.org/officeDocument/2006/relationships/hyperlink" Target="https://www.booker.co.uk/" TargetMode="External"/><Relationship Id="rId50" Type="http://schemas.openxmlformats.org/officeDocument/2006/relationships/hyperlink" Target="Crowsons_Wholesale_Suppliers.xlsx" TargetMode="External"/><Relationship Id="rId51" Type="http://schemas.openxmlformats.org/officeDocument/2006/relationships/hyperlink" Target="https://www.costco.co.uk/" TargetMode="External"/><Relationship Id="rId52" Type="http://schemas.openxmlformats.org/officeDocument/2006/relationships/hyperlink" Target="Crowsons_Wholesale_Suppliers.xlsx" TargetMode="External"/><Relationship Id="rId53" Type="http://schemas.openxmlformats.org/officeDocument/2006/relationships/hyperlink" Target="https://www.harrisonsdirect.co.uk/" TargetMode="External"/><Relationship Id="rId54" Type="http://schemas.openxmlformats.org/officeDocument/2006/relationships/hyperlink" Target="Crowsons_Wholesale_Suppliers.xlsx" TargetMode="External"/><Relationship Id="rId55" Type="http://schemas.openxmlformats.org/officeDocument/2006/relationships/hyperlink" Target="https://www.beurer.com/uk/facts/" TargetMode="External"/><Relationship Id="rId56" Type="http://schemas.openxmlformats.org/officeDocument/2006/relationships/hyperlink" Target="Crowsons_Wholesale_Suppliers.xlsx" TargetMode="External"/><Relationship Id="rId57" Type="http://schemas.openxmlformats.org/officeDocument/2006/relationships/hyperlink" Target="https://tepe.com/global/contact" TargetMode="External"/><Relationship Id="rId58" Type="http://schemas.openxmlformats.org/officeDocument/2006/relationships/hyperlink" Target="Crowsons_Wholesale_Suppliers.xlsx" TargetMode="External"/><Relationship Id="rId59" Type="http://schemas.openxmlformats.org/officeDocument/2006/relationships/hyperlink" Target="https://www.medisana.de/" TargetMode="External"/><Relationship Id="rId60" Type="http://schemas.openxmlformats.org/officeDocument/2006/relationships/hyperlink" Target="Crowsons_Wholesale_Suppliers.xlsx" TargetMode="External"/><Relationship Id="rId61" Type="http://schemas.openxmlformats.org/officeDocument/2006/relationships/hyperlink" Target="https://www.rkwltd.com/" TargetMode="External"/><Relationship Id="rId62" Type="http://schemas.openxmlformats.org/officeDocument/2006/relationships/hyperlink" Target="Crowsons_Wholesale_Suppliers.xlsx" TargetMode="External"/><Relationship Id="rId63" Type="http://schemas.openxmlformats.org/officeDocument/2006/relationships/hyperlink" Target="https://www.bialetti.it/" TargetMode="External"/><Relationship Id="rId64" Type="http://schemas.openxmlformats.org/officeDocument/2006/relationships/hyperlink" Target="Crowsons_Wholesale_Suppliers.xlsx" TargetMode="External"/><Relationship Id="rId65" Type="http://schemas.openxmlformats.org/officeDocument/2006/relationships/hyperlink" Target="https://www.epeinternational.com/" TargetMode="External"/><Relationship Id="rId66" Type="http://schemas.openxmlformats.org/officeDocument/2006/relationships/hyperlink" Target="Crowsons_Wholesale_Suppliers.xlsx" TargetMode="External"/><Relationship Id="rId67" Type="http://schemas.openxmlformats.org/officeDocument/2006/relationships/hyperlink" Target="https://www.leifheit.com/" TargetMode="External"/><Relationship Id="rId68" Type="http://schemas.openxmlformats.org/officeDocument/2006/relationships/hyperlink" Target="Crowsons_Wholesale_Suppliers.xlsx" TargetMode="External"/><Relationship Id="rId69" Type="http://schemas.openxmlformats.org/officeDocument/2006/relationships/hyperlink" Target="https://www.ifa-berlin.com/exhibitors/wolfsohn" TargetMode="External"/><Relationship Id="rId70" Type="http://schemas.openxmlformats.org/officeDocument/2006/relationships/hyperlink" Target="Crowsons_Wholesale_Suppliers.xlsx" TargetMode="External"/><Relationship Id="rId71" Type="http://schemas.openxmlformats.org/officeDocument/2006/relationships/hyperlink" Target="https://www.curver.com/" TargetMode="External"/><Relationship Id="rId72" Type="http://schemas.openxmlformats.org/officeDocument/2006/relationships/hyperlink" Target="Crowsons_Wholesale_Suppliers.xlsx" TargetMode="External"/><Relationship Id="rId73" Type="http://schemas.openxmlformats.org/officeDocument/2006/relationships/hyperlink" Target="https://www.brabantia.com/uk/offices" TargetMode="External"/><Relationship Id="rId74" Type="http://schemas.openxmlformats.org/officeDocument/2006/relationships/hyperlink" Target="Crowsons_Wholesale_Suppliers.xlsx" TargetMode="External"/><Relationship Id="rId75" Type="http://schemas.openxmlformats.org/officeDocument/2006/relationships/hyperlink" Target="Crowsons_Wholesale_Suppliers.xlsx" TargetMode="External"/><Relationship Id="rId76" Type="http://schemas.openxmlformats.org/officeDocument/2006/relationships/hyperlink" Target="https://www.trixie.de/" TargetMode="External"/><Relationship Id="rId77" Type="http://schemas.openxmlformats.org/officeDocument/2006/relationships/hyperlink" Target="Crowsons_Wholesale_Suppliers.xlsx" TargetMode="External"/><Relationship Id="rId78" Type="http://schemas.openxmlformats.org/officeDocument/2006/relationships/hyperlink" Target="https://www.beaphar.com/" TargetMode="External"/><Relationship Id="rId79" Type="http://schemas.openxmlformats.org/officeDocument/2006/relationships/hyperlink" Target="Crowsons_Wholesale_Suppliers.xlsx" TargetMode="External"/><Relationship Id="rId80" Type="http://schemas.openxmlformats.org/officeDocument/2006/relationships/hyperlink" Target="https://www.petproducts.co.uk/" TargetMode="External"/><Relationship Id="rId81" Type="http://schemas.openxmlformats.org/officeDocument/2006/relationships/hyperlink" Target="Crowsons_Wholesale_Suppliers.xlsx" TargetMode="External"/><Relationship Id="rId82" Type="http://schemas.openxmlformats.org/officeDocument/2006/relationships/hyperlink" Target="https://www.oase-outdoors.dk/" TargetMode="External"/><Relationship Id="rId83" Type="http://schemas.openxmlformats.org/officeDocument/2006/relationships/hyperlink" Target="Crowsons_Wholesale_Suppliers.xlsx" TargetMode="External"/><Relationship Id="rId84" Type="http://schemas.openxmlformats.org/officeDocument/2006/relationships/hyperlink" Target="https://www.edding.com/en-uk/" TargetMode="External"/><Relationship Id="rId85" Type="http://schemas.openxmlformats.org/officeDocument/2006/relationships/hyperlink" Target="Crowsons_Wholesale_Suppliers.xlsx" TargetMode="External"/><Relationship Id="rId86" Type="http://schemas.openxmlformats.org/officeDocument/2006/relationships/hyperlink" Target="https://www.staedtler.com/intl/en/company" TargetMode="External"/><Relationship Id="rId87" Type="http://schemas.openxmlformats.org/officeDocument/2006/relationships/hyperlink" Target="Crowsons_Wholesale_Suppliers.xlsx" TargetMode="External"/><Relationship Id="rId88" Type="http://schemas.openxmlformats.org/officeDocument/2006/relationships/hyperlink" Target="https://www.fila.it/" TargetMode="External"/><Relationship Id="rId89" Type="http://schemas.openxmlformats.org/officeDocument/2006/relationships/hyperlink" Target="Crowsons_Wholesale_Suppliers.xlsx" TargetMode="External"/><Relationship Id="rId90" Type="http://schemas.openxmlformats.org/officeDocument/2006/relationships/hyperlink" Target="https://www.also.com/ec/cms5/en_2420/2420/index.jsp" TargetMode="External"/><Relationship Id="rId91" Type="http://schemas.openxmlformats.org/officeDocument/2006/relationships/hyperlink" Target="Crowsons_Wholesale_Suppliers.xlsx" TargetMode="External"/><Relationship Id="rId92" Type="http://schemas.openxmlformats.org/officeDocument/2006/relationships/hyperlink" Target="https://www.kosmos.de/" TargetMode="External"/><Relationship Id="rId93" Type="http://schemas.openxmlformats.org/officeDocument/2006/relationships/hyperlink" Target="Crowsons_Wholesale_Suppliers.xlsx" TargetMode="External"/><Relationship Id="rId94" Type="http://schemas.openxmlformats.org/officeDocument/2006/relationships/hyperlink" Target="https://www.abgee.co.uk/" TargetMode="External"/><Relationship Id="rId95" Type="http://schemas.openxmlformats.org/officeDocument/2006/relationships/hyperlink" Target="Crowsons_Wholesale_Suppliers.xlsx" TargetMode="External"/><Relationship Id="rId96" Type="http://schemas.openxmlformats.org/officeDocument/2006/relationships/hyperlink" Target="https://www.nda-toys.com/" TargetMode="External"/><Relationship Id="rId97" Type="http://schemas.openxmlformats.org/officeDocument/2006/relationships/hyperlink" Target="Crowsons_Wholesale_Suppliers.xlsx" TargetMode="External"/><Relationship Id="rId98" Type="http://schemas.openxmlformats.org/officeDocument/2006/relationships/hyperlink" Target="https://www.wind-designs.com/" TargetMode="External"/><Relationship Id="rId99" Type="http://schemas.openxmlformats.org/officeDocument/2006/relationships/hyperlink" Target="Crowsons_Wholesale_Suppliers.xlsx" TargetMode="External"/><Relationship Id="rId100" Type="http://schemas.openxmlformats.org/officeDocument/2006/relationships/hyperlink" Target="https://www.carrera-revell-toys.com/" TargetMode="External"/><Relationship Id="rId101" Type="http://schemas.openxmlformats.org/officeDocument/2006/relationships/hyperlink" Target="Crowsons_Wholesale_Suppliers.xlsx" TargetMode="External"/><Relationship Id="rId102" Type="http://schemas.openxmlformats.org/officeDocument/2006/relationships/hyperlink" Target="https://www.simba-dickie-group.com/" TargetMode="External"/><Relationship Id="rId103" Type="http://schemas.openxmlformats.org/officeDocument/2006/relationships/hyperlink" Target="Crowsons_Wholesale_Suppliers.xlsx" TargetMode="External"/><Relationship Id="rId104" Type="http://schemas.openxmlformats.org/officeDocument/2006/relationships/hyperlink" Target="https://www.clementoni.com/" TargetMode="External"/><Relationship Id="rId105" Type="http://schemas.openxmlformats.org/officeDocument/2006/relationships/hyperlink" Target="Crowsons_Wholesale_Suppliers.xlsx" TargetMode="External"/><Relationship Id="rId106" Type="http://schemas.openxmlformats.org/officeDocument/2006/relationships/hyperlink" Target="https://www.brio.eu/" TargetMode="External"/><Relationship Id="rId107" Type="http://schemas.openxmlformats.org/officeDocument/2006/relationships/hyperlink" Target="Crowsons_Wholesale_Suppliers.xlsx" TargetMode="External"/><Relationship Id="rId108"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kores.com/" TargetMode="External"/><Relationship Id="rId2" Type="http://schemas.openxmlformats.org/officeDocument/2006/relationships/hyperlink" Target="https://www.advantageaustria.org/cn/company/en/kores-ce-gmbh" TargetMode="External"/><Relationship Id="rId3" Type="http://schemas.openxmlformats.org/officeDocument/2006/relationships/hyperlink" Target="https://www.linkedin.com/search/results/companies/?keywords=KORES+GmbH" TargetMode="External"/><Relationship Id="rId4" Type="http://schemas.openxmlformats.org/officeDocument/2006/relationships/hyperlink" Target="https://www.stadlbauer.at/" TargetMode="External"/><Relationship Id="rId5" Type="http://schemas.openxmlformats.org/officeDocument/2006/relationships/hyperlink" Target="https://quantum.capital/en/news/qcp-erwirbt-die-stadlbauer-marketing-vertrieb-gmbh" TargetMode="External"/><Relationship Id="rId6" Type="http://schemas.openxmlformats.org/officeDocument/2006/relationships/hyperlink" Target="https://www.linkedin.com/search/results/companies/?keywords=Stadlbauer+Marketing+%2B+Vertrieb+GmbH" TargetMode="External"/><Relationship Id="rId7" Type="http://schemas.openxmlformats.org/officeDocument/2006/relationships/hyperlink" Target="https://www.piatnik.com/" TargetMode="External"/><Relationship Id="rId8" Type="http://schemas.openxmlformats.org/officeDocument/2006/relationships/hyperlink" Target="https://www.advantageaustria.org/se/news/200-jahre-piatnik.en.html" TargetMode="External"/><Relationship Id="rId9" Type="http://schemas.openxmlformats.org/officeDocument/2006/relationships/hyperlink" Target="https://www.linkedin.com/search/results/companies/?keywords=Wiener+Spielkartenfabrik+Ferd.+Piatnik+%26+S&#246;hne" TargetMode="External"/><Relationship Id="rId10" Type="http://schemas.openxmlformats.org/officeDocument/2006/relationships/hyperlink" Target="https://varo.com/contact" TargetMode="External"/><Relationship Id="rId11" Type="http://schemas.openxmlformats.org/officeDocument/2006/relationships/hyperlink" Target="https://varo.com/contact" TargetMode="External"/><Relationship Id="rId12" Type="http://schemas.openxmlformats.org/officeDocument/2006/relationships/hyperlink" Target="https://www.linkedin.com/search/results/companies/?keywords=Varo" TargetMode="External"/><Relationship Id="rId13" Type="http://schemas.openxmlformats.org/officeDocument/2006/relationships/hyperlink" Target="https://www.beautylux.be/" TargetMode="External"/><Relationship Id="rId14" Type="http://schemas.openxmlformats.org/officeDocument/2006/relationships/hyperlink" Target="https://oncosmetics.com/company/desa-beautylux/" TargetMode="External"/><Relationship Id="rId15" Type="http://schemas.openxmlformats.org/officeDocument/2006/relationships/hyperlink" Target="https://www.linkedin.com/search/results/companies/?keywords=Beautylux" TargetMode="External"/><Relationship Id="rId16" Type="http://schemas.openxmlformats.org/officeDocument/2006/relationships/hyperlink" Target="https://galico.be/" TargetMode="External"/><Relationship Id="rId17" Type="http://schemas.openxmlformats.org/officeDocument/2006/relationships/hyperlink" Target="https://portal.galico.be/en/contact" TargetMode="External"/><Relationship Id="rId18" Type="http://schemas.openxmlformats.org/officeDocument/2006/relationships/hyperlink" Target="https://www.linkedin.com/search/results/companies/?keywords=Galico+NV" TargetMode="External"/><Relationship Id="rId19" Type="http://schemas.openxmlformats.org/officeDocument/2006/relationships/hyperlink" Target="https://www.savic.be/" TargetMode="External"/><Relationship Id="rId20" Type="http://schemas.openxmlformats.org/officeDocument/2006/relationships/hyperlink" Target="https://www.interzoo.com/en/exhibitors/savic-nv-2499896" TargetMode="External"/><Relationship Id="rId21" Type="http://schemas.openxmlformats.org/officeDocument/2006/relationships/hyperlink" Target="https://www.linkedin.com/search/results/companies/?keywords=Savic+NV" TargetMode="External"/><Relationship Id="rId22" Type="http://schemas.openxmlformats.org/officeDocument/2006/relationships/hyperlink" Target="https://www.flamingo.be/en/for-companies" TargetMode="External"/><Relationship Id="rId23" Type="http://schemas.openxmlformats.org/officeDocument/2006/relationships/hyperlink" Target="https://www.interzoo.com/en/exhibitors/flamingo-pet-products-2498822" TargetMode="External"/><Relationship Id="rId24" Type="http://schemas.openxmlformats.org/officeDocument/2006/relationships/hyperlink" Target="https://www.linkedin.com/search/results/companies/?keywords=Flamingo+Pet+Products+NV" TargetMode="External"/><Relationship Id="rId25" Type="http://schemas.openxmlformats.org/officeDocument/2006/relationships/hyperlink" Target="https://www.google.com/search?q=Laroy+Group+%28Duvo%2B%29+Belgium+official+website" TargetMode="External"/><Relationship Id="rId26" Type="http://schemas.openxmlformats.org/officeDocument/2006/relationships/hyperlink" Target="https://www.petfoodindustry.com/top-pet-food-companies/company/laroy-group" TargetMode="External"/><Relationship Id="rId27" Type="http://schemas.openxmlformats.org/officeDocument/2006/relationships/hyperlink" Target="https://www.linkedin.com/search/results/companies/?keywords=Laroy+Group" TargetMode="External"/><Relationship Id="rId28" Type="http://schemas.openxmlformats.org/officeDocument/2006/relationships/hyperlink" Target="https://www.modernaproducts.com/" TargetMode="External"/><Relationship Id="rId29" Type="http://schemas.openxmlformats.org/officeDocument/2006/relationships/hyperlink" Target="https://www.interzoo.com/en/exhibitors/moderna-products-nv-2227285" TargetMode="External"/><Relationship Id="rId30" Type="http://schemas.openxmlformats.org/officeDocument/2006/relationships/hyperlink" Target="https://www.linkedin.com/search/results/companies/?keywords=Moderna+Products+NV" TargetMode="External"/><Relationship Id="rId31" Type="http://schemas.openxmlformats.org/officeDocument/2006/relationships/hyperlink" Target="https://www.vadigran.com/" TargetMode="External"/><Relationship Id="rId32" Type="http://schemas.openxmlformats.org/officeDocument/2006/relationships/hyperlink" Target="https://globalpetindustry.com/news/vadigran-belgium/" TargetMode="External"/><Relationship Id="rId33" Type="http://schemas.openxmlformats.org/officeDocument/2006/relationships/hyperlink" Target="https://www.linkedin.com/search/results/companies/?keywords=Vadigran+NV" TargetMode="External"/><Relationship Id="rId34" Type="http://schemas.openxmlformats.org/officeDocument/2006/relationships/hyperlink" Target="https://www.google.com/search?q=Bulgarian+Rose+AD+%28Bulgarska+Roza+Karlovo%29+Bulgaria+official+website" TargetMode="External"/><Relationship Id="rId35" Type="http://schemas.openxmlformats.org/officeDocument/2006/relationships/hyperlink" Target="https://papagal.bg/eik/115009344/5765" TargetMode="External"/><Relationship Id="rId36" Type="http://schemas.openxmlformats.org/officeDocument/2006/relationships/hyperlink" Target="https://www.linkedin.com/search/results/companies/?keywords=Bulgarian+Rose+AD" TargetMode="External"/><Relationship Id="rId37" Type="http://schemas.openxmlformats.org/officeDocument/2006/relationships/hyperlink" Target="http://www.lemabg.com/" TargetMode="External"/><Relationship Id="rId38" Type="http://schemas.openxmlformats.org/officeDocument/2006/relationships/hyperlink" Target="https://tourism.government.bg/bg/tourist-destinations/2800/5747" TargetMode="External"/><Relationship Id="rId39" Type="http://schemas.openxmlformats.org/officeDocument/2006/relationships/hyperlink" Target="https://www.linkedin.com/search/results/companies/?keywords=Lema+Kazanlak" TargetMode="External"/><Relationship Id="rId40" Type="http://schemas.openxmlformats.org/officeDocument/2006/relationships/hyperlink" Target="https://www.google.com/search?q=Parmash+AD+Bulgaria+official+website" TargetMode="External"/><Relationship Id="rId41" Type="http://schemas.openxmlformats.org/officeDocument/2006/relationships/hyperlink" Target="https://ambiente.messefrankfurt.com/frankfurt/en/exhibitor-search.detail.html/parmash-ad/mf_1_0015025912_4096489_10000001202501.html" TargetMode="External"/><Relationship Id="rId42" Type="http://schemas.openxmlformats.org/officeDocument/2006/relationships/hyperlink" Target="https://www.linkedin.com/search/results/companies/?keywords=Parmash+AD" TargetMode="External"/><Relationship Id="rId43" Type="http://schemas.openxmlformats.org/officeDocument/2006/relationships/hyperlink" Target="https://www.saponia.hr/" TargetMode="External"/><Relationship Id="rId44" Type="http://schemas.openxmlformats.org/officeDocument/2006/relationships/hyperlink" Target="https://eho.zse.hr/fileadmin/issuers/SAPN/FI-SAPN-74ae4e8c47c2811259fdc1cdcb85853c.pdf" TargetMode="External"/><Relationship Id="rId45" Type="http://schemas.openxmlformats.org/officeDocument/2006/relationships/hyperlink" Target="https://www.linkedin.com/search/results/companies/?keywords=Saponia+d.d." TargetMode="External"/><Relationship Id="rId46" Type="http://schemas.openxmlformats.org/officeDocument/2006/relationships/hyperlink" Target="https://www.dermacol.cz/" TargetMode="External"/><Relationship Id="rId47" Type="http://schemas.openxmlformats.org/officeDocument/2006/relationships/hyperlink" Target="https://www.businessinfo.cz/clanky/dermacol-prorazil-z-barrandova-do-hollywoodu-dnes-vyvazi-do-celeho-sveta/" TargetMode="External"/><Relationship Id="rId48" Type="http://schemas.openxmlformats.org/officeDocument/2006/relationships/hyperlink" Target="https://www.linkedin.com/search/results/companies/?keywords=Dermacol+a.s." TargetMode="External"/><Relationship Id="rId49" Type="http://schemas.openxmlformats.org/officeDocument/2006/relationships/hyperlink" Target="https://www.google.com/search?q=MANUFAKTURA+%28Czech+cosmetics%29+Czech+Republic+official+website" TargetMode="External"/><Relationship Id="rId50" Type="http://schemas.openxmlformats.org/officeDocument/2006/relationships/hyperlink" Target="https://exporters.czechtrade.gov.cz/manufaktura" TargetMode="External"/><Relationship Id="rId51" Type="http://schemas.openxmlformats.org/officeDocument/2006/relationships/hyperlink" Target="https://www.linkedin.com/search/results/companies/?keywords=MANUFAKTURA" TargetMode="External"/><Relationship Id="rId52" Type="http://schemas.openxmlformats.org/officeDocument/2006/relationships/hyperlink" Target="https://en.hecht.cz/" TargetMode="External"/><Relationship Id="rId53" Type="http://schemas.openxmlformats.org/officeDocument/2006/relationships/hyperlink" Target="https://en.hecht.cz/info/about-hecht" TargetMode="External"/><Relationship Id="rId54" Type="http://schemas.openxmlformats.org/officeDocument/2006/relationships/hyperlink" Target="https://www.linkedin.com/search/results/companies/?keywords=HECHT+MOTORS+s.r.o." TargetMode="External"/><Relationship Id="rId55" Type="http://schemas.openxmlformats.org/officeDocument/2006/relationships/hyperlink" Target="https://www.narex.cz/" TargetMode="External"/><Relationship Id="rId56" Type="http://schemas.openxmlformats.org/officeDocument/2006/relationships/hyperlink" Target="https://www.narex.cz/en-gb/contacts" TargetMode="External"/><Relationship Id="rId57" Type="http://schemas.openxmlformats.org/officeDocument/2006/relationships/hyperlink" Target="https://www.linkedin.com/search/results/companies/?keywords=NAREX+s.r.o." TargetMode="External"/><Relationship Id="rId58" Type="http://schemas.openxmlformats.org/officeDocument/2006/relationships/hyperlink" Target="http://www.pilanametal.cz/" TargetMode="External"/><Relationship Id="rId59" Type="http://schemas.openxmlformats.org/officeDocument/2006/relationships/hyperlink" Target="https://exporters.czechtrade.gov.cz/pilana-metal-spol-s-r-o" TargetMode="External"/><Relationship Id="rId60" Type="http://schemas.openxmlformats.org/officeDocument/2006/relationships/hyperlink" Target="https://www.linkedin.com/search/results/companies/?keywords=PILANA+Metal+spol.+s+r.o." TargetMode="External"/><Relationship Id="rId61" Type="http://schemas.openxmlformats.org/officeDocument/2006/relationships/hyperlink" Target="https://www.bjutip.com/" TargetMode="External"/><Relationship Id="rId62" Type="http://schemas.openxmlformats.org/officeDocument/2006/relationships/hyperlink" Target="https://bjutip.com/contact_us" TargetMode="External"/><Relationship Id="rId63" Type="http://schemas.openxmlformats.org/officeDocument/2006/relationships/hyperlink" Target="https://www.linkedin.com/search/results/companies/?keywords=BJUTIP+a.s." TargetMode="External"/><Relationship Id="rId64" Type="http://schemas.openxmlformats.org/officeDocument/2006/relationships/hyperlink" Target="https://www.nutrend-supplements.com/" TargetMode="External"/><Relationship Id="rId65" Type="http://schemas.openxmlformats.org/officeDocument/2006/relationships/hyperlink" Target="https://www.gulfood.com/exhibitors/nutrend-ds-as" TargetMode="External"/><Relationship Id="rId66" Type="http://schemas.openxmlformats.org/officeDocument/2006/relationships/hyperlink" Target="https://www.linkedin.com/search/results/companies/?keywords=NUTREND+D.S.%2C+a.s." TargetMode="External"/><Relationship Id="rId67" Type="http://schemas.openxmlformats.org/officeDocument/2006/relationships/hyperlink" Target="http://www.spokar.com/" TargetMode="External"/><Relationship Id="rId68" Type="http://schemas.openxmlformats.org/officeDocument/2006/relationships/hyperlink" Target="https://exporters.czechtrade.gov.cz/spokar-a-s" TargetMode="External"/><Relationship Id="rId69" Type="http://schemas.openxmlformats.org/officeDocument/2006/relationships/hyperlink" Target="https://www.linkedin.com/search/results/companies/?keywords=SPOKAR+a.s." TargetMode="External"/><Relationship Id="rId70" Type="http://schemas.openxmlformats.org/officeDocument/2006/relationships/hyperlink" Target="https://www.google.com/search?q=ALPA%2C+a.s.+Czech+Republic+official+website" TargetMode="External"/><Relationship Id="rId71" Type="http://schemas.openxmlformats.org/officeDocument/2006/relationships/hyperlink" Target="https://exporters.czechtrade.gov.cz/alpa-a-s" TargetMode="External"/><Relationship Id="rId72" Type="http://schemas.openxmlformats.org/officeDocument/2006/relationships/hyperlink" Target="https://www.linkedin.com/search/results/companies/?keywords=ALPA%2C+a.s." TargetMode="External"/><Relationship Id="rId73" Type="http://schemas.openxmlformats.org/officeDocument/2006/relationships/hyperlink" Target="https://www.tescoma.cz/" TargetMode="External"/><Relationship Id="rId74" Type="http://schemas.openxmlformats.org/officeDocument/2006/relationships/hyperlink" Target="https://ambiente.messefrankfurt.com/frankfurt/en/exhibitor-search.detail.html/tescoma-spa.html" TargetMode="External"/><Relationship Id="rId75" Type="http://schemas.openxmlformats.org/officeDocument/2006/relationships/hyperlink" Target="https://www.linkedin.com/search/results/companies/?keywords=Tescoma+s.r.o." TargetMode="External"/><Relationship Id="rId76" Type="http://schemas.openxmlformats.org/officeDocument/2006/relationships/hyperlink" Target="https://www.google.com/search?q=Remoska+s.r.o.+Czech+Republic+official+website" TargetMode="External"/><Relationship Id="rId77" Type="http://schemas.openxmlformats.org/officeDocument/2006/relationships/hyperlink" Target="https://exporters.czechtrade.gov.cz/remoska" TargetMode="External"/><Relationship Id="rId78" Type="http://schemas.openxmlformats.org/officeDocument/2006/relationships/hyperlink" Target="https://www.linkedin.com/search/results/companies/?keywords=Remoska+s.r.o." TargetMode="External"/><Relationship Id="rId79" Type="http://schemas.openxmlformats.org/officeDocument/2006/relationships/hyperlink" Target="https://www.plastia.cz/" TargetMode="External"/><Relationship Id="rId80" Type="http://schemas.openxmlformats.org/officeDocument/2006/relationships/hyperlink" Target="https://exporters.czechtrade.gov.cz/plastia-s-r-o" TargetMode="External"/><Relationship Id="rId81" Type="http://schemas.openxmlformats.org/officeDocument/2006/relationships/hyperlink" Target="https://www.linkedin.com/search/results/companies/?keywords=PLASTIA+s.r.o." TargetMode="External"/><Relationship Id="rId82" Type="http://schemas.openxmlformats.org/officeDocument/2006/relationships/hyperlink" Target="https://www.google.com/search?q=BLEX%2C+a.s.+Czech+Republic+official+website" TargetMode="External"/><Relationship Id="rId83" Type="http://schemas.openxmlformats.org/officeDocument/2006/relationships/hyperlink" Target="https://exporters.czechtrade.gov.cz/blex-a-s" TargetMode="External"/><Relationship Id="rId84" Type="http://schemas.openxmlformats.org/officeDocument/2006/relationships/hyperlink" Target="https://www.linkedin.com/search/results/companies/?keywords=BLEX%2C+a.s." TargetMode="External"/><Relationship Id="rId85" Type="http://schemas.openxmlformats.org/officeDocument/2006/relationships/hyperlink" Target="https://www.drevotvar.cz/" TargetMode="External"/><Relationship Id="rId86" Type="http://schemas.openxmlformats.org/officeDocument/2006/relationships/hyperlink" Target="https://exporters.czechtrade.gov.cz/drevotvar-druzstvo" TargetMode="External"/><Relationship Id="rId87" Type="http://schemas.openxmlformats.org/officeDocument/2006/relationships/hyperlink" Target="https://www.linkedin.com/search/results/companies/?keywords=D&#345;evotvar+dru&#382;stvo" TargetMode="External"/><Relationship Id="rId88" Type="http://schemas.openxmlformats.org/officeDocument/2006/relationships/hyperlink" Target="https://www.google.com/search?q=Funky+Dog+%28Czech+eco+pet+accessories%29+Czech+Republic+official+website" TargetMode="External"/><Relationship Id="rId89" Type="http://schemas.openxmlformats.org/officeDocument/2006/relationships/hyperlink" Target="https://exporters.czechtrade.gov.cz/funky-dog" TargetMode="External"/><Relationship Id="rId90" Type="http://schemas.openxmlformats.org/officeDocument/2006/relationships/hyperlink" Target="https://www.linkedin.com/search/results/companies/?keywords=Funky+Dog" TargetMode="External"/><Relationship Id="rId91" Type="http://schemas.openxmlformats.org/officeDocument/2006/relationships/hyperlink" Target="http://www.tommicz.eu/" TargetMode="External"/><Relationship Id="rId92" Type="http://schemas.openxmlformats.org/officeDocument/2006/relationships/hyperlink" Target="https://exporters.czechtrade.cz/en/tommi-cz-s-r-o" TargetMode="External"/><Relationship Id="rId93" Type="http://schemas.openxmlformats.org/officeDocument/2006/relationships/hyperlink" Target="https://www.linkedin.com/search/results/companies/?keywords=Tommi+CZ+s.r.o." TargetMode="External"/><Relationship Id="rId94" Type="http://schemas.openxmlformats.org/officeDocument/2006/relationships/hyperlink" Target="https://www.gala.cz/" TargetMode="External"/><Relationship Id="rId95" Type="http://schemas.openxmlformats.org/officeDocument/2006/relationships/hyperlink" Target="https://about.fiba.basketball/es/services/equipment-and-venue/partners/92831-gala-as" TargetMode="External"/><Relationship Id="rId96" Type="http://schemas.openxmlformats.org/officeDocument/2006/relationships/hyperlink" Target="https://www.linkedin.com/search/results/companies/?keywords=GALA+a.s." TargetMode="External"/><Relationship Id="rId97" Type="http://schemas.openxmlformats.org/officeDocument/2006/relationships/hyperlink" Target="http://www.plastkon.cz/" TargetMode="External"/><Relationship Id="rId98" Type="http://schemas.openxmlformats.org/officeDocument/2006/relationships/hyperlink" Target="https://exporters.czechtrade.gov.cz/plastkon-product-s-r-o" TargetMode="External"/><Relationship Id="rId99" Type="http://schemas.openxmlformats.org/officeDocument/2006/relationships/hyperlink" Target="https://www.linkedin.com/search/results/companies/?keywords=Plastkon+product+s.r.o." TargetMode="External"/><Relationship Id="rId100" Type="http://schemas.openxmlformats.org/officeDocument/2006/relationships/hyperlink" Target="https://www.google.com/search?q=BP+Lumen+s.r.o.+Czech+Republic+official+website" TargetMode="External"/><Relationship Id="rId101" Type="http://schemas.openxmlformats.org/officeDocument/2006/relationships/hyperlink" Target="https://exporters.czechtrade.gov.cz/bp-lumen-s-r-o" TargetMode="External"/><Relationship Id="rId102" Type="http://schemas.openxmlformats.org/officeDocument/2006/relationships/hyperlink" Target="https://www.linkedin.com/search/results/companies/?keywords=BP+Lumen+s.r.o." TargetMode="External"/><Relationship Id="rId103" Type="http://schemas.openxmlformats.org/officeDocument/2006/relationships/hyperlink" Target="https://www.google.com/search?q=Sedco+s.r.o.+Czech+Republic+official+website" TargetMode="External"/><Relationship Id="rId104" Type="http://schemas.openxmlformats.org/officeDocument/2006/relationships/hyperlink" Target="https://www.decathlon.pl/mp/seller/sedco-pl/ce40a55e-9425-4578-969c-0599ab87e39c" TargetMode="External"/><Relationship Id="rId105" Type="http://schemas.openxmlformats.org/officeDocument/2006/relationships/hyperlink" Target="https://www.linkedin.com/search/results/companies/?keywords=Sedco+s.r.o." TargetMode="External"/><Relationship Id="rId106" Type="http://schemas.openxmlformats.org/officeDocument/2006/relationships/hyperlink" Target="https://www.koh-i-noor.cz/" TargetMode="External"/><Relationship Id="rId107" Type="http://schemas.openxmlformats.org/officeDocument/2006/relationships/hyperlink" Target="https://en.wikipedia.org/wiki/Koh-i-Noor_Hardtmuth" TargetMode="External"/><Relationship Id="rId108" Type="http://schemas.openxmlformats.org/officeDocument/2006/relationships/hyperlink" Target="https://www.linkedin.com/search/results/companies/?keywords=KOH-I-NOOR+HARDTMUTH+a.s." TargetMode="External"/><Relationship Id="rId109" Type="http://schemas.openxmlformats.org/officeDocument/2006/relationships/hyperlink" Target="https://www.dinotoys.cz/" TargetMode="External"/><Relationship Id="rId110" Type="http://schemas.openxmlformats.org/officeDocument/2006/relationships/hyperlink" Target="https://exporters.czechtrade.gov.cz/dino-toys" TargetMode="External"/><Relationship Id="rId111" Type="http://schemas.openxmlformats.org/officeDocument/2006/relationships/hyperlink" Target="https://www.linkedin.com/search/results/companies/?keywords=Dino+Toys+s.r.o." TargetMode="External"/><Relationship Id="rId112" Type="http://schemas.openxmlformats.org/officeDocument/2006/relationships/hyperlink" Target="https://www.albi.cz/" TargetMode="External"/><Relationship Id="rId113" Type="http://schemas.openxmlformats.org/officeDocument/2006/relationships/hyperlink" Target="https://www.businessinfo.cz/clanky/treti-rocnik-oceneni-ceskych-lidru-zna-viteze-pro-rok-2019/2/" TargetMode="External"/><Relationship Id="rId114" Type="http://schemas.openxmlformats.org/officeDocument/2006/relationships/hyperlink" Target="https://www.linkedin.com/search/results/companies/?keywords=Albi+&#268;esk&#225;+republika+a.s." TargetMode="External"/><Relationship Id="rId115" Type="http://schemas.openxmlformats.org/officeDocument/2006/relationships/hyperlink" Target="https://www.google.com/search?q=Bino+Europe+k.s.+Czech+Republic+official+website" TargetMode="External"/><Relationship Id="rId116" Type="http://schemas.openxmlformats.org/officeDocument/2006/relationships/hyperlink" Target="https://exporters.czechtrade.gov.cz/bino-europe" TargetMode="External"/><Relationship Id="rId117" Type="http://schemas.openxmlformats.org/officeDocument/2006/relationships/hyperlink" Target="https://www.linkedin.com/search/results/companies/?keywords=Bino+Europe+k.s." TargetMode="External"/><Relationship Id="rId118" Type="http://schemas.openxmlformats.org/officeDocument/2006/relationships/hyperlink" Target="https://www.babydan.com/" TargetMode="External"/><Relationship Id="rId119" Type="http://schemas.openxmlformats.org/officeDocument/2006/relationships/hyperlink" Target="https://www.boozt.com/eu/en/babydan/babydan-premier-white-1-extension_32677072" TargetMode="External"/><Relationship Id="rId120" Type="http://schemas.openxmlformats.org/officeDocument/2006/relationships/hyperlink" Target="https://www.linkedin.com/search/results/companies/?keywords=BabyDan+A%2FS" TargetMode="External"/><Relationship Id="rId121" Type="http://schemas.openxmlformats.org/officeDocument/2006/relationships/hyperlink" Target="https://www.liewood.com/" TargetMode="External"/><Relationship Id="rId122" Type="http://schemas.openxmlformats.org/officeDocument/2006/relationships/hyperlink" Target="https://www.bambinou.com/boite-pour-lingettes-emi-sandy-liewood" TargetMode="External"/><Relationship Id="rId123" Type="http://schemas.openxmlformats.org/officeDocument/2006/relationships/hyperlink" Target="https://www.linkedin.com/search/results/companies/?keywords=Liewood+A%2FS" TargetMode="External"/><Relationship Id="rId124" Type="http://schemas.openxmlformats.org/officeDocument/2006/relationships/hyperlink" Target="https://www.ecooking.com/" TargetMode="External"/><Relationship Id="rId125" Type="http://schemas.openxmlformats.org/officeDocument/2006/relationships/hyperlink" Target="https://www.bluegemcp.com/news/bluegem-iii-acquires-eccoking-amp" TargetMode="External"/><Relationship Id="rId126" Type="http://schemas.openxmlformats.org/officeDocument/2006/relationships/hyperlink" Target="https://www.linkedin.com/search/results/companies/?keywords=ECOOKING+A%2FS" TargetMode="External"/><Relationship Id="rId127" Type="http://schemas.openxmlformats.org/officeDocument/2006/relationships/hyperlink" Target="https://kruuse.com/frontpage/welcome-at-kruuse/about-kruuse" TargetMode="External"/><Relationship Id="rId128" Type="http://schemas.openxmlformats.org/officeDocument/2006/relationships/hyperlink" Target="https://www.fiercepharma.com/animal-health/henry-schein-expands-global-reach-taking-majority-stake-denmark-s-kruuse" TargetMode="External"/><Relationship Id="rId129" Type="http://schemas.openxmlformats.org/officeDocument/2006/relationships/hyperlink" Target="https://www.linkedin.com/search/results/companies/?keywords=J&#248;rgen+Kruuse+A%2FS" TargetMode="External"/><Relationship Id="rId130" Type="http://schemas.openxmlformats.org/officeDocument/2006/relationships/hyperlink" Target="https://www.oase-outdoors.dk/" TargetMode="External"/><Relationship Id="rId131" Type="http://schemas.openxmlformats.org/officeDocument/2006/relationships/hyperlink" Target="https://ratos.com/en/our-portfolio-companies/oase-outdoors" TargetMode="External"/><Relationship Id="rId132" Type="http://schemas.openxmlformats.org/officeDocument/2006/relationships/hyperlink" Target="https://www.linkedin.com/search/results/companies/?keywords=Oase+Outdoors+ApS" TargetMode="External"/><Relationship Id="rId133" Type="http://schemas.openxmlformats.org/officeDocument/2006/relationships/hyperlink" Target="https://www.select-sport.com/" TargetMode="External"/><Relationship Id="rId134" Type="http://schemas.openxmlformats.org/officeDocument/2006/relationships/hyperlink" Target="https://en.wikipedia.org/wiki/Select_Sport" TargetMode="External"/><Relationship Id="rId135" Type="http://schemas.openxmlformats.org/officeDocument/2006/relationships/hyperlink" Target="https://www.linkedin.com/search/results/companies/?keywords=Select+Sport+A%2FS" TargetMode="External"/><Relationship Id="rId136" Type="http://schemas.openxmlformats.org/officeDocument/2006/relationships/hyperlink" Target="https://www.google.com/search?q=Creativ+Company+A%2FS+Denmark+official+website" TargetMode="External"/><Relationship Id="rId137" Type="http://schemas.openxmlformats.org/officeDocument/2006/relationships/hyperlink" Target="https://nordic9.com/companies/creativ-company-company9497481794/" TargetMode="External"/><Relationship Id="rId138" Type="http://schemas.openxmlformats.org/officeDocument/2006/relationships/hyperlink" Target="https://www.linkedin.com/search/results/companies/?keywords=Creativ+Company+A%2FS" TargetMode="External"/><Relationship Id="rId139" Type="http://schemas.openxmlformats.org/officeDocument/2006/relationships/hyperlink" Target="https://www.plusplus.com/" TargetMode="External"/><Relationship Id="rId140" Type="http://schemas.openxmlformats.org/officeDocument/2006/relationships/hyperlink" Target="https://toyfair.co.uk/?p=44092" TargetMode="External"/><Relationship Id="rId141" Type="http://schemas.openxmlformats.org/officeDocument/2006/relationships/hyperlink" Target="https://www.linkedin.com/search/results/companies/?keywords=Plus-Plus+A%2FS" TargetMode="External"/><Relationship Id="rId142" Type="http://schemas.openxmlformats.org/officeDocument/2006/relationships/hyperlink" Target="https://www.lumene.com/" TargetMode="External"/><Relationship Id="rId143" Type="http://schemas.openxmlformats.org/officeDocument/2006/relationships/hyperlink" Target="https://en.wikipedia.org/wiki/Lumene" TargetMode="External"/><Relationship Id="rId144" Type="http://schemas.openxmlformats.org/officeDocument/2006/relationships/hyperlink" Target="https://www.linkedin.com/search/results/companies/?keywords=Lumene+Oy" TargetMode="External"/><Relationship Id="rId145" Type="http://schemas.openxmlformats.org/officeDocument/2006/relationships/hyperlink" Target="https://www.fiskarsgroup.com/" TargetMode="External"/><Relationship Id="rId146" Type="http://schemas.openxmlformats.org/officeDocument/2006/relationships/hyperlink" Target="https://en.wikipedia.org/wiki/Fiskars" TargetMode="External"/><Relationship Id="rId147" Type="http://schemas.openxmlformats.org/officeDocument/2006/relationships/hyperlink" Target="https://www.linkedin.com/search/results/companies/?keywords=Fiskars+Group" TargetMode="External"/><Relationship Id="rId148" Type="http://schemas.openxmlformats.org/officeDocument/2006/relationships/hyperlink" Target="https://www.orthexgroup.com/" TargetMode="External"/><Relationship Id="rId149" Type="http://schemas.openxmlformats.org/officeDocument/2006/relationships/hyperlink" Target="https://investors.orthexgroup.com/orthex-as-an-investment/orthex-business/" TargetMode="External"/><Relationship Id="rId150" Type="http://schemas.openxmlformats.org/officeDocument/2006/relationships/hyperlink" Target="https://www.linkedin.com/search/results/companies/?keywords=Orthex+Finland+Ab+Oy" TargetMode="External"/><Relationship Id="rId151" Type="http://schemas.openxmlformats.org/officeDocument/2006/relationships/hyperlink" Target="https://www.tactic.net/" TargetMode="External"/><Relationship Id="rId152" Type="http://schemas.openxmlformats.org/officeDocument/2006/relationships/hyperlink" Target="https://www.targikielce.pl/storage/file/core_files/2026/2/10/38c081dc055223b8918c75bcda5c0316/TacticGames-presentation-2025.pdf" TargetMode="External"/><Relationship Id="rId153" Type="http://schemas.openxmlformats.org/officeDocument/2006/relationships/hyperlink" Target="https://www.linkedin.com/search/results/companies/?keywords=Tactic+Games+Oy" TargetMode="External"/><Relationship Id="rId154" Type="http://schemas.openxmlformats.org/officeDocument/2006/relationships/hyperlink" Target="https://www.beaba.com/" TargetMode="External"/><Relationship Id="rId155" Type="http://schemas.openxmlformats.org/officeDocument/2006/relationships/hyperlink" Target="https://pitchbook.com/profiles/company/55401-85" TargetMode="External"/><Relationship Id="rId156" Type="http://schemas.openxmlformats.org/officeDocument/2006/relationships/hyperlink" Target="https://www.linkedin.com/search/results/companies/?keywords=B&#233;aba+Group" TargetMode="External"/><Relationship Id="rId157" Type="http://schemas.openxmlformats.org/officeDocument/2006/relationships/hyperlink" Target="https://www.babymoov.com/" TargetMode="External"/><Relationship Id="rId158" Type="http://schemas.openxmlformats.org/officeDocument/2006/relationships/hyperlink" Target="https://businesscoot.com/en/company/babymoov" TargetMode="External"/><Relationship Id="rId159" Type="http://schemas.openxmlformats.org/officeDocument/2006/relationships/hyperlink" Target="https://www.linkedin.com/search/results/companies/?keywords=Babymoov+Group" TargetMode="External"/><Relationship Id="rId160" Type="http://schemas.openxmlformats.org/officeDocument/2006/relationships/hyperlink" Target="https://www.expanscience.com/en/expanscience/company" TargetMode="External"/><Relationship Id="rId161" Type="http://schemas.openxmlformats.org/officeDocument/2006/relationships/hyperlink" Target="https://www.cosmebio.org/en/professional-information/cosmebio-members-directory/laboratoires-expanscience-1786/" TargetMode="External"/><Relationship Id="rId162" Type="http://schemas.openxmlformats.org/officeDocument/2006/relationships/hyperlink" Target="https://www.linkedin.com/search/results/companies/?keywords=Laboratoires+Expanscience" TargetMode="External"/><Relationship Id="rId163" Type="http://schemas.openxmlformats.org/officeDocument/2006/relationships/hyperlink" Target="https://www.arkopharma.com/" TargetMode="External"/><Relationship Id="rId164" Type="http://schemas.openxmlformats.org/officeDocument/2006/relationships/hyperlink" Target="https://pappers.fr/entreprise/307378489" TargetMode="External"/><Relationship Id="rId165" Type="http://schemas.openxmlformats.org/officeDocument/2006/relationships/hyperlink" Target="https://www.linkedin.com/search/results/companies/?keywords=Laboratoires+Arkopharma" TargetMode="External"/><Relationship Id="rId166" Type="http://schemas.openxmlformats.org/officeDocument/2006/relationships/hyperlink" Target="https://en.zolux.com/" TargetMode="External"/><Relationship Id="rId167" Type="http://schemas.openxmlformats.org/officeDocument/2006/relationships/hyperlink" Target="https://globalpetindustry.com/company/zolux-sas/" TargetMode="External"/><Relationship Id="rId168" Type="http://schemas.openxmlformats.org/officeDocument/2006/relationships/hyperlink" Target="https://www.linkedin.com/search/results/companies/?keywords=Zolux+SAS" TargetMode="External"/><Relationship Id="rId169" Type="http://schemas.openxmlformats.org/officeDocument/2006/relationships/hyperlink" Target="https://www.zefal.com/" TargetMode="External"/><Relationship Id="rId170" Type="http://schemas.openxmlformats.org/officeDocument/2006/relationships/hyperlink" Target="https://bikebiz.com/chicken-cyclekit-now-exclusive-distributor-of-zefal-in-uk/" TargetMode="External"/><Relationship Id="rId171" Type="http://schemas.openxmlformats.org/officeDocument/2006/relationships/hyperlink" Target="https://www.linkedin.com/search/results/companies/?keywords=Z&#233;fal+SAS" TargetMode="External"/><Relationship Id="rId172" Type="http://schemas.openxmlformats.org/officeDocument/2006/relationships/hyperlink" Target="https://www.hamelinbrands.com/" TargetMode="External"/><Relationship Id="rId173" Type="http://schemas.openxmlformats.org/officeDocument/2006/relationships/hyperlink" Target="https://www.lejournaldesentreprises.com/article/depuis-caen-hamelin-le-conquerant-ecrit-son-epopee-letranger-2136459" TargetMode="External"/><Relationship Id="rId174" Type="http://schemas.openxmlformats.org/officeDocument/2006/relationships/hyperlink" Target="https://www.linkedin.com/search/results/companies/?keywords=Groupe+Hamelin" TargetMode="External"/><Relationship Id="rId175" Type="http://schemas.openxmlformats.org/officeDocument/2006/relationships/hyperlink" Target="https://www.maped.com/" TargetMode="External"/><Relationship Id="rId176" Type="http://schemas.openxmlformats.org/officeDocument/2006/relationships/hyperlink" Target="https://www.lejournaldesentreprises.com/entreprise/maped" TargetMode="External"/><Relationship Id="rId177" Type="http://schemas.openxmlformats.org/officeDocument/2006/relationships/hyperlink" Target="https://www.linkedin.com/search/results/companies/?keywords=Maped+SAS" TargetMode="External"/><Relationship Id="rId178" Type="http://schemas.openxmlformats.org/officeDocument/2006/relationships/hyperlink" Target="https://exaclair.com/about_exaclair.php" TargetMode="External"/><Relationship Id="rId179" Type="http://schemas.openxmlformats.org/officeDocument/2006/relationships/hyperlink" Target="https://en.wikipedia.org/wiki/Clairefontaine_paper_mills" TargetMode="External"/><Relationship Id="rId180" Type="http://schemas.openxmlformats.org/officeDocument/2006/relationships/hyperlink" Target="https://www.linkedin.com/search/results/companies/?keywords=Exacompta+Clairefontaine" TargetMode="External"/><Relationship Id="rId181" Type="http://schemas.openxmlformats.org/officeDocument/2006/relationships/hyperlink" Target="https://www.janod.com/" TargetMode="External"/><Relationship Id="rId182" Type="http://schemas.openxmlformats.org/officeDocument/2006/relationships/hyperlink" Target="https://toybook.com/alex-brands-buys-french-toymaker-juratoys" TargetMode="External"/><Relationship Id="rId183" Type="http://schemas.openxmlformats.org/officeDocument/2006/relationships/hyperlink" Target="https://www.linkedin.com/search/results/companies/?keywords=Juratoys+SAS" TargetMode="External"/><Relationship Id="rId184" Type="http://schemas.openxmlformats.org/officeDocument/2006/relationships/hyperlink" Target="https://www.google.com/search?q=WDK+Groupe+Partner+France+official+website" TargetMode="External"/><Relationship Id="rId185" Type="http://schemas.openxmlformats.org/officeDocument/2006/relationships/hyperlink" Target="https://www.lejournaldesentreprises.com/breve/le-groupe-wdk-groupe-partner-elargit-son-implantation-en-normandie-2059970" TargetMode="External"/><Relationship Id="rId186" Type="http://schemas.openxmlformats.org/officeDocument/2006/relationships/hyperlink" Target="https://www.linkedin.com/search/results/companies/?keywords=WDK+Groupe+Partner" TargetMode="External"/><Relationship Id="rId187" Type="http://schemas.openxmlformats.org/officeDocument/2006/relationships/hyperlink" Target="https://www.zentrada.eu/" TargetMode="External"/><Relationship Id="rId188" Type="http://schemas.openxmlformats.org/officeDocument/2006/relationships/hyperlink" Target="https://www.euroshop-tradefair.com/en/Media_News/EuroShop_mag/Meet_zentrada_-_the_leading_european_trading_network_for_consumer_goods" TargetMode="External"/><Relationship Id="rId189" Type="http://schemas.openxmlformats.org/officeDocument/2006/relationships/hyperlink" Target="https://www.linkedin.com/search/results/companies/?keywords=zentrada" TargetMode="External"/><Relationship Id="rId190" Type="http://schemas.openxmlformats.org/officeDocument/2006/relationships/hyperlink" Target="https://www.mapa.de/" TargetMode="External"/><Relationship Id="rId191" Type="http://schemas.openxmlformats.org/officeDocument/2006/relationships/hyperlink" Target="https://app.implisense.com/en/companies/mapa-gmbh-zeven--DEXMHUNKPT74" TargetMode="External"/><Relationship Id="rId192" Type="http://schemas.openxmlformats.org/officeDocument/2006/relationships/hyperlink" Target="https://www.linkedin.com/search/results/companies/?keywords=MAPA+GmbH" TargetMode="External"/><Relationship Id="rId193" Type="http://schemas.openxmlformats.org/officeDocument/2006/relationships/hyperlink" Target="https://www.mambaby.com/" TargetMode="External"/><Relationship Id="rId194" Type="http://schemas.openxmlformats.org/officeDocument/2006/relationships/hyperlink" Target="https://www.stepstone.de/cmp/de/MAM-Babyartikel-GmbH-156886/uber-das-unternehmen.html" TargetMode="External"/><Relationship Id="rId195" Type="http://schemas.openxmlformats.org/officeDocument/2006/relationships/hyperlink" Target="https://www.linkedin.com/search/results/companies/?keywords=MAM+Babyartikel+GmbH" TargetMode="External"/><Relationship Id="rId196" Type="http://schemas.openxmlformats.org/officeDocument/2006/relationships/hyperlink" Target="https://www.hauck.de/" TargetMode="External"/><Relationship Id="rId197" Type="http://schemas.openxmlformats.org/officeDocument/2006/relationships/hyperlink" Target="https://nurserytoday.co.uk/2021/04/27/hauck-nursery-and-toys-once-again-under-one-roof/" TargetMode="External"/><Relationship Id="rId198" Type="http://schemas.openxmlformats.org/officeDocument/2006/relationships/hyperlink" Target="https://www.linkedin.com/search/results/companies/?keywords=hauck+GmbH+%26+Co.+KG" TargetMode="External"/><Relationship Id="rId199" Type="http://schemas.openxmlformats.org/officeDocument/2006/relationships/hyperlink" Target="https://www.laessig-fashion.de/" TargetMode="External"/><Relationship Id="rId200" Type="http://schemas.openxmlformats.org/officeDocument/2006/relationships/hyperlink" Target="https://mom.maison-objet.com/en/brand/10447/lassig-gmbh" TargetMode="External"/><Relationship Id="rId201" Type="http://schemas.openxmlformats.org/officeDocument/2006/relationships/hyperlink" Target="https://www.linkedin.com/search/results/companies/?keywords=L&#228;ssig+GmbH" TargetMode="External"/><Relationship Id="rId202" Type="http://schemas.openxmlformats.org/officeDocument/2006/relationships/hyperlink" Target="https://www.2e-vertrieb.de/" TargetMode="External"/><Relationship Id="rId203" Type="http://schemas.openxmlformats.org/officeDocument/2006/relationships/hyperlink" Target="https://app.implisense.com/en/companies/2e-vertriebs-gmbh-koeln--DEIMRWXA2I47" TargetMode="External"/><Relationship Id="rId204" Type="http://schemas.openxmlformats.org/officeDocument/2006/relationships/hyperlink" Target="https://www.linkedin.com/search/results/companies/?keywords=2E+Vertriebs-GmbH" TargetMode="External"/><Relationship Id="rId205" Type="http://schemas.openxmlformats.org/officeDocument/2006/relationships/hyperlink" Target="https://www.reer.de/" TargetMode="External"/><Relationship Id="rId206" Type="http://schemas.openxmlformats.org/officeDocument/2006/relationships/hyperlink" Target="https://ambiente.messefrankfurt.com/frankfurt/en/exhibitor-search.detail.html/safe--care-gmbh.html" TargetMode="External"/><Relationship Id="rId207" Type="http://schemas.openxmlformats.org/officeDocument/2006/relationships/hyperlink" Target="https://www.linkedin.com/search/results/companies/?keywords=reer+GmbH" TargetMode="External"/><Relationship Id="rId208" Type="http://schemas.openxmlformats.org/officeDocument/2006/relationships/hyperlink" Target="https://www.cosnova.com/" TargetMode="External"/><Relationship Id="rId209" Type="http://schemas.openxmlformats.org/officeDocument/2006/relationships/hyperlink" Target="https://www.cosnova.com/download/news/files/cosnova_Pressemitteilung_Gesch&#228;ftsjahr%202023_DE.pdf" TargetMode="External"/><Relationship Id="rId210" Type="http://schemas.openxmlformats.org/officeDocument/2006/relationships/hyperlink" Target="https://www.linkedin.com/search/results/companies/?keywords=cosnova+GmbH" TargetMode="External"/><Relationship Id="rId211" Type="http://schemas.openxmlformats.org/officeDocument/2006/relationships/hyperlink" Target="https://www.weleda.de/" TargetMode="External"/><Relationship Id="rId212" Type="http://schemas.openxmlformats.org/officeDocument/2006/relationships/hyperlink" Target="https://en.wikipedia.org/wiki/Weleda" TargetMode="External"/><Relationship Id="rId213" Type="http://schemas.openxmlformats.org/officeDocument/2006/relationships/hyperlink" Target="https://www.linkedin.com/search/results/companies/?keywords=Weleda+AG" TargetMode="External"/><Relationship Id="rId214" Type="http://schemas.openxmlformats.org/officeDocument/2006/relationships/hyperlink" Target="https://www.artdeco.de/" TargetMode="External"/><Relationship Id="rId215" Type="http://schemas.openxmlformats.org/officeDocument/2006/relationships/hyperlink" Target="https://www.registercheck.de/companies/artdeco-cosmetic-gmbh" TargetMode="External"/><Relationship Id="rId216" Type="http://schemas.openxmlformats.org/officeDocument/2006/relationships/hyperlink" Target="https://www.linkedin.com/search/results/companies/?keywords=ARTDECO+cosmetic+GmbH" TargetMode="External"/><Relationship Id="rId217" Type="http://schemas.openxmlformats.org/officeDocument/2006/relationships/hyperlink" Target="https://www.sante.de/" TargetMode="External"/><Relationship Id="rId218" Type="http://schemas.openxmlformats.org/officeDocument/2006/relationships/hyperlink" Target="https://www.sante.de/fileadmin/user_upload/Key_Account_Manager_Export__m_w_d_.pdf" TargetMode="External"/><Relationship Id="rId219" Type="http://schemas.openxmlformats.org/officeDocument/2006/relationships/hyperlink" Target="https://www.linkedin.com/search/results/companies/?keywords=LOGOCOS+Naturkosmetik+GmbH+%26+Co.+KG" TargetMode="External"/><Relationship Id="rId220" Type="http://schemas.openxmlformats.org/officeDocument/2006/relationships/hyperlink" Target="https://www.einhell.com/einhell-worldwide/" TargetMode="External"/><Relationship Id="rId221" Type="http://schemas.openxmlformats.org/officeDocument/2006/relationships/hyperlink" Target="https://eqs-news.com/company/einhell-germany-ag/info/5b77a516-ea7c-11e8-902f-2c44fd856d8c" TargetMode="External"/><Relationship Id="rId222" Type="http://schemas.openxmlformats.org/officeDocument/2006/relationships/hyperlink" Target="https://www.linkedin.com/search/results/companies/?keywords=Einhell+Germany+AG" TargetMode="External"/><Relationship Id="rId223" Type="http://schemas.openxmlformats.org/officeDocument/2006/relationships/hyperlink" Target="https://www.fischer.de/" TargetMode="External"/><Relationship Id="rId224" Type="http://schemas.openxmlformats.org/officeDocument/2006/relationships/hyperlink" Target="https://en.wikipedia.org/wiki/Fischerwerke" TargetMode="External"/><Relationship Id="rId225" Type="http://schemas.openxmlformats.org/officeDocument/2006/relationships/hyperlink" Target="https://www.linkedin.com/search/results/companies/?keywords=fischerwerke+GmbH+%26+Co.+KG" TargetMode="External"/><Relationship Id="rId226" Type="http://schemas.openxmlformats.org/officeDocument/2006/relationships/hyperlink" Target="https://www.gardena.com/" TargetMode="External"/><Relationship Id="rId227" Type="http://schemas.openxmlformats.org/officeDocument/2006/relationships/hyperlink" Target="https://diedeutscheindustrie.de/firma/gardena%20deutschland%20gmbh%20gardena%20gmbh/4000617/75090/eng" TargetMode="External"/><Relationship Id="rId228" Type="http://schemas.openxmlformats.org/officeDocument/2006/relationships/hyperlink" Target="https://www.linkedin.com/search/results/companies/?keywords=GARDENA+Deutschland+GmbH" TargetMode="External"/><Relationship Id="rId229" Type="http://schemas.openxmlformats.org/officeDocument/2006/relationships/hyperlink" Target="https://www.knipex.com/" TargetMode="External"/><Relationship Id="rId230" Type="http://schemas.openxmlformats.org/officeDocument/2006/relationships/hyperlink" Target="https://light-building.messefrankfurt.com/frankfurt/en/exhibitor-search.detail.html/knipex-werk-c-gustav-putsch-kg.html" TargetMode="External"/><Relationship Id="rId231" Type="http://schemas.openxmlformats.org/officeDocument/2006/relationships/hyperlink" Target="https://www.linkedin.com/search/results/companies/?keywords=KNIPEX-Werk+C.+Gustav+Putsch+KG" TargetMode="External"/><Relationship Id="rId232" Type="http://schemas.openxmlformats.org/officeDocument/2006/relationships/hyperlink" Target="https://www.wera.de/" TargetMode="External"/><Relationship Id="rId233" Type="http://schemas.openxmlformats.org/officeDocument/2006/relationships/hyperlink" Target="https://www.olander.com:443/pdf/catalog/katalog-en.pdf" TargetMode="External"/><Relationship Id="rId234" Type="http://schemas.openxmlformats.org/officeDocument/2006/relationships/hyperlink" Target="https://www.linkedin.com/search/results/companies/?keywords=Wera+Werkzeuge+GmbH" TargetMode="External"/><Relationship Id="rId235" Type="http://schemas.openxmlformats.org/officeDocument/2006/relationships/hyperlink" Target="https://www.wiha.com/" TargetMode="External"/><Relationship Id="rId236" Type="http://schemas.openxmlformats.org/officeDocument/2006/relationships/hyperlink" Target="https://www.wikipedia.org/wiki/Wiha_Tools" TargetMode="External"/><Relationship Id="rId237" Type="http://schemas.openxmlformats.org/officeDocument/2006/relationships/hyperlink" Target="https://www.linkedin.com/search/results/companies/?keywords=Wiha+Werkzeuge+GmbH" TargetMode="External"/><Relationship Id="rId238" Type="http://schemas.openxmlformats.org/officeDocument/2006/relationships/hyperlink" Target="https://www.kwb.eu/" TargetMode="External"/><Relationship Id="rId239" Type="http://schemas.openxmlformats.org/officeDocument/2006/relationships/hyperlink" Target="https://www.kwb.eu/en/disclaimer/" TargetMode="External"/><Relationship Id="rId240" Type="http://schemas.openxmlformats.org/officeDocument/2006/relationships/hyperlink" Target="https://www.linkedin.com/search/results/companies/?keywords=kwb+Germany+GmbH" TargetMode="External"/><Relationship Id="rId241" Type="http://schemas.openxmlformats.org/officeDocument/2006/relationships/hyperlink" Target="https://www.scheppach.com/" TargetMode="External"/><Relationship Id="rId242" Type="http://schemas.openxmlformats.org/officeDocument/2006/relationships/hyperlink" Target="https://www.bayern-international.de/en/company-database/company-details/scheppach-fabrikation-von-holzbearbeitungsmaschinen-gmbh-24047" TargetMode="External"/><Relationship Id="rId243" Type="http://schemas.openxmlformats.org/officeDocument/2006/relationships/hyperlink" Target="https://www.linkedin.com/search/results/companies/?keywords=Scheppach+GmbH" TargetMode="External"/><Relationship Id="rId244" Type="http://schemas.openxmlformats.org/officeDocument/2006/relationships/hyperlink" Target="https://www.guede.com/" TargetMode="External"/><Relationship Id="rId245" Type="http://schemas.openxmlformats.org/officeDocument/2006/relationships/hyperlink" Target="https://remira.com/en/overview-references/guede" TargetMode="External"/><Relationship Id="rId246" Type="http://schemas.openxmlformats.org/officeDocument/2006/relationships/hyperlink" Target="https://www.linkedin.com/search/results/companies/?keywords=G&#220;DE+GmbH+%26+Co.+KG" TargetMode="External"/><Relationship Id="rId247" Type="http://schemas.openxmlformats.org/officeDocument/2006/relationships/hyperlink" Target="https://www.wolfcraft.com/" TargetMode="External"/><Relationship Id="rId248" Type="http://schemas.openxmlformats.org/officeDocument/2006/relationships/hyperlink" Target="https://craft.co/wolfcraft" TargetMode="External"/><Relationship Id="rId249" Type="http://schemas.openxmlformats.org/officeDocument/2006/relationships/hyperlink" Target="https://www.linkedin.com/search/results/companies/?keywords=wolfcraft+GmbH" TargetMode="External"/><Relationship Id="rId250" Type="http://schemas.openxmlformats.org/officeDocument/2006/relationships/hyperlink" Target="https://www.google.com/search?q=Emporium+Handels+%26+Vertriebs+GmbH+%28B%26S+Group%29+Germany+official+website" TargetMode="External"/><Relationship Id="rId251" Type="http://schemas.openxmlformats.org/officeDocument/2006/relationships/hyperlink" Target="https://www.remotely.de/job/emporium-handels-vertriebs-gmbh-sales-representative-mwd-im-internationalen-grosshandel-vollzeit" TargetMode="External"/><Relationship Id="rId252" Type="http://schemas.openxmlformats.org/officeDocument/2006/relationships/hyperlink" Target="https://www.linkedin.com/search/results/companies/?keywords=Emporium+Handels+%26+Vertriebs+GmbH" TargetMode="External"/><Relationship Id="rId253" Type="http://schemas.openxmlformats.org/officeDocument/2006/relationships/hyperlink" Target="https://www.beurer.com/uk/facts/" TargetMode="External"/><Relationship Id="rId254" Type="http://schemas.openxmlformats.org/officeDocument/2006/relationships/hyperlink" Target="https://www.bheta.co.uk/suppliers/beurer-uk-limited" TargetMode="External"/><Relationship Id="rId255" Type="http://schemas.openxmlformats.org/officeDocument/2006/relationships/hyperlink" Target="https://www.linkedin.com/search/results/companies/?keywords=Beurer+GmbH" TargetMode="External"/><Relationship Id="rId256" Type="http://schemas.openxmlformats.org/officeDocument/2006/relationships/hyperlink" Target="https://www.medisana.de/" TargetMode="External"/><Relationship Id="rId257" Type="http://schemas.openxmlformats.org/officeDocument/2006/relationships/hyperlink" Target="https://www.wirtschaftsforum.de/medisana-ag" TargetMode="External"/><Relationship Id="rId258" Type="http://schemas.openxmlformats.org/officeDocument/2006/relationships/hyperlink" Target="https://www.linkedin.com/search/results/companies/?keywords=MEDISANA+AG" TargetMode="External"/><Relationship Id="rId259" Type="http://schemas.openxmlformats.org/officeDocument/2006/relationships/hyperlink" Target="https://www.kneipp.com/" TargetMode="External"/><Relationship Id="rId260" Type="http://schemas.openxmlformats.org/officeDocument/2006/relationships/hyperlink" Target="https://www.bayern-international.de/en/company-database/company-details/kneipp-werke-kneipp-mittel-zentrale-gmbh-co-kg-18967" TargetMode="External"/><Relationship Id="rId261" Type="http://schemas.openxmlformats.org/officeDocument/2006/relationships/hyperlink" Target="https://www.linkedin.com/search/results/companies/?keywords=Kneipp+GmbH" TargetMode="External"/><Relationship Id="rId262" Type="http://schemas.openxmlformats.org/officeDocument/2006/relationships/hyperlink" Target="https://www.hartmann.info/" TargetMode="External"/><Relationship Id="rId263" Type="http://schemas.openxmlformats.org/officeDocument/2006/relationships/hyperlink" Target="https://www.morningstar.com.au/investments/security/fra/PHH2" TargetMode="External"/><Relationship Id="rId264" Type="http://schemas.openxmlformats.org/officeDocument/2006/relationships/hyperlink" Target="https://www.linkedin.com/search/results/companies/?keywords=PAUL+HARTMANN+AG" TargetMode="External"/><Relationship Id="rId265" Type="http://schemas.openxmlformats.org/officeDocument/2006/relationships/hyperlink" Target="https://www.naturwaren-theiss.de/" TargetMode="External"/><Relationship Id="rId266" Type="http://schemas.openxmlformats.org/officeDocument/2006/relationships/hyperlink" Target="https://www.apotheke-adhoc.de/nachrichten/detail/markt/kosmetikhersteller-theiss-hofft-auf-dolorgiet/" TargetMode="External"/><Relationship Id="rId267" Type="http://schemas.openxmlformats.org/officeDocument/2006/relationships/hyperlink" Target="https://www.linkedin.com/search/results/companies/?keywords=Dr.+Theiss+Naturwaren+GmbH" TargetMode="External"/><Relationship Id="rId268" Type="http://schemas.openxmlformats.org/officeDocument/2006/relationships/hyperlink" Target="https://www.leifheit.com/" TargetMode="External"/><Relationship Id="rId269" Type="http://schemas.openxmlformats.org/officeDocument/2006/relationships/hyperlink" Target="https://pitchbook.com/profiles/company/64260-55" TargetMode="External"/><Relationship Id="rId270" Type="http://schemas.openxmlformats.org/officeDocument/2006/relationships/hyperlink" Target="https://www.linkedin.com/search/results/companies/?keywords=Leifheit+AG" TargetMode="External"/><Relationship Id="rId271" Type="http://schemas.openxmlformats.org/officeDocument/2006/relationships/hyperlink" Target="https://www.ifa-berlin.com/exhibitors/wolfsohn" TargetMode="External"/><Relationship Id="rId272" Type="http://schemas.openxmlformats.org/officeDocument/2006/relationships/hyperlink" Target="https://www.ifa-berlin.com/exhibitors/wolfsohn" TargetMode="External"/><Relationship Id="rId273" Type="http://schemas.openxmlformats.org/officeDocument/2006/relationships/hyperlink" Target="https://www.linkedin.com/search/results/companies/?keywords=Wolfsohn" TargetMode="External"/><Relationship Id="rId274" Type="http://schemas.openxmlformats.org/officeDocument/2006/relationships/hyperlink" Target="https://www.gefu.com/" TargetMode="External"/><Relationship Id="rId275" Type="http://schemas.openxmlformats.org/officeDocument/2006/relationships/hyperlink" Target="https://www.wirtschaftsforum.de/gefu-gmbh" TargetMode="External"/><Relationship Id="rId276" Type="http://schemas.openxmlformats.org/officeDocument/2006/relationships/hyperlink" Target="https://www.linkedin.com/search/results/companies/?keywords=GEFU+GmbH" TargetMode="External"/><Relationship Id="rId277" Type="http://schemas.openxmlformats.org/officeDocument/2006/relationships/hyperlink" Target="https://www.severin.com/" TargetMode="External"/><Relationship Id="rId278" Type="http://schemas.openxmlformats.org/officeDocument/2006/relationships/hyperlink" Target="https://ifa-berlin.com/exhibitors/severin-elektrogeraete-gmbh" TargetMode="External"/><Relationship Id="rId279" Type="http://schemas.openxmlformats.org/officeDocument/2006/relationships/hyperlink" Target="https://www.linkedin.com/search/results/companies/?keywords=SEVERIN+Elektroger&#228;te+GmbH" TargetMode="External"/><Relationship Id="rId280" Type="http://schemas.openxmlformats.org/officeDocument/2006/relationships/hyperlink" Target="https://www.westmark.de/" TargetMode="External"/><Relationship Id="rId281" Type="http://schemas.openxmlformats.org/officeDocument/2006/relationships/hyperlink" Target="https://conzoom-solutions.messefrankfurt.com/frankfurt/en/market-directory.detail.html/AMBIENTE/westmark-gmbh.html" TargetMode="External"/><Relationship Id="rId282" Type="http://schemas.openxmlformats.org/officeDocument/2006/relationships/hyperlink" Target="https://www.linkedin.com/search/results/companies/?keywords=Westmark+GmbH" TargetMode="External"/><Relationship Id="rId283" Type="http://schemas.openxmlformats.org/officeDocument/2006/relationships/hyperlink" Target="https://www.clatronic.de/" TargetMode="External"/><Relationship Id="rId284" Type="http://schemas.openxmlformats.org/officeDocument/2006/relationships/hyperlink" Target="https://app.implisense.com/en/companies/c-bomann-gmbh-kempen--DEEFREKBW207" TargetMode="External"/><Relationship Id="rId285" Type="http://schemas.openxmlformats.org/officeDocument/2006/relationships/hyperlink" Target="https://www.linkedin.com/search/results/companies/?keywords=Clatronic+International+GmbH" TargetMode="External"/><Relationship Id="rId286" Type="http://schemas.openxmlformats.org/officeDocument/2006/relationships/hyperlink" Target="https://www.trixie.de/" TargetMode="External"/><Relationship Id="rId287" Type="http://schemas.openxmlformats.org/officeDocument/2006/relationships/hyperlink" Target="https://www.petbusinessworld.co.uk/trade-news/manufacturers/trixie-opens-new-uk-warehouse.html" TargetMode="External"/><Relationship Id="rId288" Type="http://schemas.openxmlformats.org/officeDocument/2006/relationships/hyperlink" Target="https://www.linkedin.com/search/results/companies/?keywords=TRIXIE+Heimtierbedarf" TargetMode="External"/><Relationship Id="rId289" Type="http://schemas.openxmlformats.org/officeDocument/2006/relationships/hyperlink" Target="https://www.kerbl.com/" TargetMode="External"/><Relationship Id="rId290" Type="http://schemas.openxmlformats.org/officeDocument/2006/relationships/hyperlink" Target="https://www.interzoo.com/en/exhibitors/albert-kerbl-gmbh-2497632" TargetMode="External"/><Relationship Id="rId291" Type="http://schemas.openxmlformats.org/officeDocument/2006/relationships/hyperlink" Target="https://www.linkedin.com/search/results/companies/?keywords=Albert+Kerbl+GmbH" TargetMode="External"/><Relationship Id="rId292" Type="http://schemas.openxmlformats.org/officeDocument/2006/relationships/hyperlink" Target="https://www.gimborn.eu/" TargetMode="External"/><Relationship Id="rId293" Type="http://schemas.openxmlformats.org/officeDocument/2006/relationships/hyperlink" Target="https://www.wirtschaftsforum.de/h-von-gimborn-gmbh" TargetMode="External"/><Relationship Id="rId294" Type="http://schemas.openxmlformats.org/officeDocument/2006/relationships/hyperlink" Target="https://www.linkedin.com/search/results/companies/?keywords=H.+von+Gimborn+GmbH" TargetMode="External"/><Relationship Id="rId295" Type="http://schemas.openxmlformats.org/officeDocument/2006/relationships/hyperlink" Target="https://www.hunter.de/" TargetMode="External"/><Relationship Id="rId296" Type="http://schemas.openxmlformats.org/officeDocument/2006/relationships/hyperlink" Target="https://www.interzoo.com/en/exhibitors/hunter-international-gmbh-2500702" TargetMode="External"/><Relationship Id="rId297" Type="http://schemas.openxmlformats.org/officeDocument/2006/relationships/hyperlink" Target="https://www.linkedin.com/search/results/companies/?keywords=HUNTER+International+GmbH" TargetMode="External"/><Relationship Id="rId298" Type="http://schemas.openxmlformats.org/officeDocument/2006/relationships/hyperlink" Target="https://www.nobby.de/" TargetMode="External"/><Relationship Id="rId299" Type="http://schemas.openxmlformats.org/officeDocument/2006/relationships/hyperlink" Target="https://www.interzoo.com/en/exhibitors/nobby-pet-shop-gmbh-2498529" TargetMode="External"/><Relationship Id="rId300" Type="http://schemas.openxmlformats.org/officeDocument/2006/relationships/hyperlink" Target="https://www.linkedin.com/search/results/companies/?keywords=Nobby+Pet+Shop+GmbH" TargetMode="External"/><Relationship Id="rId301" Type="http://schemas.openxmlformats.org/officeDocument/2006/relationships/hyperlink" Target="https://www.vitakraft.com/" TargetMode="External"/><Relationship Id="rId302" Type="http://schemas.openxmlformats.org/officeDocument/2006/relationships/hyperlink" Target="https://www.petfoodindustry.com/top-pet-food-companies/company/vitakraft-pet-care-gmbh-co" TargetMode="External"/><Relationship Id="rId303" Type="http://schemas.openxmlformats.org/officeDocument/2006/relationships/hyperlink" Target="https://www.linkedin.com/search/results/companies/?keywords=Vitakraft+pet+care+GmbH+%26+Co.+KG" TargetMode="External"/><Relationship Id="rId304" Type="http://schemas.openxmlformats.org/officeDocument/2006/relationships/hyperlink" Target="https://www.portapet.de/" TargetMode="External"/><Relationship Id="rId305" Type="http://schemas.openxmlformats.org/officeDocument/2006/relationships/hyperlink" Target="https://www.zoomark.it/en/2025-exhibitors-catalogue/exhibitor-detail/?id=9032" TargetMode="External"/><Relationship Id="rId306" Type="http://schemas.openxmlformats.org/officeDocument/2006/relationships/hyperlink" Target="https://www.linkedin.com/search/results/companies/?keywords=Schulze+Heimtierbedarf+GmbH" TargetMode="External"/><Relationship Id="rId307" Type="http://schemas.openxmlformats.org/officeDocument/2006/relationships/hyperlink" Target="https://josera-importers.com/" TargetMode="External"/><Relationship Id="rId308" Type="http://schemas.openxmlformats.org/officeDocument/2006/relationships/hyperlink" Target="https://www.zoomark.it/en/2025-exhibitors-catalogue/exhibitor-detail/6135.html?id=8989" TargetMode="External"/><Relationship Id="rId309" Type="http://schemas.openxmlformats.org/officeDocument/2006/relationships/hyperlink" Target="https://www.linkedin.com/search/results/companies/?keywords=Josera+Petfood+GmbH+%26+Co.+KG" TargetMode="External"/><Relationship Id="rId310" Type="http://schemas.openxmlformats.org/officeDocument/2006/relationships/hyperlink" Target="https://www.google.com/search?q=WOLTERS+cat+%26+dog+GmbH+Germany+official+website" TargetMode="External"/><Relationship Id="rId311" Type="http://schemas.openxmlformats.org/officeDocument/2006/relationships/hyperlink" Target="https://lei.bloomberg.com/leis/view/529900TR7E9HGHJXO533" TargetMode="External"/><Relationship Id="rId312" Type="http://schemas.openxmlformats.org/officeDocument/2006/relationships/hyperlink" Target="https://www.linkedin.com/search/results/companies/?keywords=WOLTERS+cat+%26+dog+GmbH" TargetMode="External"/><Relationship Id="rId313" Type="http://schemas.openxmlformats.org/officeDocument/2006/relationships/hyperlink" Target="https://www.paul-lange.de/" TargetMode="External"/><Relationship Id="rId314" Type="http://schemas.openxmlformats.org/officeDocument/2006/relationships/hyperlink" Target="https://www.tour-magazin.de/en/brakes/interview-on-the-occasion-of-paul-lange-s-75th-company-anniversary/" TargetMode="External"/><Relationship Id="rId315" Type="http://schemas.openxmlformats.org/officeDocument/2006/relationships/hyperlink" Target="https://www.linkedin.com/search/results/companies/?keywords=Paul+Lange+%26+Co.+OHG" TargetMode="External"/><Relationship Id="rId316" Type="http://schemas.openxmlformats.org/officeDocument/2006/relationships/hyperlink" Target="https://sigma.bike/" TargetMode="External"/><Relationship Id="rId317" Type="http://schemas.openxmlformats.org/officeDocument/2006/relationships/hyperlink" Target="https://www.wirtschaftsforum.de/sigma-elektro-gmbh" TargetMode="External"/><Relationship Id="rId318" Type="http://schemas.openxmlformats.org/officeDocument/2006/relationships/hyperlink" Target="https://www.linkedin.com/search/results/companies/?keywords=SIGMA-ELEKTRO+GmbH" TargetMode="External"/><Relationship Id="rId319" Type="http://schemas.openxmlformats.org/officeDocument/2006/relationships/hyperlink" Target="https://www.sks-germany.com/" TargetMode="External"/><Relationship Id="rId320" Type="http://schemas.openxmlformats.org/officeDocument/2006/relationships/hyperlink" Target="https://www.sks-germany.com/en/blog/sks-germany-achieves-record-sales-in-its-anniversary-year/" TargetMode="External"/><Relationship Id="rId321" Type="http://schemas.openxmlformats.org/officeDocument/2006/relationships/hyperlink" Target="https://www.linkedin.com/search/results/companies/?keywords=SKS+metaplast+Scheffer-Klute+GmbH" TargetMode="External"/><Relationship Id="rId322" Type="http://schemas.openxmlformats.org/officeDocument/2006/relationships/hyperlink" Target="https://kettlersport.com/en-dk/about-us/" TargetMode="External"/><Relationship Id="rId323" Type="http://schemas.openxmlformats.org/officeDocument/2006/relationships/hyperlink" Target="https://en.wikipedia.org/wiki/Kettler" TargetMode="External"/><Relationship Id="rId324" Type="http://schemas.openxmlformats.org/officeDocument/2006/relationships/hyperlink" Target="https://www.linkedin.com/search/results/companies/?keywords=Fitshop+GmbH" TargetMode="External"/><Relationship Id="rId325" Type="http://schemas.openxmlformats.org/officeDocument/2006/relationships/hyperlink" Target="https://www.hudora.de/" TargetMode="External"/><Relationship Id="rId326" Type="http://schemas.openxmlformats.org/officeDocument/2006/relationships/hyperlink" Target="https://www.unternehmeredition.de/serie-hidden-champions-hudora-gmbh/" TargetMode="External"/><Relationship Id="rId327" Type="http://schemas.openxmlformats.org/officeDocument/2006/relationships/hyperlink" Target="https://www.linkedin.com/search/results/companies/?keywords=HUDORA+GmbH" TargetMode="External"/><Relationship Id="rId328" Type="http://schemas.openxmlformats.org/officeDocument/2006/relationships/hyperlink" Target="https://hartje.de/en/company/" TargetMode="External"/><Relationship Id="rId329" Type="http://schemas.openxmlformats.org/officeDocument/2006/relationships/hyperlink" Target="https://hartje.de/en/company/" TargetMode="External"/><Relationship Id="rId330" Type="http://schemas.openxmlformats.org/officeDocument/2006/relationships/hyperlink" Target="https://www.linkedin.com/search/results/companies/?keywords=Hermann+Hartje+KG" TargetMode="External"/><Relationship Id="rId331" Type="http://schemas.openxmlformats.org/officeDocument/2006/relationships/hyperlink" Target="https://sportimport.de/" TargetMode="External"/><Relationship Id="rId332" Type="http://schemas.openxmlformats.org/officeDocument/2006/relationships/hyperlink" Target="https://www.bike-eu.com/45360/sport-imports-transformation-into-a-european-partner-for-the-cycling-industry" TargetMode="External"/><Relationship Id="rId333" Type="http://schemas.openxmlformats.org/officeDocument/2006/relationships/hyperlink" Target="https://www.linkedin.com/search/results/companies/?keywords=Sport+Import+GmbH" TargetMode="External"/><Relationship Id="rId334" Type="http://schemas.openxmlformats.org/officeDocument/2006/relationships/hyperlink" Target="https://www.google.com/search?q=Absolut+Bikes+GmbH+Germany+official+website" TargetMode="External"/><Relationship Id="rId335" Type="http://schemas.openxmlformats.org/officeDocument/2006/relationships/hyperlink" Target="https://imap.com/en/news/2021/absolute-bikes~n" TargetMode="External"/><Relationship Id="rId336" Type="http://schemas.openxmlformats.org/officeDocument/2006/relationships/hyperlink" Target="https://www.linkedin.com/search/results/companies/?keywords=Absolut+Bikes+GmbH" TargetMode="External"/><Relationship Id="rId337" Type="http://schemas.openxmlformats.org/officeDocument/2006/relationships/hyperlink" Target="https://www.provenexpert.com/acecamp-gmbh/" TargetMode="External"/><Relationship Id="rId338" Type="http://schemas.openxmlformats.org/officeDocument/2006/relationships/hyperlink" Target="https://www.provenexpert.com/acecamp-gmbh/" TargetMode="External"/><Relationship Id="rId339" Type="http://schemas.openxmlformats.org/officeDocument/2006/relationships/hyperlink" Target="https://www.linkedin.com/search/results/companies/?keywords=AceCamp+GmbH" TargetMode="External"/><Relationship Id="rId340" Type="http://schemas.openxmlformats.org/officeDocument/2006/relationships/hyperlink" Target="https://www.hammer.de/" TargetMode="External"/><Relationship Id="rId341" Type="http://schemas.openxmlformats.org/officeDocument/2006/relationships/hyperlink" Target="https://www.diedeutscheindustrie.de/firma/hammer%20sport%20ag%20hammer%20sport%20ag/4037288/96648/eng" TargetMode="External"/><Relationship Id="rId342" Type="http://schemas.openxmlformats.org/officeDocument/2006/relationships/hyperlink" Target="https://www.linkedin.com/search/results/companies/?keywords=HAMMER+SPORT+AG" TargetMode="External"/><Relationship Id="rId343" Type="http://schemas.openxmlformats.org/officeDocument/2006/relationships/hyperlink" Target="https://www.sport-thieme.de/" TargetMode="External"/><Relationship Id="rId344" Type="http://schemas.openxmlformats.org/officeDocument/2006/relationships/hyperlink" Target="https://www.wirtschaftsforum.de/sport-thieme-gmbh" TargetMode="External"/><Relationship Id="rId345" Type="http://schemas.openxmlformats.org/officeDocument/2006/relationships/hyperlink" Target="https://www.linkedin.com/search/results/companies/?keywords=Sport-Thieme+GmbH" TargetMode="External"/><Relationship Id="rId346" Type="http://schemas.openxmlformats.org/officeDocument/2006/relationships/hyperlink" Target="https://www.edding.com/en-uk/" TargetMode="External"/><Relationship Id="rId347" Type="http://schemas.openxmlformats.org/officeDocument/2006/relationships/hyperlink" Target="https://www.edding.com/career/application/" TargetMode="External"/><Relationship Id="rId348" Type="http://schemas.openxmlformats.org/officeDocument/2006/relationships/hyperlink" Target="https://www.linkedin.com/search/results/companies/?keywords=edding+International+GmbH" TargetMode="External"/><Relationship Id="rId349" Type="http://schemas.openxmlformats.org/officeDocument/2006/relationships/hyperlink" Target="https://www.staedtler.com/intl/en/company" TargetMode="External"/><Relationship Id="rId350" Type="http://schemas.openxmlformats.org/officeDocument/2006/relationships/hyperlink" Target="https://www.bayern-international.de/en/company-database/company-details/staedtler-mars-gmbh-co-schreib-und-zeichengeraetefabriken-1000204" TargetMode="External"/><Relationship Id="rId351" Type="http://schemas.openxmlformats.org/officeDocument/2006/relationships/hyperlink" Target="https://www.linkedin.com/search/results/companies/?keywords=STAEDTLER+Mars+GmbH+%26+Co.+KG" TargetMode="External"/><Relationship Id="rId352" Type="http://schemas.openxmlformats.org/officeDocument/2006/relationships/hyperlink" Target="https://www.durable.eu/" TargetMode="External"/><Relationship Id="rId353" Type="http://schemas.openxmlformats.org/officeDocument/2006/relationships/hyperlink" Target="https://orgatec.com/exhibitor/durable" TargetMode="External"/><Relationship Id="rId354" Type="http://schemas.openxmlformats.org/officeDocument/2006/relationships/hyperlink" Target="https://www.linkedin.com/search/results/companies/?keywords=DURABLE+Hunke+%26+Jochheim+GmbH+%26+Co.+KG" TargetMode="External"/><Relationship Id="rId355" Type="http://schemas.openxmlformats.org/officeDocument/2006/relationships/hyperlink" Target="https://www.schneiderpen.com/" TargetMode="External"/><Relationship Id="rId356" Type="http://schemas.openxmlformats.org/officeDocument/2006/relationships/hyperlink" Target="https://paperworldme.german-pavilion.com/en/sites/exhibitors/111236" TargetMode="External"/><Relationship Id="rId357" Type="http://schemas.openxmlformats.org/officeDocument/2006/relationships/hyperlink" Target="https://www.linkedin.com/search/results/companies/?keywords=Schneider+Schreibger&#228;te+GmbH" TargetMode="External"/><Relationship Id="rId358" Type="http://schemas.openxmlformats.org/officeDocument/2006/relationships/hyperlink" Target="https://pelikan.com/int/company/pelikan-group-gmbh.html" TargetMode="External"/><Relationship Id="rId359" Type="http://schemas.openxmlformats.org/officeDocument/2006/relationships/hyperlink" Target="https://pelikan.com/int/company/pelikan-group-gmbh.html" TargetMode="External"/><Relationship Id="rId360" Type="http://schemas.openxmlformats.org/officeDocument/2006/relationships/hyperlink" Target="https://www.linkedin.com/search/results/companies/?keywords=Pelikan+Group+GmbH" TargetMode="External"/><Relationship Id="rId361" Type="http://schemas.openxmlformats.org/officeDocument/2006/relationships/hyperlink" Target="https://www.kosmos.de/" TargetMode="External"/><Relationship Id="rId362" Type="http://schemas.openxmlformats.org/officeDocument/2006/relationships/hyperlink" Target="https://boardgamewire.com/index.php/2026/02/17/kosmos-takes-full-ownership-of-distribution-arm-thames-kosmos-uk-amid-retirement-of-latters-founding-directors/" TargetMode="External"/><Relationship Id="rId363" Type="http://schemas.openxmlformats.org/officeDocument/2006/relationships/hyperlink" Target="https://www.linkedin.com/search/results/companies/?keywords=Franckh-Kosmos+Verlags-GmbH+%26+Co.+KG" TargetMode="External"/><Relationship Id="rId364" Type="http://schemas.openxmlformats.org/officeDocument/2006/relationships/hyperlink" Target="https://www.carrera-revell-toys.com/" TargetMode="External"/><Relationship Id="rId365" Type="http://schemas.openxmlformats.org/officeDocument/2006/relationships/hyperlink" Target="https://toyworldmag.co.uk/?p=190811" TargetMode="External"/><Relationship Id="rId366" Type="http://schemas.openxmlformats.org/officeDocument/2006/relationships/hyperlink" Target="https://www.linkedin.com/search/results/companies/?keywords=Carrera+Revell+Europe+GmbH" TargetMode="External"/><Relationship Id="rId367" Type="http://schemas.openxmlformats.org/officeDocument/2006/relationships/hyperlink" Target="https://www.simba-dickie-group.com/" TargetMode="External"/><Relationship Id="rId368" Type="http://schemas.openxmlformats.org/officeDocument/2006/relationships/hyperlink" Target="https://www.bayern-international.de/en/company-database/company-details/simba-dickie-group-1010977" TargetMode="External"/><Relationship Id="rId369" Type="http://schemas.openxmlformats.org/officeDocument/2006/relationships/hyperlink" Target="https://www.linkedin.com/search/results/companies/?keywords=Simba+Dickie+Group+GmbH" TargetMode="External"/><Relationship Id="rId370" Type="http://schemas.openxmlformats.org/officeDocument/2006/relationships/hyperlink" Target="https://depesche.com/" TargetMode="External"/><Relationship Id="rId371" Type="http://schemas.openxmlformats.org/officeDocument/2006/relationships/hyperlink" Target="https://depesche.com/en/about-us/history" TargetMode="External"/><Relationship Id="rId372" Type="http://schemas.openxmlformats.org/officeDocument/2006/relationships/hyperlink" Target="https://www.linkedin.com/search/results/companies/?keywords=Depesche+Vertrieb+GmbH+%26+Co.+KG" TargetMode="External"/><Relationship Id="rId373" Type="http://schemas.openxmlformats.org/officeDocument/2006/relationships/hyperlink" Target="https://www.goki.eu/" TargetMode="External"/><Relationship Id="rId374" Type="http://schemas.openxmlformats.org/officeDocument/2006/relationships/hyperlink" Target="https://www.gelbeseiten.de/gsbiz/aaa25a93-3a4f-45fc-893c-c0e732d97277" TargetMode="External"/><Relationship Id="rId375" Type="http://schemas.openxmlformats.org/officeDocument/2006/relationships/hyperlink" Target="https://www.linkedin.com/search/results/companies/?keywords=Gollnest+%26+Kiesel+GmbH+%26+Co.+KG" TargetMode="External"/><Relationship Id="rId376" Type="http://schemas.openxmlformats.org/officeDocument/2006/relationships/hyperlink" Target="https://b2b.small-foot.de/en/" TargetMode="External"/><Relationship Id="rId377" Type="http://schemas.openxmlformats.org/officeDocument/2006/relationships/hyperlink" Target="https://b2b.small-foot.de/en/" TargetMode="External"/><Relationship Id="rId378" Type="http://schemas.openxmlformats.org/officeDocument/2006/relationships/hyperlink" Target="https://www.linkedin.com/search/results/companies/?keywords=small+foot+GmbH+%26+Co.+KG" TargetMode="External"/><Relationship Id="rId379" Type="http://schemas.openxmlformats.org/officeDocument/2006/relationships/hyperlink" Target="https://pegasus.de/en/about/" TargetMode="External"/><Relationship Id="rId380" Type="http://schemas.openxmlformats.org/officeDocument/2006/relationships/hyperlink" Target="https://en.wikipedia.org/wiki/Pegasus_Spiele" TargetMode="External"/><Relationship Id="rId381" Type="http://schemas.openxmlformats.org/officeDocument/2006/relationships/hyperlink" Target="https://www.linkedin.com/search/results/companies/?keywords=Pegasus+Spiele+GmbH" TargetMode="External"/><Relationship Id="rId382" Type="http://schemas.openxmlformats.org/officeDocument/2006/relationships/hyperlink" Target="https://www.vedes-gruppe.de/" TargetMode="External"/><Relationship Id="rId383" Type="http://schemas.openxmlformats.org/officeDocument/2006/relationships/hyperlink" Target="https://en.wikipedia.org/wiki/Vedes" TargetMode="External"/><Relationship Id="rId384" Type="http://schemas.openxmlformats.org/officeDocument/2006/relationships/hyperlink" Target="https://www.linkedin.com/search/results/companies/?keywords=VEDES+Gro&#223;handel+GmbH" TargetMode="External"/><Relationship Id="rId385" Type="http://schemas.openxmlformats.org/officeDocument/2006/relationships/hyperlink" Target="https://www.korres.com/" TargetMode="External"/><Relationship Id="rId386" Type="http://schemas.openxmlformats.org/officeDocument/2006/relationships/hyperlink" Target="https://athens.euronext.com/en/node/542840" TargetMode="External"/><Relationship Id="rId387" Type="http://schemas.openxmlformats.org/officeDocument/2006/relationships/hyperlink" Target="https://www.linkedin.com/search/results/companies/?keywords=KORRES+S.A.+Natural+Products" TargetMode="External"/><Relationship Id="rId388" Type="http://schemas.openxmlformats.org/officeDocument/2006/relationships/hyperlink" Target="https://www.apivita.com/" TargetMode="External"/><Relationship Id="rId389" Type="http://schemas.openxmlformats.org/officeDocument/2006/relationships/hyperlink" Target="https://www.amna.gr/print/183565" TargetMode="External"/><Relationship Id="rId390" Type="http://schemas.openxmlformats.org/officeDocument/2006/relationships/hyperlink" Target="https://www.linkedin.com/search/results/companies/?keywords=APIVITA+S.A." TargetMode="External"/><Relationship Id="rId391" Type="http://schemas.openxmlformats.org/officeDocument/2006/relationships/hyperlink" Target="https://www.papoutsanis.gr/" TargetMode="External"/><Relationship Id="rId392" Type="http://schemas.openxmlformats.org/officeDocument/2006/relationships/hyperlink" Target="https://www.papoutsanis.gr/en/investor-relations/company-presentations-3_131347/" TargetMode="External"/><Relationship Id="rId393" Type="http://schemas.openxmlformats.org/officeDocument/2006/relationships/hyperlink" Target="https://www.linkedin.com/search/results/companies/?keywords=Papoutsanis+S.A." TargetMode="External"/><Relationship Id="rId394" Type="http://schemas.openxmlformats.org/officeDocument/2006/relationships/hyperlink" Target="https://www.frezyderm.com/" TargetMode="External"/><Relationship Id="rId395" Type="http://schemas.openxmlformats.org/officeDocument/2006/relationships/hyperlink" Target="https://www.cphi-online.com/company/frezyderm-s-a/" TargetMode="External"/><Relationship Id="rId396" Type="http://schemas.openxmlformats.org/officeDocument/2006/relationships/hyperlink" Target="https://www.linkedin.com/search/results/companies/?keywords=FREZYDERM+S.A." TargetMode="External"/><Relationship Id="rId397" Type="http://schemas.openxmlformats.org/officeDocument/2006/relationships/hyperlink" Target="https://www.helia-d.hu/" TargetMode="External"/><Relationship Id="rId398" Type="http://schemas.openxmlformats.org/officeDocument/2006/relationships/hyperlink" Target="https://bet.hu/site/Angol/Contents/Issuers/bet50/bet50-2018/bet50-companies-2018/helia-d-kft.---the-sunny-side" TargetMode="External"/><Relationship Id="rId399" Type="http://schemas.openxmlformats.org/officeDocument/2006/relationships/hyperlink" Target="https://www.linkedin.com/search/results/companies/?keywords=HELIA-D+Kft." TargetMode="External"/><Relationship Id="rId400" Type="http://schemas.openxmlformats.org/officeDocument/2006/relationships/hyperlink" Target="https://www.biotechusa.hu/" TargetMode="External"/><Relationship Id="rId401" Type="http://schemas.openxmlformats.org/officeDocument/2006/relationships/hyperlink" Target="https://www.gulfood.com/exhibitors/biotechusa-kft" TargetMode="External"/><Relationship Id="rId402" Type="http://schemas.openxmlformats.org/officeDocument/2006/relationships/hyperlink" Target="https://www.linkedin.com/search/results/companies/?keywords=BioTechUSA+Kft." TargetMode="External"/><Relationship Id="rId403" Type="http://schemas.openxmlformats.org/officeDocument/2006/relationships/hyperlink" Target="https://www.herbaria.hu/" TargetMode="External"/><Relationship Id="rId404" Type="http://schemas.openxmlformats.org/officeDocument/2006/relationships/hyperlink" Target="https://www.gulfood.com/exhibitors/herbaria-zrt" TargetMode="External"/><Relationship Id="rId405" Type="http://schemas.openxmlformats.org/officeDocument/2006/relationships/hyperlink" Target="https://www.linkedin.com/search/results/companies/?keywords=Herb&#225;ria+Zrt." TargetMode="External"/><Relationship Id="rId406" Type="http://schemas.openxmlformats.org/officeDocument/2006/relationships/hyperlink" Target="https://www.nationalbeauty.ie/" TargetMode="External"/><Relationship Id="rId407" Type="http://schemas.openxmlformats.org/officeDocument/2006/relationships/hyperlink" Target="https://chamber.corkchamber.ie/list/member/national-beauty-distribution-24787" TargetMode="External"/><Relationship Id="rId408" Type="http://schemas.openxmlformats.org/officeDocument/2006/relationships/hyperlink" Target="https://www.linkedin.com/search/results/companies/?keywords=National+Beauty+Distribution+Ltd" TargetMode="External"/><Relationship Id="rId409" Type="http://schemas.openxmlformats.org/officeDocument/2006/relationships/hyperlink" Target="https://uniphar.ie/" TargetMode="External"/><Relationship Id="rId410" Type="http://schemas.openxmlformats.org/officeDocument/2006/relationships/hyperlink" Target="https://uniphar.ie/static/services/supply-chain-retail" TargetMode="External"/><Relationship Id="rId411" Type="http://schemas.openxmlformats.org/officeDocument/2006/relationships/hyperlink" Target="https://www.linkedin.com/search/results/companies/?keywords=Uniphar+Wholesale+Limited" TargetMode="External"/><Relationship Id="rId412" Type="http://schemas.openxmlformats.org/officeDocument/2006/relationships/hyperlink" Target="https://www.artsana.com/" TargetMode="External"/><Relationship Id="rId413" Type="http://schemas.openxmlformats.org/officeDocument/2006/relationships/hyperlink" Target="https://nurserytoday.co.uk/2024/04/25/europes-consumer-goods-giant-rkw-secures-exclusive-distribution-partnership-with-artsana" TargetMode="External"/><Relationship Id="rId414" Type="http://schemas.openxmlformats.org/officeDocument/2006/relationships/hyperlink" Target="https://www.linkedin.com/search/results/companies/?keywords=Artsana+S.p.A." TargetMode="External"/><Relationship Id="rId415" Type="http://schemas.openxmlformats.org/officeDocument/2006/relationships/hyperlink" Target="https://www.foppapedretti.it/" TargetMode="External"/><Relationship Id="rId416" Type="http://schemas.openxmlformats.org/officeDocument/2006/relationships/hyperlink" Target="https://www.foppapedretti.it/en/history" TargetMode="External"/><Relationship Id="rId417" Type="http://schemas.openxmlformats.org/officeDocument/2006/relationships/hyperlink" Target="https://www.linkedin.com/search/results/companies/?keywords=Foppapedretti+S.p.A." TargetMode="External"/><Relationship Id="rId418" Type="http://schemas.openxmlformats.org/officeDocument/2006/relationships/hyperlink" Target="https://www.inglesina.com/" TargetMode="External"/><Relationship Id="rId419" Type="http://schemas.openxmlformats.org/officeDocument/2006/relationships/hyperlink" Target="https://panjiva.com/L-inglesina-Baby-SpA/61340771" TargetMode="External"/><Relationship Id="rId420" Type="http://schemas.openxmlformats.org/officeDocument/2006/relationships/hyperlink" Target="https://www.linkedin.com/search/results/companies/?keywords=L%27inglesina+Baby+S.p.A." TargetMode="External"/><Relationship Id="rId421" Type="http://schemas.openxmlformats.org/officeDocument/2006/relationships/hyperlink" Target="https://deborahmilano.com/en/about-us" TargetMode="External"/><Relationship Id="rId422" Type="http://schemas.openxmlformats.org/officeDocument/2006/relationships/hyperlink" Target="https://deborahmilano.com/en/about-us" TargetMode="External"/><Relationship Id="rId423" Type="http://schemas.openxmlformats.org/officeDocument/2006/relationships/hyperlink" Target="https://www.linkedin.com/search/results/companies/?keywords=Deborah+Group+S.p.A." TargetMode="External"/><Relationship Id="rId424" Type="http://schemas.openxmlformats.org/officeDocument/2006/relationships/hyperlink" Target="https://www.beta-tools.com/" TargetMode="External"/><Relationship Id="rId425" Type="http://schemas.openxmlformats.org/officeDocument/2006/relationships/hyperlink" Target="https://www.confcommerciomilano.it/it/associazioni/categoria/aice/en/associazione/aziende_associate/index.html?id=474" TargetMode="External"/><Relationship Id="rId426" Type="http://schemas.openxmlformats.org/officeDocument/2006/relationships/hyperlink" Target="https://www.linkedin.com/search/results/companies/?keywords=Beta+Utensili+S.p.A." TargetMode="External"/><Relationship Id="rId427" Type="http://schemas.openxmlformats.org/officeDocument/2006/relationships/hyperlink" Target="https://www.fervi.com/" TargetMode="External"/><Relationship Id="rId428" Type="http://schemas.openxmlformats.org/officeDocument/2006/relationships/hyperlink" Target="https://www.morningstar.com.au/investments/security/MIL/FVI/summary" TargetMode="External"/><Relationship Id="rId429" Type="http://schemas.openxmlformats.org/officeDocument/2006/relationships/hyperlink" Target="https://www.linkedin.com/search/results/companies/?keywords=Fervi+S.p.A." TargetMode="External"/><Relationship Id="rId430" Type="http://schemas.openxmlformats.org/officeDocument/2006/relationships/hyperlink" Target="https://www.aboca.com/" TargetMode="External"/><Relationship Id="rId431" Type="http://schemas.openxmlformats.org/officeDocument/2006/relationships/hyperlink" Target="https://www.cdp.it/resources/cms/documents/Comunicato_n_84_del_10_08_2022_%20Aboca_SACE_CAI_CDP.pdf" TargetMode="External"/><Relationship Id="rId432" Type="http://schemas.openxmlformats.org/officeDocument/2006/relationships/hyperlink" Target="https://www.linkedin.com/search/results/companies/?keywords=Aboca+S.p.A.+Societ&#224;+Agricola" TargetMode="External"/><Relationship Id="rId433" Type="http://schemas.openxmlformats.org/officeDocument/2006/relationships/hyperlink" Target="https://www.laica.com/" TargetMode="External"/><Relationship Id="rId434" Type="http://schemas.openxmlformats.org/officeDocument/2006/relationships/hyperlink" Target="https://www.mediamarkt.nl/en/product/_laica-ps5000-scales-grey-white-156196492.html" TargetMode="External"/><Relationship Id="rId435" Type="http://schemas.openxmlformats.org/officeDocument/2006/relationships/hyperlink" Target="https://www.linkedin.com/search/results/companies/?keywords=Laica+S.p.A." TargetMode="External"/><Relationship Id="rId436" Type="http://schemas.openxmlformats.org/officeDocument/2006/relationships/hyperlink" Target="https://www.bialetti.it/" TargetMode="External"/><Relationship Id="rId437" Type="http://schemas.openxmlformats.org/officeDocument/2006/relationships/hyperlink" Target="https://www.morningstar.com.au/investments/security/MIL/BIA/summary" TargetMode="External"/><Relationship Id="rId438" Type="http://schemas.openxmlformats.org/officeDocument/2006/relationships/hyperlink" Target="https://www.linkedin.com/search/results/companies/?keywords=Bialetti+Industrie+S.p.A." TargetMode="External"/><Relationship Id="rId439" Type="http://schemas.openxmlformats.org/officeDocument/2006/relationships/hyperlink" Target="https://www.imetec.com/" TargetMode="External"/><Relationship Id="rId440" Type="http://schemas.openxmlformats.org/officeDocument/2006/relationships/hyperlink" Target="https://lei.bloomberg.com/leis/view/8156006A3D35107B7285" TargetMode="External"/><Relationship Id="rId441" Type="http://schemas.openxmlformats.org/officeDocument/2006/relationships/hyperlink" Target="https://www.linkedin.com/search/results/companies/?keywords=Tenacta+Group+S.p.A." TargetMode="External"/><Relationship Id="rId442" Type="http://schemas.openxmlformats.org/officeDocument/2006/relationships/hyperlink" Target="https://www.alessi.com/" TargetMode="External"/><Relationship Id="rId443" Type="http://schemas.openxmlformats.org/officeDocument/2006/relationships/hyperlink" Target="https://mom.maison-objet.com/en/brand/73/alessi" TargetMode="External"/><Relationship Id="rId444" Type="http://schemas.openxmlformats.org/officeDocument/2006/relationships/hyperlink" Target="https://www.linkedin.com/search/results/companies/?keywords=ALESSI+S.p.A." TargetMode="External"/><Relationship Id="rId445" Type="http://schemas.openxmlformats.org/officeDocument/2006/relationships/hyperlink" Target="https://www.ariete.net/en/profile" TargetMode="External"/><Relationship Id="rId446" Type="http://schemas.openxmlformats.org/officeDocument/2006/relationships/hyperlink" Target="https://www.ariete.net/en/profile" TargetMode="External"/><Relationship Id="rId447" Type="http://schemas.openxmlformats.org/officeDocument/2006/relationships/hyperlink" Target="https://www.linkedin.com/search/results/companies/?keywords=Ariete+S.p.A." TargetMode="External"/><Relationship Id="rId448" Type="http://schemas.openxmlformats.org/officeDocument/2006/relationships/hyperlink" Target="http://www.guardini.com/" TargetMode="External"/><Relationship Id="rId449" Type="http://schemas.openxmlformats.org/officeDocument/2006/relationships/hyperlink" Target="https://ambiente.messefrankfurt.com/frankfurt/en/exhibitor-search.detail.html/guardini-spa/mf_1_0010424340_4081532_10000001202501.html" TargetMode="External"/><Relationship Id="rId450" Type="http://schemas.openxmlformats.org/officeDocument/2006/relationships/hyperlink" Target="https://www.linkedin.com/search/results/companies/?keywords=Guardini+S.p.A." TargetMode="External"/><Relationship Id="rId451" Type="http://schemas.openxmlformats.org/officeDocument/2006/relationships/hyperlink" Target="https://www.ferplast.com/" TargetMode="External"/><Relationship Id="rId452" Type="http://schemas.openxmlformats.org/officeDocument/2006/relationships/hyperlink" Target="https://interzoo.com/en/exhibitors-products/f/ferplast-spa" TargetMode="External"/><Relationship Id="rId453" Type="http://schemas.openxmlformats.org/officeDocument/2006/relationships/hyperlink" Target="https://www.linkedin.com/search/results/companies/?keywords=Ferplast+S.p.A." TargetMode="External"/><Relationship Id="rId454" Type="http://schemas.openxmlformats.org/officeDocument/2006/relationships/hyperlink" Target="https://www.georplast.it/" TargetMode="External"/><Relationship Id="rId455" Type="http://schemas.openxmlformats.org/officeDocument/2006/relationships/hyperlink" Target="https://interzoo.com/en/exhibitors-products/g/georplast-srl" TargetMode="External"/><Relationship Id="rId456" Type="http://schemas.openxmlformats.org/officeDocument/2006/relationships/hyperlink" Target="https://www.linkedin.com/search/results/companies/?keywords=Georplast+s.r.l." TargetMode="External"/><Relationship Id="rId457" Type="http://schemas.openxmlformats.org/officeDocument/2006/relationships/hyperlink" Target="https://croci-group.com/" TargetMode="External"/><Relationship Id="rId458" Type="http://schemas.openxmlformats.org/officeDocument/2006/relationships/hyperlink" Target="https://www.interzoo.com/en/exhibitors/croci-spa-2497649" TargetMode="External"/><Relationship Id="rId459" Type="http://schemas.openxmlformats.org/officeDocument/2006/relationships/hyperlink" Target="https://www.linkedin.com/search/results/companies/?keywords=Camon+%26+Croci+Pet+Group+S.p.A." TargetMode="External"/><Relationship Id="rId460" Type="http://schemas.openxmlformats.org/officeDocument/2006/relationships/hyperlink" Target="https://www.imac.it/" TargetMode="External"/><Relationship Id="rId461" Type="http://schemas.openxmlformats.org/officeDocument/2006/relationships/hyperlink" Target="https://www.zoomark.it/en/2025-exhibitors-catalogue/exhibitor-detail/?id=8995" TargetMode="External"/><Relationship Id="rId462" Type="http://schemas.openxmlformats.org/officeDocument/2006/relationships/hyperlink" Target="https://www.linkedin.com/search/results/companies/?keywords=IMAC+S.r.l." TargetMode="External"/><Relationship Id="rId463" Type="http://schemas.openxmlformats.org/officeDocument/2006/relationships/hyperlink" Target="https://www.unitedpets.com/" TargetMode="External"/><Relationship Id="rId464" Type="http://schemas.openxmlformats.org/officeDocument/2006/relationships/hyperlink" Target="https://www.zoomark.it/en/2025-exhibitors-catalogue/exhibitor-detail/?id=9608" TargetMode="External"/><Relationship Id="rId465" Type="http://schemas.openxmlformats.org/officeDocument/2006/relationships/hyperlink" Target="https://www.linkedin.com/search/results/companies/?keywords=United+Pets+S.r.l." TargetMode="External"/><Relationship Id="rId466" Type="http://schemas.openxmlformats.org/officeDocument/2006/relationships/hyperlink" Target="https://www.cressi.it/" TargetMode="External"/><Relationship Id="rId467" Type="http://schemas.openxmlformats.org/officeDocument/2006/relationships/hyperlink" Target="https://www.urp.cnr.it/copertine/ente/ente_evidenza/gare_2023/IAS_372494_det.pdf" TargetMode="External"/><Relationship Id="rId468" Type="http://schemas.openxmlformats.org/officeDocument/2006/relationships/hyperlink" Target="https://www.linkedin.com/search/results/companies/?keywords=Cressi+Sub+S.p.A." TargetMode="External"/><Relationship Id="rId469" Type="http://schemas.openxmlformats.org/officeDocument/2006/relationships/hyperlink" Target="https://www.fierabolzano.it/en/tempo-libero/exhibitor/brunner-gmbh" TargetMode="External"/><Relationship Id="rId470" Type="http://schemas.openxmlformats.org/officeDocument/2006/relationships/hyperlink" Target="https://www.fierabolzano.it/en/tempo-libero/exhibitor/brunner-gmbh" TargetMode="External"/><Relationship Id="rId471" Type="http://schemas.openxmlformats.org/officeDocument/2006/relationships/hyperlink" Target="https://www.linkedin.com/search/results/companies/?keywords=Brunner+GmbH%2FSrl" TargetMode="External"/><Relationship Id="rId472" Type="http://schemas.openxmlformats.org/officeDocument/2006/relationships/hyperlink" Target="https://www.fila.it/" TargetMode="External"/><Relationship Id="rId473" Type="http://schemas.openxmlformats.org/officeDocument/2006/relationships/hyperlink" Target="https://investors.filagroup.it/files/press_release/en/fila-pr-corporate-events-calendar-2026.pdf" TargetMode="External"/><Relationship Id="rId474" Type="http://schemas.openxmlformats.org/officeDocument/2006/relationships/hyperlink" Target="https://www.linkedin.com/search/results/companies/?keywords=F.I.L.A.+S.p.A." TargetMode="External"/><Relationship Id="rId475" Type="http://schemas.openxmlformats.org/officeDocument/2006/relationships/hyperlink" Target="https://www.carioca.com/" TargetMode="External"/><Relationship Id="rId476" Type="http://schemas.openxmlformats.org/officeDocument/2006/relationships/hyperlink" Target="https://creativeworld.messefrankfurt.com/frankfurt/en/exhibitor-search.detail.html/carioca-spa/mf_1_0015028014_4806645_10000003202601.html" TargetMode="External"/><Relationship Id="rId477" Type="http://schemas.openxmlformats.org/officeDocument/2006/relationships/hyperlink" Target="https://www.linkedin.com/search/results/companies/?keywords=CARIOCA+S.p.A." TargetMode="External"/><Relationship Id="rId478" Type="http://schemas.openxmlformats.org/officeDocument/2006/relationships/hyperlink" Target="https://www.clementoni.com/" TargetMode="External"/><Relationship Id="rId479" Type="http://schemas.openxmlformats.org/officeDocument/2006/relationships/hyperlink" Target="https://en.wikipedia.org/wiki/Clementoni" TargetMode="External"/><Relationship Id="rId480" Type="http://schemas.openxmlformats.org/officeDocument/2006/relationships/hyperlink" Target="https://www.linkedin.com/search/results/companies/?keywords=Clementoni+S.p.A." TargetMode="External"/><Relationship Id="rId481" Type="http://schemas.openxmlformats.org/officeDocument/2006/relationships/hyperlink" Target="https://www.quercetti.com/" TargetMode="External"/><Relationship Id="rId482" Type="http://schemas.openxmlformats.org/officeDocument/2006/relationships/hyperlink" Target="https://www.importgenius.com/suppliers/quercetti-c-spa" TargetMode="External"/><Relationship Id="rId483" Type="http://schemas.openxmlformats.org/officeDocument/2006/relationships/hyperlink" Target="https://www.linkedin.com/search/results/companies/?keywords=Quercetti+%26+C.+S.p.A." TargetMode="External"/><Relationship Id="rId484" Type="http://schemas.openxmlformats.org/officeDocument/2006/relationships/hyperlink" Target="https://www.liscianigiochi.it/" TargetMode="External"/><Relationship Id="rId485" Type="http://schemas.openxmlformats.org/officeDocument/2006/relationships/hyperlink" Target="https://en.ilsole24ore.com/art/lisciani-cresceremo-ue-grazie-innovazione-e-qualita-AElH4iyB" TargetMode="External"/><Relationship Id="rId486" Type="http://schemas.openxmlformats.org/officeDocument/2006/relationships/hyperlink" Target="https://www.linkedin.com/search/results/companies/?keywords=Liscianigiochi+S.p.A." TargetMode="External"/><Relationship Id="rId487" Type="http://schemas.openxmlformats.org/officeDocument/2006/relationships/hyperlink" Target="https://madaracosmetics.lv/investors/" TargetMode="External"/><Relationship Id="rId488" Type="http://schemas.openxmlformats.org/officeDocument/2006/relationships/hyperlink" Target="https://nasdaqbaltic.com/statistics/en/ir/e6a2d1da36/company" TargetMode="External"/><Relationship Id="rId489" Type="http://schemas.openxmlformats.org/officeDocument/2006/relationships/hyperlink" Target="https://www.linkedin.com/search/results/companies/?keywords=AS+MADARA+Cosmetics" TargetMode="External"/><Relationship Id="rId490" Type="http://schemas.openxmlformats.org/officeDocument/2006/relationships/hyperlink" Target="https://bioklab.com/" TargetMode="External"/><Relationship Id="rId491" Type="http://schemas.openxmlformats.org/officeDocument/2006/relationships/hyperlink" Target="https://scoris.lt/en/imone/120536985" TargetMode="External"/><Relationship Id="rId492" Type="http://schemas.openxmlformats.org/officeDocument/2006/relationships/hyperlink" Target="https://www.linkedin.com/search/results/companies/?keywords=BIOK+laboratorija%2C+UAB" TargetMode="External"/><Relationship Id="rId493" Type="http://schemas.openxmlformats.org/officeDocument/2006/relationships/hyperlink" Target="https://www.curver.com/" TargetMode="External"/><Relationship Id="rId494" Type="http://schemas.openxmlformats.org/officeDocument/2006/relationships/hyperlink" Target="https://ambiente.messefrankfurt.com/frankfurt/en/exhibitor-search.detail.html/keter-luxembourg-sarl.html" TargetMode="External"/><Relationship Id="rId495" Type="http://schemas.openxmlformats.org/officeDocument/2006/relationships/hyperlink" Target="https://www.linkedin.com/search/results/companies/?keywords=Keter+Luxembourg+SARL" TargetMode="External"/><Relationship Id="rId496" Type="http://schemas.openxmlformats.org/officeDocument/2006/relationships/hyperlink" Target="https://difrax.com/en/pages/about-us" TargetMode="External"/><Relationship Id="rId497" Type="http://schemas.openxmlformats.org/officeDocument/2006/relationships/hyperlink" Target="https://difrax.com/en-be/pages/partners" TargetMode="External"/><Relationship Id="rId498" Type="http://schemas.openxmlformats.org/officeDocument/2006/relationships/hyperlink" Target="https://www.linkedin.com/search/results/companies/?keywords=Difrax+B.V." TargetMode="External"/><Relationship Id="rId499" Type="http://schemas.openxmlformats.org/officeDocument/2006/relationships/hyperlink" Target="https://www.bebe-jou.com/" TargetMode="External"/><Relationship Id="rId500" Type="http://schemas.openxmlformats.org/officeDocument/2006/relationships/hyperlink" Target="https://www.ampliz.com/company/atelier-49-nederland-bv/88683046" TargetMode="External"/><Relationship Id="rId501" Type="http://schemas.openxmlformats.org/officeDocument/2006/relationships/hyperlink" Target="https://www.linkedin.com/search/results/companies/?keywords=Atelier+49+Nederland+B.V." TargetMode="External"/><Relationship Id="rId502" Type="http://schemas.openxmlformats.org/officeDocument/2006/relationships/hyperlink" Target="https://www.westcoastsupplygroup.com/" TargetMode="External"/><Relationship Id="rId503" Type="http://schemas.openxmlformats.org/officeDocument/2006/relationships/hyperlink" Target="https://linkedin.com/company/wcsg" TargetMode="External"/><Relationship Id="rId504" Type="http://schemas.openxmlformats.org/officeDocument/2006/relationships/hyperlink" Target="https://www.linkedin.com/search/results/companies/?keywords=West+Coast+Supply+Group" TargetMode="External"/><Relationship Id="rId505" Type="http://schemas.openxmlformats.org/officeDocument/2006/relationships/hyperlink" Target="https://www.naskorsports.com/" TargetMode="External"/><Relationship Id="rId506" Type="http://schemas.openxmlformats.org/officeDocument/2006/relationships/hyperlink" Target="https://bestfoodimporters.com/company/naskorsports-b-v/" TargetMode="External"/><Relationship Id="rId507" Type="http://schemas.openxmlformats.org/officeDocument/2006/relationships/hyperlink" Target="https://www.linkedin.com/search/results/companies/?keywords=NaskorSports+B.V." TargetMode="External"/><Relationship Id="rId508" Type="http://schemas.openxmlformats.org/officeDocument/2006/relationships/hyperlink" Target="https://parallelbroker.com/" TargetMode="External"/><Relationship Id="rId509" Type="http://schemas.openxmlformats.org/officeDocument/2006/relationships/hyperlink" Target="https://parallelbroker.com/product/8700216753043" TargetMode="External"/><Relationship Id="rId510" Type="http://schemas.openxmlformats.org/officeDocument/2006/relationships/hyperlink" Target="https://www.linkedin.com/search/results/companies/?keywords=Parallel+B.V." TargetMode="External"/><Relationship Id="rId511" Type="http://schemas.openxmlformats.org/officeDocument/2006/relationships/hyperlink" Target="https://www.brabantia.com/uk/offices" TargetMode="External"/><Relationship Id="rId512" Type="http://schemas.openxmlformats.org/officeDocument/2006/relationships/hyperlink" Target="https://www.brabantia.com/int_en/offices" TargetMode="External"/><Relationship Id="rId513" Type="http://schemas.openxmlformats.org/officeDocument/2006/relationships/hyperlink" Target="https://www.linkedin.com/search/results/companies/?keywords=Brabantia+Export+BV" TargetMode="External"/><Relationship Id="rId514" Type="http://schemas.openxmlformats.org/officeDocument/2006/relationships/hyperlink" Target="https://www.bolsius.com/" TargetMode="External"/><Relationship Id="rId515" Type="http://schemas.openxmlformats.org/officeDocument/2006/relationships/hyperlink" Target="https://ambiente.messefrankfurt.com/frankfurt/en/exhibitor-search.detail.html/bolsius-polska-sprzeda-sp-z-oo/mf_1_0052479373_4070370_10000001202501.html" TargetMode="External"/><Relationship Id="rId516" Type="http://schemas.openxmlformats.org/officeDocument/2006/relationships/hyperlink" Target="https://www.linkedin.com/search/results/companies/?keywords=Bolsius+Nederland+BV" TargetMode="External"/><Relationship Id="rId517" Type="http://schemas.openxmlformats.org/officeDocument/2006/relationships/hyperlink" Target="https://www.koopmanint.com/en/" TargetMode="External"/><Relationship Id="rId518" Type="http://schemas.openxmlformats.org/officeDocument/2006/relationships/hyperlink" Target="https://www.koopmanint.com/en/discover-koopman/" TargetMode="External"/><Relationship Id="rId519" Type="http://schemas.openxmlformats.org/officeDocument/2006/relationships/hyperlink" Target="https://www.linkedin.com/search/results/companies/?keywords=Koopman+International+B.V." TargetMode="External"/><Relationship Id="rId520" Type="http://schemas.openxmlformats.org/officeDocument/2006/relationships/hyperlink" Target="https://www.mepal.com/" TargetMode="External"/><Relationship Id="rId521" Type="http://schemas.openxmlformats.org/officeDocument/2006/relationships/hyperlink" Target="https://www.kruidvat.nl/mepal-campus-750-ml-lunchbox-unicorn-glow/p/mp-00070767" TargetMode="External"/><Relationship Id="rId522" Type="http://schemas.openxmlformats.org/officeDocument/2006/relationships/hyperlink" Target="https://www.linkedin.com/search/results/companies/?keywords=Mepal+B.V." TargetMode="External"/><Relationship Id="rId523" Type="http://schemas.openxmlformats.org/officeDocument/2006/relationships/hyperlink" Target="https://www.tristar.eu/" TargetMode="External"/><Relationship Id="rId524" Type="http://schemas.openxmlformats.org/officeDocument/2006/relationships/hyperlink" Target="https://www.npm-capital.com/en/investments/smartwares" TargetMode="External"/><Relationship Id="rId525" Type="http://schemas.openxmlformats.org/officeDocument/2006/relationships/hyperlink" Target="https://www.linkedin.com/search/results/companies/?keywords=Tristar+Europe+B.V." TargetMode="External"/><Relationship Id="rId526" Type="http://schemas.openxmlformats.org/officeDocument/2006/relationships/hyperlink" Target="https://www.sunware.nl/" TargetMode="External"/><Relationship Id="rId527" Type="http://schemas.openxmlformats.org/officeDocument/2006/relationships/hyperlink" Target="https://prospeo.io/c/sunware-email-format" TargetMode="External"/><Relationship Id="rId528" Type="http://schemas.openxmlformats.org/officeDocument/2006/relationships/hyperlink" Target="https://www.linkedin.com/search/results/companies/?keywords=Sunware+B.V." TargetMode="External"/><Relationship Id="rId529" Type="http://schemas.openxmlformats.org/officeDocument/2006/relationships/hyperlink" Target="https://www.vidaxl.com/" TargetMode="External"/><Relationship Id="rId530" Type="http://schemas.openxmlformats.org/officeDocument/2006/relationships/hyperlink" Target="https://ecommerce-platforms.com/?p=86722" TargetMode="External"/><Relationship Id="rId531" Type="http://schemas.openxmlformats.org/officeDocument/2006/relationships/hyperlink" Target="https://www.linkedin.com/search/results/companies/?keywords=vidaXL+%2F+dropshippingXL" TargetMode="External"/><Relationship Id="rId532" Type="http://schemas.openxmlformats.org/officeDocument/2006/relationships/hyperlink" Target="https://www.beaphar.com/" TargetMode="External"/><Relationship Id="rId533" Type="http://schemas.openxmlformats.org/officeDocument/2006/relationships/hyperlink" Target="https://www.creditsafe.com/business-index/en-us/company/beaphar-bv-nl02390596" TargetMode="External"/><Relationship Id="rId534" Type="http://schemas.openxmlformats.org/officeDocument/2006/relationships/hyperlink" Target="https://www.linkedin.com/search/results/companies/?keywords=Beaphar+B.V." TargetMode="External"/><Relationship Id="rId535" Type="http://schemas.openxmlformats.org/officeDocument/2006/relationships/hyperlink" Target="https://www.vandermeerrotterdam.nl/" TargetMode="External"/><Relationship Id="rId536" Type="http://schemas.openxmlformats.org/officeDocument/2006/relationships/hyperlink" Target="https://wisepim.com/suppliers/vandermeer" TargetMode="External"/><Relationship Id="rId537" Type="http://schemas.openxmlformats.org/officeDocument/2006/relationships/hyperlink" Target="https://www.linkedin.com/search/results/companies/?keywords=Van+der+Meer+Groothandel+in+Dierbenodigdheden+B.V." TargetMode="External"/><Relationship Id="rId538" Type="http://schemas.openxmlformats.org/officeDocument/2006/relationships/hyperlink" Target="https://www.beeztees.nl/" TargetMode="External"/><Relationship Id="rId539" Type="http://schemas.openxmlformats.org/officeDocument/2006/relationships/hyperlink" Target="https://globalpetindustry.com/article/beeztees-netherlands/" TargetMode="External"/><Relationship Id="rId540" Type="http://schemas.openxmlformats.org/officeDocument/2006/relationships/hyperlink" Target="https://www.linkedin.com/search/results/companies/?keywords=Beeztees" TargetMode="External"/><Relationship Id="rId541" Type="http://schemas.openxmlformats.org/officeDocument/2006/relationships/hyperlink" Target="https://www.decathlon.nl/mp/seller/nrg-fitness-bv/14f44405-4091-46fe-a1eb-7c464a2aad45" TargetMode="External"/><Relationship Id="rId542" Type="http://schemas.openxmlformats.org/officeDocument/2006/relationships/hyperlink" Target="https://a-leads.co/company/4831514_ef0af7b8" TargetMode="External"/><Relationship Id="rId543" Type="http://schemas.openxmlformats.org/officeDocument/2006/relationships/hyperlink" Target="https://www.linkedin.com/search/results/companies/?keywords=NRG+Fitness+B.V." TargetMode="External"/><Relationship Id="rId544" Type="http://schemas.openxmlformats.org/officeDocument/2006/relationships/hyperlink" Target="https://www.also.com/ec/cms5/en_2420/2420/index.jsp" TargetMode="External"/><Relationship Id="rId545" Type="http://schemas.openxmlformats.org/officeDocument/2006/relationships/hyperlink" Target="https://www.also.com/ec/cms5/2420/ContentStart.do" TargetMode="External"/><Relationship Id="rId546" Type="http://schemas.openxmlformats.org/officeDocument/2006/relationships/hyperlink" Target="https://www.linkedin.com/search/results/companies/?keywords=ALSO+Nederland" TargetMode="External"/><Relationship Id="rId547" Type="http://schemas.openxmlformats.org/officeDocument/2006/relationships/hyperlink" Target="https://wisepim.com/suppliers/complies" TargetMode="External"/><Relationship Id="rId548" Type="http://schemas.openxmlformats.org/officeDocument/2006/relationships/hyperlink" Target="https://wisepim.com/suppliers/complies" TargetMode="External"/><Relationship Id="rId549" Type="http://schemas.openxmlformats.org/officeDocument/2006/relationships/hyperlink" Target="https://www.linkedin.com/search/results/companies/?keywords=Complies+BV" TargetMode="External"/><Relationship Id="rId550" Type="http://schemas.openxmlformats.org/officeDocument/2006/relationships/hyperlink" Target="https://epngames.com/" TargetMode="External"/><Relationship Id="rId551" Type="http://schemas.openxmlformats.org/officeDocument/2006/relationships/hyperlink" Target="https://epngames.com/about-us" TargetMode="External"/><Relationship Id="rId552" Type="http://schemas.openxmlformats.org/officeDocument/2006/relationships/hyperlink" Target="https://www.linkedin.com/search/results/companies/?keywords=European+Player+Network" TargetMode="External"/><Relationship Id="rId553" Type="http://schemas.openxmlformats.org/officeDocument/2006/relationships/hyperlink" Target="https://www.jumbo.eu/en/about/" TargetMode="External"/><Relationship Id="rId554" Type="http://schemas.openxmlformats.org/officeDocument/2006/relationships/hyperlink" Target="https://www.jumbo.eu/en/about/" TargetMode="External"/><Relationship Id="rId555" Type="http://schemas.openxmlformats.org/officeDocument/2006/relationships/hyperlink" Target="https://www.linkedin.com/search/results/companies/?keywords=Koninklijke+Jumbo+B.V." TargetMode="External"/><Relationship Id="rId556" Type="http://schemas.openxmlformats.org/officeDocument/2006/relationships/hyperlink" Target="https://www.spectrontoys.com/" TargetMode="External"/><Relationship Id="rId557" Type="http://schemas.openxmlformats.org/officeDocument/2006/relationships/hyperlink" Target="https://iceclog.com/dutch-toy-company-spectron-publishes-brands-in-icecats-toy-data-model" TargetMode="External"/><Relationship Id="rId558" Type="http://schemas.openxmlformats.org/officeDocument/2006/relationships/hyperlink" Target="https://www.linkedin.com/search/results/companies/?keywords=Spectron+The+Toy+Company" TargetMode="External"/><Relationship Id="rId559" Type="http://schemas.openxmlformats.org/officeDocument/2006/relationships/hyperlink" Target="https://www.ses-creative.com/" TargetMode="External"/><Relationship Id="rId560" Type="http://schemas.openxmlformats.org/officeDocument/2006/relationships/hyperlink" Target="https://toyfair.co.uk/?p=53577" TargetMode="External"/><Relationship Id="rId561" Type="http://schemas.openxmlformats.org/officeDocument/2006/relationships/hyperlink" Target="https://www.linkedin.com/search/results/companies/?keywords=SES+Creative+B.V." TargetMode="External"/><Relationship Id="rId562" Type="http://schemas.openxmlformats.org/officeDocument/2006/relationships/hyperlink" Target="https://www.google.com/search?q=Toi-Toys+Netherlands+official+website" TargetMode="External"/><Relationship Id="rId563" Type="http://schemas.openxmlformats.org/officeDocument/2006/relationships/hyperlink" Target="https://www.liza.nl/en/17072521/toi-toys" TargetMode="External"/><Relationship Id="rId564" Type="http://schemas.openxmlformats.org/officeDocument/2006/relationships/hyperlink" Target="https://www.linkedin.com/search/results/companies/?keywords=Toi-Toys" TargetMode="External"/><Relationship Id="rId565" Type="http://schemas.openxmlformats.org/officeDocument/2006/relationships/hyperlink" Target="https://www.lionelo.com/" TargetMode="External"/><Relationship Id="rId566" Type="http://schemas.openxmlformats.org/officeDocument/2006/relationships/hyperlink" Target="https://targikielce.pl/en/kids-time-2024/list-of-exhibitors/lionelo,2162562" TargetMode="External"/><Relationship Id="rId567" Type="http://schemas.openxmlformats.org/officeDocument/2006/relationships/hyperlink" Target="https://www.linkedin.com/search/results/companies/?keywords=BrandLine+Group+Sp.+z+o.o." TargetMode="External"/><Relationship Id="rId568" Type="http://schemas.openxmlformats.org/officeDocument/2006/relationships/hyperlink" Target="https://www.kinderkraft.com/" TargetMode="External"/><Relationship Id="rId569" Type="http://schemas.openxmlformats.org/officeDocument/2006/relationships/hyperlink" Target="https://www.preqin.com/data/profile/asset/4kraft-sp--z-o-o-/718573" TargetMode="External"/><Relationship Id="rId570" Type="http://schemas.openxmlformats.org/officeDocument/2006/relationships/hyperlink" Target="https://www.linkedin.com/search/results/companies/?keywords=4Kraft+Sp.+z+o.o." TargetMode="External"/><Relationship Id="rId571" Type="http://schemas.openxmlformats.org/officeDocument/2006/relationships/hyperlink" Target="https://trade.gov.pl/en/?p=63431" TargetMode="External"/><Relationship Id="rId572" Type="http://schemas.openxmlformats.org/officeDocument/2006/relationships/hyperlink" Target="https://targikielce.pl/en/kids-time-2024/list-of-exhibitors/kids-inspirations-spolka-z-ograniczona-odpowiedzialnoscia,2162962" TargetMode="External"/><Relationship Id="rId573" Type="http://schemas.openxmlformats.org/officeDocument/2006/relationships/hyperlink" Target="https://www.linkedin.com/search/results/companies/?keywords=Kids+Inspirations+Sp.+z+o.o." TargetMode="External"/><Relationship Id="rId574" Type="http://schemas.openxmlformats.org/officeDocument/2006/relationships/hyperlink" Target="https://canpolbabies.com/gb_EN/about-us" TargetMode="External"/><Relationship Id="rId575" Type="http://schemas.openxmlformats.org/officeDocument/2006/relationships/hyperlink" Target="https://compabase.com/companies/krs/0000732574" TargetMode="External"/><Relationship Id="rId576" Type="http://schemas.openxmlformats.org/officeDocument/2006/relationships/hyperlink" Target="https://www.linkedin.com/search/results/companies/?keywords=Canpol+Sp.+z+o.o." TargetMode="External"/><Relationship Id="rId577" Type="http://schemas.openxmlformats.org/officeDocument/2006/relationships/hyperlink" Target="https://www.google.com/search?q=Ceba+Sp.+z+o.o.+%28Ceba+Baby%29+Poland+official+website" TargetMode="External"/><Relationship Id="rId578" Type="http://schemas.openxmlformats.org/officeDocument/2006/relationships/hyperlink" Target="https://www.shop-apotheke.at/baby/upm7LAZKU/ceba-baby-weiche-wickelauflage.htm" TargetMode="External"/><Relationship Id="rId579" Type="http://schemas.openxmlformats.org/officeDocument/2006/relationships/hyperlink" Target="https://www.linkedin.com/search/results/companies/?keywords=Ceba+Sp.+z+o.o." TargetMode="External"/><Relationship Id="rId580" Type="http://schemas.openxmlformats.org/officeDocument/2006/relationships/hyperlink" Target="https://www.google.com/search?q=WOMAR+%28Zaffiro+brand%29+Poland+official+website" TargetMode="External"/><Relationship Id="rId581" Type="http://schemas.openxmlformats.org/officeDocument/2006/relationships/hyperlink" Target="https://www.targikielce.pl/en/kids-time-2026/list-of-exhibitors/zaffiro-spolka-z-ograniczona-odpowiedzialnoscia,3377893" TargetMode="External"/><Relationship Id="rId582" Type="http://schemas.openxmlformats.org/officeDocument/2006/relationships/hyperlink" Target="https://www.linkedin.com/search/results/companies/?keywords=WOMAR" TargetMode="External"/><Relationship Id="rId583" Type="http://schemas.openxmlformats.org/officeDocument/2006/relationships/hyperlink" Target="https://www.google.com/search?q=BabyOno+Poland+official+website" TargetMode="External"/><Relationship Id="rId584" Type="http://schemas.openxmlformats.org/officeDocument/2006/relationships/hyperlink" Target="https://www.qogita.com/brands/babyono/" TargetMode="External"/><Relationship Id="rId585" Type="http://schemas.openxmlformats.org/officeDocument/2006/relationships/hyperlink" Target="https://www.linkedin.com/search/results/companies/?keywords=BabyOno" TargetMode="External"/><Relationship Id="rId586" Type="http://schemas.openxmlformats.org/officeDocument/2006/relationships/hyperlink" Target="https://www.eveline.com.pl/" TargetMode="External"/><Relationship Id="rId587" Type="http://schemas.openxmlformats.org/officeDocument/2006/relationships/hyperlink" Target="https://targikielce.pl/en/about-us/news/eveline-cosmetics-is-the-largest-polish-manufacturer-and-exporter-of-cosmetics-,29522" TargetMode="External"/><Relationship Id="rId588" Type="http://schemas.openxmlformats.org/officeDocument/2006/relationships/hyperlink" Target="https://www.linkedin.com/search/results/companies/?keywords=Eveline+Cosmetics" TargetMode="External"/><Relationship Id="rId589" Type="http://schemas.openxmlformats.org/officeDocument/2006/relationships/hyperlink" Target="https://www.ziaja.com/" TargetMode="External"/><Relationship Id="rId590" Type="http://schemas.openxmlformats.org/officeDocument/2006/relationships/hyperlink" Target="https://en.wikipedia.org/wiki/Ziaja_(company)" TargetMode="External"/><Relationship Id="rId591" Type="http://schemas.openxmlformats.org/officeDocument/2006/relationships/hyperlink" Target="https://www.linkedin.com/search/results/companies/?keywords=Ziaja+Ltd" TargetMode="External"/><Relationship Id="rId592" Type="http://schemas.openxmlformats.org/officeDocument/2006/relationships/hyperlink" Target="https://www.bielenda.pl/en/about-us" TargetMode="External"/><Relationship Id="rId593" Type="http://schemas.openxmlformats.org/officeDocument/2006/relationships/hyperlink" Target="https://www.bielenda.pl/en/about-us" TargetMode="External"/><Relationship Id="rId594" Type="http://schemas.openxmlformats.org/officeDocument/2006/relationships/hyperlink" Target="https://www.linkedin.com/search/results/companies/?keywords=Bielenda+Group+S.A." TargetMode="External"/><Relationship Id="rId595" Type="http://schemas.openxmlformats.org/officeDocument/2006/relationships/hyperlink" Target="https://www.delia.pl/" TargetMode="External"/><Relationship Id="rId596" Type="http://schemas.openxmlformats.org/officeDocument/2006/relationships/hyperlink" Target="https://www.trade.gov.pl/en/support/bydgoszcz-regional-development-agency/page/103" TargetMode="External"/><Relationship Id="rId597" Type="http://schemas.openxmlformats.org/officeDocument/2006/relationships/hyperlink" Target="https://www.linkedin.com/search/results/companies/?keywords=Delia+Cosmetics+Sp.+z+o.o." TargetMode="External"/><Relationship Id="rId598" Type="http://schemas.openxmlformats.org/officeDocument/2006/relationships/hyperlink" Target="https://www.drirenaerissa.pl/" TargetMode="External"/><Relationship Id="rId599" Type="http://schemas.openxmlformats.org/officeDocument/2006/relationships/hyperlink" Target="https://compabase.com/companies/krs/0000051003" TargetMode="External"/><Relationship Id="rId600" Type="http://schemas.openxmlformats.org/officeDocument/2006/relationships/hyperlink" Target="https://www.linkedin.com/search/results/companies/?keywords=Dr+Irena+Eris+S.A." TargetMode="External"/><Relationship Id="rId601" Type="http://schemas.openxmlformats.org/officeDocument/2006/relationships/hyperlink" Target="https://farmona.pl/en/company/export/" TargetMode="External"/><Relationship Id="rId602" Type="http://schemas.openxmlformats.org/officeDocument/2006/relationships/hyperlink" Target="https://farmona.pl/en/company/export/" TargetMode="External"/><Relationship Id="rId603" Type="http://schemas.openxmlformats.org/officeDocument/2006/relationships/hyperlink" Target="https://www.linkedin.com/search/results/companies/?keywords=Laboratorium+Kosmetyk&#243;w+Naturalnych+Farmona+Sp.+z+o.o." TargetMode="External"/><Relationship Id="rId604" Type="http://schemas.openxmlformats.org/officeDocument/2006/relationships/hyperlink" Target="https://www.google.com/search?q=Davi+%28Hurtownia+Davi%29+Poland+official+website" TargetMode="External"/><Relationship Id="rId605" Type="http://schemas.openxmlformats.org/officeDocument/2006/relationships/hyperlink" Target="https://www.wiadomoscikosmetyczne.pl/dystrybucja-kosmetykow/e-commerce/hurtownia-davi-uruchomila-platforme-sprzedazy-b2b-2359907" TargetMode="External"/><Relationship Id="rId606" Type="http://schemas.openxmlformats.org/officeDocument/2006/relationships/hyperlink" Target="https://www.linkedin.com/search/results/companies/?keywords=Davi" TargetMode="External"/><Relationship Id="rId607" Type="http://schemas.openxmlformats.org/officeDocument/2006/relationships/hyperlink" Target="https://corp.inglotcosmetics.com/about-us/company-overview/" TargetMode="External"/><Relationship Id="rId608" Type="http://schemas.openxmlformats.org/officeDocument/2006/relationships/hyperlink" Target="https://corp.inglotcosmetics.com/about-us/company-overview/" TargetMode="External"/><Relationship Id="rId609" Type="http://schemas.openxmlformats.org/officeDocument/2006/relationships/hyperlink" Target="https://www.linkedin.com/search/results/companies/?keywords=INGLOT+Sp.+z+o.o." TargetMode="External"/><Relationship Id="rId610" Type="http://schemas.openxmlformats.org/officeDocument/2006/relationships/hyperlink" Target="https://www.google.com/search?q=Laboratorium+Kosmetyczne+Joanna+sp.j.+Poland+official+website" TargetMode="External"/><Relationship Id="rId611" Type="http://schemas.openxmlformats.org/officeDocument/2006/relationships/hyperlink" Target="https://www.wiadomoscikosmetyczne.pl/producent-kosmetykow/polska-marka-joanna-ma-juz-40-lat-2366202" TargetMode="External"/><Relationship Id="rId612" Type="http://schemas.openxmlformats.org/officeDocument/2006/relationships/hyperlink" Target="https://www.linkedin.com/search/results/companies/?keywords=Laboratorium+Kosmetyczne+Joanna+sp.j." TargetMode="External"/><Relationship Id="rId613" Type="http://schemas.openxmlformats.org/officeDocument/2006/relationships/hyperlink" Target="http://www.oceanic.com.pl/" TargetMode="External"/><Relationship Id="rId614" Type="http://schemas.openxmlformats.org/officeDocument/2006/relationships/hyperlink" Target="https://pharmaboardroom.com/?p=34531" TargetMode="External"/><Relationship Id="rId615" Type="http://schemas.openxmlformats.org/officeDocument/2006/relationships/hyperlink" Target="https://www.linkedin.com/search/results/companies/?keywords=Oceanic+S.A." TargetMode="External"/><Relationship Id="rId616" Type="http://schemas.openxmlformats.org/officeDocument/2006/relationships/hyperlink" Target="https://toya.pl/en/toya-group" TargetMode="External"/><Relationship Id="rId617" Type="http://schemas.openxmlformats.org/officeDocument/2006/relationships/hyperlink" Target="https://exhibitorsearch.messefrankfurt.com/images/original/document_downloads/10000007202401/295876/1720510205203_556018761.pdf" TargetMode="External"/><Relationship Id="rId618" Type="http://schemas.openxmlformats.org/officeDocument/2006/relationships/hyperlink" Target="https://www.linkedin.com/search/results/companies/?keywords=TOYA+S.A." TargetMode="External"/><Relationship Id="rId619" Type="http://schemas.openxmlformats.org/officeDocument/2006/relationships/hyperlink" Target="https://logo-tools.pl/" TargetMode="External"/><Relationship Id="rId620" Type="http://schemas.openxmlformats.org/officeDocument/2006/relationships/hyperlink" Target="https://compabase.com/companies/krs/0000646758" TargetMode="External"/><Relationship Id="rId621" Type="http://schemas.openxmlformats.org/officeDocument/2006/relationships/hyperlink" Target="https://www.linkedin.com/search/results/companies/?keywords=Logo-Tools+Sp.+z+o.o." TargetMode="External"/><Relationship Id="rId622" Type="http://schemas.openxmlformats.org/officeDocument/2006/relationships/hyperlink" Target="https://www.greenmill.pl/" TargetMode="External"/><Relationship Id="rId623" Type="http://schemas.openxmlformats.org/officeDocument/2006/relationships/hyperlink" Target="https://www.trade.gov.pl/en/?p=50117" TargetMode="External"/><Relationship Id="rId624" Type="http://schemas.openxmlformats.org/officeDocument/2006/relationships/hyperlink" Target="https://www.linkedin.com/search/results/companies/?keywords=Floraland+Sp.+z+o.o.+Sp.k." TargetMode="External"/><Relationship Id="rId625" Type="http://schemas.openxmlformats.org/officeDocument/2006/relationships/hyperlink" Target="https://www.gtx-group.com/en/about-the-company/" TargetMode="External"/><Relationship Id="rId626" Type="http://schemas.openxmlformats.org/officeDocument/2006/relationships/hyperlink" Target="https://www.gtx-group.com/en/about-the-company/" TargetMode="External"/><Relationship Id="rId627" Type="http://schemas.openxmlformats.org/officeDocument/2006/relationships/hyperlink" Target="https://www.linkedin.com/search/results/companies/?keywords=GTX+Poland+Sp.+z+o.o.+Sp.+k." TargetMode="External"/><Relationship Id="rId628" Type="http://schemas.openxmlformats.org/officeDocument/2006/relationships/hyperlink" Target="https://www.dedra.pl/" TargetMode="External"/><Relationship Id="rId629" Type="http://schemas.openxmlformats.org/officeDocument/2006/relationships/hyperlink" Target="https://www.trade.gov.pl/en/?p=149761" TargetMode="External"/><Relationship Id="rId630" Type="http://schemas.openxmlformats.org/officeDocument/2006/relationships/hyperlink" Target="https://www.linkedin.com/search/results/companies/?keywords=Dedra+Exim+Sp.+z+o.o." TargetMode="External"/><Relationship Id="rId631" Type="http://schemas.openxmlformats.org/officeDocument/2006/relationships/hyperlink" Target="https://www.stalco.pl/" TargetMode="External"/><Relationship Id="rId632" Type="http://schemas.openxmlformats.org/officeDocument/2006/relationships/hyperlink" Target="https://compabase.com/companies/krs/0000425156" TargetMode="External"/><Relationship Id="rId633" Type="http://schemas.openxmlformats.org/officeDocument/2006/relationships/hyperlink" Target="https://www.linkedin.com/search/results/companies/?keywords=STALCO+S.K.A." TargetMode="External"/><Relationship Id="rId634" Type="http://schemas.openxmlformats.org/officeDocument/2006/relationships/hyperlink" Target="https://www.google.com/search?q=MisterM+Plus+Sp.+z+o.o.+Sp.k.+Poland+official+website" TargetMode="External"/><Relationship Id="rId635" Type="http://schemas.openxmlformats.org/officeDocument/2006/relationships/hyperlink" Target="https://www.aplikuj.pl/pracodawca/80046/misterm-plus-sp-z-o-o-spolka-komandytowa" TargetMode="External"/><Relationship Id="rId636" Type="http://schemas.openxmlformats.org/officeDocument/2006/relationships/hyperlink" Target="https://www.linkedin.com/search/results/companies/?keywords=MisterM+Plus+Sp.+z+o.o.+Sp.k." TargetMode="External"/><Relationship Id="rId637" Type="http://schemas.openxmlformats.org/officeDocument/2006/relationships/hyperlink" Target="https://www.google.com/search?q=Parfum+Company+Sp.+z+o.o.+S.K.A.+Poland+official+website" TargetMode="External"/><Relationship Id="rId638" Type="http://schemas.openxmlformats.org/officeDocument/2006/relationships/hyperlink" Target="https://pracodawcy.pracuj.pl/company/1074126923" TargetMode="External"/><Relationship Id="rId639" Type="http://schemas.openxmlformats.org/officeDocument/2006/relationships/hyperlink" Target="https://www.linkedin.com/search/results/companies/?keywords=Parfum+Company+Sp.+z+o.o.+S.K.A." TargetMode="External"/><Relationship Id="rId640" Type="http://schemas.openxmlformats.org/officeDocument/2006/relationships/hyperlink" Target="https://larive-parfums.com/" TargetMode="External"/><Relationship Id="rId641" Type="http://schemas.openxmlformats.org/officeDocument/2006/relationships/hyperlink" Target="https://larive-parfums.com/?p=563" TargetMode="External"/><Relationship Id="rId642" Type="http://schemas.openxmlformats.org/officeDocument/2006/relationships/hyperlink" Target="https://www.linkedin.com/search/results/companies/?keywords=LA+RIVE+S.A." TargetMode="External"/><Relationship Id="rId643" Type="http://schemas.openxmlformats.org/officeDocument/2006/relationships/hyperlink" Target="https://www.olimp-supplements.com/" TargetMode="External"/><Relationship Id="rId644" Type="http://schemas.openxmlformats.org/officeDocument/2006/relationships/hyperlink" Target="https://www.pracuj.pl/praca/export-specialist-for-spain-krakow,oferta,1002623625" TargetMode="External"/><Relationship Id="rId645" Type="http://schemas.openxmlformats.org/officeDocument/2006/relationships/hyperlink" Target="https://www.linkedin.com/search/results/companies/?keywords=Olimp+Laboratories+Sp.+z+o.o." TargetMode="External"/><Relationship Id="rId646" Type="http://schemas.openxmlformats.org/officeDocument/2006/relationships/hyperlink" Target="https://www.trade.gov.pl/en/?p=51061" TargetMode="External"/><Relationship Id="rId647" Type="http://schemas.openxmlformats.org/officeDocument/2006/relationships/hyperlink" Target="https://trade.gov.pl/en/?p=51061" TargetMode="External"/><Relationship Id="rId648" Type="http://schemas.openxmlformats.org/officeDocument/2006/relationships/hyperlink" Target="https://www.linkedin.com/search/results/companies/?keywords=ZIP+Wieczorek+Sp.+z+o.o." TargetMode="External"/><Relationship Id="rId649" Type="http://schemas.openxmlformats.org/officeDocument/2006/relationships/hyperlink" Target="https://olivit.pl/" TargetMode="External"/><Relationship Id="rId650" Type="http://schemas.openxmlformats.org/officeDocument/2006/relationships/hyperlink" Target="https://www.pharmacompass.com/about/olivit" TargetMode="External"/><Relationship Id="rId651" Type="http://schemas.openxmlformats.org/officeDocument/2006/relationships/hyperlink" Target="https://www.linkedin.com/search/results/companies/?keywords=Olivit+Sp.+z+o.o." TargetMode="External"/><Relationship Id="rId652" Type="http://schemas.openxmlformats.org/officeDocument/2006/relationships/hyperlink" Target="https://www.google.com/search?q=OstroVit+Sp.+z+o.o.+Poland+official+website" TargetMode="External"/><Relationship Id="rId653" Type="http://schemas.openxmlformats.org/officeDocument/2006/relationships/hyperlink" Target="https://krs-pobierz.pl/ostrovit-spolka-z-ograniczona-odpowiedzialnoscia-i0000994529" TargetMode="External"/><Relationship Id="rId654" Type="http://schemas.openxmlformats.org/officeDocument/2006/relationships/hyperlink" Target="https://www.linkedin.com/search/results/companies/?keywords=OstroVit+Sp.+z+o.o." TargetMode="External"/><Relationship Id="rId655" Type="http://schemas.openxmlformats.org/officeDocument/2006/relationships/hyperlink" Target="https://sfdsa.pl/" TargetMode="External"/><Relationship Id="rId656" Type="http://schemas.openxmlformats.org/officeDocument/2006/relationships/hyperlink" Target="https://www.bankier.pl/gielda/notowania/akcje/SFD/podstawowe-dane" TargetMode="External"/><Relationship Id="rId657" Type="http://schemas.openxmlformats.org/officeDocument/2006/relationships/hyperlink" Target="https://www.linkedin.com/search/results/companies/?keywords=SFD+S.A." TargetMode="External"/><Relationship Id="rId658" Type="http://schemas.openxmlformats.org/officeDocument/2006/relationships/hyperlink" Target="https://www.trec.pl/" TargetMode="External"/><Relationship Id="rId659" Type="http://schemas.openxmlformats.org/officeDocument/2006/relationships/hyperlink" Target="https://aflofarm.com.pl/en/about-us/news/aflofarm-acquires-trec-nutrition/" TargetMode="External"/><Relationship Id="rId660" Type="http://schemas.openxmlformats.org/officeDocument/2006/relationships/hyperlink" Target="https://www.linkedin.com/search/results/companies/?keywords=Trec+Nutrition+Sp.+z+o.o." TargetMode="External"/><Relationship Id="rId661" Type="http://schemas.openxmlformats.org/officeDocument/2006/relationships/hyperlink" Target="https://www.konex.pl/" TargetMode="External"/><Relationship Id="rId662" Type="http://schemas.openxmlformats.org/officeDocument/2006/relationships/hyperlink" Target="https://trade.gov.pl/wp-content/uploads/2024/12/KONEX-2024.pdf" TargetMode="External"/><Relationship Id="rId663" Type="http://schemas.openxmlformats.org/officeDocument/2006/relationships/hyperlink" Target="https://www.linkedin.com/search/results/companies/?keywords=KONEX+Sp.+z+o.o." TargetMode="External"/><Relationship Id="rId664" Type="http://schemas.openxmlformats.org/officeDocument/2006/relationships/hyperlink" Target="https://florina.pl/" TargetMode="External"/><Relationship Id="rId665" Type="http://schemas.openxmlformats.org/officeDocument/2006/relationships/hyperlink" Target="https://ambiente.messefrankfurt.com/frankfurt/de/ausstellersuche.detail.html/florentyna-sp-z-oo/mf_1_0012198027_4089836_10000001202501.html" TargetMode="External"/><Relationship Id="rId666" Type="http://schemas.openxmlformats.org/officeDocument/2006/relationships/hyperlink" Target="https://www.linkedin.com/search/results/companies/?keywords=Florentyna+Sp.+z+o.o." TargetMode="External"/><Relationship Id="rId667" Type="http://schemas.openxmlformats.org/officeDocument/2006/relationships/hyperlink" Target="https://www.gerlach.pl/" TargetMode="External"/><Relationship Id="rId668" Type="http://schemas.openxmlformats.org/officeDocument/2006/relationships/hyperlink" Target="https://www.trade.gov.pl/en/?p=85342" TargetMode="External"/><Relationship Id="rId669" Type="http://schemas.openxmlformats.org/officeDocument/2006/relationships/hyperlink" Target="https://www.linkedin.com/search/results/companies/?keywords=Gerlach+S.A." TargetMode="External"/><Relationship Id="rId670" Type="http://schemas.openxmlformats.org/officeDocument/2006/relationships/hyperlink" Target="https://www.google.com/search?q=M.T.M.+Sp.+z+o.o.+Sp.K.+Poland+official+website" TargetMode="External"/><Relationship Id="rId671" Type="http://schemas.openxmlformats.org/officeDocument/2006/relationships/hyperlink" Target="https://ambiente.messefrankfurt.com/frankfurt/en/exhibitor-search.detail.html/mtm-sp-z-oo-spk.html" TargetMode="External"/><Relationship Id="rId672" Type="http://schemas.openxmlformats.org/officeDocument/2006/relationships/hyperlink" Target="https://www.linkedin.com/search/results/companies/?keywords=M.T.M.+Sp.+z+o.o.+Sp.K." TargetMode="External"/><Relationship Id="rId673" Type="http://schemas.openxmlformats.org/officeDocument/2006/relationships/hyperlink" Target="https://www.trade.gov.pl/en/?p=150252" TargetMode="External"/><Relationship Id="rId674" Type="http://schemas.openxmlformats.org/officeDocument/2006/relationships/hyperlink" Target="https://www.trade.gov.pl/en/?p=150252" TargetMode="External"/><Relationship Id="rId675" Type="http://schemas.openxmlformats.org/officeDocument/2006/relationships/hyperlink" Target="https://www.linkedin.com/search/results/companies/?keywords=N2H+Sp.+z+o.o." TargetMode="External"/><Relationship Id="rId676" Type="http://schemas.openxmlformats.org/officeDocument/2006/relationships/hyperlink" Target="https://www.amiplay.eu/" TargetMode="External"/><Relationship Id="rId677" Type="http://schemas.openxmlformats.org/officeDocument/2006/relationships/hyperlink" Target="https://interzoo.com/en/exhibitors-products/c/comfy" TargetMode="External"/><Relationship Id="rId678" Type="http://schemas.openxmlformats.org/officeDocument/2006/relationships/hyperlink" Target="https://www.linkedin.com/search/results/companies/?keywords=Amiplay+Sp.+z+o.o." TargetMode="External"/><Relationship Id="rId679" Type="http://schemas.openxmlformats.org/officeDocument/2006/relationships/hyperlink" Target="https://cazo.eu/" TargetMode="External"/><Relationship Id="rId680" Type="http://schemas.openxmlformats.org/officeDocument/2006/relationships/hyperlink" Target="https://www.zoomark.it/en/directory/exhibitor-detail/6135.html?id=8496" TargetMode="External"/><Relationship Id="rId681" Type="http://schemas.openxmlformats.org/officeDocument/2006/relationships/hyperlink" Target="https://www.linkedin.com/search/results/companies/?keywords=Cazo+Sp.+z+o.o." TargetMode="External"/><Relationship Id="rId682" Type="http://schemas.openxmlformats.org/officeDocument/2006/relationships/hyperlink" Target="https://www.empets.pl/" TargetMode="External"/><Relationship Id="rId683" Type="http://schemas.openxmlformats.org/officeDocument/2006/relationships/hyperlink" Target="https://www.interzoo.com/en/exhibitors/empets-2227619" TargetMode="External"/><Relationship Id="rId684" Type="http://schemas.openxmlformats.org/officeDocument/2006/relationships/hyperlink" Target="https://www.linkedin.com/search/results/companies/?keywords=EMPETS+Group" TargetMode="External"/><Relationship Id="rId685" Type="http://schemas.openxmlformats.org/officeDocument/2006/relationships/hyperlink" Target="https://dermapharm.com.pl/en/" TargetMode="External"/><Relationship Id="rId686" Type="http://schemas.openxmlformats.org/officeDocument/2006/relationships/hyperlink" Target="https://www.interzoo.com/en/exhibitors/laboratorium-dermapharm-sp-z-oo-2516965" TargetMode="External"/><Relationship Id="rId687" Type="http://schemas.openxmlformats.org/officeDocument/2006/relationships/hyperlink" Target="https://www.linkedin.com/search/results/companies/?keywords=Laboratorium+DermaPharm+Sp.+z+o.o." TargetMode="External"/><Relationship Id="rId688" Type="http://schemas.openxmlformats.org/officeDocument/2006/relationships/hyperlink" Target="https://vetexpert.eu/" TargetMode="External"/><Relationship Id="rId689" Type="http://schemas.openxmlformats.org/officeDocument/2006/relationships/hyperlink" Target="https://www.petfoodindustry.com/pet-food-market/article/15468256/polish-pet-food-maker-expands-logistics-to-aid-sales-growth" TargetMode="External"/><Relationship Id="rId690" Type="http://schemas.openxmlformats.org/officeDocument/2006/relationships/hyperlink" Target="https://www.linkedin.com/search/results/companies/?keywords=Vet+Planet+Sp.+z+o.o." TargetMode="External"/><Relationship Id="rId691" Type="http://schemas.openxmlformats.org/officeDocument/2006/relationships/hyperlink" Target="https://www.interzoo.com/en/exhibitors/dingo-sp-z-oo-2498563" TargetMode="External"/><Relationship Id="rId692" Type="http://schemas.openxmlformats.org/officeDocument/2006/relationships/hyperlink" Target="https://www.interzoo.com/en/exhibitors/dingo-sp-z-oo-2498563" TargetMode="External"/><Relationship Id="rId693" Type="http://schemas.openxmlformats.org/officeDocument/2006/relationships/hyperlink" Target="https://www.linkedin.com/search/results/companies/?keywords=Dingo+Sp.+z+o.o." TargetMode="External"/><Relationship Id="rId694" Type="http://schemas.openxmlformats.org/officeDocument/2006/relationships/hyperlink" Target="https://www.google.com/search?q=MPPK+Group+Sp.+z+o.o.+Poland+official+website" TargetMode="External"/><Relationship Id="rId695" Type="http://schemas.openxmlformats.org/officeDocument/2006/relationships/hyperlink" Target="https://trade.gov.pl/en/?p=155957" TargetMode="External"/><Relationship Id="rId696" Type="http://schemas.openxmlformats.org/officeDocument/2006/relationships/hyperlink" Target="https://www.linkedin.com/search/results/companies/?keywords=MPPK+Group+Sp.+z+o.o." TargetMode="External"/><Relationship Id="rId697" Type="http://schemas.openxmlformats.org/officeDocument/2006/relationships/hyperlink" Target="https://hobby.bydgoszcz.pl/en/about-us/" TargetMode="External"/><Relationship Id="rId698" Type="http://schemas.openxmlformats.org/officeDocument/2006/relationships/hyperlink" Target="https://wetgiw.gov.pl/download/Approved-list-for-export-pet-food-to-Israel-05.2024,4531.pdf" TargetMode="External"/><Relationship Id="rId699" Type="http://schemas.openxmlformats.org/officeDocument/2006/relationships/hyperlink" Target="https://www.linkedin.com/search/results/companies/?keywords=P.W.+Hobby" TargetMode="External"/><Relationship Id="rId700" Type="http://schemas.openxmlformats.org/officeDocument/2006/relationships/hyperlink" Target="https://www.decathlon.pl/mp/seller/bacha-sport/4aef1923-5ee8-4c39-8d70-d4fa38144749" TargetMode="External"/><Relationship Id="rId701" Type="http://schemas.openxmlformats.org/officeDocument/2006/relationships/hyperlink" Target="https://www.aplikuj.pl/pracodawca/11313/bacha-sport-sp-z-o-o" TargetMode="External"/><Relationship Id="rId702" Type="http://schemas.openxmlformats.org/officeDocument/2006/relationships/hyperlink" Target="https://www.linkedin.com/search/results/companies/?keywords=Bacha+Sport+Sp.+z+o.o." TargetMode="External"/><Relationship Id="rId703" Type="http://schemas.openxmlformats.org/officeDocument/2006/relationships/hyperlink" Target="https://www.larix.com.pl/" TargetMode="External"/><Relationship Id="rId704" Type="http://schemas.openxmlformats.org/officeDocument/2006/relationships/hyperlink" Target="https://compabase.com/companies/krs/0000950849" TargetMode="External"/><Relationship Id="rId705" Type="http://schemas.openxmlformats.org/officeDocument/2006/relationships/hyperlink" Target="https://www.linkedin.com/search/results/companies/?keywords=Larix+Janusz+Pie&#322;a+S.K.A." TargetMode="External"/><Relationship Id="rId706" Type="http://schemas.openxmlformats.org/officeDocument/2006/relationships/hyperlink" Target="https://cumulus.equipment/" TargetMode="External"/><Relationship Id="rId707" Type="http://schemas.openxmlformats.org/officeDocument/2006/relationships/hyperlink" Target="https://compabase.com/companies/krs/0000709355" TargetMode="External"/><Relationship Id="rId708" Type="http://schemas.openxmlformats.org/officeDocument/2006/relationships/hyperlink" Target="https://www.linkedin.com/search/results/companies/?keywords=Cumulus+Sp.+z+o.o." TargetMode="External"/><Relationship Id="rId709" Type="http://schemas.openxmlformats.org/officeDocument/2006/relationships/hyperlink" Target="https://www.meteor.pl/" TargetMode="External"/><Relationship Id="rId710" Type="http://schemas.openxmlformats.org/officeDocument/2006/relationships/hyperlink" Target="https://www.decathlon.be/nl/p/mp/kinderartikel-meteor/5f78d988-7efe-438a-84c3-b32e89d61ce7/c43c255" TargetMode="External"/><Relationship Id="rId711" Type="http://schemas.openxmlformats.org/officeDocument/2006/relationships/hyperlink" Target="https://www.linkedin.com/search/results/companies/?keywords=Meteor" TargetMode="External"/><Relationship Id="rId712" Type="http://schemas.openxmlformats.org/officeDocument/2006/relationships/hyperlink" Target="https://www.spokey.pl/" TargetMode="External"/><Relationship Id="rId713" Type="http://schemas.openxmlformats.org/officeDocument/2006/relationships/hyperlink" Target="https://www.emis.com/php/company-profile/PL/Spokey_Sp_z_oo_en_2626647.html" TargetMode="External"/><Relationship Id="rId714" Type="http://schemas.openxmlformats.org/officeDocument/2006/relationships/hyperlink" Target="https://www.linkedin.com/search/results/companies/?keywords=Spokey+Sp.+z+o.o." TargetMode="External"/><Relationship Id="rId715" Type="http://schemas.openxmlformats.org/officeDocument/2006/relationships/hyperlink" Target="https://www.google.com/search?q=Euro-Trade+Sp.+z+o.o.+Sp.K.+%28Starpak%29+Poland+official+website" TargetMode="External"/><Relationship Id="rId716" Type="http://schemas.openxmlformats.org/officeDocument/2006/relationships/hyperlink" Target="https://ambiente.messefrankfurt.com/frankfurt/de/ausstellersuche.detail.html/euro-trade-spolka-z-ograniczona-odpowiedzialnoscia-sp-k.html" TargetMode="External"/><Relationship Id="rId717" Type="http://schemas.openxmlformats.org/officeDocument/2006/relationships/hyperlink" Target="https://www.linkedin.com/search/results/companies/?keywords=Euro-Trade+Sp.+z+o.o.+Sp.K." TargetMode="External"/><Relationship Id="rId718" Type="http://schemas.openxmlformats.org/officeDocument/2006/relationships/hyperlink" Target="https://www.google.com/search?q=St.+Majewski+Sp.+z+o.o.+%28incl.+Unipap%29+Poland+official+website" TargetMode="External"/><Relationship Id="rId719" Type="http://schemas.openxmlformats.org/officeDocument/2006/relationships/hyperlink" Target="https://ambiente.messefrankfurt.com/frankfurt/de/ausstellersuche.detail.html/st-majewski-sp-z-oo.html" TargetMode="External"/><Relationship Id="rId720" Type="http://schemas.openxmlformats.org/officeDocument/2006/relationships/hyperlink" Target="https://www.linkedin.com/search/results/companies/?keywords=St.+Majewski+Sp.+z+o.o." TargetMode="External"/><Relationship Id="rId721" Type="http://schemas.openxmlformats.org/officeDocument/2006/relationships/hyperlink" Target="http://www.interdruk.com.pl/" TargetMode="External"/><Relationship Id="rId722" Type="http://schemas.openxmlformats.org/officeDocument/2006/relationships/hyperlink" Target="https://emis.cn/php/company-profile/PL/Interdruk_SA_en_2384948.html" TargetMode="External"/><Relationship Id="rId723" Type="http://schemas.openxmlformats.org/officeDocument/2006/relationships/hyperlink" Target="https://www.linkedin.com/search/results/companies/?keywords=Interdruk+S.A." TargetMode="External"/><Relationship Id="rId724" Type="http://schemas.openxmlformats.org/officeDocument/2006/relationships/hyperlink" Target="https://www.cobi.pl/" TargetMode="External"/><Relationship Id="rId725" Type="http://schemas.openxmlformats.org/officeDocument/2006/relationships/hyperlink" Target="https://cobibricks.com/cobi-sa" TargetMode="External"/><Relationship Id="rId726" Type="http://schemas.openxmlformats.org/officeDocument/2006/relationships/hyperlink" Target="https://www.linkedin.com/search/results/companies/?keywords=COBI+S.A." TargetMode="External"/><Relationship Id="rId727" Type="http://schemas.openxmlformats.org/officeDocument/2006/relationships/hyperlink" Target="https://www.trefl.com/en/" TargetMode="External"/><Relationship Id="rId728" Type="http://schemas.openxmlformats.org/officeDocument/2006/relationships/hyperlink" Target="https://www.spielwarenmesse.de/en/mag/magazine/trefl-celebrates-40th-anniversary/" TargetMode="External"/><Relationship Id="rId729" Type="http://schemas.openxmlformats.org/officeDocument/2006/relationships/hyperlink" Target="https://www.linkedin.com/search/results/companies/?keywords=Trefl+S.A." TargetMode="External"/><Relationship Id="rId730" Type="http://schemas.openxmlformats.org/officeDocument/2006/relationships/hyperlink" Target="https://www.google.com/search?q=YAMANN+Sp.+z+o.o.+Poland+official+website" TargetMode="External"/><Relationship Id="rId731" Type="http://schemas.openxmlformats.org/officeDocument/2006/relationships/hyperlink" Target="https://www.aplikuj.pl/pracodawca/371172/yamann-sp-z-o-o" TargetMode="External"/><Relationship Id="rId732" Type="http://schemas.openxmlformats.org/officeDocument/2006/relationships/hyperlink" Target="https://www.linkedin.com/search/results/companies/?keywords=YAMANN+Sp.+z+o.o." TargetMode="External"/><Relationship Id="rId733" Type="http://schemas.openxmlformats.org/officeDocument/2006/relationships/hyperlink" Target="https://anek.com.pl/" TargetMode="External"/><Relationship Id="rId734" Type="http://schemas.openxmlformats.org/officeDocument/2006/relationships/hyperlink" Target="https://www.targikielce.pl/en/kids-time-2024/list-of-exhibitors/httpswwwanekcompl,2162226" TargetMode="External"/><Relationship Id="rId735" Type="http://schemas.openxmlformats.org/officeDocument/2006/relationships/hyperlink" Target="https://www.linkedin.com/search/results/companies/?keywords=ANEK+Sp.+z+o.o." TargetMode="External"/><Relationship Id="rId736" Type="http://schemas.openxmlformats.org/officeDocument/2006/relationships/hyperlink" Target="https://www.granna.pl/" TargetMode="External"/><Relationship Id="rId737" Type="http://schemas.openxmlformats.org/officeDocument/2006/relationships/hyperlink" Target="https://www.targikielce.pl/en/kids-time-2025/list-of-exhibitors/granna-spolka-z-ograniczona-odpowiedzialnoscia,2854807" TargetMode="External"/><Relationship Id="rId738" Type="http://schemas.openxmlformats.org/officeDocument/2006/relationships/hyperlink" Target="https://www.linkedin.com/search/results/companies/?keywords=Granna+Sp.+z+o.o." TargetMode="External"/><Relationship Id="rId739" Type="http://schemas.openxmlformats.org/officeDocument/2006/relationships/hyperlink" Target="https://www.wader.toys/" TargetMode="External"/><Relationship Id="rId740" Type="http://schemas.openxmlformats.org/officeDocument/2006/relationships/hyperlink" Target="https://www.targikielce.pl/en/kids-time-2024/list-of-exhibitors/wader-wozniak-sp-z-oo,2162330" TargetMode="External"/><Relationship Id="rId741" Type="http://schemas.openxmlformats.org/officeDocument/2006/relationships/hyperlink" Target="https://www.linkedin.com/search/results/companies/?keywords=Wader-Wo&#378;niak+Sp.+z+o.o." TargetMode="External"/><Relationship Id="rId742" Type="http://schemas.openxmlformats.org/officeDocument/2006/relationships/hyperlink" Target="https://www.google.com/search?q=MARIOINEX+Fabryka+Zabawek+Marian+Suchanek+Poland+official+website" TargetMode="External"/><Relationship Id="rId743" Type="http://schemas.openxmlformats.org/officeDocument/2006/relationships/hyperlink" Target="https://www.mediaexpert.pl/marioinex" TargetMode="External"/><Relationship Id="rId744" Type="http://schemas.openxmlformats.org/officeDocument/2006/relationships/hyperlink" Target="https://www.linkedin.com/search/results/companies/?keywords=MARIOINEX+Fabryka+Zabawek+Marian+Suchanek" TargetMode="External"/><Relationship Id="rId745" Type="http://schemas.openxmlformats.org/officeDocument/2006/relationships/hyperlink" Target="https://tmtoys.pl/" TargetMode="External"/><Relationship Id="rId746" Type="http://schemas.openxmlformats.org/officeDocument/2006/relationships/hyperlink" Target="https://rejestr.io/krs/35010/tm-toys" TargetMode="External"/><Relationship Id="rId747" Type="http://schemas.openxmlformats.org/officeDocument/2006/relationships/hyperlink" Target="https://www.linkedin.com/search/results/companies/?keywords=TM+Toys+Sp.+z+o.o." TargetMode="External"/><Relationship Id="rId748" Type="http://schemas.openxmlformats.org/officeDocument/2006/relationships/hyperlink" Target="https://suchanek-zabawki.pl/" TargetMode="External"/><Relationship Id="rId749" Type="http://schemas.openxmlformats.org/officeDocument/2006/relationships/hyperlink" Target="https://www.trade.gov.pl/en/?p=50890" TargetMode="External"/><Relationship Id="rId750" Type="http://schemas.openxmlformats.org/officeDocument/2006/relationships/hyperlink" Target="https://www.linkedin.com/search/results/companies/?keywords=Zabawkarstwo+Wies&#322;aw+Suchanek" TargetMode="External"/><Relationship Id="rId751" Type="http://schemas.openxmlformats.org/officeDocument/2006/relationships/hyperlink" Target="https://achbrito.com/" TargetMode="External"/><Relationship Id="rId752" Type="http://schemas.openxmlformats.org/officeDocument/2006/relationships/hyperlink" Target="https://achbrito.com/en/blogs/press/ach-brito-group-sells-to-50-countries" TargetMode="External"/><Relationship Id="rId753" Type="http://schemas.openxmlformats.org/officeDocument/2006/relationships/hyperlink" Target="https://www.linkedin.com/search/results/companies/?keywords=Ach.+Brito+%26+C.&#170;%2C+S.A." TargetMode="External"/><Relationship Id="rId754" Type="http://schemas.openxmlformats.org/officeDocument/2006/relationships/hyperlink" Target="https://www.google.com/search?q=Domingos+de+Sousa+%26+Filhos%2C+S.A.+Portugal+official+website" TargetMode="External"/><Relationship Id="rId755" Type="http://schemas.openxmlformats.org/officeDocument/2006/relationships/hyperlink" Target="https://heimtextil.messefrankfurt.com/frankfurt/en/exhibitor-search.detail.html/domingos-de-sousa--filhos-sa.html" TargetMode="External"/><Relationship Id="rId756" Type="http://schemas.openxmlformats.org/officeDocument/2006/relationships/hyperlink" Target="https://www.linkedin.com/search/results/companies/?keywords=Domingos+de+Sousa+%26+Filhos%2C+S.A." TargetMode="External"/><Relationship Id="rId757" Type="http://schemas.openxmlformats.org/officeDocument/2006/relationships/hyperlink" Target="https://www.google.com/search?q=T&#234;xteis+J.F.+Almeida%2C+S.A.+%28JFA%29+Portugal+official+website" TargetMode="External"/><Relationship Id="rId758" Type="http://schemas.openxmlformats.org/officeDocument/2006/relationships/hyperlink" Target="https://heimtextil.messefrankfurt.com/frankfurt/en/exhibitor-search.detail.html/txteis-jf-almeida-sa.html" TargetMode="External"/><Relationship Id="rId759" Type="http://schemas.openxmlformats.org/officeDocument/2006/relationships/hyperlink" Target="https://www.linkedin.com/search/results/companies/?keywords=T&#234;xteis+J.F.+Almeida%2C+S.A." TargetMode="External"/><Relationship Id="rId760" Type="http://schemas.openxmlformats.org/officeDocument/2006/relationships/hyperlink" Target="https://www.google.com/search?q=Villafelpos+-+Com&#233;rcio+e+Ind&#250;stria+T&#234;xtil%2C+S.A.+Portugal+official+website" TargetMode="External"/><Relationship Id="rId761" Type="http://schemas.openxmlformats.org/officeDocument/2006/relationships/hyperlink" Target="https://heimtextil.messefrankfurt.com/frankfurt/en/exhibitor-search.detail.html/villafelpos---comrcio-e-indstria-textil-sa.html" TargetMode="External"/><Relationship Id="rId762" Type="http://schemas.openxmlformats.org/officeDocument/2006/relationships/hyperlink" Target="https://www.linkedin.com/search/results/companies/?keywords=Villafelpos+-+Com&#233;rcio+e+Ind&#250;stria+T&#234;xtil%2C+S.A." TargetMode="External"/><Relationship Id="rId763" Type="http://schemas.openxmlformats.org/officeDocument/2006/relationships/hyperlink" Target="https://www.google.com/search?q=Alum&#237;nios+Manuel+G.+Vieira+%26+Filhos%2C+Lda.+Portugal+official+website" TargetMode="External"/><Relationship Id="rId764" Type="http://schemas.openxmlformats.org/officeDocument/2006/relationships/hyperlink" Target="https://ambiente.messefrankfurt.com/frankfurt/en/exhibitor-search.detail.html/aluminios-manuel-g-vieira--filhos-lda.html" TargetMode="External"/><Relationship Id="rId765" Type="http://schemas.openxmlformats.org/officeDocument/2006/relationships/hyperlink" Target="https://www.linkedin.com/search/results/companies/?keywords=Alum&#237;nios+Manuel+G.+Vieira+%26+Filhos%2C+Lda." TargetMode="External"/><Relationship Id="rId766" Type="http://schemas.openxmlformats.org/officeDocument/2006/relationships/hyperlink" Target="http://www.grilofactory.com/" TargetMode="External"/><Relationship Id="rId767" Type="http://schemas.openxmlformats.org/officeDocument/2006/relationships/hyperlink" Target="https://ambiente.messefrankfurt.com/frankfurt/de/ausstellersuche.detail.html/ernesto-grilo-sucessores-lda.html" TargetMode="External"/><Relationship Id="rId768" Type="http://schemas.openxmlformats.org/officeDocument/2006/relationships/hyperlink" Target="https://www.linkedin.com/search/results/companies/?keywords=Ernesto+Grilo+Sucessores%2C+Lda." TargetMode="External"/><Relationship Id="rId769" Type="http://schemas.openxmlformats.org/officeDocument/2006/relationships/hyperlink" Target="https://www.valentinibianco.com/" TargetMode="External"/><Relationship Id="rId770" Type="http://schemas.openxmlformats.org/officeDocument/2006/relationships/hyperlink" Target="https://heimtextil.messefrankfurt.com/frankfurt/en/exhibitor-search.detail.html/pereira--freitas-lda.html" TargetMode="External"/><Relationship Id="rId771" Type="http://schemas.openxmlformats.org/officeDocument/2006/relationships/hyperlink" Target="https://www.linkedin.com/search/results/companies/?keywords=Pereira+%26+Freitas%2C+Lda." TargetMode="External"/><Relationship Id="rId772" Type="http://schemas.openxmlformats.org/officeDocument/2006/relationships/hyperlink" Target="https://www.google.com/search?q=RENA+-+Lu&#237;s+Ferreira+%26+Ferreira%2C+S.A.+Portugal+official+website" TargetMode="External"/><Relationship Id="rId773" Type="http://schemas.openxmlformats.org/officeDocument/2006/relationships/hyperlink" Target="https://ambiente.messefrankfurt.com/frankfurt/de/ausstellersuche.detail.html/luis-ferreira--ferreira-sa.html" TargetMode="External"/><Relationship Id="rId774" Type="http://schemas.openxmlformats.org/officeDocument/2006/relationships/hyperlink" Target="https://www.linkedin.com/search/results/companies/?keywords=RENA+-+Lu&#237;s+Ferreira+%26+Ferreira%2C+S.A." TargetMode="External"/><Relationship Id="rId775" Type="http://schemas.openxmlformats.org/officeDocument/2006/relationships/hyperlink" Target="https://silampos.pt/" TargetMode="External"/><Relationship Id="rId776" Type="http://schemas.openxmlformats.org/officeDocument/2006/relationships/hyperlink" Target="https://silampos.pt/en/historia/index.php" TargetMode="External"/><Relationship Id="rId777" Type="http://schemas.openxmlformats.org/officeDocument/2006/relationships/hyperlink" Target="https://www.linkedin.com/search/results/companies/?keywords=Silampos+S.A." TargetMode="External"/><Relationship Id="rId778" Type="http://schemas.openxmlformats.org/officeDocument/2006/relationships/hyperlink" Target="https://www.google.com/search?q=Ambar+-+Passion+S.A.+Portugal+official+website" TargetMode="External"/><Relationship Id="rId779" Type="http://schemas.openxmlformats.org/officeDocument/2006/relationships/hyperlink" Target="https://ambiente.messefrankfurt.com/frankfurt/de/ausstellersuche.detail.html/ambar---passion-sa.html" TargetMode="External"/><Relationship Id="rId780" Type="http://schemas.openxmlformats.org/officeDocument/2006/relationships/hyperlink" Target="https://www.linkedin.com/search/results/companies/?keywords=Ambar+-+Passion+S.A." TargetMode="External"/><Relationship Id="rId781" Type="http://schemas.openxmlformats.org/officeDocument/2006/relationships/hyperlink" Target="https://www.google.com/search?q=Bi-silque+-+Produtos+de+Comunica&#231;&#227;o+Visual%2C+S.A.+Portugal+official+website" TargetMode="External"/><Relationship Id="rId782" Type="http://schemas.openxmlformats.org/officeDocument/2006/relationships/hyperlink" Target="https://www.einforma.pt/servlet/app/portal/ENTP/prod/ETIQUETA_EMPRESA/nif/500924902" TargetMode="External"/><Relationship Id="rId783" Type="http://schemas.openxmlformats.org/officeDocument/2006/relationships/hyperlink" Target="https://www.linkedin.com/search/results/companies/?keywords=Bi-silque+-+Produtos+de+Comunica&#231;&#227;o+Visual%2C+S.A." TargetMode="External"/><Relationship Id="rId784" Type="http://schemas.openxmlformats.org/officeDocument/2006/relationships/hyperlink" Target="https://www.google.com/search?q=Science4you+S.A.+Portugal+official+website" TargetMode="External"/><Relationship Id="rId785" Type="http://schemas.openxmlformats.org/officeDocument/2006/relationships/hyperlink" Target="https://www.portugalventures.pt/en/portfolio/science4you/" TargetMode="External"/><Relationship Id="rId786" Type="http://schemas.openxmlformats.org/officeDocument/2006/relationships/hyperlink" Target="https://www.linkedin.com/search/results/companies/?keywords=Science4you+S.A." TargetMode="External"/><Relationship Id="rId787" Type="http://schemas.openxmlformats.org/officeDocument/2006/relationships/hyperlink" Target="https://qudobeauty.com/" TargetMode="External"/><Relationship Id="rId788" Type="http://schemas.openxmlformats.org/officeDocument/2006/relationships/hyperlink" Target="https://www.einpresswire.com/article/837314333/qudobeauty-launches-korean-skincare-wholesale-platform-for-european-retailers" TargetMode="External"/><Relationship Id="rId789" Type="http://schemas.openxmlformats.org/officeDocument/2006/relationships/hyperlink" Target="https://www.linkedin.com/search/results/companies/?keywords=QudoBeauty" TargetMode="External"/><Relationship Id="rId790" Type="http://schemas.openxmlformats.org/officeDocument/2006/relationships/hyperlink" Target="https://www.farmec.ro/" TargetMode="External"/><Relationship Id="rId791" Type="http://schemas.openxmlformats.org/officeDocument/2006/relationships/hyperlink" Target="https://termene.ro/en/firma/199150-FARMEC-SA" TargetMode="External"/><Relationship Id="rId792" Type="http://schemas.openxmlformats.org/officeDocument/2006/relationships/hyperlink" Target="https://www.linkedin.com/search/results/companies/?keywords=FARMEC+S.A." TargetMode="External"/><Relationship Id="rId793" Type="http://schemas.openxmlformats.org/officeDocument/2006/relationships/hyperlink" Target="https://www.hofigal.eu/" TargetMode="External"/><Relationship Id="rId794" Type="http://schemas.openxmlformats.org/officeDocument/2006/relationships/hyperlink" Target="https://termene.ro/firma/384530" TargetMode="External"/><Relationship Id="rId795" Type="http://schemas.openxmlformats.org/officeDocument/2006/relationships/hyperlink" Target="https://www.linkedin.com/search/results/companies/?keywords=Hofigal+Export+Import+S.A." TargetMode="External"/><Relationship Id="rId796" Type="http://schemas.openxmlformats.org/officeDocument/2006/relationships/hyperlink" Target="https://www.tosama.si/" TargetMode="External"/><Relationship Id="rId797" Type="http://schemas.openxmlformats.org/officeDocument/2006/relationships/hyperlink" Target="https://www.tosama.si/en/o-tosami" TargetMode="External"/><Relationship Id="rId798" Type="http://schemas.openxmlformats.org/officeDocument/2006/relationships/hyperlink" Target="https://www.linkedin.com/search/results/companies/?keywords=TOSAMA+d.o.o." TargetMode="External"/><Relationship Id="rId799" Type="http://schemas.openxmlformats.org/officeDocument/2006/relationships/hyperlink" Target="https://www.bigbuy.eu/" TargetMode="External"/><Relationship Id="rId800" Type="http://schemas.openxmlformats.org/officeDocument/2006/relationships/hyperlink" Target="https://bigbuy.eu/en/what-is-bigbuy.html" TargetMode="External"/><Relationship Id="rId801" Type="http://schemas.openxmlformats.org/officeDocument/2006/relationships/hyperlink" Target="https://www.linkedin.com/search/results/companies/?keywords=BigBuy" TargetMode="External"/><Relationship Id="rId802" Type="http://schemas.openxmlformats.org/officeDocument/2006/relationships/hyperlink" Target="https://www.google.com/search?q=R%26J+Cambrass+S.A.+Spain+official+website" TargetMode="External"/><Relationship Id="rId803" Type="http://schemas.openxmlformats.org/officeDocument/2006/relationships/hyperlink" Target="https://asepri.com/en/brand/cambrass/" TargetMode="External"/><Relationship Id="rId804" Type="http://schemas.openxmlformats.org/officeDocument/2006/relationships/hyperlink" Target="https://www.linkedin.com/search/results/companies/?keywords=R%26J+Cambrass+S.A." TargetMode="External"/><Relationship Id="rId805" Type="http://schemas.openxmlformats.org/officeDocument/2006/relationships/hyperlink" Target="https://www.google.com/search?q=AC+Marca+Personal+Care+S.L.+%28Denenes%29+Spain+official+website" TargetMode="External"/><Relationship Id="rId806" Type="http://schemas.openxmlformats.org/officeDocument/2006/relationships/hyperlink" Target="https://www.druni.es/original-denenes-colonia-infantil" TargetMode="External"/><Relationship Id="rId807" Type="http://schemas.openxmlformats.org/officeDocument/2006/relationships/hyperlink" Target="https://www.linkedin.com/search/results/companies/?keywords=AC+Marca+Personal+Care+S.L." TargetMode="External"/><Relationship Id="rId808" Type="http://schemas.openxmlformats.org/officeDocument/2006/relationships/hyperlink" Target="https://www.jane.es/" TargetMode="External"/><Relationship Id="rId809" Type="http://schemas.openxmlformats.org/officeDocument/2006/relationships/hyperlink" Target="https://www.interempresas.net/Puericultura/334220-Empresas-espanolas-puericultura-exportadoras-(-galeria-productos-destacados-marcas).html" TargetMode="External"/><Relationship Id="rId810" Type="http://schemas.openxmlformats.org/officeDocument/2006/relationships/hyperlink" Target="https://www.linkedin.com/search/results/companies/?keywords=Jan&#233;+Group" TargetMode="External"/><Relationship Id="rId811" Type="http://schemas.openxmlformats.org/officeDocument/2006/relationships/hyperlink" Target="https://www.suavinex.com/en/about-us" TargetMode="External"/><Relationship Id="rId812" Type="http://schemas.openxmlformats.org/officeDocument/2006/relationships/hyperlink" Target="https://www.alimarket.es/nonfood/noticia/134303/suavinex-sigue-creciendo-en-el-exterior" TargetMode="External"/><Relationship Id="rId813" Type="http://schemas.openxmlformats.org/officeDocument/2006/relationships/hyperlink" Target="https://www.linkedin.com/search/results/companies/?keywords=Suavinex" TargetMode="External"/><Relationship Id="rId814" Type="http://schemas.openxmlformats.org/officeDocument/2006/relationships/hyperlink" Target="https://www.isdin.com/" TargetMode="External"/><Relationship Id="rId815" Type="http://schemas.openxmlformats.org/officeDocument/2006/relationships/hyperlink" Target="https://www.isdin.com/el-GR/contact" TargetMode="External"/><Relationship Id="rId816" Type="http://schemas.openxmlformats.org/officeDocument/2006/relationships/hyperlink" Target="https://www.linkedin.com/search/results/companies/?keywords=ISDIN+S.A." TargetMode="External"/><Relationship Id="rId817" Type="http://schemas.openxmlformats.org/officeDocument/2006/relationships/hyperlink" Target="https://www.google.com/search?q=Bella+Aurora+Labs+S.A.+Spain+official+website" TargetMode="External"/><Relationship Id="rId818" Type="http://schemas.openxmlformats.org/officeDocument/2006/relationships/hyperlink" Target="https://www.importgenius.com/suppliers/bella-aurora-labs-s-a" TargetMode="External"/><Relationship Id="rId819" Type="http://schemas.openxmlformats.org/officeDocument/2006/relationships/hyperlink" Target="https://www.linkedin.com/search/results/companies/?keywords=Bella+Aurora+Labs+S.A." TargetMode="External"/><Relationship Id="rId820" Type="http://schemas.openxmlformats.org/officeDocument/2006/relationships/hyperlink" Target="https://www.babaria.es/" TargetMode="External"/><Relationship Id="rId821" Type="http://schemas.openxmlformats.org/officeDocument/2006/relationships/hyperlink" Target="https://www.alimarket.es/nonfood/noticia/308200/corpfin-capital-adquiere-berioska-para-impulsar--babaria--en-el-exterior" TargetMode="External"/><Relationship Id="rId822" Type="http://schemas.openxmlformats.org/officeDocument/2006/relationships/hyperlink" Target="https://www.linkedin.com/search/results/companies/?keywords=Berioska+S.L." TargetMode="External"/><Relationship Id="rId823" Type="http://schemas.openxmlformats.org/officeDocument/2006/relationships/hyperlink" Target="https://www.institutoespanol.com/" TargetMode="External"/><Relationship Id="rId824" Type="http://schemas.openxmlformats.org/officeDocument/2006/relationships/hyperlink" Target="https://panjiva.com/Instituto-Espanol-S-A/1134582" TargetMode="External"/><Relationship Id="rId825" Type="http://schemas.openxmlformats.org/officeDocument/2006/relationships/hyperlink" Target="https://www.linkedin.com/search/results/companies/?keywords=Instituto+Espa&#241;ol+S.A." TargetMode="External"/><Relationship Id="rId826" Type="http://schemas.openxmlformats.org/officeDocument/2006/relationships/hyperlink" Target="https://www.rubi.com/en/group" TargetMode="External"/><Relationship Id="rId827" Type="http://schemas.openxmlformats.org/officeDocument/2006/relationships/hyperlink" Target="https://www.cersaie.it/en/800/rubi?PREVQUERY=" TargetMode="External"/><Relationship Id="rId828" Type="http://schemas.openxmlformats.org/officeDocument/2006/relationships/hyperlink" Target="https://www.linkedin.com/search/results/companies/?keywords=RUBI+Tools+Group+S.A." TargetMode="External"/><Relationship Id="rId829" Type="http://schemas.openxmlformats.org/officeDocument/2006/relationships/hyperlink" Target="https://www.bellota.com/" TargetMode="External"/><Relationship Id="rId830" Type="http://schemas.openxmlformats.org/officeDocument/2006/relationships/hyperlink" Target="https://www.interempresas.net/Gardening/Companies-Products/Contact-Bellota-Herramientas-S-A-9647.html" TargetMode="External"/><Relationship Id="rId831" Type="http://schemas.openxmlformats.org/officeDocument/2006/relationships/hyperlink" Target="https://www.linkedin.com/search/results/companies/?keywords=Bellota+Herramientas+S.L.U." TargetMode="External"/><Relationship Id="rId832" Type="http://schemas.openxmlformats.org/officeDocument/2006/relationships/hyperlink" Target="https://www.egamaster.com/" TargetMode="External"/><Relationship Id="rId833" Type="http://schemas.openxmlformats.org/officeDocument/2006/relationships/hyperlink" Target="https://sahaexpo.com/katilimci/ega-master-sl" TargetMode="External"/><Relationship Id="rId834" Type="http://schemas.openxmlformats.org/officeDocument/2006/relationships/hyperlink" Target="https://www.linkedin.com/search/results/companies/?keywords=EGA+Master+S.L." TargetMode="External"/><Relationship Id="rId835" Type="http://schemas.openxmlformats.org/officeDocument/2006/relationships/hyperlink" Target="https://www.google.com/search?q=Grupo+Saphir+Parfums+Spain+official+website" TargetMode="External"/><Relationship Id="rId836" Type="http://schemas.openxmlformats.org/officeDocument/2006/relationships/hyperlink" Target="https://www.goaragon.eu/grupo-saphir-expects-to-increase-its-turnover-and-workforce-by-10/" TargetMode="External"/><Relationship Id="rId837" Type="http://schemas.openxmlformats.org/officeDocument/2006/relationships/hyperlink" Target="https://www.linkedin.com/search/results/companies/?keywords=Grupo+Saphir+Parfums" TargetMode="External"/><Relationship Id="rId838" Type="http://schemas.openxmlformats.org/officeDocument/2006/relationships/hyperlink" Target="https://www.google.com/search?q=Laboratorios+Byly+S.A.+Spain+official+website" TargetMode="External"/><Relationship Id="rId839" Type="http://schemas.openxmlformats.org/officeDocument/2006/relationships/hyperlink" Target="https://cn.panjiva.com/Laboratorios-Byly/1159215" TargetMode="External"/><Relationship Id="rId840" Type="http://schemas.openxmlformats.org/officeDocument/2006/relationships/hyperlink" Target="https://www.linkedin.com/search/results/companies/?keywords=Laboratorios+Byly+S.A." TargetMode="External"/><Relationship Id="rId841" Type="http://schemas.openxmlformats.org/officeDocument/2006/relationships/hyperlink" Target="https://www.lekue.com/" TargetMode="External"/><Relationship Id="rId842" Type="http://schemas.openxmlformats.org/officeDocument/2006/relationships/hyperlink" Target="https://housewareslive.net/lekue-to-set-up-own-uk-distribution-company/" TargetMode="External"/><Relationship Id="rId843" Type="http://schemas.openxmlformats.org/officeDocument/2006/relationships/hyperlink" Target="https://www.linkedin.com/search/results/companies/?keywords=L&#233;ku&#233;+S.L." TargetMode="External"/><Relationship Id="rId844" Type="http://schemas.openxmlformats.org/officeDocument/2006/relationships/hyperlink" Target="https://www.cecotec.es/" TargetMode="External"/><Relationship Id="rId845" Type="http://schemas.openxmlformats.org/officeDocument/2006/relationships/hyperlink" Target="https://www.iberinform.es/empresa/2406990/cecotec-innovaciones" TargetMode="External"/><Relationship Id="rId846" Type="http://schemas.openxmlformats.org/officeDocument/2006/relationships/hyperlink" Target="https://www.linkedin.com/search/results/companies/?keywords=Cecotec+Innovaciones+S.L." TargetMode="External"/><Relationship Id="rId847" Type="http://schemas.openxmlformats.org/officeDocument/2006/relationships/hyperlink" Target="https://ibilimenaje.com/es" TargetMode="External"/><Relationship Id="rId848" Type="http://schemas.openxmlformats.org/officeDocument/2006/relationships/hyperlink" Target="https://ambiente.messefrankfurt.com/frankfurt/de/ausstellersuche.detail.html/ibili-menaje-sa.html" TargetMode="External"/><Relationship Id="rId849" Type="http://schemas.openxmlformats.org/officeDocument/2006/relationships/hyperlink" Target="https://www.linkedin.com/search/results/companies/?keywords=IBILI+Menaje+S.A." TargetMode="External"/><Relationship Id="rId850" Type="http://schemas.openxmlformats.org/officeDocument/2006/relationships/hyperlink" Target="https://www.arquivet.com/" TargetMode="External"/><Relationship Id="rId851" Type="http://schemas.openxmlformats.org/officeDocument/2006/relationships/hyperlink" Target="https://www.interzoo.com/en/exhibitors/arquivet-slu-2227511" TargetMode="External"/><Relationship Id="rId852" Type="http://schemas.openxmlformats.org/officeDocument/2006/relationships/hyperlink" Target="https://www.linkedin.com/search/results/companies/?keywords=Arquivet+SLU" TargetMode="External"/><Relationship Id="rId853" Type="http://schemas.openxmlformats.org/officeDocument/2006/relationships/hyperlink" Target="https://www.gaunsa.com/" TargetMode="External"/><Relationship Id="rId854" Type="http://schemas.openxmlformats.org/officeDocument/2006/relationships/hyperlink" Target="https://www.zoomark.it/en/directory/exhibitor-detail/6135.html?id=8931" TargetMode="External"/><Relationship Id="rId855" Type="http://schemas.openxmlformats.org/officeDocument/2006/relationships/hyperlink" Target="https://www.linkedin.com/search/results/companies/?keywords=Gaun+S.A." TargetMode="External"/><Relationship Id="rId856" Type="http://schemas.openxmlformats.org/officeDocument/2006/relationships/hyperlink" Target="https://www.gosbi.com/" TargetMode="External"/><Relationship Id="rId857" Type="http://schemas.openxmlformats.org/officeDocument/2006/relationships/hyperlink" Target="https://interzoo.com/en/exhibitors-products/g/gosbi-pet-food-sa" TargetMode="External"/><Relationship Id="rId858" Type="http://schemas.openxmlformats.org/officeDocument/2006/relationships/hyperlink" Target="https://www.linkedin.com/search/results/companies/?keywords=GOSBI+PET+FOOD+S.A." TargetMode="External"/><Relationship Id="rId859" Type="http://schemas.openxmlformats.org/officeDocument/2006/relationships/hyperlink" Target="https://www.nayeco.com/es" TargetMode="External"/><Relationship Id="rId860" Type="http://schemas.openxmlformats.org/officeDocument/2006/relationships/hyperlink" Target="https://www.interzoo.com/en/exhibitors/nayeco-sl-2498925" TargetMode="External"/><Relationship Id="rId861" Type="http://schemas.openxmlformats.org/officeDocument/2006/relationships/hyperlink" Target="https://www.linkedin.com/search/results/companies/?keywords=Nayeco+S.L." TargetMode="External"/><Relationship Id="rId862" Type="http://schemas.openxmlformats.org/officeDocument/2006/relationships/hyperlink" Target="https://www.jimsports.com/" TargetMode="External"/><Relationship Id="rId863" Type="http://schemas.openxmlformats.org/officeDocument/2006/relationships/hyperlink" Target="https://media.timtul.com/media/web_afydad/SPANISH%20EXHIBITORS%20AT%20ISPO%20MUNICH%202025_V3_20251030171855.pdf" TargetMode="External"/><Relationship Id="rId864" Type="http://schemas.openxmlformats.org/officeDocument/2006/relationships/hyperlink" Target="https://www.linkedin.com/search/results/companies/?keywords=Jim+Sports+Group" TargetMode="External"/><Relationship Id="rId865" Type="http://schemas.openxmlformats.org/officeDocument/2006/relationships/hyperlink" Target="https://www.apli.com/" TargetMode="External"/><Relationship Id="rId866" Type="http://schemas.openxmlformats.org/officeDocument/2006/relationships/hyperlink" Target="https://suppliers.catalonia.com/detail/apli-paper-sau/672" TargetMode="External"/><Relationship Id="rId867" Type="http://schemas.openxmlformats.org/officeDocument/2006/relationships/hyperlink" Target="https://www.linkedin.com/search/results/companies/?keywords=APLI+Paper+S.A.U." TargetMode="External"/><Relationship Id="rId868" Type="http://schemas.openxmlformats.org/officeDocument/2006/relationships/hyperlink" Target="https://www.milan.es/" TargetMode="External"/><Relationship Id="rId869" Type="http://schemas.openxmlformats.org/officeDocument/2006/relationships/hyperlink" Target="https://ambiente.messefrankfurt.com/frankfurt/de/ausstellersuche.detail.html/factis-sa.html" TargetMode="External"/><Relationship Id="rId870" Type="http://schemas.openxmlformats.org/officeDocument/2006/relationships/hyperlink" Target="https://www.linkedin.com/search/results/companies/?keywords=Factis+S.A." TargetMode="External"/><Relationship Id="rId871" Type="http://schemas.openxmlformats.org/officeDocument/2006/relationships/hyperlink" Target="https://www.jovi.es/" TargetMode="External"/><Relationship Id="rId872" Type="http://schemas.openxmlformats.org/officeDocument/2006/relationships/hyperlink" Target="https://www.iberinform.es/empresa/430914/jovi" TargetMode="External"/><Relationship Id="rId873" Type="http://schemas.openxmlformats.org/officeDocument/2006/relationships/hyperlink" Target="https://www.linkedin.com/search/results/companies/?keywords=JOVI+S.A." TargetMode="External"/><Relationship Id="rId874" Type="http://schemas.openxmlformats.org/officeDocument/2006/relationships/hyperlink" Target="https://www.cspapeleria.com/" TargetMode="External"/><Relationship Id="rId875" Type="http://schemas.openxmlformats.org/officeDocument/2006/relationships/hyperlink" Target="https://www.cspapeleria.com/en/who-we-are" TargetMode="External"/><Relationship Id="rId876" Type="http://schemas.openxmlformats.org/officeDocument/2006/relationships/hyperlink" Target="https://www.linkedin.com/search/results/companies/?keywords=CSP+-+Comercial+del+Sur+de+Papeler&#237;a" TargetMode="External"/><Relationship Id="rId877" Type="http://schemas.openxmlformats.org/officeDocument/2006/relationships/hyperlink" Target="https://www.google.com/search?q=Distribuidora+Universal+S.L.+%28DUNSA+Group%29+Spain+official+website" TargetMode="External"/><Relationship Id="rId878" Type="http://schemas.openxmlformats.org/officeDocument/2006/relationships/hyperlink" Target="https://creativeworld.messefrankfurt.com/frankfurt/en/exhibitor-search.detail.html/distribuidora-universal-sl.html" TargetMode="External"/><Relationship Id="rId879" Type="http://schemas.openxmlformats.org/officeDocument/2006/relationships/hyperlink" Target="https://www.linkedin.com/search/results/companies/?keywords=Distribuidora+Universal+S.L." TargetMode="External"/><Relationship Id="rId880" Type="http://schemas.openxmlformats.org/officeDocument/2006/relationships/hyperlink" Target="https://www.educaborras.com/" TargetMode="External"/><Relationship Id="rId881" Type="http://schemas.openxmlformats.org/officeDocument/2006/relationships/hyperlink" Target="https://suppliers.catalonia.com/detail/educa-borras-sau/545" TargetMode="External"/><Relationship Id="rId882" Type="http://schemas.openxmlformats.org/officeDocument/2006/relationships/hyperlink" Target="https://www.linkedin.com/search/results/companies/?keywords=Educa+Borr&#225;s+S.A.U." TargetMode="External"/><Relationship Id="rId883" Type="http://schemas.openxmlformats.org/officeDocument/2006/relationships/hyperlink" Target="https://www.google.com/search?q=Colorbaby+S.L.+Spain+official+website" TargetMode="External"/><Relationship Id="rId884" Type="http://schemas.openxmlformats.org/officeDocument/2006/relationships/hyperlink" Target="https://lei.bloomberg.com/leis/view/95980020140005590772" TargetMode="External"/><Relationship Id="rId885" Type="http://schemas.openxmlformats.org/officeDocument/2006/relationships/hyperlink" Target="https://www.linkedin.com/search/results/companies/?keywords=Colorbaby+S.L." TargetMode="External"/><Relationship Id="rId886" Type="http://schemas.openxmlformats.org/officeDocument/2006/relationships/hyperlink" Target="https://www.minilandgroup.com/" TargetMode="External"/><Relationship Id="rId887" Type="http://schemas.openxmlformats.org/officeDocument/2006/relationships/hyperlink" Target="https://www.iberinform.es/empresa/251174/miniland" TargetMode="External"/><Relationship Id="rId888" Type="http://schemas.openxmlformats.org/officeDocument/2006/relationships/hyperlink" Target="https://www.linkedin.com/search/results/companies/?keywords=Miniland+S.A." TargetMode="External"/><Relationship Id="rId889" Type="http://schemas.openxmlformats.org/officeDocument/2006/relationships/hyperlink" Target="https://cefatoys.com/" TargetMode="External"/><Relationship Id="rId890" Type="http://schemas.openxmlformats.org/officeDocument/2006/relationships/hyperlink" Target="https://lei.bloomberg.com/leis/view/959800YF5LJZBD3FLC10" TargetMode="External"/><Relationship Id="rId891" Type="http://schemas.openxmlformats.org/officeDocument/2006/relationships/hyperlink" Target="https://www.linkedin.com/search/results/companies/?keywords=Cefa+Toys+S.A." TargetMode="External"/><Relationship Id="rId892" Type="http://schemas.openxmlformats.org/officeDocument/2006/relationships/hyperlink" Target="https://www.diset.com/" TargetMode="External"/><Relationship Id="rId893" Type="http://schemas.openxmlformats.org/officeDocument/2006/relationships/hyperlink" Target="https://www.iberinform.es/empresa/473667/diset" TargetMode="External"/><Relationship Id="rId894" Type="http://schemas.openxmlformats.org/officeDocument/2006/relationships/hyperlink" Target="https://www.linkedin.com/search/results/companies/?keywords=DISET+S.A." TargetMode="External"/><Relationship Id="rId895" Type="http://schemas.openxmlformats.org/officeDocument/2006/relationships/hyperlink" Target="https://www.famosa.es/" TargetMode="External"/><Relationship Id="rId896" Type="http://schemas.openxmlformats.org/officeDocument/2006/relationships/hyperlink" Target="https://panjiva.com/Famosa/89306637" TargetMode="External"/><Relationship Id="rId897" Type="http://schemas.openxmlformats.org/officeDocument/2006/relationships/hyperlink" Target="https://www.linkedin.com/search/results/companies/?keywords=Famosa" TargetMode="External"/><Relationship Id="rId898" Type="http://schemas.openxmlformats.org/officeDocument/2006/relationships/hyperlink" Target="https://www.google.com/search?q=Industrial+Juguetera+S.A.+%28Injusa%29+Spain+official+website" TargetMode="External"/><Relationship Id="rId899" Type="http://schemas.openxmlformats.org/officeDocument/2006/relationships/hyperlink" Target="https://proveedores.com/proveedores/injusa/" TargetMode="External"/><Relationship Id="rId900" Type="http://schemas.openxmlformats.org/officeDocument/2006/relationships/hyperlink" Target="https://www.linkedin.com/search/results/companies/?keywords=Industrial+Juguetera+S.A." TargetMode="External"/><Relationship Id="rId901" Type="http://schemas.openxmlformats.org/officeDocument/2006/relationships/hyperlink" Target="https://www.scandinaviancosmetics.se/" TargetMode="External"/><Relationship Id="rId902" Type="http://schemas.openxmlformats.org/officeDocument/2006/relationships/hyperlink" Target="https://news.cision.com/storskogen/r/storskogen-acquires-scandinavian-cosmetics-group,c3532686" TargetMode="External"/><Relationship Id="rId903" Type="http://schemas.openxmlformats.org/officeDocument/2006/relationships/hyperlink" Target="https://www.linkedin.com/search/results/companies/?keywords=Scandinavian+Cosmetics+AB" TargetMode="External"/><Relationship Id="rId904" Type="http://schemas.openxmlformats.org/officeDocument/2006/relationships/hyperlink" Target="https://www.isadora.com/" TargetMode="External"/><Relationship Id="rId905" Type="http://schemas.openxmlformats.org/officeDocument/2006/relationships/hyperlink" Target="https://axcel.dk/?p=1358" TargetMode="External"/><Relationship Id="rId906" Type="http://schemas.openxmlformats.org/officeDocument/2006/relationships/hyperlink" Target="https://www.linkedin.com/search/results/companies/?keywords=IsaDora+AB" TargetMode="External"/><Relationship Id="rId907" Type="http://schemas.openxmlformats.org/officeDocument/2006/relationships/hyperlink" Target="https://tepe.com/global/contact" TargetMode="External"/><Relationship Id="rId908" Type="http://schemas.openxmlformats.org/officeDocument/2006/relationships/hyperlink" Target="https://tepe.com/global/contact" TargetMode="External"/><Relationship Id="rId909" Type="http://schemas.openxmlformats.org/officeDocument/2006/relationships/hyperlink" Target="https://www.linkedin.com/search/results/companies/?keywords=TePe+Munhygienprodukter+AB" TargetMode="External"/><Relationship Id="rId910" Type="http://schemas.openxmlformats.org/officeDocument/2006/relationships/hyperlink" Target="https://www.cederroth.com/" TargetMode="External"/><Relationship Id="rId911" Type="http://schemas.openxmlformats.org/officeDocument/2006/relationships/hyperlink" Target="https://www.orkla.com/media/press-releases/2015/orkla-asa-orkla-acquires-cederroth/" TargetMode="External"/><Relationship Id="rId912" Type="http://schemas.openxmlformats.org/officeDocument/2006/relationships/hyperlink" Target="https://www.linkedin.com/search/results/companies/?keywords=Cederroth+AB" TargetMode="External"/><Relationship Id="rId913" Type="http://schemas.openxmlformats.org/officeDocument/2006/relationships/hyperlink" Target="https://www.stigasports.com/" TargetMode="External"/><Relationship Id="rId914" Type="http://schemas.openxmlformats.org/officeDocument/2006/relationships/hyperlink" Target="https://www.stigasports.com/en/explore-stiga-sports/stiga-75-years" TargetMode="External"/><Relationship Id="rId915" Type="http://schemas.openxmlformats.org/officeDocument/2006/relationships/hyperlink" Target="https://www.linkedin.com/search/results/companies/?keywords=STIGA+Sports+AB" TargetMode="External"/><Relationship Id="rId916" Type="http://schemas.openxmlformats.org/officeDocument/2006/relationships/hyperlink" Target="https://www.brio.eu/" TargetMode="External"/><Relationship Id="rId917" Type="http://schemas.openxmlformats.org/officeDocument/2006/relationships/hyperlink" Target="https://en.wikipedia.org/wiki/Brio_(company)" TargetMode="External"/><Relationship Id="rId918" Type="http://schemas.openxmlformats.org/officeDocument/2006/relationships/hyperlink" Target="https://www.linkedin.com/search/results/companies/?keywords=BRIO+AB" TargetMode="External"/><Relationship Id="rId919" Type="http://schemas.openxmlformats.org/officeDocument/2006/relationships/hyperlink" Target="https://mickiofsweden.com/en/b2b/" TargetMode="External"/><Relationship Id="rId920" Type="http://schemas.openxmlformats.org/officeDocument/2006/relationships/hyperlink" Target="https://mickiofsweden.com/en/b2b/" TargetMode="External"/><Relationship Id="rId921" Type="http://schemas.openxmlformats.org/officeDocument/2006/relationships/hyperlink" Target="https://www.linkedin.com/search/results/companies/?keywords=Micki+Leksaker+AB" TargetMode="External"/><Relationship Id="rId922" Type="http://schemas.openxmlformats.org/officeDocument/2006/relationships/hyperlink" Target="https://www.google.com/search?q=Carletto+AG+%28Carletto+Deutschland%29+Switzerland+official+website" TargetMode="External"/><Relationship Id="rId923" Type="http://schemas.openxmlformats.org/officeDocument/2006/relationships/hyperlink" Target="https://www.jobs.ch/en/companies/8602-carletto-ag/" TargetMode="External"/><Relationship Id="rId924" Type="http://schemas.openxmlformats.org/officeDocument/2006/relationships/hyperlink" Target="https://www.linkedin.com/search/results/companies/?keywords=Carletto+AG" TargetMode="External"/><Relationship Id="rId925" Type="http://schemas.openxmlformats.org/officeDocument/2006/relationships/hyperlink" Target="https://www.qogita.com/" TargetMode="External"/><Relationship Id="rId926" Type="http://schemas.openxmlformats.org/officeDocument/2006/relationships/hyperlink" Target="https://www.qogita.com/blog/amazon-fba-wholesale-tips-for-retailers/" TargetMode="External"/><Relationship Id="rId927" Type="http://schemas.openxmlformats.org/officeDocument/2006/relationships/hyperlink" Target="https://www.linkedin.com/search/results/companies/?keywords=Qogita" TargetMode="External"/><Relationship Id="rId928" Type="http://schemas.openxmlformats.org/officeDocument/2006/relationships/hyperlink" Target="https://www.babybase.co.uk/" TargetMode="External"/><Relationship Id="rId929" Type="http://schemas.openxmlformats.org/officeDocument/2006/relationships/hyperlink" Target="https://nurserytoday.co.uk/2022/11/29/matchstick-monkey-partners-with-babybase/" TargetMode="External"/><Relationship Id="rId930" Type="http://schemas.openxmlformats.org/officeDocument/2006/relationships/hyperlink" Target="https://www.linkedin.com/search/results/companies/?keywords=Babybase+Ltd" TargetMode="External"/><Relationship Id="rId931" Type="http://schemas.openxmlformats.org/officeDocument/2006/relationships/hyperlink" Target="https://www.babybrandsdirect.co.uk/" TargetMode="External"/><Relationship Id="rId932" Type="http://schemas.openxmlformats.org/officeDocument/2006/relationships/hyperlink" Target="https://www.lawfuel.com/blog/www-babybrandsdirect-co-uk-supports-independent-nursery-and-baby-retailers" TargetMode="External"/><Relationship Id="rId933" Type="http://schemas.openxmlformats.org/officeDocument/2006/relationships/hyperlink" Target="https://www.linkedin.com/search/results/companies/?keywords=Baby+Brands+Direct" TargetMode="External"/><Relationship Id="rId934" Type="http://schemas.openxmlformats.org/officeDocument/2006/relationships/hyperlink" Target="https://www.wholesalebabyproducts.co.uk/" TargetMode="External"/><Relationship Id="rId935" Type="http://schemas.openxmlformats.org/officeDocument/2006/relationships/hyperlink" Target="https://directory.coventrytelegraph.net/company/889881836294144" TargetMode="External"/><Relationship Id="rId936" Type="http://schemas.openxmlformats.org/officeDocument/2006/relationships/hyperlink" Target="https://www.linkedin.com/search/results/companies/?keywords=Wholesale+Baby+Products" TargetMode="External"/><Relationship Id="rId937" Type="http://schemas.openxmlformats.org/officeDocument/2006/relationships/hyperlink" Target="https://www.toolbank.com/" TargetMode="External"/><Relationship Id="rId938" Type="http://schemas.openxmlformats.org/officeDocument/2006/relationships/hyperlink" Target="https://find-and-update.company-information.service.gov.uk/company/00529964" TargetMode="External"/><Relationship Id="rId939" Type="http://schemas.openxmlformats.org/officeDocument/2006/relationships/hyperlink" Target="https://www.linkedin.com/search/results/companies/?keywords=Toolbank+Ltd" TargetMode="External"/><Relationship Id="rId940" Type="http://schemas.openxmlformats.org/officeDocument/2006/relationships/hyperlink" Target="https://www.drapertools.com/" TargetMode="External"/><Relationship Id="rId941" Type="http://schemas.openxmlformats.org/officeDocument/2006/relationships/hyperlink" Target="https://www.drapertools.com/register-as-a-stockist" TargetMode="External"/><Relationship Id="rId942" Type="http://schemas.openxmlformats.org/officeDocument/2006/relationships/hyperlink" Target="https://www.linkedin.com/search/results/companies/?keywords=Draper+Tools" TargetMode="External"/><Relationship Id="rId943" Type="http://schemas.openxmlformats.org/officeDocument/2006/relationships/hyperlink" Target="https://bosch-pt.com/uk_bssdealer/uk/en/start/bss_acct/dealers_list/campbell_miller.htm" TargetMode="External"/><Relationship Id="rId944" Type="http://schemas.openxmlformats.org/officeDocument/2006/relationships/hyperlink" Target="https://bosch-pt.com/uk_bssdealer/uk/en/start/bss_acct/dealers_list/campbell_miller.htm" TargetMode="External"/><Relationship Id="rId945" Type="http://schemas.openxmlformats.org/officeDocument/2006/relationships/hyperlink" Target="https://www.linkedin.com/search/results/companies/?keywords=Campbell+Miller+Tools" TargetMode="External"/><Relationship Id="rId946" Type="http://schemas.openxmlformats.org/officeDocument/2006/relationships/hyperlink" Target="https://www.ebay.com/str/toolstek" TargetMode="External"/><Relationship Id="rId947" Type="http://schemas.openxmlformats.org/officeDocument/2006/relationships/hyperlink" Target="https://www.ebay.com/str/toolstek" TargetMode="External"/><Relationship Id="rId948" Type="http://schemas.openxmlformats.org/officeDocument/2006/relationships/hyperlink" Target="https://www.linkedin.com/search/results/companies/?keywords=Toolstek" TargetMode="External"/><Relationship Id="rId949" Type="http://schemas.openxmlformats.org/officeDocument/2006/relationships/hyperlink" Target="https://www.knights-fragrances.co.uk/" TargetMode="External"/><Relationship Id="rId950" Type="http://schemas.openxmlformats.org/officeDocument/2006/relationships/hyperlink" Target="https://oncosmetics.com/company/knights-fragrances/" TargetMode="External"/><Relationship Id="rId951" Type="http://schemas.openxmlformats.org/officeDocument/2006/relationships/hyperlink" Target="https://www.linkedin.com/search/results/companies/?keywords=Knights+Fragrances" TargetMode="External"/><Relationship Id="rId952" Type="http://schemas.openxmlformats.org/officeDocument/2006/relationships/hyperlink" Target="https://www.shaneel.com/shaneel-enterprises" TargetMode="External"/><Relationship Id="rId953" Type="http://schemas.openxmlformats.org/officeDocument/2006/relationships/hyperlink" Target="https://jobs.workable.com/companies/iKxrmDgx2D2P41Cmp6pAvV.md" TargetMode="External"/><Relationship Id="rId954" Type="http://schemas.openxmlformats.org/officeDocument/2006/relationships/hyperlink" Target="https://www.linkedin.com/search/results/companies/?keywords=Shaneel+Group" TargetMode="External"/><Relationship Id="rId955" Type="http://schemas.openxmlformats.org/officeDocument/2006/relationships/hyperlink" Target="https://www.affinityfragrances.com/" TargetMode="External"/><Relationship Id="rId956" Type="http://schemas.openxmlformats.org/officeDocument/2006/relationships/hyperlink" Target="https://retail-merchandiser.com/news/affinity-fragrances-focus-on-trust-agility-and-long-term-partnerships-is-driving-its-international-expansion/" TargetMode="External"/><Relationship Id="rId957" Type="http://schemas.openxmlformats.org/officeDocument/2006/relationships/hyperlink" Target="https://www.linkedin.com/search/results/companies/?keywords=Affinity+Fragrances" TargetMode="External"/><Relationship Id="rId958" Type="http://schemas.openxmlformats.org/officeDocument/2006/relationships/hyperlink" Target="https://www.agencedeparfumerie.co.uk/" TargetMode="External"/><Relationship Id="rId959" Type="http://schemas.openxmlformats.org/officeDocument/2006/relationships/hyperlink" Target="https://oncosmetics.com/company/agence-de-parfumerie" TargetMode="External"/><Relationship Id="rId960" Type="http://schemas.openxmlformats.org/officeDocument/2006/relationships/hyperlink" Target="https://www.linkedin.com/search/results/companies/?keywords=Agence+de+Parfumerie" TargetMode="External"/><Relationship Id="rId961" Type="http://schemas.openxmlformats.org/officeDocument/2006/relationships/hyperlink" Target="https://www.booker.co.uk/" TargetMode="External"/><Relationship Id="rId962" Type="http://schemas.openxmlformats.org/officeDocument/2006/relationships/hyperlink" Target="https://www.parentkind.org.uk/for-ptas/supplier-directory/booker" TargetMode="External"/><Relationship Id="rId963" Type="http://schemas.openxmlformats.org/officeDocument/2006/relationships/hyperlink" Target="https://www.linkedin.com/search/results/companies/?keywords=Booker+Wholesale" TargetMode="External"/><Relationship Id="rId964" Type="http://schemas.openxmlformats.org/officeDocument/2006/relationships/hyperlink" Target="https://www.costco.co.uk/" TargetMode="External"/><Relationship Id="rId965" Type="http://schemas.openxmlformats.org/officeDocument/2006/relationships/hyperlink" Target="https://www.costco.co.uk/membership-business-questions" TargetMode="External"/><Relationship Id="rId966" Type="http://schemas.openxmlformats.org/officeDocument/2006/relationships/hyperlink" Target="https://www.linkedin.com/search/results/companies/?keywords=Costco+UK" TargetMode="External"/><Relationship Id="rId967" Type="http://schemas.openxmlformats.org/officeDocument/2006/relationships/hyperlink" Target="https://www.bestwaywholesale.co.uk/" TargetMode="External"/><Relationship Id="rId968" Type="http://schemas.openxmlformats.org/officeDocument/2006/relationships/hyperlink" Target="https://www.bestwaygroup.co.uk/contact-us" TargetMode="External"/><Relationship Id="rId969" Type="http://schemas.openxmlformats.org/officeDocument/2006/relationships/hyperlink" Target="https://www.linkedin.com/search/results/companies/?keywords=Bestway+Wholesale" TargetMode="External"/><Relationship Id="rId970" Type="http://schemas.openxmlformats.org/officeDocument/2006/relationships/hyperlink" Target="https://www.dhamecha.com/" TargetMode="External"/><Relationship Id="rId971" Type="http://schemas.openxmlformats.org/officeDocument/2006/relationships/hyperlink" Target="https://unitaswholesale.co.uk/retailer/wholesaler-search-2/page/8/" TargetMode="External"/><Relationship Id="rId972" Type="http://schemas.openxmlformats.org/officeDocument/2006/relationships/hyperlink" Target="https://www.linkedin.com/search/results/companies/?keywords=Dhamecha+Cash+%26+Carry" TargetMode="External"/><Relationship Id="rId973" Type="http://schemas.openxmlformats.org/officeDocument/2006/relationships/hyperlink" Target="https://www.dkwholesale.com/" TargetMode="External"/><Relationship Id="rId974" Type="http://schemas.openxmlformats.org/officeDocument/2006/relationships/hyperlink" Target="https://es.trustpilot.com/review/dkwholesale.com" TargetMode="External"/><Relationship Id="rId975" Type="http://schemas.openxmlformats.org/officeDocument/2006/relationships/hyperlink" Target="https://www.linkedin.com/search/results/companies/?keywords=DK+Wholesale" TargetMode="External"/><Relationship Id="rId976" Type="http://schemas.openxmlformats.org/officeDocument/2006/relationships/hyperlink" Target="https://www.hancocks.co.uk/" TargetMode="External"/><Relationship Id="rId977" Type="http://schemas.openxmlformats.org/officeDocument/2006/relationships/hyperlink" Target="https://hancocks.co.uk/about" TargetMode="External"/><Relationship Id="rId978" Type="http://schemas.openxmlformats.org/officeDocument/2006/relationships/hyperlink" Target="https://www.linkedin.com/search/results/companies/?keywords=Hancocks" TargetMode="External"/><Relationship Id="rId979" Type="http://schemas.openxmlformats.org/officeDocument/2006/relationships/hyperlink" Target="https://www.parfetts.co.uk/" TargetMode="External"/><Relationship Id="rId980" Type="http://schemas.openxmlformats.org/officeDocument/2006/relationships/hyperlink" Target="https://barandkitchenmagazine.com/?p=20919" TargetMode="External"/><Relationship Id="rId981" Type="http://schemas.openxmlformats.org/officeDocument/2006/relationships/hyperlink" Target="https://www.linkedin.com/search/results/companies/?keywords=Parfetts" TargetMode="External"/><Relationship Id="rId982" Type="http://schemas.openxmlformats.org/officeDocument/2006/relationships/hyperlink" Target="https://www.harrisonsdirect.co.uk/" TargetMode="External"/><Relationship Id="rId983" Type="http://schemas.openxmlformats.org/officeDocument/2006/relationships/hyperlink" Target="https://www.harrisonsdirect.co.uk/why-choose-harrisons/" TargetMode="External"/><Relationship Id="rId984" Type="http://schemas.openxmlformats.org/officeDocument/2006/relationships/hyperlink" Target="https://www.linkedin.com/search/results/companies/?keywords=Harrisons+Direct" TargetMode="External"/><Relationship Id="rId985" Type="http://schemas.openxmlformats.org/officeDocument/2006/relationships/hyperlink" Target="https://www.proteinbargainwholesale.co.uk/" TargetMode="External"/><Relationship Id="rId986" Type="http://schemas.openxmlformats.org/officeDocument/2006/relationships/hyperlink" Target="https://uk.trustpilot.com/review/proteinbargainwholesale.co.uk" TargetMode="External"/><Relationship Id="rId987" Type="http://schemas.openxmlformats.org/officeDocument/2006/relationships/hyperlink" Target="https://www.linkedin.com/search/results/companies/?keywords=PB+Wholesale" TargetMode="External"/><Relationship Id="rId988" Type="http://schemas.openxmlformats.org/officeDocument/2006/relationships/hyperlink" Target="https://www.clfdistribution.com/" TargetMode="External"/><Relationship Id="rId989" Type="http://schemas.openxmlformats.org/officeDocument/2006/relationships/hyperlink" Target="https://retail-merchandiser.com/news/with-hundreds-of-leading-lifestyle-brands-clf-distribution-offers-uk-retailers-a-comprehensive-choice/" TargetMode="External"/><Relationship Id="rId990" Type="http://schemas.openxmlformats.org/officeDocument/2006/relationships/hyperlink" Target="https://www.linkedin.com/search/results/companies/?keywords=CLF+Distribution" TargetMode="External"/><Relationship Id="rId991" Type="http://schemas.openxmlformats.org/officeDocument/2006/relationships/hyperlink" Target="https://www.google.com/search?q=Lexon+%28UK%29+Ltd+UK+official+website" TargetMode="External"/><Relationship Id="rId992" Type="http://schemas.openxmlformats.org/officeDocument/2006/relationships/hyperlink" Target="https://pay.company-information.service.gov.uk/company/03076698" TargetMode="External"/><Relationship Id="rId993" Type="http://schemas.openxmlformats.org/officeDocument/2006/relationships/hyperlink" Target="https://www.linkedin.com/search/results/companies/?keywords=Lexon" TargetMode="External"/><Relationship Id="rId994" Type="http://schemas.openxmlformats.org/officeDocument/2006/relationships/hyperlink" Target="https://www.reliancemedical.co.uk/" TargetMode="External"/><Relationship Id="rId995" Type="http://schemas.openxmlformats.org/officeDocument/2006/relationships/hyperlink" Target="https://healthmanagement.org/site/p/reliance-medical-ltd" TargetMode="External"/><Relationship Id="rId996" Type="http://schemas.openxmlformats.org/officeDocument/2006/relationships/hyperlink" Target="https://www.linkedin.com/search/results/companies/?keywords=Reliance+Medical+Ltd" TargetMode="External"/><Relationship Id="rId997" Type="http://schemas.openxmlformats.org/officeDocument/2006/relationships/hyperlink" Target="https://www.predatornutrition.com/" TargetMode="External"/><Relationship Id="rId998" Type="http://schemas.openxmlformats.org/officeDocument/2006/relationships/hyperlink" Target="https://www.zinrelo.com/loyalty-program-showcase/predator-nutrition/" TargetMode="External"/><Relationship Id="rId999" Type="http://schemas.openxmlformats.org/officeDocument/2006/relationships/hyperlink" Target="https://www.linkedin.com/search/results/companies/?keywords=Predator+Nutrition" TargetMode="External"/><Relationship Id="rId1000" Type="http://schemas.openxmlformats.org/officeDocument/2006/relationships/hyperlink" Target="https://www.rkwltd.com/" TargetMode="External"/><Relationship Id="rId1001" Type="http://schemas.openxmlformats.org/officeDocument/2006/relationships/hyperlink" Target="https://ambiente.messefrankfurt.com/frankfurt/de/ausstellersuche.detail.html/savon-limited.html" TargetMode="External"/><Relationship Id="rId1002" Type="http://schemas.openxmlformats.org/officeDocument/2006/relationships/hyperlink" Target="https://www.linkedin.com/search/results/companies/?keywords=RKW+Ltd" TargetMode="External"/><Relationship Id="rId1003" Type="http://schemas.openxmlformats.org/officeDocument/2006/relationships/hyperlink" Target="https://www.epeinternational.com/" TargetMode="External"/><Relationship Id="rId1004" Type="http://schemas.openxmlformats.org/officeDocument/2006/relationships/hyperlink" Target="https://www.bheta.co.uk/suppliers/epe-international-ltd" TargetMode="External"/><Relationship Id="rId1005" Type="http://schemas.openxmlformats.org/officeDocument/2006/relationships/hyperlink" Target="https://www.linkedin.com/search/results/companies/?keywords=EPE+International+Ltd" TargetMode="External"/><Relationship Id="rId1006" Type="http://schemas.openxmlformats.org/officeDocument/2006/relationships/hyperlink" Target="https://www.google.com/search?q=Bluestem+Group+UK+official+website" TargetMode="External"/><Relationship Id="rId1007" Type="http://schemas.openxmlformats.org/officeDocument/2006/relationships/hyperlink" Target="https://www.bheta.co.uk/news/bluestem-group-starts-distribution-partnership-with-delonghi-kenwood-braun" TargetMode="External"/><Relationship Id="rId1008" Type="http://schemas.openxmlformats.org/officeDocument/2006/relationships/hyperlink" Target="https://www.linkedin.com/search/results/companies/?keywords=Bluestem+Group" TargetMode="External"/><Relationship Id="rId1009" Type="http://schemas.openxmlformats.org/officeDocument/2006/relationships/hyperlink" Target="https://www.google.com/search?q=Burton+McCall+UK+official+website" TargetMode="External"/><Relationship Id="rId1010" Type="http://schemas.openxmlformats.org/officeDocument/2006/relationships/hyperlink" Target="https://housewareslive.net/microplane-partners-with-burton-mccall/" TargetMode="External"/><Relationship Id="rId1011" Type="http://schemas.openxmlformats.org/officeDocument/2006/relationships/hyperlink" Target="https://www.linkedin.com/search/results/companies/?keywords=Burton+McCall" TargetMode="External"/><Relationship Id="rId1012" Type="http://schemas.openxmlformats.org/officeDocument/2006/relationships/hyperlink" Target="https://hauswares.co.uk/" TargetMode="External"/><Relationship Id="rId1013" Type="http://schemas.openxmlformats.org/officeDocument/2006/relationships/hyperlink" Target="https://bira.co.uk/suppliers/haus-marketing-distrubution/" TargetMode="External"/><Relationship Id="rId1014" Type="http://schemas.openxmlformats.org/officeDocument/2006/relationships/hyperlink" Target="https://www.linkedin.com/search/results/companies/?keywords=HAUS+Marketing+%26+Distribution" TargetMode="External"/><Relationship Id="rId1015" Type="http://schemas.openxmlformats.org/officeDocument/2006/relationships/hyperlink" Target="https://www.great.gov.uk/international/buy-from-the-uk/find-a-supplier/supplier/07179010" TargetMode="External"/><Relationship Id="rId1016" Type="http://schemas.openxmlformats.org/officeDocument/2006/relationships/hyperlink" Target="https://www.great.gov.uk/international/buy-from-the-uk/find-a-supplier/supplier/07179010" TargetMode="External"/><Relationship Id="rId1017" Type="http://schemas.openxmlformats.org/officeDocument/2006/relationships/hyperlink" Target="https://www.linkedin.com/search/results/companies/?keywords=SQ+Professional+Ltd" TargetMode="External"/><Relationship Id="rId1018" Type="http://schemas.openxmlformats.org/officeDocument/2006/relationships/hyperlink" Target="https://www.petproducts.co.uk/" TargetMode="External"/><Relationship Id="rId1019" Type="http://schemas.openxmlformats.org/officeDocument/2006/relationships/hyperlink" Target="https://petproducts.co.uk/pet-supplies-wholesale/" TargetMode="External"/><Relationship Id="rId1020" Type="http://schemas.openxmlformats.org/officeDocument/2006/relationships/hyperlink" Target="https://www.linkedin.com/search/results/companies/?keywords=Pedigree+Wholesale" TargetMode="External"/><Relationship Id="rId1021" Type="http://schemas.openxmlformats.org/officeDocument/2006/relationships/hyperlink" Target="https://www.pawsproducts.com/" TargetMode="External"/><Relationship Id="rId1022" Type="http://schemas.openxmlformats.org/officeDocument/2006/relationships/hyperlink" Target="https://www.petbusinessworld.co.uk/trade-directory/list/wholesalers/page/2?l=p" TargetMode="External"/><Relationship Id="rId1023" Type="http://schemas.openxmlformats.org/officeDocument/2006/relationships/hyperlink" Target="https://www.linkedin.com/search/results/companies/?keywords=Paws+Products+Wholesale" TargetMode="External"/><Relationship Id="rId1024" Type="http://schemas.openxmlformats.org/officeDocument/2006/relationships/hyperlink" Target="https://www.google.com/search?q=PMS+International+UK+official+website" TargetMode="External"/><Relationship Id="rId1025" Type="http://schemas.openxmlformats.org/officeDocument/2006/relationships/hyperlink" Target="https://petbusinessworld.co.uk/trade-directory/list/wholesalers" TargetMode="External"/><Relationship Id="rId1026" Type="http://schemas.openxmlformats.org/officeDocument/2006/relationships/hyperlink" Target="https://www.linkedin.com/search/results/companies/?keywords=PMS+International" TargetMode="External"/><Relationship Id="rId1027" Type="http://schemas.openxmlformats.org/officeDocument/2006/relationships/hyperlink" Target="https://www.gymkituk.com/" TargetMode="External"/><Relationship Id="rId1028" Type="http://schemas.openxmlformats.org/officeDocument/2006/relationships/hyperlink" Target="https://healthclubmanagement.co.uk/health-club-management-company-profile/Gymkit-UK/1594" TargetMode="External"/><Relationship Id="rId1029" Type="http://schemas.openxmlformats.org/officeDocument/2006/relationships/hyperlink" Target="https://www.linkedin.com/search/results/companies/?keywords=Gymkit+UK" TargetMode="External"/><Relationship Id="rId1030" Type="http://schemas.openxmlformats.org/officeDocument/2006/relationships/hyperlink" Target="https://www.vango.co.uk/" TargetMode="External"/><Relationship Id="rId1031" Type="http://schemas.openxmlformats.org/officeDocument/2006/relationships/hyperlink" Target="https://en.wikipedia.org/wiki/Vango_(company)" TargetMode="External"/><Relationship Id="rId1032" Type="http://schemas.openxmlformats.org/officeDocument/2006/relationships/hyperlink" Target="https://www.linkedin.com/search/results/companies/?keywords=Vango" TargetMode="External"/><Relationship Id="rId1033" Type="http://schemas.openxmlformats.org/officeDocument/2006/relationships/hyperlink" Target="https://hykew-hykehamwholesale.dc02.gob2b.com/" TargetMode="External"/><Relationship Id="rId1034" Type="http://schemas.openxmlformats.org/officeDocument/2006/relationships/hyperlink" Target="https://find-and-update.company-information.service.gov.uk/company/04582675" TargetMode="External"/><Relationship Id="rId1035" Type="http://schemas.openxmlformats.org/officeDocument/2006/relationships/hyperlink" Target="https://www.linkedin.com/search/results/companies/?keywords=Hykeham+Wholesale+Ltd" TargetMode="External"/><Relationship Id="rId1036" Type="http://schemas.openxmlformats.org/officeDocument/2006/relationships/hyperlink" Target="https://supplier-directory.betterretailing.com/suppliers/galaxy-wholesalers/" TargetMode="External"/><Relationship Id="rId1037" Type="http://schemas.openxmlformats.org/officeDocument/2006/relationships/hyperlink" Target="https://find-and-update.company-information.service.gov.uk/company/02872447" TargetMode="External"/><Relationship Id="rId1038" Type="http://schemas.openxmlformats.org/officeDocument/2006/relationships/hyperlink" Target="https://www.linkedin.com/search/results/companies/?keywords=Galaxy+Wholesalers+Ltd" TargetMode="External"/><Relationship Id="rId1039" Type="http://schemas.openxmlformats.org/officeDocument/2006/relationships/hyperlink" Target="https://www.google.com/search?q=VOW+Wholesale+%28evo+Group%29+UK+official+website" TargetMode="External"/><Relationship Id="rId1040" Type="http://schemas.openxmlformats.org/officeDocument/2006/relationships/hyperlink" Target="https://www.computerweekly.com/microscope/news/366637861/Exertis-Supplies-picked-up-by-evo" TargetMode="External"/><Relationship Id="rId1041" Type="http://schemas.openxmlformats.org/officeDocument/2006/relationships/hyperlink" Target="https://www.linkedin.com/search/results/companies/?keywords=VOW+Wholesale" TargetMode="External"/><Relationship Id="rId1042" Type="http://schemas.openxmlformats.org/officeDocument/2006/relationships/hyperlink" Target="https://supplier-directory.betterretailing.com/?p=1293" TargetMode="External"/><Relationship Id="rId1043" Type="http://schemas.openxmlformats.org/officeDocument/2006/relationships/hyperlink" Target="https://supplier-directory.betterretailing.com/?p=1293" TargetMode="External"/><Relationship Id="rId1044" Type="http://schemas.openxmlformats.org/officeDocument/2006/relationships/hyperlink" Target="https://www.linkedin.com/search/results/companies/?keywords=The+Impact+Distribution+Group" TargetMode="External"/><Relationship Id="rId1045" Type="http://schemas.openxmlformats.org/officeDocument/2006/relationships/hyperlink" Target="https://www.google.com/search?q=West+Design+Products+UK+official+website" TargetMode="External"/><Relationship Id="rId1046" Type="http://schemas.openxmlformats.org/officeDocument/2006/relationships/hyperlink" Target="https://ensun.io/search/art-craft-supply/united-kingdom" TargetMode="External"/><Relationship Id="rId1047" Type="http://schemas.openxmlformats.org/officeDocument/2006/relationships/hyperlink" Target="https://www.linkedin.com/search/results/companies/?keywords=West+Design+Products" TargetMode="External"/><Relationship Id="rId1048" Type="http://schemas.openxmlformats.org/officeDocument/2006/relationships/hyperlink" Target="https://www.abgee.co.uk/" TargetMode="External"/><Relationship Id="rId1049" Type="http://schemas.openxmlformats.org/officeDocument/2006/relationships/hyperlink" Target="https://www.great.gov.uk/international/buy-from-the-uk/find-a-supplier/supplier/01936299" TargetMode="External"/><Relationship Id="rId1050" Type="http://schemas.openxmlformats.org/officeDocument/2006/relationships/hyperlink" Target="https://www.linkedin.com/search/results/companies/?keywords=A.B.+Gee+of+Ripley+Ltd" TargetMode="External"/><Relationship Id="rId1051" Type="http://schemas.openxmlformats.org/officeDocument/2006/relationships/hyperlink" Target="https://www.nda-toys.com/" TargetMode="External"/><Relationship Id="rId1052" Type="http://schemas.openxmlformats.org/officeDocument/2006/relationships/hyperlink" Target="https://www.toyfair.co.uk/?p=62314" TargetMode="External"/><Relationship Id="rId1053" Type="http://schemas.openxmlformats.org/officeDocument/2006/relationships/hyperlink" Target="https://www.linkedin.com/search/results/companies/?keywords=NDA+Toys" TargetMode="External"/><Relationship Id="rId1054" Type="http://schemas.openxmlformats.org/officeDocument/2006/relationships/hyperlink" Target="https://www.wind-designs.com/" TargetMode="External"/><Relationship Id="rId1055" Type="http://schemas.openxmlformats.org/officeDocument/2006/relationships/hyperlink" Target="https://www.toyfair.co.uk/?p=44154" TargetMode="External"/><Relationship Id="rId1056" Type="http://schemas.openxmlformats.org/officeDocument/2006/relationships/hyperlink" Target="https://www.linkedin.com/search/results/companies/?keywords=Wind+Designs+Ltd" TargetMode="External"/><Relationship Id="rId1057" Type="http://schemas.openxmlformats.org/officeDocument/2006/relationships/hyperlink" Target="https://www.johnadams.co.uk/" TargetMode="External"/><Relationship Id="rId1058" Type="http://schemas.openxmlformats.org/officeDocument/2006/relationships/hyperlink" Target="https://www.great.gov.uk/international/buy-from-the-uk/find-a-supplier/supplier/01761275" TargetMode="External"/><Relationship Id="rId1059" Type="http://schemas.openxmlformats.org/officeDocument/2006/relationships/hyperlink" Target="https://www.linkedin.com/search/results/companies/?keywords=John+Adams+Leisure+Ltd" TargetMode="External"/><Relationship Id="rId1060" Type="http://schemas.openxmlformats.org/officeDocument/2006/relationships/hyperlink" Target="https://www.google.com/search?q=One+For+Fun+UK+official+website" TargetMode="External"/><Relationship Id="rId1061" Type="http://schemas.openxmlformats.org/officeDocument/2006/relationships/hyperlink" Target="https://open.endole.co.uk/insight/brand/146629-one-for-fun" TargetMode="External"/><Relationship Id="rId1062" Type="http://schemas.openxmlformats.org/officeDocument/2006/relationships/hyperlink" Target="https://www.linkedin.com/search/results/companies/?keywords=One+For+Fun" TargetMode="External"/><Relationship Id="rId1063" Type="http://schemas.openxmlformats.org/officeDocument/2006/relationships/hyperlink" Target="https://www.peterkin.co.uk/" TargetMode="External"/><Relationship Id="rId1064" Type="http://schemas.openxmlformats.org/officeDocument/2006/relationships/hyperlink" Target="https://pay.company-information.service.gov.uk/company/00566155" TargetMode="External"/><Relationship Id="rId1065" Type="http://schemas.openxmlformats.org/officeDocument/2006/relationships/hyperlink" Target="https://www.linkedin.com/search/results/companies/?keywords=Peterkin+UK+Ltd" TargetMode="External"/><Relationship Id="rId1066" Type="http://schemas.openxmlformats.org/officeDocument/2006/relationships/hyperlink" Target="https://www.character-online.com/" TargetMode="External"/><Relationship Id="rId1067" Type="http://schemas.openxmlformats.org/officeDocument/2006/relationships/hyperlink" Target="https://toysnplaythings.media/new-appointments-at-character" TargetMode="External"/><Relationship Id="rId1068" Type="http://schemas.openxmlformats.org/officeDocument/2006/relationships/hyperlink" Target="https://www.linkedin.com/search/results/companies/?keywords=Character+Options+Ltd" TargetMode="External"/><Relationship Id="rId1069" Type="http://schemas.openxmlformats.org/officeDocument/2006/relationships/hyperlink" Target="https://gb.keycraftglobal.com/" TargetMode="External"/><Relationship Id="rId1070" Type="http://schemas.openxmlformats.org/officeDocument/2006/relationships/hyperlink" Target="https://mom.maison-objet.com/en/brand/10830/keycraft" TargetMode="External"/><Relationship Id="rId1071" Type="http://schemas.openxmlformats.org/officeDocument/2006/relationships/hyperlink" Target="https://www.linkedin.com/search/results/companies/?keywords=Keycraft" TargetMode="External"/><Relationship Id="rId1072" Type="http://schemas.openxmlformats.org/officeDocument/2006/relationships/hyperlink" Target="https://www.puckator.co.uk/" TargetMode="External"/><Relationship Id="rId1073" Type="http://schemas.openxmlformats.org/officeDocument/2006/relationships/hyperlink" Target="https://www.puckator.co.uk/faq" TargetMode="External"/><Relationship Id="rId1074" Type="http://schemas.openxmlformats.org/officeDocument/2006/relationships/hyperlink" Target="https://www.linkedin.com/search/results/companies/?keywords=Puckator+Ltd" TargetMode="External"/><Relationship Id="rId107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swarovskioptik.com/" TargetMode="External"/><Relationship Id="rId2" Type="http://schemas.openxmlformats.org/officeDocument/2006/relationships/hyperlink" Target="https://swarovskioptik.com/ch/en/hunting/about-us/quality-and-innovation/facts-and-figures" TargetMode="External"/><Relationship Id="rId3" Type="http://schemas.openxmlformats.org/officeDocument/2006/relationships/hyperlink" Target="https://www.eurocosmetic.be/" TargetMode="External"/><Relationship Id="rId4" Type="http://schemas.openxmlformats.org/officeDocument/2006/relationships/hyperlink" Target="https://oncosmetics.com/company/eurocosmetic-international/" TargetMode="External"/><Relationship Id="rId5" Type="http://schemas.openxmlformats.org/officeDocument/2006/relationships/hyperlink" Target="https://bulmedica.bg/en/main/iventas-2/" TargetMode="External"/><Relationship Id="rId6" Type="http://schemas.openxmlformats.org/officeDocument/2006/relationships/hyperlink" Target="https://bulmedica.bg/en/main/iventas-2/" TargetMode="External"/><Relationship Id="rId7" Type="http://schemas.openxmlformats.org/officeDocument/2006/relationships/hyperlink" Target="https://samohyl.cz/?lang=en" TargetMode="External"/><Relationship Id="rId8" Type="http://schemas.openxmlformats.org/officeDocument/2006/relationships/hyperlink" Target="https://samohyl.cz/?lang=en" TargetMode="External"/><Relationship Id="rId9" Type="http://schemas.openxmlformats.org/officeDocument/2006/relationships/hyperlink" Target="https://www.emis.cn/php/company-profile/CZ/Teddies_SRO_en_6714203.html" TargetMode="External"/><Relationship Id="rId10" Type="http://schemas.openxmlformats.org/officeDocument/2006/relationships/hyperlink" Target="https://www.ankorstore.com/" TargetMode="External"/><Relationship Id="rId11" Type="http://schemas.openxmlformats.org/officeDocument/2006/relationships/hyperlink" Target="https://alven.co/news/ankorstore-reaches-unicorn-status-in-only-two-years-with-its-last-e250-million-series-c-funding-round" TargetMode="External"/><Relationship Id="rId12" Type="http://schemas.openxmlformats.org/officeDocument/2006/relationships/hyperlink" Target="https://www.stocklear.com/" TargetMode="External"/><Relationship Id="rId13" Type="http://schemas.openxmlformats.org/officeDocument/2006/relationships/hyperlink" Target="https://app.dealroom.co/companies/stocklear_1" TargetMode="External"/><Relationship Id="rId14" Type="http://schemas.openxmlformats.org/officeDocument/2006/relationships/hyperlink" Target="https://www.cspcosmetics.com/" TargetMode="External"/><Relationship Id="rId15" Type="http://schemas.openxmlformats.org/officeDocument/2006/relationships/hyperlink" Target="https://oncosmetics.com/company/csp-cosmetics/" TargetMode="External"/><Relationship Id="rId16" Type="http://schemas.openxmlformats.org/officeDocument/2006/relationships/hyperlink" Target="https://fashionunited.de/nachrichten/business/lacoste-gibt-parfum-vertrieb-fuer-dach-region-an-die-nobilis-group-ab/2024010554623" TargetMode="External"/><Relationship Id="rId17" Type="http://schemas.openxmlformats.org/officeDocument/2006/relationships/hyperlink" Target="https://www.odoo.com/ar/customers/ihtct-gmbh-6263453" TargetMode="External"/><Relationship Id="rId18" Type="http://schemas.openxmlformats.org/officeDocument/2006/relationships/hyperlink" Target="https://www.odoo.com/ar/customers/ihtct-gmbh-6263453" TargetMode="External"/><Relationship Id="rId19" Type="http://schemas.openxmlformats.org/officeDocument/2006/relationships/hyperlink" Target="https://www.ausbildung.de/unternehmen/landahl-baumann-spielwaren-gmbh/stellen/" TargetMode="External"/><Relationship Id="rId20" Type="http://schemas.openxmlformats.org/officeDocument/2006/relationships/hyperlink" Target="https://www.irishbeauty.ie/Xpert-Professional-expand-Olaplex-distribution.html" TargetMode="External"/><Relationship Id="rId21" Type="http://schemas.openxmlformats.org/officeDocument/2006/relationships/hyperlink" Target="https://www.irishbeauty.ie/Xpert-Professional-expand-Olaplex-distribution.html" TargetMode="External"/><Relationship Id="rId22" Type="http://schemas.openxmlformats.org/officeDocument/2006/relationships/hyperlink" Target="https://www.brandsdistribution.com/" TargetMode="External"/><Relationship Id="rId23" Type="http://schemas.openxmlformats.org/officeDocument/2006/relationships/hyperlink" Target="https://www.cbinsights.com/company/brandsdistributioncom/" TargetMode="External"/><Relationship Id="rId24" Type="http://schemas.openxmlformats.org/officeDocument/2006/relationships/hyperlink" Target="https://www.profumeriepep.it/" TargetMode="External"/><Relationship Id="rId25" Type="http://schemas.openxmlformats.org/officeDocument/2006/relationships/hyperlink" Target="https://atoka.io/public/it/azienda/profumerie-p-p-srl/b936935a4339" TargetMode="External"/><Relationship Id="rId26" Type="http://schemas.openxmlformats.org/officeDocument/2006/relationships/hyperlink" Target="https://faire.com/brand/b_th6zdpbbr9" TargetMode="External"/><Relationship Id="rId27" Type="http://schemas.openxmlformats.org/officeDocument/2006/relationships/hyperlink" Target="https://linkedin.com/company/do-ho" TargetMode="External"/><Relationship Id="rId28" Type="http://schemas.openxmlformats.org/officeDocument/2006/relationships/hyperlink" Target="https://linkedin.com/company/do-ho" TargetMode="External"/><Relationship Id="rId29" Type="http://schemas.openxmlformats.org/officeDocument/2006/relationships/hyperlink" Target="https://www.morningstar.com.au/investments/security/fra/70B" TargetMode="External"/><Relationship Id="rId30" Type="http://schemas.openxmlformats.org/officeDocument/2006/relationships/hyperlink" Target="https://beautinow.com/wholesale-perfume-supplier-europe/" TargetMode="External"/><Relationship Id="rId31" Type="http://schemas.openxmlformats.org/officeDocument/2006/relationships/hyperlink" Target="https://beautinow.com/wholesale-perfume-supplier-europe/" TargetMode="External"/><Relationship Id="rId32" Type="http://schemas.openxmlformats.org/officeDocument/2006/relationships/hyperlink" Target="https://www.makro.nl/" TargetMode="External"/><Relationship Id="rId33" Type="http://schemas.openxmlformats.org/officeDocument/2006/relationships/hyperlink" Target="https://help.makro.nl/en/support/solutions/articles/77000586989-can-i-use-a-foreign-makro-or-metro-card-" TargetMode="External"/><Relationship Id="rId34" Type="http://schemas.openxmlformats.org/officeDocument/2006/relationships/hyperlink" Target="https://www.topbrands.nl/" TargetMode="External"/><Relationship Id="rId35" Type="http://schemas.openxmlformats.org/officeDocument/2006/relationships/hyperlink" Target="https://www.topbrands.nl/faq/" TargetMode="External"/><Relationship Id="rId36" Type="http://schemas.openxmlformats.org/officeDocument/2006/relationships/hyperlink" Target="https://www.cosmeticapartijen.nl/" TargetMode="External"/><Relationship Id="rId37" Type="http://schemas.openxmlformats.org/officeDocument/2006/relationships/hyperlink" Target="https://oncosmetics.com/company/van-der-tang-trading/" TargetMode="External"/><Relationship Id="rId38" Type="http://schemas.openxmlformats.org/officeDocument/2006/relationships/hyperlink" Target="https://www.papillonpetproducts.com/" TargetMode="External"/><Relationship Id="rId39" Type="http://schemas.openxmlformats.org/officeDocument/2006/relationships/hyperlink" Target="https://www.interzoo.com/en/exhibitors/papillon-pet-products-bv-2227601" TargetMode="External"/><Relationship Id="rId40" Type="http://schemas.openxmlformats.org/officeDocument/2006/relationships/hyperlink" Target="https://iaapa.org/partners/marketplace/bellus-toys-bv" TargetMode="External"/><Relationship Id="rId41" Type="http://schemas.openxmlformats.org/officeDocument/2006/relationships/hyperlink" Target="https://iaapa.org/partners/marketplace/bellus-toys-bv" TargetMode="External"/><Relationship Id="rId42" Type="http://schemas.openxmlformats.org/officeDocument/2006/relationships/hyperlink" Target="https://www.channeldistribution.nl/" TargetMode="External"/><Relationship Id="rId43" Type="http://schemas.openxmlformats.org/officeDocument/2006/relationships/hyperlink" Target="https://www.ampliz.com/company/channel-distribution-bv/90357002" TargetMode="External"/><Relationship Id="rId44" Type="http://schemas.openxmlformats.org/officeDocument/2006/relationships/hyperlink" Target="https://merkandi.com/" TargetMode="External"/><Relationship Id="rId45" Type="http://schemas.openxmlformats.org/officeDocument/2006/relationships/hyperlink" Target="https://tr-web.dev.trustradius.com/products/merkandi-com" TargetMode="External"/><Relationship Id="rId46" Type="http://schemas.openxmlformats.org/officeDocument/2006/relationships/hyperlink" Target="https://www.aplikuj.pl/pracodawca/159889/alpex-tools/opinie" TargetMode="External"/><Relationship Id="rId47" Type="http://schemas.openxmlformats.org/officeDocument/2006/relationships/hyperlink" Target="https://www.cede.pl/2019/en/exhibition/exhibitors-catalogue/?exh=5799" TargetMode="External"/><Relationship Id="rId48" Type="http://schemas.openxmlformats.org/officeDocument/2006/relationships/hyperlink" Target="https://hurtowniakarm.pl/" TargetMode="External"/><Relationship Id="rId49" Type="http://schemas.openxmlformats.org/officeDocument/2006/relationships/hyperlink" Target="https://business.google.com/v/_/08939480399253784979/a394/_" TargetMode="External"/><Relationship Id="rId50" Type="http://schemas.openxmlformats.org/officeDocument/2006/relationships/hyperlink" Target="https://e-hurtowniasportowa.pl/" TargetMode="External"/><Relationship Id="rId51" Type="http://schemas.openxmlformats.org/officeDocument/2006/relationships/hyperlink" Target="https://www.pracuj.pl/praca/specjalista-specjalistka-ds-obslugi-klienta-b2b-miszewko-pow-kartuski-gdynska-69a,oferta,1003183320" TargetMode="External"/><Relationship Id="rId52" Type="http://schemas.openxmlformats.org/officeDocument/2006/relationships/hyperlink" Target="https://ikonka.pl/" TargetMode="External"/><Relationship Id="rId53" Type="http://schemas.openxmlformats.org/officeDocument/2006/relationships/hyperlink" Target="https://www.aplikuj.pl/pracodawca/412938/hurtownia-ikonka" TargetMode="External"/><Relationship Id="rId54" Type="http://schemas.openxmlformats.org/officeDocument/2006/relationships/hyperlink" Target="https://www.interempresas.net/Puericultura/609658-Smart-Baby-Brands-se-refuerza-en-Espana-y-Portugal.html" TargetMode="External"/><Relationship Id="rId55" Type="http://schemas.openxmlformats.org/officeDocument/2006/relationships/hyperlink" Target="https://www.arounddeal.com/c/tata-batata/e1vibvmjrt" TargetMode="External"/><Relationship Id="rId56" Type="http://schemas.openxmlformats.org/officeDocument/2006/relationships/hyperlink" Target="https://www.bizak.es/" TargetMode="External"/><Relationship Id="rId57" Type="http://schemas.openxmlformats.org/officeDocument/2006/relationships/hyperlink" Target="https://www.iberinform.es/empresa/17738/bizak" TargetMode="External"/><Relationship Id="rId58" Type="http://schemas.openxmlformats.org/officeDocument/2006/relationships/hyperlink" Target="https://proveedores.com/proveedores/nomaco/" TargetMode="External"/><Relationship Id="rId59" Type="http://schemas.openxmlformats.org/officeDocument/2006/relationships/hyperlink" Target="https://www.astonandfincher.co.uk/" TargetMode="External"/><Relationship Id="rId60" Type="http://schemas.openxmlformats.org/officeDocument/2006/relationships/hyperlink" Target="https://www.astonandfincher.co.uk/pages/new-customers" TargetMode="External"/><Relationship Id="rId61" Type="http://schemas.openxmlformats.org/officeDocument/2006/relationships/hyperlink" Target="https://www.capitalhairandbeauty.co.uk/" TargetMode="External"/><Relationship Id="rId62" Type="http://schemas.openxmlformats.org/officeDocument/2006/relationships/hyperlink" Target="https://pay.company-information.service.gov.uk/company/00530201" TargetMode="External"/><Relationship Id="rId63" Type="http://schemas.openxmlformats.org/officeDocument/2006/relationships/hyperlink" Target="https://www.exquisitecosmetics.co.uk/" TargetMode="External"/><Relationship Id="rId64" Type="http://schemas.openxmlformats.org/officeDocument/2006/relationships/hyperlink" Target="https://pay.company-information.service.gov.uk/company/01315797" TargetMode="External"/><Relationship Id="rId65" Type="http://schemas.openxmlformats.org/officeDocument/2006/relationships/hyperlink" Target="https://www.wholesaleclearance.co.uk/" TargetMode="External"/><Relationship Id="rId66" Type="http://schemas.openxmlformats.org/officeDocument/2006/relationships/hyperlink" Target="https://wholesalehelper.io/es/blog/Los-10-principales-proveedores-mayoristas-del-Reino-Unido/" TargetMode="External"/><Relationship Id="rId67" Type="http://schemas.openxmlformats.org/officeDocument/2006/relationships/hyperlink" Target="https://www.kinetic4health.co.uk/" TargetMode="External"/><Relationship Id="rId68" Type="http://schemas.openxmlformats.org/officeDocument/2006/relationships/hyperlink" Target="https://cosmeticsbusiness.com/kinetic-natural-products-distributor-120192" TargetMode="External"/><Relationship Id="rId69" Type="http://schemas.openxmlformats.org/officeDocument/2006/relationships/hyperlink" Target="https://www.suma.coop/" TargetMode="External"/><Relationship Id="rId70" Type="http://schemas.openxmlformats.org/officeDocument/2006/relationships/hyperlink" Target="https://de.trustpilot.com/review/www.suma.coop?page=3" TargetMode="External"/><Relationship Id="rId71" Type="http://schemas.openxmlformats.org/officeDocument/2006/relationships/hyperlink" Target="https://bstock.com/amazoneu/about/" TargetMode="External"/><Relationship Id="rId72" Type="http://schemas.openxmlformats.org/officeDocument/2006/relationships/hyperlink" Target="https://bstock.com/amazoneu/about/" TargetMode="External"/><Relationship Id="rId73" Type="http://schemas.openxmlformats.org/officeDocument/2006/relationships/hyperlink" Target="https://www.faire.com/" TargetMode="External"/><Relationship Id="rId74" Type="http://schemas.openxmlformats.org/officeDocument/2006/relationships/hyperlink" Target="https://faire.com/support/articles/29881314074139" TargetMode="External"/><Relationship Id="rId75"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linkedin.com/search/results/companies/?keywords=KORES+GmbH" TargetMode="External"/><Relationship Id="rId2" Type="http://schemas.openxmlformats.org/officeDocument/2006/relationships/hyperlink" Target="https://www.linkedin.com/search/results/people/?keywords=KORES+GmbH+sales+OR+%22account+manager%22+OR+%22business+development%22" TargetMode="External"/><Relationship Id="rId3" Type="http://schemas.openxmlformats.org/officeDocument/2006/relationships/hyperlink" Target="https://www.linkedin.com/search/results/companies/?keywords=Stadlbauer+Marketing+%2B+Vertrieb+GmbH" TargetMode="External"/><Relationship Id="rId4" Type="http://schemas.openxmlformats.org/officeDocument/2006/relationships/hyperlink" Target="https://www.linkedin.com/search/results/people/?keywords=Stadlbauer+Marketing+%2B+Vertrieb+GmbH+sales+OR+%22account+manager%22+OR+%22business+development%22" TargetMode="External"/><Relationship Id="rId5" Type="http://schemas.openxmlformats.org/officeDocument/2006/relationships/hyperlink" Target="https://www.linkedin.com/search/results/companies/?keywords=Wiener+Spielkartenfabrik+Ferd.+Piatnik+%26+S&#246;hne" TargetMode="External"/><Relationship Id="rId6" Type="http://schemas.openxmlformats.org/officeDocument/2006/relationships/hyperlink" Target="https://www.linkedin.com/search/results/people/?keywords=Wiener+Spielkartenfabrik+Ferd.+Piatnik+%26+S&#246;hne+sales+OR+%22account+manager%22+OR+%22business+development%22" TargetMode="External"/><Relationship Id="rId7" Type="http://schemas.openxmlformats.org/officeDocument/2006/relationships/hyperlink" Target="https://www.linkedin.com/search/results/companies/?keywords=Varo" TargetMode="External"/><Relationship Id="rId8" Type="http://schemas.openxmlformats.org/officeDocument/2006/relationships/hyperlink" Target="https://www.linkedin.com/search/results/people/?keywords=Varo+sales+OR+%22account+manager%22+OR+%22business+development%22" TargetMode="External"/><Relationship Id="rId9" Type="http://schemas.openxmlformats.org/officeDocument/2006/relationships/hyperlink" Target="https://www.linkedin.com/search/results/companies/?keywords=Beautylux" TargetMode="External"/><Relationship Id="rId10" Type="http://schemas.openxmlformats.org/officeDocument/2006/relationships/hyperlink" Target="https://www.linkedin.com/search/results/people/?keywords=Beautylux+sales+OR+%22account+manager%22+OR+%22business+development%22" TargetMode="External"/><Relationship Id="rId11" Type="http://schemas.openxmlformats.org/officeDocument/2006/relationships/hyperlink" Target="https://www.linkedin.com/search/results/companies/?keywords=Galico+NV" TargetMode="External"/><Relationship Id="rId12" Type="http://schemas.openxmlformats.org/officeDocument/2006/relationships/hyperlink" Target="https://www.linkedin.com/search/results/people/?keywords=Galico+NV+sales+OR+%22account+manager%22+OR+%22business+development%22" TargetMode="External"/><Relationship Id="rId13" Type="http://schemas.openxmlformats.org/officeDocument/2006/relationships/hyperlink" Target="https://www.linkedin.com/search/results/companies/?keywords=Savic+NV" TargetMode="External"/><Relationship Id="rId14" Type="http://schemas.openxmlformats.org/officeDocument/2006/relationships/hyperlink" Target="https://www.linkedin.com/search/results/people/?keywords=Savic+NV+sales+OR+%22account+manager%22+OR+%22business+development%22" TargetMode="External"/><Relationship Id="rId15" Type="http://schemas.openxmlformats.org/officeDocument/2006/relationships/hyperlink" Target="https://www.linkedin.com/search/results/companies/?keywords=Flamingo+Pet+Products+NV" TargetMode="External"/><Relationship Id="rId16" Type="http://schemas.openxmlformats.org/officeDocument/2006/relationships/hyperlink" Target="https://www.linkedin.com/search/results/people/?keywords=Flamingo+Pet+Products+NV+sales+OR+%22account+manager%22+OR+%22business+development%22" TargetMode="External"/><Relationship Id="rId17" Type="http://schemas.openxmlformats.org/officeDocument/2006/relationships/hyperlink" Target="https://www.linkedin.com/search/results/companies/?keywords=Laroy+Group" TargetMode="External"/><Relationship Id="rId18" Type="http://schemas.openxmlformats.org/officeDocument/2006/relationships/hyperlink" Target="https://www.linkedin.com/search/results/people/?keywords=Laroy+Group+sales+OR+%22account+manager%22+OR+%22business+development%22" TargetMode="External"/><Relationship Id="rId19" Type="http://schemas.openxmlformats.org/officeDocument/2006/relationships/hyperlink" Target="https://www.linkedin.com/search/results/companies/?keywords=Moderna+Products+NV" TargetMode="External"/><Relationship Id="rId20" Type="http://schemas.openxmlformats.org/officeDocument/2006/relationships/hyperlink" Target="https://www.linkedin.com/search/results/people/?keywords=Moderna+Products+NV+sales+OR+%22account+manager%22+OR+%22business+development%22" TargetMode="External"/><Relationship Id="rId21" Type="http://schemas.openxmlformats.org/officeDocument/2006/relationships/hyperlink" Target="https://www.linkedin.com/search/results/companies/?keywords=Vadigran+NV" TargetMode="External"/><Relationship Id="rId22" Type="http://schemas.openxmlformats.org/officeDocument/2006/relationships/hyperlink" Target="https://www.linkedin.com/search/results/people/?keywords=Vadigran+NV+sales+OR+%22account+manager%22+OR+%22business+development%22" TargetMode="External"/><Relationship Id="rId23" Type="http://schemas.openxmlformats.org/officeDocument/2006/relationships/hyperlink" Target="https://www.linkedin.com/search/results/companies/?keywords=Bulgarian+Rose+AD" TargetMode="External"/><Relationship Id="rId24" Type="http://schemas.openxmlformats.org/officeDocument/2006/relationships/hyperlink" Target="https://www.linkedin.com/search/results/people/?keywords=Bulgarian+Rose+AD+sales+OR+%22account+manager%22+OR+%22business+development%22" TargetMode="External"/><Relationship Id="rId25" Type="http://schemas.openxmlformats.org/officeDocument/2006/relationships/hyperlink" Target="https://www.linkedin.com/search/results/companies/?keywords=Lema+Kazanlak" TargetMode="External"/><Relationship Id="rId26" Type="http://schemas.openxmlformats.org/officeDocument/2006/relationships/hyperlink" Target="https://www.linkedin.com/search/results/people/?keywords=Lema+Kazanlak+sales+OR+%22account+manager%22+OR+%22business+development%22" TargetMode="External"/><Relationship Id="rId27" Type="http://schemas.openxmlformats.org/officeDocument/2006/relationships/hyperlink" Target="https://www.linkedin.com/search/results/companies/?keywords=Parmash+AD" TargetMode="External"/><Relationship Id="rId28" Type="http://schemas.openxmlformats.org/officeDocument/2006/relationships/hyperlink" Target="https://www.linkedin.com/search/results/people/?keywords=Parmash+AD+sales+OR+%22account+manager%22+OR+%22business+development%22" TargetMode="External"/><Relationship Id="rId29" Type="http://schemas.openxmlformats.org/officeDocument/2006/relationships/hyperlink" Target="https://www.linkedin.com/search/results/companies/?keywords=Saponia+d.d." TargetMode="External"/><Relationship Id="rId30" Type="http://schemas.openxmlformats.org/officeDocument/2006/relationships/hyperlink" Target="https://www.linkedin.com/search/results/people/?keywords=Saponia+d.d.+sales+OR+%22account+manager%22+OR+%22business+development%22" TargetMode="External"/><Relationship Id="rId31" Type="http://schemas.openxmlformats.org/officeDocument/2006/relationships/hyperlink" Target="https://www.linkedin.com/search/results/companies/?keywords=Dermacol+a.s." TargetMode="External"/><Relationship Id="rId32" Type="http://schemas.openxmlformats.org/officeDocument/2006/relationships/hyperlink" Target="https://www.linkedin.com/search/results/people/?keywords=Dermacol+a.s.+sales+OR+%22account+manager%22+OR+%22business+development%22" TargetMode="External"/><Relationship Id="rId33" Type="http://schemas.openxmlformats.org/officeDocument/2006/relationships/hyperlink" Target="https://www.linkedin.com/search/results/companies/?keywords=MANUFAKTURA" TargetMode="External"/><Relationship Id="rId34" Type="http://schemas.openxmlformats.org/officeDocument/2006/relationships/hyperlink" Target="https://www.linkedin.com/search/results/people/?keywords=MANUFAKTURA+sales+OR+%22account+manager%22+OR+%22business+development%22" TargetMode="External"/><Relationship Id="rId35" Type="http://schemas.openxmlformats.org/officeDocument/2006/relationships/hyperlink" Target="https://www.linkedin.com/search/results/companies/?keywords=HECHT+MOTORS+s.r.o." TargetMode="External"/><Relationship Id="rId36" Type="http://schemas.openxmlformats.org/officeDocument/2006/relationships/hyperlink" Target="https://www.linkedin.com/search/results/people/?keywords=HECHT+MOTORS+s.r.o.+sales+OR+%22account+manager%22+OR+%22business+development%22" TargetMode="External"/><Relationship Id="rId37" Type="http://schemas.openxmlformats.org/officeDocument/2006/relationships/hyperlink" Target="https://www.linkedin.com/search/results/companies/?keywords=NAREX+s.r.o." TargetMode="External"/><Relationship Id="rId38" Type="http://schemas.openxmlformats.org/officeDocument/2006/relationships/hyperlink" Target="https://www.linkedin.com/search/results/people/?keywords=NAREX+s.r.o.+sales+OR+%22account+manager%22+OR+%22business+development%22" TargetMode="External"/><Relationship Id="rId39" Type="http://schemas.openxmlformats.org/officeDocument/2006/relationships/hyperlink" Target="https://www.linkedin.com/search/results/companies/?keywords=PILANA+Metal+spol.+s+r.o." TargetMode="External"/><Relationship Id="rId40" Type="http://schemas.openxmlformats.org/officeDocument/2006/relationships/hyperlink" Target="https://www.linkedin.com/search/results/people/?keywords=PILANA+Metal+spol.+s+r.o.+sales+OR+%22account+manager%22+OR+%22business+development%22" TargetMode="External"/><Relationship Id="rId41" Type="http://schemas.openxmlformats.org/officeDocument/2006/relationships/hyperlink" Target="https://www.linkedin.com/search/results/companies/?keywords=BJUTIP+a.s." TargetMode="External"/><Relationship Id="rId42" Type="http://schemas.openxmlformats.org/officeDocument/2006/relationships/hyperlink" Target="https://www.linkedin.com/search/results/people/?keywords=BJUTIP+a.s.+sales+OR+%22account+manager%22+OR+%22business+development%22" TargetMode="External"/><Relationship Id="rId43" Type="http://schemas.openxmlformats.org/officeDocument/2006/relationships/hyperlink" Target="https://www.linkedin.com/search/results/companies/?keywords=NUTREND+D.S.%2C+a.s." TargetMode="External"/><Relationship Id="rId44" Type="http://schemas.openxmlformats.org/officeDocument/2006/relationships/hyperlink" Target="https://www.linkedin.com/search/results/people/?keywords=NUTREND+D.S.%2C+a.s.+sales+OR+%22account+manager%22+OR+%22business+development%22" TargetMode="External"/><Relationship Id="rId45" Type="http://schemas.openxmlformats.org/officeDocument/2006/relationships/hyperlink" Target="https://www.linkedin.com/search/results/companies/?keywords=SPOKAR+a.s." TargetMode="External"/><Relationship Id="rId46" Type="http://schemas.openxmlformats.org/officeDocument/2006/relationships/hyperlink" Target="https://www.linkedin.com/search/results/people/?keywords=SPOKAR+a.s.+sales+OR+%22account+manager%22+OR+%22business+development%22" TargetMode="External"/><Relationship Id="rId47" Type="http://schemas.openxmlformats.org/officeDocument/2006/relationships/hyperlink" Target="https://www.linkedin.com/search/results/companies/?keywords=ALPA%2C+a.s." TargetMode="External"/><Relationship Id="rId48" Type="http://schemas.openxmlformats.org/officeDocument/2006/relationships/hyperlink" Target="https://www.linkedin.com/search/results/people/?keywords=ALPA%2C+a.s.+sales+OR+%22account+manager%22+OR+%22business+development%22" TargetMode="External"/><Relationship Id="rId49" Type="http://schemas.openxmlformats.org/officeDocument/2006/relationships/hyperlink" Target="https://www.linkedin.com/search/results/companies/?keywords=Tescoma+s.r.o." TargetMode="External"/><Relationship Id="rId50" Type="http://schemas.openxmlformats.org/officeDocument/2006/relationships/hyperlink" Target="https://www.linkedin.com/search/results/people/?keywords=Tescoma+s.r.o.+sales+OR+%22account+manager%22+OR+%22business+development%22" TargetMode="External"/><Relationship Id="rId51" Type="http://schemas.openxmlformats.org/officeDocument/2006/relationships/hyperlink" Target="https://www.linkedin.com/search/results/companies/?keywords=Remoska+s.r.o." TargetMode="External"/><Relationship Id="rId52" Type="http://schemas.openxmlformats.org/officeDocument/2006/relationships/hyperlink" Target="https://www.linkedin.com/search/results/people/?keywords=Remoska+s.r.o.+sales+OR+%22account+manager%22+OR+%22business+development%22" TargetMode="External"/><Relationship Id="rId53" Type="http://schemas.openxmlformats.org/officeDocument/2006/relationships/hyperlink" Target="https://www.linkedin.com/search/results/companies/?keywords=PLASTIA+s.r.o." TargetMode="External"/><Relationship Id="rId54" Type="http://schemas.openxmlformats.org/officeDocument/2006/relationships/hyperlink" Target="https://www.linkedin.com/search/results/people/?keywords=PLASTIA+s.r.o.+sales+OR+%22account+manager%22+OR+%22business+development%22" TargetMode="External"/><Relationship Id="rId55" Type="http://schemas.openxmlformats.org/officeDocument/2006/relationships/hyperlink" Target="https://www.linkedin.com/search/results/companies/?keywords=BLEX%2C+a.s." TargetMode="External"/><Relationship Id="rId56" Type="http://schemas.openxmlformats.org/officeDocument/2006/relationships/hyperlink" Target="https://www.linkedin.com/search/results/people/?keywords=BLEX%2C+a.s.+sales+OR+%22account+manager%22+OR+%22business+development%22" TargetMode="External"/><Relationship Id="rId57" Type="http://schemas.openxmlformats.org/officeDocument/2006/relationships/hyperlink" Target="https://www.linkedin.com/search/results/companies/?keywords=D&#345;evotvar+dru&#382;stvo" TargetMode="External"/><Relationship Id="rId58" Type="http://schemas.openxmlformats.org/officeDocument/2006/relationships/hyperlink" Target="https://www.linkedin.com/search/results/people/?keywords=D&#345;evotvar+dru&#382;stvo+sales+OR+%22account+manager%22+OR+%22business+development%22" TargetMode="External"/><Relationship Id="rId59" Type="http://schemas.openxmlformats.org/officeDocument/2006/relationships/hyperlink" Target="https://www.linkedin.com/search/results/companies/?keywords=Funky+Dog" TargetMode="External"/><Relationship Id="rId60" Type="http://schemas.openxmlformats.org/officeDocument/2006/relationships/hyperlink" Target="https://www.linkedin.com/search/results/people/?keywords=Funky+Dog+sales+OR+%22account+manager%22+OR+%22business+development%22" TargetMode="External"/><Relationship Id="rId61" Type="http://schemas.openxmlformats.org/officeDocument/2006/relationships/hyperlink" Target="https://www.linkedin.com/search/results/companies/?keywords=Tommi+CZ+s.r.o." TargetMode="External"/><Relationship Id="rId62" Type="http://schemas.openxmlformats.org/officeDocument/2006/relationships/hyperlink" Target="https://www.linkedin.com/search/results/people/?keywords=Tommi+CZ+s.r.o.+sales+OR+%22account+manager%22+OR+%22business+development%22" TargetMode="External"/><Relationship Id="rId63" Type="http://schemas.openxmlformats.org/officeDocument/2006/relationships/hyperlink" Target="https://www.linkedin.com/search/results/companies/?keywords=GALA+a.s." TargetMode="External"/><Relationship Id="rId64" Type="http://schemas.openxmlformats.org/officeDocument/2006/relationships/hyperlink" Target="https://www.linkedin.com/search/results/people/?keywords=GALA+a.s.+sales+OR+%22account+manager%22+OR+%22business+development%22" TargetMode="External"/><Relationship Id="rId65" Type="http://schemas.openxmlformats.org/officeDocument/2006/relationships/hyperlink" Target="https://www.linkedin.com/search/results/companies/?keywords=Plastkon+product+s.r.o." TargetMode="External"/><Relationship Id="rId66" Type="http://schemas.openxmlformats.org/officeDocument/2006/relationships/hyperlink" Target="https://www.linkedin.com/search/results/people/?keywords=Plastkon+product+s.r.o.+sales+OR+%22account+manager%22+OR+%22business+development%22" TargetMode="External"/><Relationship Id="rId67" Type="http://schemas.openxmlformats.org/officeDocument/2006/relationships/hyperlink" Target="https://www.linkedin.com/search/results/companies/?keywords=BP+Lumen+s.r.o." TargetMode="External"/><Relationship Id="rId68" Type="http://schemas.openxmlformats.org/officeDocument/2006/relationships/hyperlink" Target="https://www.linkedin.com/search/results/people/?keywords=BP+Lumen+s.r.o.+sales+OR+%22account+manager%22+OR+%22business+development%22" TargetMode="External"/><Relationship Id="rId69" Type="http://schemas.openxmlformats.org/officeDocument/2006/relationships/hyperlink" Target="https://www.linkedin.com/search/results/companies/?keywords=Sedco+s.r.o." TargetMode="External"/><Relationship Id="rId70" Type="http://schemas.openxmlformats.org/officeDocument/2006/relationships/hyperlink" Target="https://www.linkedin.com/search/results/people/?keywords=Sedco+s.r.o.+sales+OR+%22account+manager%22+OR+%22business+development%22" TargetMode="External"/><Relationship Id="rId71" Type="http://schemas.openxmlformats.org/officeDocument/2006/relationships/hyperlink" Target="https://www.linkedin.com/search/results/companies/?keywords=KOH-I-NOOR+HARDTMUTH+a.s." TargetMode="External"/><Relationship Id="rId72" Type="http://schemas.openxmlformats.org/officeDocument/2006/relationships/hyperlink" Target="https://www.linkedin.com/search/results/people/?keywords=KOH-I-NOOR+HARDTMUTH+a.s.+sales+OR+%22account+manager%22+OR+%22business+development%22" TargetMode="External"/><Relationship Id="rId73" Type="http://schemas.openxmlformats.org/officeDocument/2006/relationships/hyperlink" Target="https://www.linkedin.com/search/results/companies/?keywords=Dino+Toys+s.r.o." TargetMode="External"/><Relationship Id="rId74" Type="http://schemas.openxmlformats.org/officeDocument/2006/relationships/hyperlink" Target="https://www.linkedin.com/search/results/people/?keywords=Dino+Toys+s.r.o.+sales+OR+%22account+manager%22+OR+%22business+development%22" TargetMode="External"/><Relationship Id="rId75" Type="http://schemas.openxmlformats.org/officeDocument/2006/relationships/hyperlink" Target="https://www.linkedin.com/search/results/companies/?keywords=Albi+&#268;esk&#225;+republika+a.s." TargetMode="External"/><Relationship Id="rId76" Type="http://schemas.openxmlformats.org/officeDocument/2006/relationships/hyperlink" Target="https://www.linkedin.com/search/results/people/?keywords=Albi+&#268;esk&#225;+republika+a.s.+sales+OR+%22account+manager%22+OR+%22business+development%22" TargetMode="External"/><Relationship Id="rId77" Type="http://schemas.openxmlformats.org/officeDocument/2006/relationships/hyperlink" Target="https://www.linkedin.com/search/results/companies/?keywords=Bino+Europe+k.s." TargetMode="External"/><Relationship Id="rId78" Type="http://schemas.openxmlformats.org/officeDocument/2006/relationships/hyperlink" Target="https://www.linkedin.com/search/results/people/?keywords=Bino+Europe+k.s.+sales+OR+%22account+manager%22+OR+%22business+development%22" TargetMode="External"/><Relationship Id="rId79" Type="http://schemas.openxmlformats.org/officeDocument/2006/relationships/hyperlink" Target="https://www.linkedin.com/search/results/companies/?keywords=BabyDan+A%2FS" TargetMode="External"/><Relationship Id="rId80" Type="http://schemas.openxmlformats.org/officeDocument/2006/relationships/hyperlink" Target="https://www.linkedin.com/search/results/people/?keywords=BabyDan+A%2FS+sales+OR+%22account+manager%22+OR+%22business+development%22" TargetMode="External"/><Relationship Id="rId81" Type="http://schemas.openxmlformats.org/officeDocument/2006/relationships/hyperlink" Target="https://www.linkedin.com/search/results/companies/?keywords=Liewood+A%2FS" TargetMode="External"/><Relationship Id="rId82" Type="http://schemas.openxmlformats.org/officeDocument/2006/relationships/hyperlink" Target="https://www.linkedin.com/search/results/people/?keywords=Liewood+A%2FS+sales+OR+%22account+manager%22+OR+%22business+development%22" TargetMode="External"/><Relationship Id="rId83" Type="http://schemas.openxmlformats.org/officeDocument/2006/relationships/hyperlink" Target="https://www.linkedin.com/search/results/companies/?keywords=ECOOKING+A%2FS" TargetMode="External"/><Relationship Id="rId84" Type="http://schemas.openxmlformats.org/officeDocument/2006/relationships/hyperlink" Target="https://www.linkedin.com/search/results/people/?keywords=ECOOKING+A%2FS+sales+OR+%22account+manager%22+OR+%22business+development%22" TargetMode="External"/><Relationship Id="rId85" Type="http://schemas.openxmlformats.org/officeDocument/2006/relationships/hyperlink" Target="https://www.linkedin.com/search/results/companies/?keywords=J&#248;rgen+Kruuse+A%2FS" TargetMode="External"/><Relationship Id="rId86" Type="http://schemas.openxmlformats.org/officeDocument/2006/relationships/hyperlink" Target="https://www.linkedin.com/search/results/people/?keywords=J&#248;rgen+Kruuse+A%2FS+sales+OR+%22account+manager%22+OR+%22business+development%22" TargetMode="External"/><Relationship Id="rId87" Type="http://schemas.openxmlformats.org/officeDocument/2006/relationships/hyperlink" Target="https://www.linkedin.com/search/results/companies/?keywords=Oase+Outdoors+ApS" TargetMode="External"/><Relationship Id="rId88" Type="http://schemas.openxmlformats.org/officeDocument/2006/relationships/hyperlink" Target="https://www.linkedin.com/search/results/people/?keywords=Oase+Outdoors+ApS+sales+OR+%22account+manager%22+OR+%22business+development%22" TargetMode="External"/><Relationship Id="rId89" Type="http://schemas.openxmlformats.org/officeDocument/2006/relationships/hyperlink" Target="https://www.linkedin.com/search/results/companies/?keywords=Select+Sport+A%2FS" TargetMode="External"/><Relationship Id="rId90" Type="http://schemas.openxmlformats.org/officeDocument/2006/relationships/hyperlink" Target="https://www.linkedin.com/search/results/people/?keywords=Select+Sport+A%2FS+sales+OR+%22account+manager%22+OR+%22business+development%22" TargetMode="External"/><Relationship Id="rId91" Type="http://schemas.openxmlformats.org/officeDocument/2006/relationships/hyperlink" Target="https://www.linkedin.com/search/results/companies/?keywords=Creativ+Company+A%2FS" TargetMode="External"/><Relationship Id="rId92" Type="http://schemas.openxmlformats.org/officeDocument/2006/relationships/hyperlink" Target="https://www.linkedin.com/search/results/people/?keywords=Creativ+Company+A%2FS+sales+OR+%22account+manager%22+OR+%22business+development%22" TargetMode="External"/><Relationship Id="rId93" Type="http://schemas.openxmlformats.org/officeDocument/2006/relationships/hyperlink" Target="https://www.linkedin.com/search/results/companies/?keywords=Plus-Plus+A%2FS" TargetMode="External"/><Relationship Id="rId94" Type="http://schemas.openxmlformats.org/officeDocument/2006/relationships/hyperlink" Target="https://www.linkedin.com/search/results/people/?keywords=Plus-Plus+A%2FS+sales+OR+%22account+manager%22+OR+%22business+development%22" TargetMode="External"/><Relationship Id="rId95" Type="http://schemas.openxmlformats.org/officeDocument/2006/relationships/hyperlink" Target="https://www.linkedin.com/search/results/companies/?keywords=Lumene+Oy" TargetMode="External"/><Relationship Id="rId96" Type="http://schemas.openxmlformats.org/officeDocument/2006/relationships/hyperlink" Target="https://www.linkedin.com/search/results/people/?keywords=Lumene+Oy+sales+OR+%22account+manager%22+OR+%22business+development%22" TargetMode="External"/><Relationship Id="rId97" Type="http://schemas.openxmlformats.org/officeDocument/2006/relationships/hyperlink" Target="https://www.linkedin.com/search/results/companies/?keywords=Fiskars+Group" TargetMode="External"/><Relationship Id="rId98" Type="http://schemas.openxmlformats.org/officeDocument/2006/relationships/hyperlink" Target="https://www.linkedin.com/search/results/people/?keywords=Fiskars+Group+sales+OR+%22account+manager%22+OR+%22business+development%22" TargetMode="External"/><Relationship Id="rId99" Type="http://schemas.openxmlformats.org/officeDocument/2006/relationships/hyperlink" Target="https://www.linkedin.com/search/results/companies/?keywords=Orthex+Finland+Ab+Oy" TargetMode="External"/><Relationship Id="rId100" Type="http://schemas.openxmlformats.org/officeDocument/2006/relationships/hyperlink" Target="https://www.linkedin.com/search/results/people/?keywords=Orthex+Finland+Ab+Oy+sales+OR+%22account+manager%22+OR+%22business+development%22" TargetMode="External"/><Relationship Id="rId101" Type="http://schemas.openxmlformats.org/officeDocument/2006/relationships/hyperlink" Target="https://www.linkedin.com/search/results/companies/?keywords=Tactic+Games+Oy" TargetMode="External"/><Relationship Id="rId102" Type="http://schemas.openxmlformats.org/officeDocument/2006/relationships/hyperlink" Target="https://www.linkedin.com/search/results/people/?keywords=Tactic+Games+Oy+sales+OR+%22account+manager%22+OR+%22business+development%22" TargetMode="External"/><Relationship Id="rId103" Type="http://schemas.openxmlformats.org/officeDocument/2006/relationships/hyperlink" Target="https://www.linkedin.com/search/results/companies/?keywords=B&#233;aba+Group" TargetMode="External"/><Relationship Id="rId104" Type="http://schemas.openxmlformats.org/officeDocument/2006/relationships/hyperlink" Target="https://www.linkedin.com/search/results/people/?keywords=B&#233;aba+Group+sales+OR+%22account+manager%22+OR+%22business+development%22" TargetMode="External"/><Relationship Id="rId105" Type="http://schemas.openxmlformats.org/officeDocument/2006/relationships/hyperlink" Target="https://www.linkedin.com/search/results/companies/?keywords=Babymoov+Group" TargetMode="External"/><Relationship Id="rId106" Type="http://schemas.openxmlformats.org/officeDocument/2006/relationships/hyperlink" Target="https://www.linkedin.com/search/results/people/?keywords=Babymoov+Group+sales+OR+%22account+manager%22+OR+%22business+development%22" TargetMode="External"/><Relationship Id="rId107" Type="http://schemas.openxmlformats.org/officeDocument/2006/relationships/hyperlink" Target="https://www.linkedin.com/search/results/companies/?keywords=Laboratoires+Expanscience" TargetMode="External"/><Relationship Id="rId108" Type="http://schemas.openxmlformats.org/officeDocument/2006/relationships/hyperlink" Target="https://www.linkedin.com/search/results/people/?keywords=Laboratoires+Expanscience+sales+OR+%22account+manager%22+OR+%22business+development%22" TargetMode="External"/><Relationship Id="rId109" Type="http://schemas.openxmlformats.org/officeDocument/2006/relationships/hyperlink" Target="https://www.linkedin.com/search/results/companies/?keywords=Laboratoires+Arkopharma" TargetMode="External"/><Relationship Id="rId110" Type="http://schemas.openxmlformats.org/officeDocument/2006/relationships/hyperlink" Target="https://www.linkedin.com/search/results/people/?keywords=Laboratoires+Arkopharma+sales+OR+%22account+manager%22+OR+%22business+development%22" TargetMode="External"/><Relationship Id="rId111" Type="http://schemas.openxmlformats.org/officeDocument/2006/relationships/hyperlink" Target="https://www.linkedin.com/search/results/companies/?keywords=Zolux+SAS" TargetMode="External"/><Relationship Id="rId112" Type="http://schemas.openxmlformats.org/officeDocument/2006/relationships/hyperlink" Target="https://www.linkedin.com/search/results/people/?keywords=Zolux+SAS+sales+OR+%22account+manager%22+OR+%22business+development%22" TargetMode="External"/><Relationship Id="rId113" Type="http://schemas.openxmlformats.org/officeDocument/2006/relationships/hyperlink" Target="https://www.linkedin.com/search/results/companies/?keywords=Z&#233;fal+SAS" TargetMode="External"/><Relationship Id="rId114" Type="http://schemas.openxmlformats.org/officeDocument/2006/relationships/hyperlink" Target="https://www.linkedin.com/search/results/people/?keywords=Z&#233;fal+SAS+sales+OR+%22account+manager%22+OR+%22business+development%22" TargetMode="External"/><Relationship Id="rId115" Type="http://schemas.openxmlformats.org/officeDocument/2006/relationships/hyperlink" Target="https://www.linkedin.com/search/results/companies/?keywords=Groupe+Hamelin" TargetMode="External"/><Relationship Id="rId116" Type="http://schemas.openxmlformats.org/officeDocument/2006/relationships/hyperlink" Target="https://www.linkedin.com/search/results/people/?keywords=Groupe+Hamelin+sales+OR+%22account+manager%22+OR+%22business+development%22" TargetMode="External"/><Relationship Id="rId117" Type="http://schemas.openxmlformats.org/officeDocument/2006/relationships/hyperlink" Target="https://www.linkedin.com/search/results/companies/?keywords=Maped+SAS" TargetMode="External"/><Relationship Id="rId118" Type="http://schemas.openxmlformats.org/officeDocument/2006/relationships/hyperlink" Target="https://www.linkedin.com/search/results/people/?keywords=Maped+SAS+sales+OR+%22account+manager%22+OR+%22business+development%22" TargetMode="External"/><Relationship Id="rId119" Type="http://schemas.openxmlformats.org/officeDocument/2006/relationships/hyperlink" Target="https://www.linkedin.com/search/results/companies/?keywords=Exacompta+Clairefontaine" TargetMode="External"/><Relationship Id="rId120" Type="http://schemas.openxmlformats.org/officeDocument/2006/relationships/hyperlink" Target="https://www.linkedin.com/search/results/people/?keywords=Exacompta+Clairefontaine+sales+OR+%22account+manager%22+OR+%22business+development%22" TargetMode="External"/><Relationship Id="rId121" Type="http://schemas.openxmlformats.org/officeDocument/2006/relationships/hyperlink" Target="https://www.linkedin.com/search/results/companies/?keywords=Juratoys+SAS" TargetMode="External"/><Relationship Id="rId122" Type="http://schemas.openxmlformats.org/officeDocument/2006/relationships/hyperlink" Target="https://www.linkedin.com/search/results/people/?keywords=Juratoys+SAS+sales+OR+%22account+manager%22+OR+%22business+development%22" TargetMode="External"/><Relationship Id="rId123" Type="http://schemas.openxmlformats.org/officeDocument/2006/relationships/hyperlink" Target="https://www.linkedin.com/search/results/companies/?keywords=WDK+Groupe+Partner" TargetMode="External"/><Relationship Id="rId124" Type="http://schemas.openxmlformats.org/officeDocument/2006/relationships/hyperlink" Target="https://www.linkedin.com/search/results/people/?keywords=WDK+Groupe+Partner+sales+OR+%22account+manager%22+OR+%22business+development%22" TargetMode="External"/><Relationship Id="rId125" Type="http://schemas.openxmlformats.org/officeDocument/2006/relationships/hyperlink" Target="https://www.linkedin.com/search/results/companies/?keywords=zentrada" TargetMode="External"/><Relationship Id="rId126" Type="http://schemas.openxmlformats.org/officeDocument/2006/relationships/hyperlink" Target="https://www.linkedin.com/search/results/people/?keywords=zentrada+sales+OR+%22account+manager%22+OR+%22business+development%22" TargetMode="External"/><Relationship Id="rId127" Type="http://schemas.openxmlformats.org/officeDocument/2006/relationships/hyperlink" Target="https://www.linkedin.com/search/results/companies/?keywords=MAPA+GmbH" TargetMode="External"/><Relationship Id="rId128" Type="http://schemas.openxmlformats.org/officeDocument/2006/relationships/hyperlink" Target="https://www.linkedin.com/search/results/people/?keywords=MAPA+GmbH+sales+OR+%22account+manager%22+OR+%22business+development%22" TargetMode="External"/><Relationship Id="rId129" Type="http://schemas.openxmlformats.org/officeDocument/2006/relationships/hyperlink" Target="https://www.linkedin.com/search/results/companies/?keywords=MAM+Babyartikel+GmbH" TargetMode="External"/><Relationship Id="rId130" Type="http://schemas.openxmlformats.org/officeDocument/2006/relationships/hyperlink" Target="https://www.linkedin.com/search/results/people/?keywords=MAM+Babyartikel+GmbH+sales+OR+%22account+manager%22+OR+%22business+development%22" TargetMode="External"/><Relationship Id="rId131" Type="http://schemas.openxmlformats.org/officeDocument/2006/relationships/hyperlink" Target="https://www.linkedin.com/search/results/companies/?keywords=hauck+GmbH+%26+Co.+KG" TargetMode="External"/><Relationship Id="rId132" Type="http://schemas.openxmlformats.org/officeDocument/2006/relationships/hyperlink" Target="https://www.linkedin.com/search/results/people/?keywords=hauck+GmbH+%26+Co.+KG+sales+OR+%22account+manager%22+OR+%22business+development%22" TargetMode="External"/><Relationship Id="rId133" Type="http://schemas.openxmlformats.org/officeDocument/2006/relationships/hyperlink" Target="https://www.linkedin.com/search/results/companies/?keywords=L&#228;ssig+GmbH" TargetMode="External"/><Relationship Id="rId134" Type="http://schemas.openxmlformats.org/officeDocument/2006/relationships/hyperlink" Target="https://www.linkedin.com/search/results/people/?keywords=L&#228;ssig+GmbH+sales+OR+%22account+manager%22+OR+%22business+development%22" TargetMode="External"/><Relationship Id="rId135" Type="http://schemas.openxmlformats.org/officeDocument/2006/relationships/hyperlink" Target="https://www.linkedin.com/search/results/companies/?keywords=2E+Vertriebs-GmbH" TargetMode="External"/><Relationship Id="rId136" Type="http://schemas.openxmlformats.org/officeDocument/2006/relationships/hyperlink" Target="https://www.linkedin.com/search/results/people/?keywords=2E+Vertriebs-GmbH+sales+OR+%22account+manager%22+OR+%22business+development%22" TargetMode="External"/><Relationship Id="rId137" Type="http://schemas.openxmlformats.org/officeDocument/2006/relationships/hyperlink" Target="https://www.linkedin.com/search/results/companies/?keywords=reer+GmbH" TargetMode="External"/><Relationship Id="rId138" Type="http://schemas.openxmlformats.org/officeDocument/2006/relationships/hyperlink" Target="https://www.linkedin.com/search/results/people/?keywords=reer+GmbH+sales+OR+%22account+manager%22+OR+%22business+development%22" TargetMode="External"/><Relationship Id="rId139" Type="http://schemas.openxmlformats.org/officeDocument/2006/relationships/hyperlink" Target="https://www.linkedin.com/search/results/companies/?keywords=cosnova+GmbH" TargetMode="External"/><Relationship Id="rId140" Type="http://schemas.openxmlformats.org/officeDocument/2006/relationships/hyperlink" Target="https://www.linkedin.com/search/results/people/?keywords=cosnova+GmbH+sales+OR+%22account+manager%22+OR+%22business+development%22" TargetMode="External"/><Relationship Id="rId141" Type="http://schemas.openxmlformats.org/officeDocument/2006/relationships/hyperlink" Target="https://www.linkedin.com/search/results/companies/?keywords=Weleda+AG" TargetMode="External"/><Relationship Id="rId142" Type="http://schemas.openxmlformats.org/officeDocument/2006/relationships/hyperlink" Target="https://www.linkedin.com/search/results/people/?keywords=Weleda+AG+sales+OR+%22account+manager%22+OR+%22business+development%22" TargetMode="External"/><Relationship Id="rId143" Type="http://schemas.openxmlformats.org/officeDocument/2006/relationships/hyperlink" Target="https://www.linkedin.com/search/results/companies/?keywords=ARTDECO+cosmetic+GmbH" TargetMode="External"/><Relationship Id="rId144" Type="http://schemas.openxmlformats.org/officeDocument/2006/relationships/hyperlink" Target="https://www.linkedin.com/search/results/people/?keywords=ARTDECO+cosmetic+GmbH+sales+OR+%22account+manager%22+OR+%22business+development%22" TargetMode="External"/><Relationship Id="rId145" Type="http://schemas.openxmlformats.org/officeDocument/2006/relationships/hyperlink" Target="https://www.linkedin.com/search/results/companies/?keywords=LOGOCOS+Naturkosmetik+GmbH+%26+Co.+KG" TargetMode="External"/><Relationship Id="rId146" Type="http://schemas.openxmlformats.org/officeDocument/2006/relationships/hyperlink" Target="https://www.linkedin.com/search/results/people/?keywords=LOGOCOS+Naturkosmetik+GmbH+%26+Co.+KG+sales+OR+%22account+manager%22+OR+%22business+development%22" TargetMode="External"/><Relationship Id="rId147" Type="http://schemas.openxmlformats.org/officeDocument/2006/relationships/hyperlink" Target="https://www.linkedin.com/search/results/companies/?keywords=Einhell+Germany+AG" TargetMode="External"/><Relationship Id="rId148" Type="http://schemas.openxmlformats.org/officeDocument/2006/relationships/hyperlink" Target="https://www.linkedin.com/search/results/people/?keywords=Einhell+Germany+AG+sales+OR+%22account+manager%22+OR+%22business+development%22" TargetMode="External"/><Relationship Id="rId149" Type="http://schemas.openxmlformats.org/officeDocument/2006/relationships/hyperlink" Target="https://www.linkedin.com/search/results/companies/?keywords=fischerwerke+GmbH+%26+Co.+KG" TargetMode="External"/><Relationship Id="rId150" Type="http://schemas.openxmlformats.org/officeDocument/2006/relationships/hyperlink" Target="https://www.linkedin.com/search/results/people/?keywords=fischerwerke+GmbH+%26+Co.+KG+sales+OR+%22account+manager%22+OR+%22business+development%22" TargetMode="External"/><Relationship Id="rId151" Type="http://schemas.openxmlformats.org/officeDocument/2006/relationships/hyperlink" Target="https://www.linkedin.com/search/results/companies/?keywords=GARDENA+Deutschland+GmbH" TargetMode="External"/><Relationship Id="rId152" Type="http://schemas.openxmlformats.org/officeDocument/2006/relationships/hyperlink" Target="https://www.linkedin.com/search/results/people/?keywords=GARDENA+Deutschland+GmbH+sales+OR+%22account+manager%22+OR+%22business+development%22" TargetMode="External"/><Relationship Id="rId153" Type="http://schemas.openxmlformats.org/officeDocument/2006/relationships/hyperlink" Target="https://www.linkedin.com/search/results/companies/?keywords=KNIPEX-Werk+C.+Gustav+Putsch+KG" TargetMode="External"/><Relationship Id="rId154" Type="http://schemas.openxmlformats.org/officeDocument/2006/relationships/hyperlink" Target="https://www.linkedin.com/search/results/people/?keywords=KNIPEX-Werk+C.+Gustav+Putsch+KG+sales+OR+%22account+manager%22+OR+%22business+development%22" TargetMode="External"/><Relationship Id="rId155" Type="http://schemas.openxmlformats.org/officeDocument/2006/relationships/hyperlink" Target="https://www.linkedin.com/search/results/companies/?keywords=Wera+Werkzeuge+GmbH" TargetMode="External"/><Relationship Id="rId156" Type="http://schemas.openxmlformats.org/officeDocument/2006/relationships/hyperlink" Target="https://www.linkedin.com/search/results/people/?keywords=Wera+Werkzeuge+GmbH+sales+OR+%22account+manager%22+OR+%22business+development%22" TargetMode="External"/><Relationship Id="rId157" Type="http://schemas.openxmlformats.org/officeDocument/2006/relationships/hyperlink" Target="https://www.linkedin.com/search/results/companies/?keywords=Wiha+Werkzeuge+GmbH" TargetMode="External"/><Relationship Id="rId158" Type="http://schemas.openxmlformats.org/officeDocument/2006/relationships/hyperlink" Target="https://www.linkedin.com/search/results/people/?keywords=Wiha+Werkzeuge+GmbH+sales+OR+%22account+manager%22+OR+%22business+development%22" TargetMode="External"/><Relationship Id="rId159" Type="http://schemas.openxmlformats.org/officeDocument/2006/relationships/hyperlink" Target="https://www.linkedin.com/search/results/companies/?keywords=kwb+Germany+GmbH" TargetMode="External"/><Relationship Id="rId160" Type="http://schemas.openxmlformats.org/officeDocument/2006/relationships/hyperlink" Target="https://www.linkedin.com/search/results/people/?keywords=kwb+Germany+GmbH+sales+OR+%22account+manager%22+OR+%22business+development%22" TargetMode="External"/><Relationship Id="rId161" Type="http://schemas.openxmlformats.org/officeDocument/2006/relationships/hyperlink" Target="https://www.linkedin.com/search/results/companies/?keywords=Scheppach+GmbH" TargetMode="External"/><Relationship Id="rId162" Type="http://schemas.openxmlformats.org/officeDocument/2006/relationships/hyperlink" Target="https://www.linkedin.com/search/results/people/?keywords=Scheppach+GmbH+sales+OR+%22account+manager%22+OR+%22business+development%22" TargetMode="External"/><Relationship Id="rId163" Type="http://schemas.openxmlformats.org/officeDocument/2006/relationships/hyperlink" Target="https://www.linkedin.com/search/results/companies/?keywords=G&#220;DE+GmbH+%26+Co.+KG" TargetMode="External"/><Relationship Id="rId164" Type="http://schemas.openxmlformats.org/officeDocument/2006/relationships/hyperlink" Target="https://www.linkedin.com/search/results/people/?keywords=G&#220;DE+GmbH+%26+Co.+KG+sales+OR+%22account+manager%22+OR+%22business+development%22" TargetMode="External"/><Relationship Id="rId165" Type="http://schemas.openxmlformats.org/officeDocument/2006/relationships/hyperlink" Target="https://www.linkedin.com/search/results/companies/?keywords=wolfcraft+GmbH" TargetMode="External"/><Relationship Id="rId166" Type="http://schemas.openxmlformats.org/officeDocument/2006/relationships/hyperlink" Target="https://www.linkedin.com/search/results/people/?keywords=wolfcraft+GmbH+sales+OR+%22account+manager%22+OR+%22business+development%22" TargetMode="External"/><Relationship Id="rId167" Type="http://schemas.openxmlformats.org/officeDocument/2006/relationships/hyperlink" Target="https://www.linkedin.com/search/results/companies/?keywords=Emporium+Handels+%26+Vertriebs+GmbH" TargetMode="External"/><Relationship Id="rId168" Type="http://schemas.openxmlformats.org/officeDocument/2006/relationships/hyperlink" Target="https://www.linkedin.com/search/results/people/?keywords=Emporium+Handels+%26+Vertriebs+GmbH+sales+OR+%22account+manager%22+OR+%22business+development%22" TargetMode="External"/><Relationship Id="rId169" Type="http://schemas.openxmlformats.org/officeDocument/2006/relationships/hyperlink" Target="https://www.linkedin.com/search/results/companies/?keywords=Beurer+GmbH" TargetMode="External"/><Relationship Id="rId170" Type="http://schemas.openxmlformats.org/officeDocument/2006/relationships/hyperlink" Target="https://www.linkedin.com/search/results/people/?keywords=Beurer+GmbH+sales+OR+%22account+manager%22+OR+%22business+development%22" TargetMode="External"/><Relationship Id="rId171" Type="http://schemas.openxmlformats.org/officeDocument/2006/relationships/hyperlink" Target="https://www.linkedin.com/search/results/companies/?keywords=MEDISANA+AG" TargetMode="External"/><Relationship Id="rId172" Type="http://schemas.openxmlformats.org/officeDocument/2006/relationships/hyperlink" Target="https://www.linkedin.com/search/results/people/?keywords=MEDISANA+AG+sales+OR+%22account+manager%22+OR+%22business+development%22" TargetMode="External"/><Relationship Id="rId173" Type="http://schemas.openxmlformats.org/officeDocument/2006/relationships/hyperlink" Target="https://www.linkedin.com/search/results/companies/?keywords=Kneipp+GmbH" TargetMode="External"/><Relationship Id="rId174" Type="http://schemas.openxmlformats.org/officeDocument/2006/relationships/hyperlink" Target="https://www.linkedin.com/search/results/people/?keywords=Kneipp+GmbH+sales+OR+%22account+manager%22+OR+%22business+development%22" TargetMode="External"/><Relationship Id="rId175" Type="http://schemas.openxmlformats.org/officeDocument/2006/relationships/hyperlink" Target="https://www.linkedin.com/search/results/companies/?keywords=PAUL+HARTMANN+AG" TargetMode="External"/><Relationship Id="rId176" Type="http://schemas.openxmlformats.org/officeDocument/2006/relationships/hyperlink" Target="https://www.linkedin.com/search/results/people/?keywords=PAUL+HARTMANN+AG+sales+OR+%22account+manager%22+OR+%22business+development%22" TargetMode="External"/><Relationship Id="rId177" Type="http://schemas.openxmlformats.org/officeDocument/2006/relationships/hyperlink" Target="https://www.linkedin.com/search/results/companies/?keywords=Dr.+Theiss+Naturwaren+GmbH" TargetMode="External"/><Relationship Id="rId178" Type="http://schemas.openxmlformats.org/officeDocument/2006/relationships/hyperlink" Target="https://www.linkedin.com/search/results/people/?keywords=Dr.+Theiss+Naturwaren+GmbH+sales+OR+%22account+manager%22+OR+%22business+development%22" TargetMode="External"/><Relationship Id="rId179" Type="http://schemas.openxmlformats.org/officeDocument/2006/relationships/hyperlink" Target="https://www.linkedin.com/search/results/companies/?keywords=Leifheit+AG" TargetMode="External"/><Relationship Id="rId180" Type="http://schemas.openxmlformats.org/officeDocument/2006/relationships/hyperlink" Target="https://www.linkedin.com/search/results/people/?keywords=Leifheit+AG+sales+OR+%22account+manager%22+OR+%22business+development%22" TargetMode="External"/><Relationship Id="rId181" Type="http://schemas.openxmlformats.org/officeDocument/2006/relationships/hyperlink" Target="https://www.linkedin.com/search/results/companies/?keywords=Wolfsohn" TargetMode="External"/><Relationship Id="rId182" Type="http://schemas.openxmlformats.org/officeDocument/2006/relationships/hyperlink" Target="https://www.linkedin.com/search/results/people/?keywords=Wolfsohn+sales+OR+%22account+manager%22+OR+%22business+development%22" TargetMode="External"/><Relationship Id="rId183" Type="http://schemas.openxmlformats.org/officeDocument/2006/relationships/hyperlink" Target="https://www.linkedin.com/search/results/companies/?keywords=GEFU+GmbH" TargetMode="External"/><Relationship Id="rId184" Type="http://schemas.openxmlformats.org/officeDocument/2006/relationships/hyperlink" Target="https://www.linkedin.com/search/results/people/?keywords=GEFU+GmbH+sales+OR+%22account+manager%22+OR+%22business+development%22" TargetMode="External"/><Relationship Id="rId185" Type="http://schemas.openxmlformats.org/officeDocument/2006/relationships/hyperlink" Target="https://www.linkedin.com/search/results/companies/?keywords=SEVERIN+Elektroger&#228;te+GmbH" TargetMode="External"/><Relationship Id="rId186" Type="http://schemas.openxmlformats.org/officeDocument/2006/relationships/hyperlink" Target="https://www.linkedin.com/search/results/people/?keywords=SEVERIN+Elektroger&#228;te+GmbH+sales+OR+%22account+manager%22+OR+%22business+development%22" TargetMode="External"/><Relationship Id="rId187" Type="http://schemas.openxmlformats.org/officeDocument/2006/relationships/hyperlink" Target="https://www.linkedin.com/search/results/companies/?keywords=Westmark+GmbH" TargetMode="External"/><Relationship Id="rId188" Type="http://schemas.openxmlformats.org/officeDocument/2006/relationships/hyperlink" Target="https://www.linkedin.com/search/results/people/?keywords=Westmark+GmbH+sales+OR+%22account+manager%22+OR+%22business+development%22" TargetMode="External"/><Relationship Id="rId189" Type="http://schemas.openxmlformats.org/officeDocument/2006/relationships/hyperlink" Target="https://www.linkedin.com/search/results/companies/?keywords=Clatronic+International+GmbH" TargetMode="External"/><Relationship Id="rId190" Type="http://schemas.openxmlformats.org/officeDocument/2006/relationships/hyperlink" Target="https://www.linkedin.com/search/results/people/?keywords=Clatronic+International+GmbH+sales+OR+%22account+manager%22+OR+%22business+development%22" TargetMode="External"/><Relationship Id="rId191" Type="http://schemas.openxmlformats.org/officeDocument/2006/relationships/hyperlink" Target="https://www.linkedin.com/search/results/companies/?keywords=TRIXIE+Heimtierbedarf" TargetMode="External"/><Relationship Id="rId192" Type="http://schemas.openxmlformats.org/officeDocument/2006/relationships/hyperlink" Target="https://www.linkedin.com/search/results/people/?keywords=TRIXIE+Heimtierbedarf+sales+OR+%22account+manager%22+OR+%22business+development%22" TargetMode="External"/><Relationship Id="rId193" Type="http://schemas.openxmlformats.org/officeDocument/2006/relationships/hyperlink" Target="https://www.linkedin.com/search/results/companies/?keywords=Albert+Kerbl+GmbH" TargetMode="External"/><Relationship Id="rId194" Type="http://schemas.openxmlformats.org/officeDocument/2006/relationships/hyperlink" Target="https://www.linkedin.com/search/results/people/?keywords=Albert+Kerbl+GmbH+sales+OR+%22account+manager%22+OR+%22business+development%22" TargetMode="External"/><Relationship Id="rId195" Type="http://schemas.openxmlformats.org/officeDocument/2006/relationships/hyperlink" Target="https://www.linkedin.com/search/results/companies/?keywords=H.+von+Gimborn+GmbH" TargetMode="External"/><Relationship Id="rId196" Type="http://schemas.openxmlformats.org/officeDocument/2006/relationships/hyperlink" Target="https://www.linkedin.com/search/results/people/?keywords=H.+von+Gimborn+GmbH+sales+OR+%22account+manager%22+OR+%22business+development%22" TargetMode="External"/><Relationship Id="rId197" Type="http://schemas.openxmlformats.org/officeDocument/2006/relationships/hyperlink" Target="https://www.linkedin.com/search/results/companies/?keywords=HUNTER+International+GmbH" TargetMode="External"/><Relationship Id="rId198" Type="http://schemas.openxmlformats.org/officeDocument/2006/relationships/hyperlink" Target="https://www.linkedin.com/search/results/people/?keywords=HUNTER+International+GmbH+sales+OR+%22account+manager%22+OR+%22business+development%22" TargetMode="External"/><Relationship Id="rId199" Type="http://schemas.openxmlformats.org/officeDocument/2006/relationships/hyperlink" Target="https://www.linkedin.com/search/results/companies/?keywords=Nobby+Pet+Shop+GmbH" TargetMode="External"/><Relationship Id="rId200" Type="http://schemas.openxmlformats.org/officeDocument/2006/relationships/hyperlink" Target="https://www.linkedin.com/search/results/people/?keywords=Nobby+Pet+Shop+GmbH+sales+OR+%22account+manager%22+OR+%22business+development%22" TargetMode="External"/><Relationship Id="rId201" Type="http://schemas.openxmlformats.org/officeDocument/2006/relationships/hyperlink" Target="https://www.linkedin.com/search/results/companies/?keywords=Vitakraft+pet+care+GmbH+%26+Co.+KG" TargetMode="External"/><Relationship Id="rId202" Type="http://schemas.openxmlformats.org/officeDocument/2006/relationships/hyperlink" Target="https://www.linkedin.com/search/results/people/?keywords=Vitakraft+pet+care+GmbH+%26+Co.+KG+sales+OR+%22account+manager%22+OR+%22business+development%22" TargetMode="External"/><Relationship Id="rId203" Type="http://schemas.openxmlformats.org/officeDocument/2006/relationships/hyperlink" Target="https://www.linkedin.com/search/results/companies/?keywords=Schulze+Heimtierbedarf+GmbH" TargetMode="External"/><Relationship Id="rId204" Type="http://schemas.openxmlformats.org/officeDocument/2006/relationships/hyperlink" Target="https://www.linkedin.com/search/results/people/?keywords=Schulze+Heimtierbedarf+GmbH+sales+OR+%22account+manager%22+OR+%22business+development%22" TargetMode="External"/><Relationship Id="rId205" Type="http://schemas.openxmlformats.org/officeDocument/2006/relationships/hyperlink" Target="https://www.linkedin.com/search/results/companies/?keywords=Josera+Petfood+GmbH+%26+Co.+KG" TargetMode="External"/><Relationship Id="rId206" Type="http://schemas.openxmlformats.org/officeDocument/2006/relationships/hyperlink" Target="https://www.linkedin.com/search/results/people/?keywords=Josera+Petfood+GmbH+%26+Co.+KG+sales+OR+%22account+manager%22+OR+%22business+development%22" TargetMode="External"/><Relationship Id="rId207" Type="http://schemas.openxmlformats.org/officeDocument/2006/relationships/hyperlink" Target="https://www.linkedin.com/search/results/companies/?keywords=WOLTERS+cat+%26+dog+GmbH" TargetMode="External"/><Relationship Id="rId208" Type="http://schemas.openxmlformats.org/officeDocument/2006/relationships/hyperlink" Target="https://www.linkedin.com/search/results/people/?keywords=WOLTERS+cat+%26+dog+GmbH+sales+OR+%22account+manager%22+OR+%22business+development%22" TargetMode="External"/><Relationship Id="rId209" Type="http://schemas.openxmlformats.org/officeDocument/2006/relationships/hyperlink" Target="https://www.linkedin.com/search/results/companies/?keywords=Paul+Lange+%26+Co.+OHG" TargetMode="External"/><Relationship Id="rId210" Type="http://schemas.openxmlformats.org/officeDocument/2006/relationships/hyperlink" Target="https://www.linkedin.com/search/results/people/?keywords=Paul+Lange+%26+Co.+OHG+sales+OR+%22account+manager%22+OR+%22business+development%22" TargetMode="External"/><Relationship Id="rId211" Type="http://schemas.openxmlformats.org/officeDocument/2006/relationships/hyperlink" Target="https://www.linkedin.com/search/results/companies/?keywords=SIGMA-ELEKTRO+GmbH" TargetMode="External"/><Relationship Id="rId212" Type="http://schemas.openxmlformats.org/officeDocument/2006/relationships/hyperlink" Target="https://www.linkedin.com/search/results/people/?keywords=SIGMA-ELEKTRO+GmbH+sales+OR+%22account+manager%22+OR+%22business+development%22" TargetMode="External"/><Relationship Id="rId213" Type="http://schemas.openxmlformats.org/officeDocument/2006/relationships/hyperlink" Target="https://www.linkedin.com/search/results/companies/?keywords=SKS+metaplast+Scheffer-Klute+GmbH" TargetMode="External"/><Relationship Id="rId214" Type="http://schemas.openxmlformats.org/officeDocument/2006/relationships/hyperlink" Target="https://www.linkedin.com/search/results/people/?keywords=SKS+metaplast+Scheffer-Klute+GmbH+sales+OR+%22account+manager%22+OR+%22business+development%22" TargetMode="External"/><Relationship Id="rId215" Type="http://schemas.openxmlformats.org/officeDocument/2006/relationships/hyperlink" Target="https://www.linkedin.com/search/results/companies/?keywords=Fitshop+GmbH" TargetMode="External"/><Relationship Id="rId216" Type="http://schemas.openxmlformats.org/officeDocument/2006/relationships/hyperlink" Target="https://www.linkedin.com/search/results/people/?keywords=Fitshop+GmbH+sales+OR+%22account+manager%22+OR+%22business+development%22" TargetMode="External"/><Relationship Id="rId217" Type="http://schemas.openxmlformats.org/officeDocument/2006/relationships/hyperlink" Target="https://www.linkedin.com/search/results/companies/?keywords=HUDORA+GmbH" TargetMode="External"/><Relationship Id="rId218" Type="http://schemas.openxmlformats.org/officeDocument/2006/relationships/hyperlink" Target="https://www.linkedin.com/search/results/people/?keywords=HUDORA+GmbH+sales+OR+%22account+manager%22+OR+%22business+development%22" TargetMode="External"/><Relationship Id="rId219" Type="http://schemas.openxmlformats.org/officeDocument/2006/relationships/hyperlink" Target="https://www.linkedin.com/search/results/companies/?keywords=Hermann+Hartje+KG" TargetMode="External"/><Relationship Id="rId220" Type="http://schemas.openxmlformats.org/officeDocument/2006/relationships/hyperlink" Target="https://www.linkedin.com/search/results/people/?keywords=Hermann+Hartje+KG+sales+OR+%22account+manager%22+OR+%22business+development%22" TargetMode="External"/><Relationship Id="rId221" Type="http://schemas.openxmlformats.org/officeDocument/2006/relationships/hyperlink" Target="https://www.linkedin.com/search/results/companies/?keywords=Sport+Import+GmbH" TargetMode="External"/><Relationship Id="rId222" Type="http://schemas.openxmlformats.org/officeDocument/2006/relationships/hyperlink" Target="https://www.linkedin.com/search/results/people/?keywords=Sport+Import+GmbH+sales+OR+%22account+manager%22+OR+%22business+development%22" TargetMode="External"/><Relationship Id="rId223" Type="http://schemas.openxmlformats.org/officeDocument/2006/relationships/hyperlink" Target="https://www.linkedin.com/search/results/companies/?keywords=Absolut+Bikes+GmbH" TargetMode="External"/><Relationship Id="rId224" Type="http://schemas.openxmlformats.org/officeDocument/2006/relationships/hyperlink" Target="https://www.linkedin.com/search/results/people/?keywords=Absolut+Bikes+GmbH+sales+OR+%22account+manager%22+OR+%22business+development%22" TargetMode="External"/><Relationship Id="rId225" Type="http://schemas.openxmlformats.org/officeDocument/2006/relationships/hyperlink" Target="https://www.linkedin.com/search/results/companies/?keywords=AceCamp+GmbH" TargetMode="External"/><Relationship Id="rId226" Type="http://schemas.openxmlformats.org/officeDocument/2006/relationships/hyperlink" Target="https://www.linkedin.com/search/results/people/?keywords=AceCamp+GmbH+sales+OR+%22account+manager%22+OR+%22business+development%22" TargetMode="External"/><Relationship Id="rId227" Type="http://schemas.openxmlformats.org/officeDocument/2006/relationships/hyperlink" Target="https://www.linkedin.com/search/results/companies/?keywords=HAMMER+SPORT+AG" TargetMode="External"/><Relationship Id="rId228" Type="http://schemas.openxmlformats.org/officeDocument/2006/relationships/hyperlink" Target="https://www.linkedin.com/search/results/people/?keywords=HAMMER+SPORT+AG+sales+OR+%22account+manager%22+OR+%22business+development%22" TargetMode="External"/><Relationship Id="rId229" Type="http://schemas.openxmlformats.org/officeDocument/2006/relationships/hyperlink" Target="https://www.linkedin.com/search/results/companies/?keywords=Sport-Thieme+GmbH" TargetMode="External"/><Relationship Id="rId230" Type="http://schemas.openxmlformats.org/officeDocument/2006/relationships/hyperlink" Target="https://www.linkedin.com/search/results/people/?keywords=Sport-Thieme+GmbH+sales+OR+%22account+manager%22+OR+%22business+development%22" TargetMode="External"/><Relationship Id="rId231" Type="http://schemas.openxmlformats.org/officeDocument/2006/relationships/hyperlink" Target="https://www.linkedin.com/search/results/companies/?keywords=edding+International+GmbH" TargetMode="External"/><Relationship Id="rId232" Type="http://schemas.openxmlformats.org/officeDocument/2006/relationships/hyperlink" Target="https://www.linkedin.com/search/results/people/?keywords=edding+International+GmbH+sales+OR+%22account+manager%22+OR+%22business+development%22" TargetMode="External"/><Relationship Id="rId233" Type="http://schemas.openxmlformats.org/officeDocument/2006/relationships/hyperlink" Target="https://www.linkedin.com/search/results/companies/?keywords=STAEDTLER+Mars+GmbH+%26+Co.+KG" TargetMode="External"/><Relationship Id="rId234" Type="http://schemas.openxmlformats.org/officeDocument/2006/relationships/hyperlink" Target="https://www.linkedin.com/search/results/people/?keywords=STAEDTLER+Mars+GmbH+%26+Co.+KG+sales+OR+%22account+manager%22+OR+%22business+development%22" TargetMode="External"/><Relationship Id="rId235" Type="http://schemas.openxmlformats.org/officeDocument/2006/relationships/hyperlink" Target="https://www.linkedin.com/search/results/companies/?keywords=DURABLE+Hunke+%26+Jochheim+GmbH+%26+Co.+KG" TargetMode="External"/><Relationship Id="rId236" Type="http://schemas.openxmlformats.org/officeDocument/2006/relationships/hyperlink" Target="https://www.linkedin.com/search/results/people/?keywords=DURABLE+Hunke+%26+Jochheim+GmbH+%26+Co.+KG+sales+OR+%22account+manager%22+OR+%22business+development%22" TargetMode="External"/><Relationship Id="rId237" Type="http://schemas.openxmlformats.org/officeDocument/2006/relationships/hyperlink" Target="https://www.linkedin.com/search/results/companies/?keywords=Schneider+Schreibger&#228;te+GmbH" TargetMode="External"/><Relationship Id="rId238" Type="http://schemas.openxmlformats.org/officeDocument/2006/relationships/hyperlink" Target="https://www.linkedin.com/search/results/people/?keywords=Schneider+Schreibger&#228;te+GmbH+sales+OR+%22account+manager%22+OR+%22business+development%22" TargetMode="External"/><Relationship Id="rId239" Type="http://schemas.openxmlformats.org/officeDocument/2006/relationships/hyperlink" Target="https://www.linkedin.com/search/results/companies/?keywords=Pelikan+Group+GmbH" TargetMode="External"/><Relationship Id="rId240" Type="http://schemas.openxmlformats.org/officeDocument/2006/relationships/hyperlink" Target="https://www.linkedin.com/search/results/people/?keywords=Pelikan+Group+GmbH+sales+OR+%22account+manager%22+OR+%22business+development%22" TargetMode="External"/><Relationship Id="rId241" Type="http://schemas.openxmlformats.org/officeDocument/2006/relationships/hyperlink" Target="https://www.linkedin.com/search/results/companies/?keywords=Franckh-Kosmos+Verlags-GmbH+%26+Co.+KG" TargetMode="External"/><Relationship Id="rId242" Type="http://schemas.openxmlformats.org/officeDocument/2006/relationships/hyperlink" Target="https://www.linkedin.com/search/results/people/?keywords=Franckh-Kosmos+Verlags-GmbH+%26+Co.+KG+sales+OR+%22account+manager%22+OR+%22business+development%22" TargetMode="External"/><Relationship Id="rId243" Type="http://schemas.openxmlformats.org/officeDocument/2006/relationships/hyperlink" Target="https://www.linkedin.com/search/results/companies/?keywords=Carrera+Revell+Europe+GmbH" TargetMode="External"/><Relationship Id="rId244" Type="http://schemas.openxmlformats.org/officeDocument/2006/relationships/hyperlink" Target="https://www.linkedin.com/search/results/people/?keywords=Carrera+Revell+Europe+GmbH+sales+OR+%22account+manager%22+OR+%22business+development%22" TargetMode="External"/><Relationship Id="rId245" Type="http://schemas.openxmlformats.org/officeDocument/2006/relationships/hyperlink" Target="https://www.linkedin.com/search/results/companies/?keywords=Simba+Dickie+Group+GmbH" TargetMode="External"/><Relationship Id="rId246" Type="http://schemas.openxmlformats.org/officeDocument/2006/relationships/hyperlink" Target="https://www.linkedin.com/search/results/people/?keywords=Simba+Dickie+Group+GmbH+sales+OR+%22account+manager%22+OR+%22business+development%22" TargetMode="External"/><Relationship Id="rId247" Type="http://schemas.openxmlformats.org/officeDocument/2006/relationships/hyperlink" Target="https://www.linkedin.com/search/results/companies/?keywords=Depesche+Vertrieb+GmbH+%26+Co.+KG" TargetMode="External"/><Relationship Id="rId248" Type="http://schemas.openxmlformats.org/officeDocument/2006/relationships/hyperlink" Target="https://www.linkedin.com/search/results/people/?keywords=Depesche+Vertrieb+GmbH+%26+Co.+KG+sales+OR+%22account+manager%22+OR+%22business+development%22" TargetMode="External"/><Relationship Id="rId249" Type="http://schemas.openxmlformats.org/officeDocument/2006/relationships/hyperlink" Target="https://www.linkedin.com/search/results/companies/?keywords=Gollnest+%26+Kiesel+GmbH+%26+Co.+KG" TargetMode="External"/><Relationship Id="rId250" Type="http://schemas.openxmlformats.org/officeDocument/2006/relationships/hyperlink" Target="https://www.linkedin.com/search/results/people/?keywords=Gollnest+%26+Kiesel+GmbH+%26+Co.+KG+sales+OR+%22account+manager%22+OR+%22business+development%22" TargetMode="External"/><Relationship Id="rId251" Type="http://schemas.openxmlformats.org/officeDocument/2006/relationships/hyperlink" Target="https://www.linkedin.com/search/results/companies/?keywords=small+foot+GmbH+%26+Co.+KG" TargetMode="External"/><Relationship Id="rId252" Type="http://schemas.openxmlformats.org/officeDocument/2006/relationships/hyperlink" Target="https://www.linkedin.com/search/results/people/?keywords=small+foot+GmbH+%26+Co.+KG+sales+OR+%22account+manager%22+OR+%22business+development%22" TargetMode="External"/><Relationship Id="rId253" Type="http://schemas.openxmlformats.org/officeDocument/2006/relationships/hyperlink" Target="https://www.linkedin.com/search/results/companies/?keywords=Pegasus+Spiele+GmbH" TargetMode="External"/><Relationship Id="rId254" Type="http://schemas.openxmlformats.org/officeDocument/2006/relationships/hyperlink" Target="https://www.linkedin.com/search/results/people/?keywords=Pegasus+Spiele+GmbH+sales+OR+%22account+manager%22+OR+%22business+development%22" TargetMode="External"/><Relationship Id="rId255" Type="http://schemas.openxmlformats.org/officeDocument/2006/relationships/hyperlink" Target="https://www.linkedin.com/search/results/companies/?keywords=VEDES+Gro&#223;handel+GmbH" TargetMode="External"/><Relationship Id="rId256" Type="http://schemas.openxmlformats.org/officeDocument/2006/relationships/hyperlink" Target="https://www.linkedin.com/search/results/people/?keywords=VEDES+Gro&#223;handel+GmbH+sales+OR+%22account+manager%22+OR+%22business+development%22" TargetMode="External"/><Relationship Id="rId257" Type="http://schemas.openxmlformats.org/officeDocument/2006/relationships/hyperlink" Target="https://www.linkedin.com/search/results/companies/?keywords=KORRES+S.A.+Natural+Products" TargetMode="External"/><Relationship Id="rId258" Type="http://schemas.openxmlformats.org/officeDocument/2006/relationships/hyperlink" Target="https://www.linkedin.com/search/results/people/?keywords=KORRES+S.A.+Natural+Products+sales+OR+%22account+manager%22+OR+%22business+development%22" TargetMode="External"/><Relationship Id="rId259" Type="http://schemas.openxmlformats.org/officeDocument/2006/relationships/hyperlink" Target="https://www.linkedin.com/search/results/companies/?keywords=APIVITA+S.A." TargetMode="External"/><Relationship Id="rId260" Type="http://schemas.openxmlformats.org/officeDocument/2006/relationships/hyperlink" Target="https://www.linkedin.com/search/results/people/?keywords=APIVITA+S.A.+sales+OR+%22account+manager%22+OR+%22business+development%22" TargetMode="External"/><Relationship Id="rId261" Type="http://schemas.openxmlformats.org/officeDocument/2006/relationships/hyperlink" Target="https://www.linkedin.com/search/results/companies/?keywords=Papoutsanis+S.A." TargetMode="External"/><Relationship Id="rId262" Type="http://schemas.openxmlformats.org/officeDocument/2006/relationships/hyperlink" Target="https://www.linkedin.com/search/results/people/?keywords=Papoutsanis+S.A.+sales+OR+%22account+manager%22+OR+%22business+development%22" TargetMode="External"/><Relationship Id="rId263" Type="http://schemas.openxmlformats.org/officeDocument/2006/relationships/hyperlink" Target="https://www.linkedin.com/search/results/companies/?keywords=FREZYDERM+S.A." TargetMode="External"/><Relationship Id="rId264" Type="http://schemas.openxmlformats.org/officeDocument/2006/relationships/hyperlink" Target="https://www.linkedin.com/search/results/people/?keywords=FREZYDERM+S.A.+sales+OR+%22account+manager%22+OR+%22business+development%22" TargetMode="External"/><Relationship Id="rId265" Type="http://schemas.openxmlformats.org/officeDocument/2006/relationships/hyperlink" Target="https://www.linkedin.com/search/results/companies/?keywords=HELIA-D+Kft." TargetMode="External"/><Relationship Id="rId266" Type="http://schemas.openxmlformats.org/officeDocument/2006/relationships/hyperlink" Target="https://www.linkedin.com/search/results/people/?keywords=HELIA-D+Kft.+sales+OR+%22account+manager%22+OR+%22business+development%22" TargetMode="External"/><Relationship Id="rId267" Type="http://schemas.openxmlformats.org/officeDocument/2006/relationships/hyperlink" Target="https://www.linkedin.com/search/results/companies/?keywords=BioTechUSA+Kft." TargetMode="External"/><Relationship Id="rId268" Type="http://schemas.openxmlformats.org/officeDocument/2006/relationships/hyperlink" Target="https://www.linkedin.com/search/results/people/?keywords=BioTechUSA+Kft.+sales+OR+%22account+manager%22+OR+%22business+development%22" TargetMode="External"/><Relationship Id="rId269" Type="http://schemas.openxmlformats.org/officeDocument/2006/relationships/hyperlink" Target="https://www.linkedin.com/search/results/companies/?keywords=Herb&#225;ria+Zrt." TargetMode="External"/><Relationship Id="rId270" Type="http://schemas.openxmlformats.org/officeDocument/2006/relationships/hyperlink" Target="https://www.linkedin.com/search/results/people/?keywords=Herb&#225;ria+Zrt.+sales+OR+%22account+manager%22+OR+%22business+development%22" TargetMode="External"/><Relationship Id="rId271" Type="http://schemas.openxmlformats.org/officeDocument/2006/relationships/hyperlink" Target="https://www.linkedin.com/search/results/companies/?keywords=National+Beauty+Distribution+Ltd" TargetMode="External"/><Relationship Id="rId272" Type="http://schemas.openxmlformats.org/officeDocument/2006/relationships/hyperlink" Target="https://www.linkedin.com/search/results/people/?keywords=National+Beauty+Distribution+Ltd+sales+OR+%22account+manager%22+OR+%22business+development%22" TargetMode="External"/><Relationship Id="rId273" Type="http://schemas.openxmlformats.org/officeDocument/2006/relationships/hyperlink" Target="https://www.linkedin.com/search/results/companies/?keywords=Uniphar+Wholesale+Limited" TargetMode="External"/><Relationship Id="rId274" Type="http://schemas.openxmlformats.org/officeDocument/2006/relationships/hyperlink" Target="https://www.linkedin.com/search/results/people/?keywords=Uniphar+Wholesale+Limited+sales+OR+%22account+manager%22+OR+%22business+development%22" TargetMode="External"/><Relationship Id="rId275" Type="http://schemas.openxmlformats.org/officeDocument/2006/relationships/hyperlink" Target="https://www.linkedin.com/search/results/companies/?keywords=Artsana+S.p.A." TargetMode="External"/><Relationship Id="rId276" Type="http://schemas.openxmlformats.org/officeDocument/2006/relationships/hyperlink" Target="https://www.linkedin.com/search/results/people/?keywords=Artsana+S.p.A.+sales+OR+%22account+manager%22+OR+%22business+development%22" TargetMode="External"/><Relationship Id="rId277" Type="http://schemas.openxmlformats.org/officeDocument/2006/relationships/hyperlink" Target="https://www.linkedin.com/search/results/companies/?keywords=Foppapedretti+S.p.A." TargetMode="External"/><Relationship Id="rId278" Type="http://schemas.openxmlformats.org/officeDocument/2006/relationships/hyperlink" Target="https://www.linkedin.com/search/results/people/?keywords=Foppapedretti+S.p.A.+sales+OR+%22account+manager%22+OR+%22business+development%22" TargetMode="External"/><Relationship Id="rId279" Type="http://schemas.openxmlformats.org/officeDocument/2006/relationships/hyperlink" Target="https://www.linkedin.com/search/results/companies/?keywords=L%27inglesina+Baby+S.p.A." TargetMode="External"/><Relationship Id="rId280" Type="http://schemas.openxmlformats.org/officeDocument/2006/relationships/hyperlink" Target="https://www.linkedin.com/search/results/people/?keywords=L%27inglesina+Baby+S.p.A.+sales+OR+%22account+manager%22+OR+%22business+development%22" TargetMode="External"/><Relationship Id="rId281" Type="http://schemas.openxmlformats.org/officeDocument/2006/relationships/hyperlink" Target="https://www.linkedin.com/search/results/companies/?keywords=Deborah+Group+S.p.A." TargetMode="External"/><Relationship Id="rId282" Type="http://schemas.openxmlformats.org/officeDocument/2006/relationships/hyperlink" Target="https://www.linkedin.com/search/results/people/?keywords=Deborah+Group+S.p.A.+sales+OR+%22account+manager%22+OR+%22business+development%22" TargetMode="External"/><Relationship Id="rId283" Type="http://schemas.openxmlformats.org/officeDocument/2006/relationships/hyperlink" Target="https://www.linkedin.com/search/results/companies/?keywords=Beta+Utensili+S.p.A." TargetMode="External"/><Relationship Id="rId284" Type="http://schemas.openxmlformats.org/officeDocument/2006/relationships/hyperlink" Target="https://www.linkedin.com/search/results/people/?keywords=Beta+Utensili+S.p.A.+sales+OR+%22account+manager%22+OR+%22business+development%22" TargetMode="External"/><Relationship Id="rId285" Type="http://schemas.openxmlformats.org/officeDocument/2006/relationships/hyperlink" Target="https://www.linkedin.com/search/results/companies/?keywords=Fervi+S.p.A." TargetMode="External"/><Relationship Id="rId286" Type="http://schemas.openxmlformats.org/officeDocument/2006/relationships/hyperlink" Target="https://www.linkedin.com/search/results/people/?keywords=Fervi+S.p.A.+sales+OR+%22account+manager%22+OR+%22business+development%22" TargetMode="External"/><Relationship Id="rId287" Type="http://schemas.openxmlformats.org/officeDocument/2006/relationships/hyperlink" Target="https://www.linkedin.com/search/results/companies/?keywords=Aboca+S.p.A.+Societ&#224;+Agricola" TargetMode="External"/><Relationship Id="rId288" Type="http://schemas.openxmlformats.org/officeDocument/2006/relationships/hyperlink" Target="https://www.linkedin.com/search/results/people/?keywords=Aboca+S.p.A.+Societ&#224;+Agricola+sales+OR+%22account+manager%22+OR+%22business+development%22" TargetMode="External"/><Relationship Id="rId289" Type="http://schemas.openxmlformats.org/officeDocument/2006/relationships/hyperlink" Target="https://www.linkedin.com/search/results/companies/?keywords=Laica+S.p.A." TargetMode="External"/><Relationship Id="rId290" Type="http://schemas.openxmlformats.org/officeDocument/2006/relationships/hyperlink" Target="https://www.linkedin.com/search/results/people/?keywords=Laica+S.p.A.+sales+OR+%22account+manager%22+OR+%22business+development%22" TargetMode="External"/><Relationship Id="rId291" Type="http://schemas.openxmlformats.org/officeDocument/2006/relationships/hyperlink" Target="https://www.linkedin.com/search/results/companies/?keywords=Bialetti+Industrie+S.p.A." TargetMode="External"/><Relationship Id="rId292" Type="http://schemas.openxmlformats.org/officeDocument/2006/relationships/hyperlink" Target="https://www.linkedin.com/search/results/people/?keywords=Bialetti+Industrie+S.p.A.+sales+OR+%22account+manager%22+OR+%22business+development%22" TargetMode="External"/><Relationship Id="rId293" Type="http://schemas.openxmlformats.org/officeDocument/2006/relationships/hyperlink" Target="https://www.linkedin.com/search/results/companies/?keywords=Tenacta+Group+S.p.A." TargetMode="External"/><Relationship Id="rId294" Type="http://schemas.openxmlformats.org/officeDocument/2006/relationships/hyperlink" Target="https://www.linkedin.com/search/results/people/?keywords=Tenacta+Group+S.p.A.+sales+OR+%22account+manager%22+OR+%22business+development%22" TargetMode="External"/><Relationship Id="rId295" Type="http://schemas.openxmlformats.org/officeDocument/2006/relationships/hyperlink" Target="https://www.linkedin.com/search/results/companies/?keywords=ALESSI+S.p.A." TargetMode="External"/><Relationship Id="rId296" Type="http://schemas.openxmlformats.org/officeDocument/2006/relationships/hyperlink" Target="https://www.linkedin.com/search/results/people/?keywords=ALESSI+S.p.A.+sales+OR+%22account+manager%22+OR+%22business+development%22" TargetMode="External"/><Relationship Id="rId297" Type="http://schemas.openxmlformats.org/officeDocument/2006/relationships/hyperlink" Target="https://www.linkedin.com/search/results/companies/?keywords=Ariete+S.p.A." TargetMode="External"/><Relationship Id="rId298" Type="http://schemas.openxmlformats.org/officeDocument/2006/relationships/hyperlink" Target="https://www.linkedin.com/search/results/people/?keywords=Ariete+S.p.A.+sales+OR+%22account+manager%22+OR+%22business+development%22" TargetMode="External"/><Relationship Id="rId299" Type="http://schemas.openxmlformats.org/officeDocument/2006/relationships/hyperlink" Target="https://www.linkedin.com/search/results/companies/?keywords=Guardini+S.p.A." TargetMode="External"/><Relationship Id="rId300" Type="http://schemas.openxmlformats.org/officeDocument/2006/relationships/hyperlink" Target="https://www.linkedin.com/search/results/people/?keywords=Guardini+S.p.A.+sales+OR+%22account+manager%22+OR+%22business+development%22" TargetMode="External"/><Relationship Id="rId301" Type="http://schemas.openxmlformats.org/officeDocument/2006/relationships/hyperlink" Target="https://www.linkedin.com/search/results/companies/?keywords=Ferplast+S.p.A." TargetMode="External"/><Relationship Id="rId302" Type="http://schemas.openxmlformats.org/officeDocument/2006/relationships/hyperlink" Target="https://www.linkedin.com/search/results/people/?keywords=Ferplast+S.p.A.+sales+OR+%22account+manager%22+OR+%22business+development%22" TargetMode="External"/><Relationship Id="rId303" Type="http://schemas.openxmlformats.org/officeDocument/2006/relationships/hyperlink" Target="https://www.linkedin.com/search/results/companies/?keywords=Georplast+s.r.l." TargetMode="External"/><Relationship Id="rId304" Type="http://schemas.openxmlformats.org/officeDocument/2006/relationships/hyperlink" Target="https://www.linkedin.com/search/results/people/?keywords=Georplast+s.r.l.+sales+OR+%22account+manager%22+OR+%22business+development%22" TargetMode="External"/><Relationship Id="rId305" Type="http://schemas.openxmlformats.org/officeDocument/2006/relationships/hyperlink" Target="https://www.linkedin.com/search/results/companies/?keywords=Camon+%26+Croci+Pet+Group+S.p.A." TargetMode="External"/><Relationship Id="rId306" Type="http://schemas.openxmlformats.org/officeDocument/2006/relationships/hyperlink" Target="https://www.linkedin.com/search/results/people/?keywords=Camon+%26+Croci+Pet+Group+S.p.A.+sales+OR+%22account+manager%22+OR+%22business+development%22" TargetMode="External"/><Relationship Id="rId307" Type="http://schemas.openxmlformats.org/officeDocument/2006/relationships/hyperlink" Target="https://www.linkedin.com/search/results/companies/?keywords=IMAC+S.r.l." TargetMode="External"/><Relationship Id="rId308" Type="http://schemas.openxmlformats.org/officeDocument/2006/relationships/hyperlink" Target="https://www.linkedin.com/search/results/people/?keywords=IMAC+S.r.l.+sales+OR+%22account+manager%22+OR+%22business+development%22" TargetMode="External"/><Relationship Id="rId309" Type="http://schemas.openxmlformats.org/officeDocument/2006/relationships/hyperlink" Target="https://www.linkedin.com/search/results/companies/?keywords=United+Pets+S.r.l." TargetMode="External"/><Relationship Id="rId310" Type="http://schemas.openxmlformats.org/officeDocument/2006/relationships/hyperlink" Target="https://www.linkedin.com/search/results/people/?keywords=United+Pets+S.r.l.+sales+OR+%22account+manager%22+OR+%22business+development%22" TargetMode="External"/><Relationship Id="rId311" Type="http://schemas.openxmlformats.org/officeDocument/2006/relationships/hyperlink" Target="https://www.linkedin.com/search/results/companies/?keywords=Cressi+Sub+S.p.A." TargetMode="External"/><Relationship Id="rId312" Type="http://schemas.openxmlformats.org/officeDocument/2006/relationships/hyperlink" Target="https://www.linkedin.com/search/results/people/?keywords=Cressi+Sub+S.p.A.+sales+OR+%22account+manager%22+OR+%22business+development%22" TargetMode="External"/><Relationship Id="rId313" Type="http://schemas.openxmlformats.org/officeDocument/2006/relationships/hyperlink" Target="https://www.linkedin.com/search/results/companies/?keywords=Brunner+GmbH%2FSrl" TargetMode="External"/><Relationship Id="rId314" Type="http://schemas.openxmlformats.org/officeDocument/2006/relationships/hyperlink" Target="https://www.linkedin.com/search/results/people/?keywords=Brunner+GmbH%2FSrl+sales+OR+%22account+manager%22+OR+%22business+development%22" TargetMode="External"/><Relationship Id="rId315" Type="http://schemas.openxmlformats.org/officeDocument/2006/relationships/hyperlink" Target="https://www.linkedin.com/search/results/companies/?keywords=F.I.L.A.+S.p.A." TargetMode="External"/><Relationship Id="rId316" Type="http://schemas.openxmlformats.org/officeDocument/2006/relationships/hyperlink" Target="https://www.linkedin.com/search/results/people/?keywords=F.I.L.A.+S.p.A.+sales+OR+%22account+manager%22+OR+%22business+development%22" TargetMode="External"/><Relationship Id="rId317" Type="http://schemas.openxmlformats.org/officeDocument/2006/relationships/hyperlink" Target="https://www.linkedin.com/search/results/companies/?keywords=CARIOCA+S.p.A." TargetMode="External"/><Relationship Id="rId318" Type="http://schemas.openxmlformats.org/officeDocument/2006/relationships/hyperlink" Target="https://www.linkedin.com/search/results/people/?keywords=CARIOCA+S.p.A.+sales+OR+%22account+manager%22+OR+%22business+development%22" TargetMode="External"/><Relationship Id="rId319" Type="http://schemas.openxmlformats.org/officeDocument/2006/relationships/hyperlink" Target="https://www.linkedin.com/search/results/companies/?keywords=Clementoni+S.p.A." TargetMode="External"/><Relationship Id="rId320" Type="http://schemas.openxmlformats.org/officeDocument/2006/relationships/hyperlink" Target="https://www.linkedin.com/search/results/people/?keywords=Clementoni+S.p.A.+sales+OR+%22account+manager%22+OR+%22business+development%22" TargetMode="External"/><Relationship Id="rId321" Type="http://schemas.openxmlformats.org/officeDocument/2006/relationships/hyperlink" Target="https://www.linkedin.com/search/results/companies/?keywords=Quercetti+%26+C.+S.p.A." TargetMode="External"/><Relationship Id="rId322" Type="http://schemas.openxmlformats.org/officeDocument/2006/relationships/hyperlink" Target="https://www.linkedin.com/search/results/people/?keywords=Quercetti+%26+C.+S.p.A.+sales+OR+%22account+manager%22+OR+%22business+development%22" TargetMode="External"/><Relationship Id="rId323" Type="http://schemas.openxmlformats.org/officeDocument/2006/relationships/hyperlink" Target="https://www.linkedin.com/search/results/companies/?keywords=Liscianigiochi+S.p.A." TargetMode="External"/><Relationship Id="rId324" Type="http://schemas.openxmlformats.org/officeDocument/2006/relationships/hyperlink" Target="https://www.linkedin.com/search/results/people/?keywords=Liscianigiochi+S.p.A.+sales+OR+%22account+manager%22+OR+%22business+development%22" TargetMode="External"/><Relationship Id="rId325" Type="http://schemas.openxmlformats.org/officeDocument/2006/relationships/hyperlink" Target="https://www.linkedin.com/search/results/companies/?keywords=AS+MADARA+Cosmetics" TargetMode="External"/><Relationship Id="rId326" Type="http://schemas.openxmlformats.org/officeDocument/2006/relationships/hyperlink" Target="https://www.linkedin.com/search/results/people/?keywords=AS+MADARA+Cosmetics+sales+OR+%22account+manager%22+OR+%22business+development%22" TargetMode="External"/><Relationship Id="rId327" Type="http://schemas.openxmlformats.org/officeDocument/2006/relationships/hyperlink" Target="https://www.linkedin.com/search/results/companies/?keywords=BIOK+laboratorija%2C+UAB" TargetMode="External"/><Relationship Id="rId328" Type="http://schemas.openxmlformats.org/officeDocument/2006/relationships/hyperlink" Target="https://www.linkedin.com/search/results/people/?keywords=BIOK+laboratorija%2C+UAB+sales+OR+%22account+manager%22+OR+%22business+development%22" TargetMode="External"/><Relationship Id="rId329" Type="http://schemas.openxmlformats.org/officeDocument/2006/relationships/hyperlink" Target="https://www.linkedin.com/search/results/companies/?keywords=Keter+Luxembourg+SARL" TargetMode="External"/><Relationship Id="rId330" Type="http://schemas.openxmlformats.org/officeDocument/2006/relationships/hyperlink" Target="https://www.linkedin.com/search/results/people/?keywords=Keter+Luxembourg+SARL+sales+OR+%22account+manager%22+OR+%22business+development%22" TargetMode="External"/><Relationship Id="rId331" Type="http://schemas.openxmlformats.org/officeDocument/2006/relationships/hyperlink" Target="https://www.linkedin.com/search/results/companies/?keywords=Difrax+B.V." TargetMode="External"/><Relationship Id="rId332" Type="http://schemas.openxmlformats.org/officeDocument/2006/relationships/hyperlink" Target="https://www.linkedin.com/search/results/people/?keywords=Difrax+B.V.+sales+OR+%22account+manager%22+OR+%22business+development%22" TargetMode="External"/><Relationship Id="rId333" Type="http://schemas.openxmlformats.org/officeDocument/2006/relationships/hyperlink" Target="https://www.linkedin.com/search/results/companies/?keywords=Atelier+49+Nederland+B.V." TargetMode="External"/><Relationship Id="rId334" Type="http://schemas.openxmlformats.org/officeDocument/2006/relationships/hyperlink" Target="https://www.linkedin.com/search/results/people/?keywords=Atelier+49+Nederland+B.V.+sales+OR+%22account+manager%22+OR+%22business+development%22" TargetMode="External"/><Relationship Id="rId335" Type="http://schemas.openxmlformats.org/officeDocument/2006/relationships/hyperlink" Target="https://www.linkedin.com/search/results/companies/?keywords=West+Coast+Supply+Group" TargetMode="External"/><Relationship Id="rId336" Type="http://schemas.openxmlformats.org/officeDocument/2006/relationships/hyperlink" Target="https://www.linkedin.com/search/results/people/?keywords=West+Coast+Supply+Group+sales+OR+%22account+manager%22+OR+%22business+development%22" TargetMode="External"/><Relationship Id="rId337" Type="http://schemas.openxmlformats.org/officeDocument/2006/relationships/hyperlink" Target="https://www.linkedin.com/search/results/companies/?keywords=NaskorSports+B.V." TargetMode="External"/><Relationship Id="rId338" Type="http://schemas.openxmlformats.org/officeDocument/2006/relationships/hyperlink" Target="https://www.linkedin.com/search/results/people/?keywords=NaskorSports+B.V.+sales+OR+%22account+manager%22+OR+%22business+development%22" TargetMode="External"/><Relationship Id="rId339" Type="http://schemas.openxmlformats.org/officeDocument/2006/relationships/hyperlink" Target="https://www.linkedin.com/search/results/companies/?keywords=Parallel+B.V." TargetMode="External"/><Relationship Id="rId340" Type="http://schemas.openxmlformats.org/officeDocument/2006/relationships/hyperlink" Target="https://www.linkedin.com/search/results/people/?keywords=Parallel+B.V.+sales+OR+%22account+manager%22+OR+%22business+development%22" TargetMode="External"/><Relationship Id="rId341" Type="http://schemas.openxmlformats.org/officeDocument/2006/relationships/hyperlink" Target="https://www.linkedin.com/search/results/companies/?keywords=Brabantia+Export+BV" TargetMode="External"/><Relationship Id="rId342" Type="http://schemas.openxmlformats.org/officeDocument/2006/relationships/hyperlink" Target="https://www.linkedin.com/search/results/people/?keywords=Brabantia+Export+BV+sales+OR+%22account+manager%22+OR+%22business+development%22" TargetMode="External"/><Relationship Id="rId343" Type="http://schemas.openxmlformats.org/officeDocument/2006/relationships/hyperlink" Target="https://www.linkedin.com/search/results/companies/?keywords=Bolsius+Nederland+BV" TargetMode="External"/><Relationship Id="rId344" Type="http://schemas.openxmlformats.org/officeDocument/2006/relationships/hyperlink" Target="https://www.linkedin.com/search/results/people/?keywords=Bolsius+Nederland+BV+sales+OR+%22account+manager%22+OR+%22business+development%22" TargetMode="External"/><Relationship Id="rId345" Type="http://schemas.openxmlformats.org/officeDocument/2006/relationships/hyperlink" Target="https://www.linkedin.com/search/results/companies/?keywords=Koopman+International+B.V." TargetMode="External"/><Relationship Id="rId346" Type="http://schemas.openxmlformats.org/officeDocument/2006/relationships/hyperlink" Target="https://www.linkedin.com/search/results/people/?keywords=Koopman+International+B.V.+sales+OR+%22account+manager%22+OR+%22business+development%22" TargetMode="External"/><Relationship Id="rId347" Type="http://schemas.openxmlformats.org/officeDocument/2006/relationships/hyperlink" Target="https://www.linkedin.com/search/results/companies/?keywords=Mepal+B.V." TargetMode="External"/><Relationship Id="rId348" Type="http://schemas.openxmlformats.org/officeDocument/2006/relationships/hyperlink" Target="https://www.linkedin.com/search/results/people/?keywords=Mepal+B.V.+sales+OR+%22account+manager%22+OR+%22business+development%22" TargetMode="External"/><Relationship Id="rId349" Type="http://schemas.openxmlformats.org/officeDocument/2006/relationships/hyperlink" Target="https://www.linkedin.com/search/results/companies/?keywords=Tristar+Europe+B.V." TargetMode="External"/><Relationship Id="rId350" Type="http://schemas.openxmlformats.org/officeDocument/2006/relationships/hyperlink" Target="https://www.linkedin.com/search/results/people/?keywords=Tristar+Europe+B.V.+sales+OR+%22account+manager%22+OR+%22business+development%22" TargetMode="External"/><Relationship Id="rId351" Type="http://schemas.openxmlformats.org/officeDocument/2006/relationships/hyperlink" Target="https://www.linkedin.com/search/results/companies/?keywords=Sunware+B.V." TargetMode="External"/><Relationship Id="rId352" Type="http://schemas.openxmlformats.org/officeDocument/2006/relationships/hyperlink" Target="https://www.linkedin.com/search/results/people/?keywords=Sunware+B.V.+sales+OR+%22account+manager%22+OR+%22business+development%22" TargetMode="External"/><Relationship Id="rId353" Type="http://schemas.openxmlformats.org/officeDocument/2006/relationships/hyperlink" Target="https://www.linkedin.com/search/results/companies/?keywords=vidaXL+%2F+dropshippingXL" TargetMode="External"/><Relationship Id="rId354" Type="http://schemas.openxmlformats.org/officeDocument/2006/relationships/hyperlink" Target="https://www.linkedin.com/search/results/people/?keywords=vidaXL+%2F+dropshippingXL+sales+OR+%22account+manager%22+OR+%22business+development%22" TargetMode="External"/><Relationship Id="rId355" Type="http://schemas.openxmlformats.org/officeDocument/2006/relationships/hyperlink" Target="https://www.linkedin.com/search/results/companies/?keywords=Beaphar+B.V." TargetMode="External"/><Relationship Id="rId356" Type="http://schemas.openxmlformats.org/officeDocument/2006/relationships/hyperlink" Target="https://www.linkedin.com/search/results/people/?keywords=Beaphar+B.V.+sales+OR+%22account+manager%22+OR+%22business+development%22" TargetMode="External"/><Relationship Id="rId357" Type="http://schemas.openxmlformats.org/officeDocument/2006/relationships/hyperlink" Target="https://www.linkedin.com/search/results/companies/?keywords=Van+der+Meer+Groothandel+in+Dierbenodigdheden+B.V." TargetMode="External"/><Relationship Id="rId358" Type="http://schemas.openxmlformats.org/officeDocument/2006/relationships/hyperlink" Target="https://www.linkedin.com/search/results/people/?keywords=Van+der+Meer+Groothandel+in+Dierbenodigdheden+B.V.+sales+OR+%22account+manager%22+OR+%22business+development%22" TargetMode="External"/><Relationship Id="rId359" Type="http://schemas.openxmlformats.org/officeDocument/2006/relationships/hyperlink" Target="https://www.linkedin.com/search/results/companies/?keywords=Beeztees" TargetMode="External"/><Relationship Id="rId360" Type="http://schemas.openxmlformats.org/officeDocument/2006/relationships/hyperlink" Target="https://www.linkedin.com/search/results/people/?keywords=Beeztees+sales+OR+%22account+manager%22+OR+%22business+development%22" TargetMode="External"/><Relationship Id="rId361" Type="http://schemas.openxmlformats.org/officeDocument/2006/relationships/hyperlink" Target="https://www.linkedin.com/search/results/companies/?keywords=NRG+Fitness+B.V." TargetMode="External"/><Relationship Id="rId362" Type="http://schemas.openxmlformats.org/officeDocument/2006/relationships/hyperlink" Target="https://www.linkedin.com/search/results/people/?keywords=NRG+Fitness+B.V.+sales+OR+%22account+manager%22+OR+%22business+development%22" TargetMode="External"/><Relationship Id="rId363" Type="http://schemas.openxmlformats.org/officeDocument/2006/relationships/hyperlink" Target="https://www.linkedin.com/search/results/companies/?keywords=ALSO+Nederland" TargetMode="External"/><Relationship Id="rId364" Type="http://schemas.openxmlformats.org/officeDocument/2006/relationships/hyperlink" Target="https://www.linkedin.com/search/results/people/?keywords=ALSO+Nederland+sales+OR+%22account+manager%22+OR+%22business+development%22" TargetMode="External"/><Relationship Id="rId365" Type="http://schemas.openxmlformats.org/officeDocument/2006/relationships/hyperlink" Target="https://www.linkedin.com/search/results/companies/?keywords=Complies+BV" TargetMode="External"/><Relationship Id="rId366" Type="http://schemas.openxmlformats.org/officeDocument/2006/relationships/hyperlink" Target="https://www.linkedin.com/search/results/people/?keywords=Complies+BV+sales+OR+%22account+manager%22+OR+%22business+development%22" TargetMode="External"/><Relationship Id="rId367" Type="http://schemas.openxmlformats.org/officeDocument/2006/relationships/hyperlink" Target="https://www.linkedin.com/search/results/companies/?keywords=European+Player+Network" TargetMode="External"/><Relationship Id="rId368" Type="http://schemas.openxmlformats.org/officeDocument/2006/relationships/hyperlink" Target="https://www.linkedin.com/search/results/people/?keywords=European+Player+Network+sales+OR+%22account+manager%22+OR+%22business+development%22" TargetMode="External"/><Relationship Id="rId369" Type="http://schemas.openxmlformats.org/officeDocument/2006/relationships/hyperlink" Target="https://www.linkedin.com/search/results/companies/?keywords=Koninklijke+Jumbo+B.V." TargetMode="External"/><Relationship Id="rId370" Type="http://schemas.openxmlformats.org/officeDocument/2006/relationships/hyperlink" Target="https://www.linkedin.com/search/results/people/?keywords=Koninklijke+Jumbo+B.V.+sales+OR+%22account+manager%22+OR+%22business+development%22" TargetMode="External"/><Relationship Id="rId371" Type="http://schemas.openxmlformats.org/officeDocument/2006/relationships/hyperlink" Target="https://www.linkedin.com/search/results/companies/?keywords=Spectron+The+Toy+Company" TargetMode="External"/><Relationship Id="rId372" Type="http://schemas.openxmlformats.org/officeDocument/2006/relationships/hyperlink" Target="https://www.linkedin.com/search/results/people/?keywords=Spectron+The+Toy+Company+sales+OR+%22account+manager%22+OR+%22business+development%22" TargetMode="External"/><Relationship Id="rId373" Type="http://schemas.openxmlformats.org/officeDocument/2006/relationships/hyperlink" Target="https://www.linkedin.com/search/results/companies/?keywords=SES+Creative+B.V." TargetMode="External"/><Relationship Id="rId374" Type="http://schemas.openxmlformats.org/officeDocument/2006/relationships/hyperlink" Target="https://www.linkedin.com/search/results/people/?keywords=SES+Creative+B.V.+sales+OR+%22account+manager%22+OR+%22business+development%22" TargetMode="External"/><Relationship Id="rId375" Type="http://schemas.openxmlformats.org/officeDocument/2006/relationships/hyperlink" Target="https://www.linkedin.com/search/results/companies/?keywords=Toi-Toys" TargetMode="External"/><Relationship Id="rId376" Type="http://schemas.openxmlformats.org/officeDocument/2006/relationships/hyperlink" Target="https://www.linkedin.com/search/results/people/?keywords=Toi-Toys+sales+OR+%22account+manager%22+OR+%22business+development%22" TargetMode="External"/><Relationship Id="rId377" Type="http://schemas.openxmlformats.org/officeDocument/2006/relationships/hyperlink" Target="https://www.linkedin.com/search/results/companies/?keywords=BrandLine+Group+Sp.+z+o.o." TargetMode="External"/><Relationship Id="rId378" Type="http://schemas.openxmlformats.org/officeDocument/2006/relationships/hyperlink" Target="https://www.linkedin.com/search/results/people/?keywords=BrandLine+Group+Sp.+z+o.o.+sales+OR+%22account+manager%22+OR+%22business+development%22" TargetMode="External"/><Relationship Id="rId379" Type="http://schemas.openxmlformats.org/officeDocument/2006/relationships/hyperlink" Target="https://www.linkedin.com/search/results/companies/?keywords=4Kraft+Sp.+z+o.o." TargetMode="External"/><Relationship Id="rId380" Type="http://schemas.openxmlformats.org/officeDocument/2006/relationships/hyperlink" Target="https://www.linkedin.com/search/results/people/?keywords=4Kraft+Sp.+z+o.o.+sales+OR+%22account+manager%22+OR+%22business+development%22" TargetMode="External"/><Relationship Id="rId381" Type="http://schemas.openxmlformats.org/officeDocument/2006/relationships/hyperlink" Target="https://www.linkedin.com/search/results/companies/?keywords=Kids+Inspirations+Sp.+z+o.o." TargetMode="External"/><Relationship Id="rId382" Type="http://schemas.openxmlformats.org/officeDocument/2006/relationships/hyperlink" Target="https://www.linkedin.com/search/results/people/?keywords=Kids+Inspirations+Sp.+z+o.o.+sales+OR+%22account+manager%22+OR+%22business+development%22" TargetMode="External"/><Relationship Id="rId383" Type="http://schemas.openxmlformats.org/officeDocument/2006/relationships/hyperlink" Target="https://www.linkedin.com/search/results/companies/?keywords=Canpol+Sp.+z+o.o." TargetMode="External"/><Relationship Id="rId384" Type="http://schemas.openxmlformats.org/officeDocument/2006/relationships/hyperlink" Target="https://www.linkedin.com/search/results/people/?keywords=Canpol+Sp.+z+o.o.+sales+OR+%22account+manager%22+OR+%22business+development%22" TargetMode="External"/><Relationship Id="rId385" Type="http://schemas.openxmlformats.org/officeDocument/2006/relationships/hyperlink" Target="https://www.linkedin.com/search/results/companies/?keywords=Ceba+Sp.+z+o.o." TargetMode="External"/><Relationship Id="rId386" Type="http://schemas.openxmlformats.org/officeDocument/2006/relationships/hyperlink" Target="https://www.linkedin.com/search/results/people/?keywords=Ceba+Sp.+z+o.o.+sales+OR+%22account+manager%22+OR+%22business+development%22" TargetMode="External"/><Relationship Id="rId387" Type="http://schemas.openxmlformats.org/officeDocument/2006/relationships/hyperlink" Target="https://www.linkedin.com/search/results/companies/?keywords=WOMAR" TargetMode="External"/><Relationship Id="rId388" Type="http://schemas.openxmlformats.org/officeDocument/2006/relationships/hyperlink" Target="https://www.linkedin.com/search/results/people/?keywords=WOMAR+sales+OR+%22account+manager%22+OR+%22business+development%22" TargetMode="External"/><Relationship Id="rId389" Type="http://schemas.openxmlformats.org/officeDocument/2006/relationships/hyperlink" Target="https://www.linkedin.com/search/results/companies/?keywords=BabyOno" TargetMode="External"/><Relationship Id="rId390" Type="http://schemas.openxmlformats.org/officeDocument/2006/relationships/hyperlink" Target="https://www.linkedin.com/search/results/people/?keywords=BabyOno+sales+OR+%22account+manager%22+OR+%22business+development%22" TargetMode="External"/><Relationship Id="rId391" Type="http://schemas.openxmlformats.org/officeDocument/2006/relationships/hyperlink" Target="https://www.linkedin.com/search/results/companies/?keywords=Eveline+Cosmetics" TargetMode="External"/><Relationship Id="rId392" Type="http://schemas.openxmlformats.org/officeDocument/2006/relationships/hyperlink" Target="https://www.linkedin.com/search/results/people/?keywords=Eveline+Cosmetics+sales+OR+%22account+manager%22+OR+%22business+development%22" TargetMode="External"/><Relationship Id="rId393" Type="http://schemas.openxmlformats.org/officeDocument/2006/relationships/hyperlink" Target="https://www.linkedin.com/search/results/companies/?keywords=Ziaja+Ltd" TargetMode="External"/><Relationship Id="rId394" Type="http://schemas.openxmlformats.org/officeDocument/2006/relationships/hyperlink" Target="https://www.linkedin.com/search/results/people/?keywords=Ziaja+Ltd+sales+OR+%22account+manager%22+OR+%22business+development%22" TargetMode="External"/><Relationship Id="rId395" Type="http://schemas.openxmlformats.org/officeDocument/2006/relationships/hyperlink" Target="https://www.linkedin.com/search/results/companies/?keywords=Bielenda+Group+S.A." TargetMode="External"/><Relationship Id="rId396" Type="http://schemas.openxmlformats.org/officeDocument/2006/relationships/hyperlink" Target="https://www.linkedin.com/search/results/people/?keywords=Bielenda+Group+S.A.+sales+OR+%22account+manager%22+OR+%22business+development%22" TargetMode="External"/><Relationship Id="rId397" Type="http://schemas.openxmlformats.org/officeDocument/2006/relationships/hyperlink" Target="https://www.linkedin.com/search/results/companies/?keywords=Delia+Cosmetics+Sp.+z+o.o." TargetMode="External"/><Relationship Id="rId398" Type="http://schemas.openxmlformats.org/officeDocument/2006/relationships/hyperlink" Target="https://www.linkedin.com/search/results/people/?keywords=Delia+Cosmetics+Sp.+z+o.o.+sales+OR+%22account+manager%22+OR+%22business+development%22" TargetMode="External"/><Relationship Id="rId399" Type="http://schemas.openxmlformats.org/officeDocument/2006/relationships/hyperlink" Target="https://www.linkedin.com/search/results/companies/?keywords=Dr+Irena+Eris+S.A." TargetMode="External"/><Relationship Id="rId400" Type="http://schemas.openxmlformats.org/officeDocument/2006/relationships/hyperlink" Target="https://www.linkedin.com/search/results/people/?keywords=Dr+Irena+Eris+S.A.+sales+OR+%22account+manager%22+OR+%22business+development%22" TargetMode="External"/><Relationship Id="rId401" Type="http://schemas.openxmlformats.org/officeDocument/2006/relationships/hyperlink" Target="https://www.linkedin.com/search/results/companies/?keywords=Laboratorium+Kosmetyk&#243;w+Naturalnych+Farmona+Sp.+z+o.o." TargetMode="External"/><Relationship Id="rId402" Type="http://schemas.openxmlformats.org/officeDocument/2006/relationships/hyperlink" Target="https://www.linkedin.com/search/results/people/?keywords=Laboratorium+Kosmetyk&#243;w+Naturalnych+Farmona+Sp.+z+o.o.+sales+OR+%22account+manager%22+OR+%22business+development%22" TargetMode="External"/><Relationship Id="rId403" Type="http://schemas.openxmlformats.org/officeDocument/2006/relationships/hyperlink" Target="https://www.linkedin.com/search/results/companies/?keywords=Davi" TargetMode="External"/><Relationship Id="rId404" Type="http://schemas.openxmlformats.org/officeDocument/2006/relationships/hyperlink" Target="https://www.linkedin.com/search/results/people/?keywords=Davi+sales+OR+%22account+manager%22+OR+%22business+development%22" TargetMode="External"/><Relationship Id="rId405" Type="http://schemas.openxmlformats.org/officeDocument/2006/relationships/hyperlink" Target="https://www.linkedin.com/search/results/companies/?keywords=INGLOT+Sp.+z+o.o." TargetMode="External"/><Relationship Id="rId406" Type="http://schemas.openxmlformats.org/officeDocument/2006/relationships/hyperlink" Target="https://www.linkedin.com/search/results/people/?keywords=INGLOT+Sp.+z+o.o.+sales+OR+%22account+manager%22+OR+%22business+development%22" TargetMode="External"/><Relationship Id="rId407" Type="http://schemas.openxmlformats.org/officeDocument/2006/relationships/hyperlink" Target="https://www.linkedin.com/search/results/companies/?keywords=Laboratorium+Kosmetyczne+Joanna+sp.j." TargetMode="External"/><Relationship Id="rId408" Type="http://schemas.openxmlformats.org/officeDocument/2006/relationships/hyperlink" Target="https://www.linkedin.com/search/results/people/?keywords=Laboratorium+Kosmetyczne+Joanna+sp.j.+sales+OR+%22account+manager%22+OR+%22business+development%22" TargetMode="External"/><Relationship Id="rId409" Type="http://schemas.openxmlformats.org/officeDocument/2006/relationships/hyperlink" Target="https://www.linkedin.com/search/results/companies/?keywords=Oceanic+S.A." TargetMode="External"/><Relationship Id="rId410" Type="http://schemas.openxmlformats.org/officeDocument/2006/relationships/hyperlink" Target="https://www.linkedin.com/search/results/people/?keywords=Oceanic+S.A.+sales+OR+%22account+manager%22+OR+%22business+development%22" TargetMode="External"/><Relationship Id="rId411" Type="http://schemas.openxmlformats.org/officeDocument/2006/relationships/hyperlink" Target="https://www.linkedin.com/search/results/companies/?keywords=TOYA+S.A." TargetMode="External"/><Relationship Id="rId412" Type="http://schemas.openxmlformats.org/officeDocument/2006/relationships/hyperlink" Target="https://www.linkedin.com/search/results/people/?keywords=TOYA+S.A.+sales+OR+%22account+manager%22+OR+%22business+development%22" TargetMode="External"/><Relationship Id="rId413" Type="http://schemas.openxmlformats.org/officeDocument/2006/relationships/hyperlink" Target="https://www.linkedin.com/search/results/companies/?keywords=Logo-Tools+Sp.+z+o.o." TargetMode="External"/><Relationship Id="rId414" Type="http://schemas.openxmlformats.org/officeDocument/2006/relationships/hyperlink" Target="https://www.linkedin.com/search/results/people/?keywords=Logo-Tools+Sp.+z+o.o.+sales+OR+%22account+manager%22+OR+%22business+development%22" TargetMode="External"/><Relationship Id="rId415" Type="http://schemas.openxmlformats.org/officeDocument/2006/relationships/hyperlink" Target="https://www.linkedin.com/search/results/companies/?keywords=Floraland+Sp.+z+o.o.+Sp.k." TargetMode="External"/><Relationship Id="rId416" Type="http://schemas.openxmlformats.org/officeDocument/2006/relationships/hyperlink" Target="https://www.linkedin.com/search/results/people/?keywords=Floraland+Sp.+z+o.o.+Sp.k.+sales+OR+%22account+manager%22+OR+%22business+development%22" TargetMode="External"/><Relationship Id="rId417" Type="http://schemas.openxmlformats.org/officeDocument/2006/relationships/hyperlink" Target="https://www.linkedin.com/search/results/companies/?keywords=GTX+Poland+Sp.+z+o.o.+Sp.+k." TargetMode="External"/><Relationship Id="rId418" Type="http://schemas.openxmlformats.org/officeDocument/2006/relationships/hyperlink" Target="https://www.linkedin.com/search/results/people/?keywords=GTX+Poland+Sp.+z+o.o.+Sp.+k.+sales+OR+%22account+manager%22+OR+%22business+development%22" TargetMode="External"/><Relationship Id="rId419" Type="http://schemas.openxmlformats.org/officeDocument/2006/relationships/hyperlink" Target="https://www.linkedin.com/search/results/companies/?keywords=Dedra+Exim+Sp.+z+o.o." TargetMode="External"/><Relationship Id="rId420" Type="http://schemas.openxmlformats.org/officeDocument/2006/relationships/hyperlink" Target="https://www.linkedin.com/search/results/people/?keywords=Dedra+Exim+Sp.+z+o.o.+sales+OR+%22account+manager%22+OR+%22business+development%22" TargetMode="External"/><Relationship Id="rId421" Type="http://schemas.openxmlformats.org/officeDocument/2006/relationships/hyperlink" Target="https://www.linkedin.com/search/results/companies/?keywords=STALCO+S.K.A." TargetMode="External"/><Relationship Id="rId422" Type="http://schemas.openxmlformats.org/officeDocument/2006/relationships/hyperlink" Target="https://www.linkedin.com/search/results/people/?keywords=STALCO+S.K.A.+sales+OR+%22account+manager%22+OR+%22business+development%22" TargetMode="External"/><Relationship Id="rId423" Type="http://schemas.openxmlformats.org/officeDocument/2006/relationships/hyperlink" Target="https://www.linkedin.com/search/results/companies/?keywords=MisterM+Plus+Sp.+z+o.o.+Sp.k." TargetMode="External"/><Relationship Id="rId424" Type="http://schemas.openxmlformats.org/officeDocument/2006/relationships/hyperlink" Target="https://www.linkedin.com/search/results/people/?keywords=MisterM+Plus+Sp.+z+o.o.+Sp.k.+sales+OR+%22account+manager%22+OR+%22business+development%22" TargetMode="External"/><Relationship Id="rId425" Type="http://schemas.openxmlformats.org/officeDocument/2006/relationships/hyperlink" Target="https://www.linkedin.com/search/results/companies/?keywords=Parfum+Company+Sp.+z+o.o.+S.K.A." TargetMode="External"/><Relationship Id="rId426" Type="http://schemas.openxmlformats.org/officeDocument/2006/relationships/hyperlink" Target="https://www.linkedin.com/search/results/people/?keywords=Parfum+Company+Sp.+z+o.o.+S.K.A.+sales+OR+%22account+manager%22+OR+%22business+development%22" TargetMode="External"/><Relationship Id="rId427" Type="http://schemas.openxmlformats.org/officeDocument/2006/relationships/hyperlink" Target="https://www.linkedin.com/search/results/companies/?keywords=LA+RIVE+S.A." TargetMode="External"/><Relationship Id="rId428" Type="http://schemas.openxmlformats.org/officeDocument/2006/relationships/hyperlink" Target="https://www.linkedin.com/search/results/people/?keywords=LA+RIVE+S.A.+sales+OR+%22account+manager%22+OR+%22business+development%22" TargetMode="External"/><Relationship Id="rId429" Type="http://schemas.openxmlformats.org/officeDocument/2006/relationships/hyperlink" Target="https://www.linkedin.com/search/results/companies/?keywords=Olimp+Laboratories+Sp.+z+o.o." TargetMode="External"/><Relationship Id="rId430" Type="http://schemas.openxmlformats.org/officeDocument/2006/relationships/hyperlink" Target="https://www.linkedin.com/search/results/people/?keywords=Olimp+Laboratories+Sp.+z+o.o.+sales+OR+%22account+manager%22+OR+%22business+development%22" TargetMode="External"/><Relationship Id="rId431" Type="http://schemas.openxmlformats.org/officeDocument/2006/relationships/hyperlink" Target="https://www.linkedin.com/search/results/companies/?keywords=ZIP+Wieczorek+Sp.+z+o.o." TargetMode="External"/><Relationship Id="rId432" Type="http://schemas.openxmlformats.org/officeDocument/2006/relationships/hyperlink" Target="https://www.linkedin.com/search/results/people/?keywords=ZIP+Wieczorek+Sp.+z+o.o.+sales+OR+%22account+manager%22+OR+%22business+development%22" TargetMode="External"/><Relationship Id="rId433" Type="http://schemas.openxmlformats.org/officeDocument/2006/relationships/hyperlink" Target="https://www.linkedin.com/search/results/companies/?keywords=Olivit+Sp.+z+o.o." TargetMode="External"/><Relationship Id="rId434" Type="http://schemas.openxmlformats.org/officeDocument/2006/relationships/hyperlink" Target="https://www.linkedin.com/search/results/people/?keywords=Olivit+Sp.+z+o.o.+sales+OR+%22account+manager%22+OR+%22business+development%22" TargetMode="External"/><Relationship Id="rId435" Type="http://schemas.openxmlformats.org/officeDocument/2006/relationships/hyperlink" Target="https://www.linkedin.com/search/results/companies/?keywords=OstroVit+Sp.+z+o.o." TargetMode="External"/><Relationship Id="rId436" Type="http://schemas.openxmlformats.org/officeDocument/2006/relationships/hyperlink" Target="https://www.linkedin.com/search/results/people/?keywords=OstroVit+Sp.+z+o.o.+sales+OR+%22account+manager%22+OR+%22business+development%22" TargetMode="External"/><Relationship Id="rId437" Type="http://schemas.openxmlformats.org/officeDocument/2006/relationships/hyperlink" Target="https://www.linkedin.com/search/results/companies/?keywords=SFD+S.A." TargetMode="External"/><Relationship Id="rId438" Type="http://schemas.openxmlformats.org/officeDocument/2006/relationships/hyperlink" Target="https://www.linkedin.com/search/results/people/?keywords=SFD+S.A.+sales+OR+%22account+manager%22+OR+%22business+development%22" TargetMode="External"/><Relationship Id="rId439" Type="http://schemas.openxmlformats.org/officeDocument/2006/relationships/hyperlink" Target="https://www.linkedin.com/search/results/companies/?keywords=Trec+Nutrition+Sp.+z+o.o." TargetMode="External"/><Relationship Id="rId440" Type="http://schemas.openxmlformats.org/officeDocument/2006/relationships/hyperlink" Target="https://www.linkedin.com/search/results/people/?keywords=Trec+Nutrition+Sp.+z+o.o.+sales+OR+%22account+manager%22+OR+%22business+development%22" TargetMode="External"/><Relationship Id="rId441" Type="http://schemas.openxmlformats.org/officeDocument/2006/relationships/hyperlink" Target="https://www.linkedin.com/search/results/companies/?keywords=KONEX+Sp.+z+o.o." TargetMode="External"/><Relationship Id="rId442" Type="http://schemas.openxmlformats.org/officeDocument/2006/relationships/hyperlink" Target="https://www.linkedin.com/search/results/people/?keywords=KONEX+Sp.+z+o.o.+sales+OR+%22account+manager%22+OR+%22business+development%22" TargetMode="External"/><Relationship Id="rId443" Type="http://schemas.openxmlformats.org/officeDocument/2006/relationships/hyperlink" Target="https://www.linkedin.com/search/results/companies/?keywords=Florentyna+Sp.+z+o.o." TargetMode="External"/><Relationship Id="rId444" Type="http://schemas.openxmlformats.org/officeDocument/2006/relationships/hyperlink" Target="https://www.linkedin.com/search/results/people/?keywords=Florentyna+Sp.+z+o.o.+sales+OR+%22account+manager%22+OR+%22business+development%22" TargetMode="External"/><Relationship Id="rId445" Type="http://schemas.openxmlformats.org/officeDocument/2006/relationships/hyperlink" Target="https://www.linkedin.com/search/results/companies/?keywords=Gerlach+S.A." TargetMode="External"/><Relationship Id="rId446" Type="http://schemas.openxmlformats.org/officeDocument/2006/relationships/hyperlink" Target="https://www.linkedin.com/search/results/people/?keywords=Gerlach+S.A.+sales+OR+%22account+manager%22+OR+%22business+development%22" TargetMode="External"/><Relationship Id="rId447" Type="http://schemas.openxmlformats.org/officeDocument/2006/relationships/hyperlink" Target="https://www.linkedin.com/search/results/companies/?keywords=M.T.M.+Sp.+z+o.o.+Sp.K." TargetMode="External"/><Relationship Id="rId448" Type="http://schemas.openxmlformats.org/officeDocument/2006/relationships/hyperlink" Target="https://www.linkedin.com/search/results/people/?keywords=M.T.M.+Sp.+z+o.o.+Sp.K.+sales+OR+%22account+manager%22+OR+%22business+development%22" TargetMode="External"/><Relationship Id="rId449" Type="http://schemas.openxmlformats.org/officeDocument/2006/relationships/hyperlink" Target="https://www.linkedin.com/search/results/companies/?keywords=N2H+Sp.+z+o.o." TargetMode="External"/><Relationship Id="rId450" Type="http://schemas.openxmlformats.org/officeDocument/2006/relationships/hyperlink" Target="https://www.linkedin.com/search/results/people/?keywords=N2H+Sp.+z+o.o.+sales+OR+%22account+manager%22+OR+%22business+development%22" TargetMode="External"/><Relationship Id="rId451" Type="http://schemas.openxmlformats.org/officeDocument/2006/relationships/hyperlink" Target="https://www.linkedin.com/search/results/companies/?keywords=Amiplay+Sp.+z+o.o." TargetMode="External"/><Relationship Id="rId452" Type="http://schemas.openxmlformats.org/officeDocument/2006/relationships/hyperlink" Target="https://www.linkedin.com/search/results/people/?keywords=Amiplay+Sp.+z+o.o.+sales+OR+%22account+manager%22+OR+%22business+development%22" TargetMode="External"/><Relationship Id="rId453" Type="http://schemas.openxmlformats.org/officeDocument/2006/relationships/hyperlink" Target="https://www.linkedin.com/search/results/companies/?keywords=Cazo+Sp.+z+o.o." TargetMode="External"/><Relationship Id="rId454" Type="http://schemas.openxmlformats.org/officeDocument/2006/relationships/hyperlink" Target="https://www.linkedin.com/search/results/people/?keywords=Cazo+Sp.+z+o.o.+sales+OR+%22account+manager%22+OR+%22business+development%22" TargetMode="External"/><Relationship Id="rId455" Type="http://schemas.openxmlformats.org/officeDocument/2006/relationships/hyperlink" Target="https://www.linkedin.com/search/results/companies/?keywords=EMPETS+Group" TargetMode="External"/><Relationship Id="rId456" Type="http://schemas.openxmlformats.org/officeDocument/2006/relationships/hyperlink" Target="https://www.linkedin.com/search/results/people/?keywords=EMPETS+Group+sales+OR+%22account+manager%22+OR+%22business+development%22" TargetMode="External"/><Relationship Id="rId457" Type="http://schemas.openxmlformats.org/officeDocument/2006/relationships/hyperlink" Target="https://www.linkedin.com/search/results/companies/?keywords=Laboratorium+DermaPharm+Sp.+z+o.o." TargetMode="External"/><Relationship Id="rId458" Type="http://schemas.openxmlformats.org/officeDocument/2006/relationships/hyperlink" Target="https://www.linkedin.com/search/results/people/?keywords=Laboratorium+DermaPharm+Sp.+z+o.o.+sales+OR+%22account+manager%22+OR+%22business+development%22" TargetMode="External"/><Relationship Id="rId459" Type="http://schemas.openxmlformats.org/officeDocument/2006/relationships/hyperlink" Target="https://www.linkedin.com/search/results/companies/?keywords=Vet+Planet+Sp.+z+o.o." TargetMode="External"/><Relationship Id="rId460" Type="http://schemas.openxmlformats.org/officeDocument/2006/relationships/hyperlink" Target="https://www.linkedin.com/search/results/people/?keywords=Vet+Planet+Sp.+z+o.o.+sales+OR+%22account+manager%22+OR+%22business+development%22" TargetMode="External"/><Relationship Id="rId461" Type="http://schemas.openxmlformats.org/officeDocument/2006/relationships/hyperlink" Target="https://www.linkedin.com/search/results/companies/?keywords=Dingo+Sp.+z+o.o." TargetMode="External"/><Relationship Id="rId462" Type="http://schemas.openxmlformats.org/officeDocument/2006/relationships/hyperlink" Target="https://www.linkedin.com/search/results/people/?keywords=Dingo+Sp.+z+o.o.+sales+OR+%22account+manager%22+OR+%22business+development%22" TargetMode="External"/><Relationship Id="rId463" Type="http://schemas.openxmlformats.org/officeDocument/2006/relationships/hyperlink" Target="https://www.linkedin.com/search/results/companies/?keywords=MPPK+Group+Sp.+z+o.o." TargetMode="External"/><Relationship Id="rId464" Type="http://schemas.openxmlformats.org/officeDocument/2006/relationships/hyperlink" Target="https://www.linkedin.com/search/results/people/?keywords=MPPK+Group+Sp.+z+o.o.+sales+OR+%22account+manager%22+OR+%22business+development%22" TargetMode="External"/><Relationship Id="rId465" Type="http://schemas.openxmlformats.org/officeDocument/2006/relationships/hyperlink" Target="https://www.linkedin.com/search/results/companies/?keywords=P.W.+Hobby" TargetMode="External"/><Relationship Id="rId466" Type="http://schemas.openxmlformats.org/officeDocument/2006/relationships/hyperlink" Target="https://www.linkedin.com/search/results/people/?keywords=P.W.+Hobby+sales+OR+%22account+manager%22+OR+%22business+development%22" TargetMode="External"/><Relationship Id="rId467" Type="http://schemas.openxmlformats.org/officeDocument/2006/relationships/hyperlink" Target="https://www.linkedin.com/search/results/companies/?keywords=Bacha+Sport+Sp.+z+o.o." TargetMode="External"/><Relationship Id="rId468" Type="http://schemas.openxmlformats.org/officeDocument/2006/relationships/hyperlink" Target="https://www.linkedin.com/search/results/people/?keywords=Bacha+Sport+Sp.+z+o.o.+sales+OR+%22account+manager%22+OR+%22business+development%22" TargetMode="External"/><Relationship Id="rId469" Type="http://schemas.openxmlformats.org/officeDocument/2006/relationships/hyperlink" Target="https://www.linkedin.com/search/results/companies/?keywords=Larix+Janusz+Pie&#322;a+S.K.A." TargetMode="External"/><Relationship Id="rId470" Type="http://schemas.openxmlformats.org/officeDocument/2006/relationships/hyperlink" Target="https://www.linkedin.com/search/results/people/?keywords=Larix+Janusz+Pie&#322;a+S.K.A.+sales+OR+%22account+manager%22+OR+%22business+development%22" TargetMode="External"/><Relationship Id="rId471" Type="http://schemas.openxmlformats.org/officeDocument/2006/relationships/hyperlink" Target="https://www.linkedin.com/search/results/companies/?keywords=Cumulus+Sp.+z+o.o." TargetMode="External"/><Relationship Id="rId472" Type="http://schemas.openxmlformats.org/officeDocument/2006/relationships/hyperlink" Target="https://www.linkedin.com/search/results/people/?keywords=Cumulus+Sp.+z+o.o.+sales+OR+%22account+manager%22+OR+%22business+development%22" TargetMode="External"/><Relationship Id="rId473" Type="http://schemas.openxmlformats.org/officeDocument/2006/relationships/hyperlink" Target="https://www.linkedin.com/search/results/companies/?keywords=Meteor" TargetMode="External"/><Relationship Id="rId474" Type="http://schemas.openxmlformats.org/officeDocument/2006/relationships/hyperlink" Target="https://www.linkedin.com/search/results/people/?keywords=Meteor+sales+OR+%22account+manager%22+OR+%22business+development%22" TargetMode="External"/><Relationship Id="rId475" Type="http://schemas.openxmlformats.org/officeDocument/2006/relationships/hyperlink" Target="https://www.linkedin.com/search/results/companies/?keywords=Spokey+Sp.+z+o.o." TargetMode="External"/><Relationship Id="rId476" Type="http://schemas.openxmlformats.org/officeDocument/2006/relationships/hyperlink" Target="https://www.linkedin.com/search/results/people/?keywords=Spokey+Sp.+z+o.o.+sales+OR+%22account+manager%22+OR+%22business+development%22" TargetMode="External"/><Relationship Id="rId477" Type="http://schemas.openxmlformats.org/officeDocument/2006/relationships/hyperlink" Target="https://www.linkedin.com/search/results/companies/?keywords=Euro-Trade+Sp.+z+o.o.+Sp.K." TargetMode="External"/><Relationship Id="rId478" Type="http://schemas.openxmlformats.org/officeDocument/2006/relationships/hyperlink" Target="https://www.linkedin.com/search/results/people/?keywords=Euro-Trade+Sp.+z+o.o.+Sp.K.+sales+OR+%22account+manager%22+OR+%22business+development%22" TargetMode="External"/><Relationship Id="rId479" Type="http://schemas.openxmlformats.org/officeDocument/2006/relationships/hyperlink" Target="https://www.linkedin.com/search/results/companies/?keywords=St.+Majewski+Sp.+z+o.o." TargetMode="External"/><Relationship Id="rId480" Type="http://schemas.openxmlformats.org/officeDocument/2006/relationships/hyperlink" Target="https://www.linkedin.com/search/results/people/?keywords=St.+Majewski+Sp.+z+o.o.+sales+OR+%22account+manager%22+OR+%22business+development%22" TargetMode="External"/><Relationship Id="rId481" Type="http://schemas.openxmlformats.org/officeDocument/2006/relationships/hyperlink" Target="https://www.linkedin.com/search/results/companies/?keywords=Interdruk+S.A." TargetMode="External"/><Relationship Id="rId482" Type="http://schemas.openxmlformats.org/officeDocument/2006/relationships/hyperlink" Target="https://www.linkedin.com/search/results/people/?keywords=Interdruk+S.A.+sales+OR+%22account+manager%22+OR+%22business+development%22" TargetMode="External"/><Relationship Id="rId483" Type="http://schemas.openxmlformats.org/officeDocument/2006/relationships/hyperlink" Target="https://www.linkedin.com/search/results/companies/?keywords=COBI+S.A." TargetMode="External"/><Relationship Id="rId484" Type="http://schemas.openxmlformats.org/officeDocument/2006/relationships/hyperlink" Target="https://www.linkedin.com/search/results/people/?keywords=COBI+S.A.+sales+OR+%22account+manager%22+OR+%22business+development%22" TargetMode="External"/><Relationship Id="rId485" Type="http://schemas.openxmlformats.org/officeDocument/2006/relationships/hyperlink" Target="https://www.linkedin.com/search/results/companies/?keywords=Trefl+S.A." TargetMode="External"/><Relationship Id="rId486" Type="http://schemas.openxmlformats.org/officeDocument/2006/relationships/hyperlink" Target="https://www.linkedin.com/search/results/people/?keywords=Trefl+S.A.+sales+OR+%22account+manager%22+OR+%22business+development%22" TargetMode="External"/><Relationship Id="rId487" Type="http://schemas.openxmlformats.org/officeDocument/2006/relationships/hyperlink" Target="https://www.linkedin.com/search/results/companies/?keywords=YAMANN+Sp.+z+o.o." TargetMode="External"/><Relationship Id="rId488" Type="http://schemas.openxmlformats.org/officeDocument/2006/relationships/hyperlink" Target="https://www.linkedin.com/search/results/people/?keywords=YAMANN+Sp.+z+o.o.+sales+OR+%22account+manager%22+OR+%22business+development%22" TargetMode="External"/><Relationship Id="rId489" Type="http://schemas.openxmlformats.org/officeDocument/2006/relationships/hyperlink" Target="https://www.linkedin.com/search/results/companies/?keywords=ANEK+Sp.+z+o.o." TargetMode="External"/><Relationship Id="rId490" Type="http://schemas.openxmlformats.org/officeDocument/2006/relationships/hyperlink" Target="https://www.linkedin.com/search/results/people/?keywords=ANEK+Sp.+z+o.o.+sales+OR+%22account+manager%22+OR+%22business+development%22" TargetMode="External"/><Relationship Id="rId491" Type="http://schemas.openxmlformats.org/officeDocument/2006/relationships/hyperlink" Target="https://www.linkedin.com/search/results/companies/?keywords=Granna+Sp.+z+o.o." TargetMode="External"/><Relationship Id="rId492" Type="http://schemas.openxmlformats.org/officeDocument/2006/relationships/hyperlink" Target="https://www.linkedin.com/search/results/people/?keywords=Granna+Sp.+z+o.o.+sales+OR+%22account+manager%22+OR+%22business+development%22" TargetMode="External"/><Relationship Id="rId493" Type="http://schemas.openxmlformats.org/officeDocument/2006/relationships/hyperlink" Target="https://www.linkedin.com/search/results/companies/?keywords=Wader-Wo&#378;niak+Sp.+z+o.o." TargetMode="External"/><Relationship Id="rId494" Type="http://schemas.openxmlformats.org/officeDocument/2006/relationships/hyperlink" Target="https://www.linkedin.com/search/results/people/?keywords=Wader-Wo&#378;niak+Sp.+z+o.o.+sales+OR+%22account+manager%22+OR+%22business+development%22" TargetMode="External"/><Relationship Id="rId495" Type="http://schemas.openxmlformats.org/officeDocument/2006/relationships/hyperlink" Target="https://www.linkedin.com/search/results/companies/?keywords=MARIOINEX+Fabryka+Zabawek+Marian+Suchanek" TargetMode="External"/><Relationship Id="rId496" Type="http://schemas.openxmlformats.org/officeDocument/2006/relationships/hyperlink" Target="https://www.linkedin.com/search/results/people/?keywords=MARIOINEX+Fabryka+Zabawek+Marian+Suchanek+sales+OR+%22account+manager%22+OR+%22business+development%22" TargetMode="External"/><Relationship Id="rId497" Type="http://schemas.openxmlformats.org/officeDocument/2006/relationships/hyperlink" Target="https://www.linkedin.com/search/results/companies/?keywords=TM+Toys+Sp.+z+o.o." TargetMode="External"/><Relationship Id="rId498" Type="http://schemas.openxmlformats.org/officeDocument/2006/relationships/hyperlink" Target="https://www.linkedin.com/search/results/people/?keywords=TM+Toys+Sp.+z+o.o.+sales+OR+%22account+manager%22+OR+%22business+development%22" TargetMode="External"/><Relationship Id="rId499" Type="http://schemas.openxmlformats.org/officeDocument/2006/relationships/hyperlink" Target="https://www.linkedin.com/search/results/companies/?keywords=Zabawkarstwo+Wies&#322;aw+Suchanek" TargetMode="External"/><Relationship Id="rId500" Type="http://schemas.openxmlformats.org/officeDocument/2006/relationships/hyperlink" Target="https://www.linkedin.com/search/results/people/?keywords=Zabawkarstwo+Wies&#322;aw+Suchanek+sales+OR+%22account+manager%22+OR+%22business+development%22" TargetMode="External"/><Relationship Id="rId501" Type="http://schemas.openxmlformats.org/officeDocument/2006/relationships/hyperlink" Target="https://www.linkedin.com/search/results/companies/?keywords=Ach.+Brito+%26+C.&#170;%2C+S.A." TargetMode="External"/><Relationship Id="rId502" Type="http://schemas.openxmlformats.org/officeDocument/2006/relationships/hyperlink" Target="https://www.linkedin.com/search/results/people/?keywords=Ach.+Brito+%26+C.&#170;%2C+S.A.+sales+OR+%22account+manager%22+OR+%22business+development%22" TargetMode="External"/><Relationship Id="rId503" Type="http://schemas.openxmlformats.org/officeDocument/2006/relationships/hyperlink" Target="https://www.linkedin.com/search/results/companies/?keywords=Domingos+de+Sousa+%26+Filhos%2C+S.A." TargetMode="External"/><Relationship Id="rId504" Type="http://schemas.openxmlformats.org/officeDocument/2006/relationships/hyperlink" Target="https://www.linkedin.com/search/results/people/?keywords=Domingos+de+Sousa+%26+Filhos%2C+S.A.+sales+OR+%22account+manager%22+OR+%22business+development%22" TargetMode="External"/><Relationship Id="rId505" Type="http://schemas.openxmlformats.org/officeDocument/2006/relationships/hyperlink" Target="https://www.linkedin.com/search/results/companies/?keywords=T&#234;xteis+J.F.+Almeida%2C+S.A." TargetMode="External"/><Relationship Id="rId506" Type="http://schemas.openxmlformats.org/officeDocument/2006/relationships/hyperlink" Target="https://www.linkedin.com/search/results/people/?keywords=T&#234;xteis+J.F.+Almeida%2C+S.A.+sales+OR+%22account+manager%22+OR+%22business+development%22" TargetMode="External"/><Relationship Id="rId507" Type="http://schemas.openxmlformats.org/officeDocument/2006/relationships/hyperlink" Target="https://www.linkedin.com/search/results/companies/?keywords=Villafelpos+-+Com&#233;rcio+e+Ind&#250;stria+T&#234;xtil%2C+S.A." TargetMode="External"/><Relationship Id="rId508" Type="http://schemas.openxmlformats.org/officeDocument/2006/relationships/hyperlink" Target="https://www.linkedin.com/search/results/people/?keywords=Villafelpos+-+Com&#233;rcio+e+Ind&#250;stria+T&#234;xtil%2C+S.A.+sales+OR+%22account+manager%22+OR+%22business+development%22" TargetMode="External"/><Relationship Id="rId509" Type="http://schemas.openxmlformats.org/officeDocument/2006/relationships/hyperlink" Target="https://www.linkedin.com/search/results/companies/?keywords=Alum&#237;nios+Manuel+G.+Vieira+%26+Filhos%2C+Lda." TargetMode="External"/><Relationship Id="rId510" Type="http://schemas.openxmlformats.org/officeDocument/2006/relationships/hyperlink" Target="https://www.linkedin.com/search/results/people/?keywords=Alum&#237;nios+Manuel+G.+Vieira+%26+Filhos%2C+Lda.+sales+OR+%22account+manager%22+OR+%22business+development%22" TargetMode="External"/><Relationship Id="rId511" Type="http://schemas.openxmlformats.org/officeDocument/2006/relationships/hyperlink" Target="https://www.linkedin.com/search/results/companies/?keywords=Ernesto+Grilo+Sucessores%2C+Lda." TargetMode="External"/><Relationship Id="rId512" Type="http://schemas.openxmlformats.org/officeDocument/2006/relationships/hyperlink" Target="https://www.linkedin.com/search/results/people/?keywords=Ernesto+Grilo+Sucessores%2C+Lda.+sales+OR+%22account+manager%22+OR+%22business+development%22" TargetMode="External"/><Relationship Id="rId513" Type="http://schemas.openxmlformats.org/officeDocument/2006/relationships/hyperlink" Target="https://www.linkedin.com/search/results/companies/?keywords=Pereira+%26+Freitas%2C+Lda." TargetMode="External"/><Relationship Id="rId514" Type="http://schemas.openxmlformats.org/officeDocument/2006/relationships/hyperlink" Target="https://www.linkedin.com/search/results/people/?keywords=Pereira+%26+Freitas%2C+Lda.+sales+OR+%22account+manager%22+OR+%22business+development%22" TargetMode="External"/><Relationship Id="rId515" Type="http://schemas.openxmlformats.org/officeDocument/2006/relationships/hyperlink" Target="https://www.linkedin.com/search/results/companies/?keywords=RENA+-+Lu&#237;s+Ferreira+%26+Ferreira%2C+S.A." TargetMode="External"/><Relationship Id="rId516" Type="http://schemas.openxmlformats.org/officeDocument/2006/relationships/hyperlink" Target="https://www.linkedin.com/search/results/people/?keywords=RENA+-+Lu&#237;s+Ferreira+%26+Ferreira%2C+S.A.+sales+OR+%22account+manager%22+OR+%22business+development%22" TargetMode="External"/><Relationship Id="rId517" Type="http://schemas.openxmlformats.org/officeDocument/2006/relationships/hyperlink" Target="https://www.linkedin.com/search/results/companies/?keywords=Silampos+S.A." TargetMode="External"/><Relationship Id="rId518" Type="http://schemas.openxmlformats.org/officeDocument/2006/relationships/hyperlink" Target="https://www.linkedin.com/search/results/people/?keywords=Silampos+S.A.+sales+OR+%22account+manager%22+OR+%22business+development%22" TargetMode="External"/><Relationship Id="rId519" Type="http://schemas.openxmlformats.org/officeDocument/2006/relationships/hyperlink" Target="https://www.linkedin.com/search/results/companies/?keywords=Ambar+-+Passion+S.A." TargetMode="External"/><Relationship Id="rId520" Type="http://schemas.openxmlformats.org/officeDocument/2006/relationships/hyperlink" Target="https://www.linkedin.com/search/results/people/?keywords=Ambar+-+Passion+S.A.+sales+OR+%22account+manager%22+OR+%22business+development%22" TargetMode="External"/><Relationship Id="rId521" Type="http://schemas.openxmlformats.org/officeDocument/2006/relationships/hyperlink" Target="https://www.linkedin.com/search/results/companies/?keywords=Bi-silque+-+Produtos+de+Comunica&#231;&#227;o+Visual%2C+S.A." TargetMode="External"/><Relationship Id="rId522" Type="http://schemas.openxmlformats.org/officeDocument/2006/relationships/hyperlink" Target="https://www.linkedin.com/search/results/people/?keywords=Bi-silque+-+Produtos+de+Comunica&#231;&#227;o+Visual%2C+S.A.+sales+OR+%22account+manager%22+OR+%22business+development%22" TargetMode="External"/><Relationship Id="rId523" Type="http://schemas.openxmlformats.org/officeDocument/2006/relationships/hyperlink" Target="https://www.linkedin.com/search/results/companies/?keywords=Science4you+S.A." TargetMode="External"/><Relationship Id="rId524" Type="http://schemas.openxmlformats.org/officeDocument/2006/relationships/hyperlink" Target="https://www.linkedin.com/search/results/people/?keywords=Science4you+S.A.+sales+OR+%22account+manager%22+OR+%22business+development%22" TargetMode="External"/><Relationship Id="rId525" Type="http://schemas.openxmlformats.org/officeDocument/2006/relationships/hyperlink" Target="https://www.linkedin.com/search/results/companies/?keywords=QudoBeauty" TargetMode="External"/><Relationship Id="rId526" Type="http://schemas.openxmlformats.org/officeDocument/2006/relationships/hyperlink" Target="https://www.linkedin.com/search/results/people/?keywords=QudoBeauty+sales+OR+%22account+manager%22+OR+%22business+development%22" TargetMode="External"/><Relationship Id="rId527" Type="http://schemas.openxmlformats.org/officeDocument/2006/relationships/hyperlink" Target="https://www.linkedin.com/search/results/companies/?keywords=FARMEC+S.A." TargetMode="External"/><Relationship Id="rId528" Type="http://schemas.openxmlformats.org/officeDocument/2006/relationships/hyperlink" Target="https://www.linkedin.com/search/results/people/?keywords=FARMEC+S.A.+sales+OR+%22account+manager%22+OR+%22business+development%22" TargetMode="External"/><Relationship Id="rId529" Type="http://schemas.openxmlformats.org/officeDocument/2006/relationships/hyperlink" Target="https://www.linkedin.com/search/results/companies/?keywords=Hofigal+Export+Import+S.A." TargetMode="External"/><Relationship Id="rId530" Type="http://schemas.openxmlformats.org/officeDocument/2006/relationships/hyperlink" Target="https://www.linkedin.com/search/results/people/?keywords=Hofigal+Export+Import+S.A.+sales+OR+%22account+manager%22+OR+%22business+development%22" TargetMode="External"/><Relationship Id="rId531" Type="http://schemas.openxmlformats.org/officeDocument/2006/relationships/hyperlink" Target="https://www.linkedin.com/search/results/companies/?keywords=TOSAMA+d.o.o." TargetMode="External"/><Relationship Id="rId532" Type="http://schemas.openxmlformats.org/officeDocument/2006/relationships/hyperlink" Target="https://www.linkedin.com/search/results/people/?keywords=TOSAMA+d.o.o.+sales+OR+%22account+manager%22+OR+%22business+development%22" TargetMode="External"/><Relationship Id="rId533" Type="http://schemas.openxmlformats.org/officeDocument/2006/relationships/hyperlink" Target="https://www.linkedin.com/search/results/companies/?keywords=BigBuy" TargetMode="External"/><Relationship Id="rId534" Type="http://schemas.openxmlformats.org/officeDocument/2006/relationships/hyperlink" Target="https://www.linkedin.com/search/results/people/?keywords=BigBuy+sales+OR+%22account+manager%22+OR+%22business+development%22" TargetMode="External"/><Relationship Id="rId535" Type="http://schemas.openxmlformats.org/officeDocument/2006/relationships/hyperlink" Target="https://www.linkedin.com/search/results/companies/?keywords=R%26J+Cambrass+S.A." TargetMode="External"/><Relationship Id="rId536" Type="http://schemas.openxmlformats.org/officeDocument/2006/relationships/hyperlink" Target="https://www.linkedin.com/search/results/people/?keywords=R%26J+Cambrass+S.A.+sales+OR+%22account+manager%22+OR+%22business+development%22" TargetMode="External"/><Relationship Id="rId537" Type="http://schemas.openxmlformats.org/officeDocument/2006/relationships/hyperlink" Target="https://www.linkedin.com/search/results/companies/?keywords=AC+Marca+Personal+Care+S.L." TargetMode="External"/><Relationship Id="rId538" Type="http://schemas.openxmlformats.org/officeDocument/2006/relationships/hyperlink" Target="https://www.linkedin.com/search/results/people/?keywords=AC+Marca+Personal+Care+S.L.+sales+OR+%22account+manager%22+OR+%22business+development%22" TargetMode="External"/><Relationship Id="rId539" Type="http://schemas.openxmlformats.org/officeDocument/2006/relationships/hyperlink" Target="https://www.linkedin.com/search/results/companies/?keywords=Jan&#233;+Group" TargetMode="External"/><Relationship Id="rId540" Type="http://schemas.openxmlformats.org/officeDocument/2006/relationships/hyperlink" Target="https://www.linkedin.com/search/results/people/?keywords=Jan&#233;+Group+sales+OR+%22account+manager%22+OR+%22business+development%22" TargetMode="External"/><Relationship Id="rId541" Type="http://schemas.openxmlformats.org/officeDocument/2006/relationships/hyperlink" Target="https://www.linkedin.com/search/results/companies/?keywords=Suavinex" TargetMode="External"/><Relationship Id="rId542" Type="http://schemas.openxmlformats.org/officeDocument/2006/relationships/hyperlink" Target="https://www.linkedin.com/search/results/people/?keywords=Suavinex+sales+OR+%22account+manager%22+OR+%22business+development%22" TargetMode="External"/><Relationship Id="rId543" Type="http://schemas.openxmlformats.org/officeDocument/2006/relationships/hyperlink" Target="https://www.linkedin.com/search/results/companies/?keywords=ISDIN+S.A." TargetMode="External"/><Relationship Id="rId544" Type="http://schemas.openxmlformats.org/officeDocument/2006/relationships/hyperlink" Target="https://www.linkedin.com/search/results/people/?keywords=ISDIN+S.A.+sales+OR+%22account+manager%22+OR+%22business+development%22" TargetMode="External"/><Relationship Id="rId545" Type="http://schemas.openxmlformats.org/officeDocument/2006/relationships/hyperlink" Target="https://www.linkedin.com/search/results/companies/?keywords=Bella+Aurora+Labs+S.A." TargetMode="External"/><Relationship Id="rId546" Type="http://schemas.openxmlformats.org/officeDocument/2006/relationships/hyperlink" Target="https://www.linkedin.com/search/results/people/?keywords=Bella+Aurora+Labs+S.A.+sales+OR+%22account+manager%22+OR+%22business+development%22" TargetMode="External"/><Relationship Id="rId547" Type="http://schemas.openxmlformats.org/officeDocument/2006/relationships/hyperlink" Target="https://www.linkedin.com/search/results/companies/?keywords=Berioska+S.L." TargetMode="External"/><Relationship Id="rId548" Type="http://schemas.openxmlformats.org/officeDocument/2006/relationships/hyperlink" Target="https://www.linkedin.com/search/results/people/?keywords=Berioska+S.L.+sales+OR+%22account+manager%22+OR+%22business+development%22" TargetMode="External"/><Relationship Id="rId549" Type="http://schemas.openxmlformats.org/officeDocument/2006/relationships/hyperlink" Target="https://www.linkedin.com/search/results/companies/?keywords=Instituto+Espa&#241;ol+S.A." TargetMode="External"/><Relationship Id="rId550" Type="http://schemas.openxmlformats.org/officeDocument/2006/relationships/hyperlink" Target="https://www.linkedin.com/search/results/people/?keywords=Instituto+Espa&#241;ol+S.A.+sales+OR+%22account+manager%22+OR+%22business+development%22" TargetMode="External"/><Relationship Id="rId551" Type="http://schemas.openxmlformats.org/officeDocument/2006/relationships/hyperlink" Target="https://www.linkedin.com/search/results/companies/?keywords=RUBI+Tools+Group+S.A." TargetMode="External"/><Relationship Id="rId552" Type="http://schemas.openxmlformats.org/officeDocument/2006/relationships/hyperlink" Target="https://www.linkedin.com/search/results/people/?keywords=RUBI+Tools+Group+S.A.+sales+OR+%22account+manager%22+OR+%22business+development%22" TargetMode="External"/><Relationship Id="rId553" Type="http://schemas.openxmlformats.org/officeDocument/2006/relationships/hyperlink" Target="https://www.linkedin.com/search/results/companies/?keywords=Bellota+Herramientas+S.L.U." TargetMode="External"/><Relationship Id="rId554" Type="http://schemas.openxmlformats.org/officeDocument/2006/relationships/hyperlink" Target="https://www.linkedin.com/search/results/people/?keywords=Bellota+Herramientas+S.L.U.+sales+OR+%22account+manager%22+OR+%22business+development%22" TargetMode="External"/><Relationship Id="rId555" Type="http://schemas.openxmlformats.org/officeDocument/2006/relationships/hyperlink" Target="https://www.linkedin.com/search/results/companies/?keywords=EGA+Master+S.L." TargetMode="External"/><Relationship Id="rId556" Type="http://schemas.openxmlformats.org/officeDocument/2006/relationships/hyperlink" Target="https://www.linkedin.com/search/results/people/?keywords=EGA+Master+S.L.+sales+OR+%22account+manager%22+OR+%22business+development%22" TargetMode="External"/><Relationship Id="rId557" Type="http://schemas.openxmlformats.org/officeDocument/2006/relationships/hyperlink" Target="https://www.linkedin.com/search/results/companies/?keywords=Grupo+Saphir+Parfums" TargetMode="External"/><Relationship Id="rId558" Type="http://schemas.openxmlformats.org/officeDocument/2006/relationships/hyperlink" Target="https://www.linkedin.com/search/results/people/?keywords=Grupo+Saphir+Parfums+sales+OR+%22account+manager%22+OR+%22business+development%22" TargetMode="External"/><Relationship Id="rId559" Type="http://schemas.openxmlformats.org/officeDocument/2006/relationships/hyperlink" Target="https://www.linkedin.com/search/results/companies/?keywords=Laboratorios+Byly+S.A." TargetMode="External"/><Relationship Id="rId560" Type="http://schemas.openxmlformats.org/officeDocument/2006/relationships/hyperlink" Target="https://www.linkedin.com/search/results/people/?keywords=Laboratorios+Byly+S.A.+sales+OR+%22account+manager%22+OR+%22business+development%22" TargetMode="External"/><Relationship Id="rId561" Type="http://schemas.openxmlformats.org/officeDocument/2006/relationships/hyperlink" Target="https://www.linkedin.com/search/results/companies/?keywords=L&#233;ku&#233;+S.L." TargetMode="External"/><Relationship Id="rId562" Type="http://schemas.openxmlformats.org/officeDocument/2006/relationships/hyperlink" Target="https://www.linkedin.com/search/results/people/?keywords=L&#233;ku&#233;+S.L.+sales+OR+%22account+manager%22+OR+%22business+development%22" TargetMode="External"/><Relationship Id="rId563" Type="http://schemas.openxmlformats.org/officeDocument/2006/relationships/hyperlink" Target="https://www.linkedin.com/search/results/companies/?keywords=Cecotec+Innovaciones+S.L." TargetMode="External"/><Relationship Id="rId564" Type="http://schemas.openxmlformats.org/officeDocument/2006/relationships/hyperlink" Target="https://www.linkedin.com/search/results/people/?keywords=Cecotec+Innovaciones+S.L.+sales+OR+%22account+manager%22+OR+%22business+development%22" TargetMode="External"/><Relationship Id="rId565" Type="http://schemas.openxmlformats.org/officeDocument/2006/relationships/hyperlink" Target="https://www.linkedin.com/search/results/companies/?keywords=IBILI+Menaje+S.A." TargetMode="External"/><Relationship Id="rId566" Type="http://schemas.openxmlformats.org/officeDocument/2006/relationships/hyperlink" Target="https://www.linkedin.com/search/results/people/?keywords=IBILI+Menaje+S.A.+sales+OR+%22account+manager%22+OR+%22business+development%22" TargetMode="External"/><Relationship Id="rId567" Type="http://schemas.openxmlformats.org/officeDocument/2006/relationships/hyperlink" Target="https://www.linkedin.com/search/results/companies/?keywords=Arquivet+SLU" TargetMode="External"/><Relationship Id="rId568" Type="http://schemas.openxmlformats.org/officeDocument/2006/relationships/hyperlink" Target="https://www.linkedin.com/search/results/people/?keywords=Arquivet+SLU+sales+OR+%22account+manager%22+OR+%22business+development%22" TargetMode="External"/><Relationship Id="rId569" Type="http://schemas.openxmlformats.org/officeDocument/2006/relationships/hyperlink" Target="https://www.linkedin.com/search/results/companies/?keywords=Gaun+S.A." TargetMode="External"/><Relationship Id="rId570" Type="http://schemas.openxmlformats.org/officeDocument/2006/relationships/hyperlink" Target="https://www.linkedin.com/search/results/people/?keywords=Gaun+S.A.+sales+OR+%22account+manager%22+OR+%22business+development%22" TargetMode="External"/><Relationship Id="rId571" Type="http://schemas.openxmlformats.org/officeDocument/2006/relationships/hyperlink" Target="https://www.linkedin.com/search/results/companies/?keywords=GOSBI+PET+FOOD+S.A." TargetMode="External"/><Relationship Id="rId572" Type="http://schemas.openxmlformats.org/officeDocument/2006/relationships/hyperlink" Target="https://www.linkedin.com/search/results/people/?keywords=GOSBI+PET+FOOD+S.A.+sales+OR+%22account+manager%22+OR+%22business+development%22" TargetMode="External"/><Relationship Id="rId573" Type="http://schemas.openxmlformats.org/officeDocument/2006/relationships/hyperlink" Target="https://www.linkedin.com/search/results/companies/?keywords=Nayeco+S.L." TargetMode="External"/><Relationship Id="rId574" Type="http://schemas.openxmlformats.org/officeDocument/2006/relationships/hyperlink" Target="https://www.linkedin.com/search/results/people/?keywords=Nayeco+S.L.+sales+OR+%22account+manager%22+OR+%22business+development%22" TargetMode="External"/><Relationship Id="rId575" Type="http://schemas.openxmlformats.org/officeDocument/2006/relationships/hyperlink" Target="https://www.linkedin.com/search/results/companies/?keywords=Jim+Sports+Group" TargetMode="External"/><Relationship Id="rId576" Type="http://schemas.openxmlformats.org/officeDocument/2006/relationships/hyperlink" Target="https://www.linkedin.com/search/results/people/?keywords=Jim+Sports+Group+sales+OR+%22account+manager%22+OR+%22business+development%22" TargetMode="External"/><Relationship Id="rId577" Type="http://schemas.openxmlformats.org/officeDocument/2006/relationships/hyperlink" Target="https://www.linkedin.com/search/results/companies/?keywords=APLI+Paper+S.A.U." TargetMode="External"/><Relationship Id="rId578" Type="http://schemas.openxmlformats.org/officeDocument/2006/relationships/hyperlink" Target="https://www.linkedin.com/search/results/people/?keywords=APLI+Paper+S.A.U.+sales+OR+%22account+manager%22+OR+%22business+development%22" TargetMode="External"/><Relationship Id="rId579" Type="http://schemas.openxmlformats.org/officeDocument/2006/relationships/hyperlink" Target="https://www.linkedin.com/search/results/companies/?keywords=Factis+S.A." TargetMode="External"/><Relationship Id="rId580" Type="http://schemas.openxmlformats.org/officeDocument/2006/relationships/hyperlink" Target="https://www.linkedin.com/search/results/people/?keywords=Factis+S.A.+sales+OR+%22account+manager%22+OR+%22business+development%22" TargetMode="External"/><Relationship Id="rId581" Type="http://schemas.openxmlformats.org/officeDocument/2006/relationships/hyperlink" Target="https://www.linkedin.com/search/results/companies/?keywords=JOVI+S.A." TargetMode="External"/><Relationship Id="rId582" Type="http://schemas.openxmlformats.org/officeDocument/2006/relationships/hyperlink" Target="https://www.linkedin.com/search/results/people/?keywords=JOVI+S.A.+sales+OR+%22account+manager%22+OR+%22business+development%22" TargetMode="External"/><Relationship Id="rId583" Type="http://schemas.openxmlformats.org/officeDocument/2006/relationships/hyperlink" Target="https://www.linkedin.com/search/results/companies/?keywords=CSP+-+Comercial+del+Sur+de+Papeler&#237;a" TargetMode="External"/><Relationship Id="rId584" Type="http://schemas.openxmlformats.org/officeDocument/2006/relationships/hyperlink" Target="https://www.linkedin.com/search/results/people/?keywords=CSP+-+Comercial+del+Sur+de+Papeler&#237;a+sales+OR+%22account+manager%22+OR+%22business+development%22" TargetMode="External"/><Relationship Id="rId585" Type="http://schemas.openxmlformats.org/officeDocument/2006/relationships/hyperlink" Target="https://www.linkedin.com/search/results/companies/?keywords=Distribuidora+Universal+S.L." TargetMode="External"/><Relationship Id="rId586" Type="http://schemas.openxmlformats.org/officeDocument/2006/relationships/hyperlink" Target="https://www.linkedin.com/search/results/people/?keywords=Distribuidora+Universal+S.L.+sales+OR+%22account+manager%22+OR+%22business+development%22" TargetMode="External"/><Relationship Id="rId587" Type="http://schemas.openxmlformats.org/officeDocument/2006/relationships/hyperlink" Target="https://www.linkedin.com/search/results/companies/?keywords=Educa+Borr&#225;s+S.A.U." TargetMode="External"/><Relationship Id="rId588" Type="http://schemas.openxmlformats.org/officeDocument/2006/relationships/hyperlink" Target="https://www.linkedin.com/search/results/people/?keywords=Educa+Borr&#225;s+S.A.U.+sales+OR+%22account+manager%22+OR+%22business+development%22" TargetMode="External"/><Relationship Id="rId589" Type="http://schemas.openxmlformats.org/officeDocument/2006/relationships/hyperlink" Target="https://www.linkedin.com/search/results/companies/?keywords=Colorbaby+S.L." TargetMode="External"/><Relationship Id="rId590" Type="http://schemas.openxmlformats.org/officeDocument/2006/relationships/hyperlink" Target="https://www.linkedin.com/search/results/people/?keywords=Colorbaby+S.L.+sales+OR+%22account+manager%22+OR+%22business+development%22" TargetMode="External"/><Relationship Id="rId591" Type="http://schemas.openxmlformats.org/officeDocument/2006/relationships/hyperlink" Target="https://www.linkedin.com/search/results/companies/?keywords=Miniland+S.A." TargetMode="External"/><Relationship Id="rId592" Type="http://schemas.openxmlformats.org/officeDocument/2006/relationships/hyperlink" Target="https://www.linkedin.com/search/results/people/?keywords=Miniland+S.A.+sales+OR+%22account+manager%22+OR+%22business+development%22" TargetMode="External"/><Relationship Id="rId593" Type="http://schemas.openxmlformats.org/officeDocument/2006/relationships/hyperlink" Target="https://www.linkedin.com/search/results/companies/?keywords=Cefa+Toys+S.A." TargetMode="External"/><Relationship Id="rId594" Type="http://schemas.openxmlformats.org/officeDocument/2006/relationships/hyperlink" Target="https://www.linkedin.com/search/results/people/?keywords=Cefa+Toys+S.A.+sales+OR+%22account+manager%22+OR+%22business+development%22" TargetMode="External"/><Relationship Id="rId595" Type="http://schemas.openxmlformats.org/officeDocument/2006/relationships/hyperlink" Target="https://www.linkedin.com/search/results/companies/?keywords=DISET+S.A." TargetMode="External"/><Relationship Id="rId596" Type="http://schemas.openxmlformats.org/officeDocument/2006/relationships/hyperlink" Target="https://www.linkedin.com/search/results/people/?keywords=DISET+S.A.+sales+OR+%22account+manager%22+OR+%22business+development%22" TargetMode="External"/><Relationship Id="rId597" Type="http://schemas.openxmlformats.org/officeDocument/2006/relationships/hyperlink" Target="https://www.linkedin.com/search/results/companies/?keywords=Famosa" TargetMode="External"/><Relationship Id="rId598" Type="http://schemas.openxmlformats.org/officeDocument/2006/relationships/hyperlink" Target="https://www.linkedin.com/search/results/people/?keywords=Famosa+sales+OR+%22account+manager%22+OR+%22business+development%22" TargetMode="External"/><Relationship Id="rId599" Type="http://schemas.openxmlformats.org/officeDocument/2006/relationships/hyperlink" Target="https://www.linkedin.com/search/results/companies/?keywords=Industrial+Juguetera+S.A." TargetMode="External"/><Relationship Id="rId600" Type="http://schemas.openxmlformats.org/officeDocument/2006/relationships/hyperlink" Target="https://www.linkedin.com/search/results/people/?keywords=Industrial+Juguetera+S.A.+sales+OR+%22account+manager%22+OR+%22business+development%22" TargetMode="External"/><Relationship Id="rId601" Type="http://schemas.openxmlformats.org/officeDocument/2006/relationships/hyperlink" Target="https://www.linkedin.com/search/results/companies/?keywords=Scandinavian+Cosmetics+AB" TargetMode="External"/><Relationship Id="rId602" Type="http://schemas.openxmlformats.org/officeDocument/2006/relationships/hyperlink" Target="https://www.linkedin.com/search/results/people/?keywords=Scandinavian+Cosmetics+AB+sales+OR+%22account+manager%22+OR+%22business+development%22" TargetMode="External"/><Relationship Id="rId603" Type="http://schemas.openxmlformats.org/officeDocument/2006/relationships/hyperlink" Target="https://www.linkedin.com/search/results/companies/?keywords=IsaDora+AB" TargetMode="External"/><Relationship Id="rId604" Type="http://schemas.openxmlformats.org/officeDocument/2006/relationships/hyperlink" Target="https://www.linkedin.com/search/results/people/?keywords=IsaDora+AB+sales+OR+%22account+manager%22+OR+%22business+development%22" TargetMode="External"/><Relationship Id="rId605" Type="http://schemas.openxmlformats.org/officeDocument/2006/relationships/hyperlink" Target="https://www.linkedin.com/search/results/companies/?keywords=TePe+Munhygienprodukter+AB" TargetMode="External"/><Relationship Id="rId606" Type="http://schemas.openxmlformats.org/officeDocument/2006/relationships/hyperlink" Target="https://www.linkedin.com/search/results/people/?keywords=TePe+Munhygienprodukter+AB+sales+OR+%22account+manager%22+OR+%22business+development%22" TargetMode="External"/><Relationship Id="rId607" Type="http://schemas.openxmlformats.org/officeDocument/2006/relationships/hyperlink" Target="https://www.linkedin.com/search/results/companies/?keywords=Cederroth+AB" TargetMode="External"/><Relationship Id="rId608" Type="http://schemas.openxmlformats.org/officeDocument/2006/relationships/hyperlink" Target="https://www.linkedin.com/search/results/people/?keywords=Cederroth+AB+sales+OR+%22account+manager%22+OR+%22business+development%22" TargetMode="External"/><Relationship Id="rId609" Type="http://schemas.openxmlformats.org/officeDocument/2006/relationships/hyperlink" Target="https://www.linkedin.com/search/results/companies/?keywords=STIGA+Sports+AB" TargetMode="External"/><Relationship Id="rId610" Type="http://schemas.openxmlformats.org/officeDocument/2006/relationships/hyperlink" Target="https://www.linkedin.com/search/results/people/?keywords=STIGA+Sports+AB+sales+OR+%22account+manager%22+OR+%22business+development%22" TargetMode="External"/><Relationship Id="rId611" Type="http://schemas.openxmlformats.org/officeDocument/2006/relationships/hyperlink" Target="https://www.linkedin.com/search/results/companies/?keywords=BRIO+AB" TargetMode="External"/><Relationship Id="rId612" Type="http://schemas.openxmlformats.org/officeDocument/2006/relationships/hyperlink" Target="https://www.linkedin.com/search/results/people/?keywords=BRIO+AB+sales+OR+%22account+manager%22+OR+%22business+development%22" TargetMode="External"/><Relationship Id="rId613" Type="http://schemas.openxmlformats.org/officeDocument/2006/relationships/hyperlink" Target="https://www.linkedin.com/search/results/companies/?keywords=Micki+Leksaker+AB" TargetMode="External"/><Relationship Id="rId614" Type="http://schemas.openxmlformats.org/officeDocument/2006/relationships/hyperlink" Target="https://www.linkedin.com/search/results/people/?keywords=Micki+Leksaker+AB+sales+OR+%22account+manager%22+OR+%22business+development%22" TargetMode="External"/><Relationship Id="rId615" Type="http://schemas.openxmlformats.org/officeDocument/2006/relationships/hyperlink" Target="https://www.linkedin.com/search/results/companies/?keywords=Carletto+AG" TargetMode="External"/><Relationship Id="rId616" Type="http://schemas.openxmlformats.org/officeDocument/2006/relationships/hyperlink" Target="https://www.linkedin.com/search/results/people/?keywords=Carletto+AG+sales+OR+%22account+manager%22+OR+%22business+development%22" TargetMode="External"/><Relationship Id="rId617" Type="http://schemas.openxmlformats.org/officeDocument/2006/relationships/hyperlink" Target="https://www.linkedin.com/search/results/companies/?keywords=Qogita" TargetMode="External"/><Relationship Id="rId618" Type="http://schemas.openxmlformats.org/officeDocument/2006/relationships/hyperlink" Target="https://www.linkedin.com/search/results/people/?keywords=Qogita+sales+OR+%22account+manager%22+OR+%22business+development%22" TargetMode="External"/><Relationship Id="rId619" Type="http://schemas.openxmlformats.org/officeDocument/2006/relationships/hyperlink" Target="https://www.linkedin.com/search/results/companies/?keywords=Babybase+Ltd" TargetMode="External"/><Relationship Id="rId620" Type="http://schemas.openxmlformats.org/officeDocument/2006/relationships/hyperlink" Target="https://www.linkedin.com/search/results/people/?keywords=Babybase+Ltd+sales+OR+%22account+manager%22+OR+%22business+development%22" TargetMode="External"/><Relationship Id="rId621" Type="http://schemas.openxmlformats.org/officeDocument/2006/relationships/hyperlink" Target="https://www.linkedin.com/search/results/companies/?keywords=Baby+Brands+Direct" TargetMode="External"/><Relationship Id="rId622" Type="http://schemas.openxmlformats.org/officeDocument/2006/relationships/hyperlink" Target="https://www.linkedin.com/search/results/people/?keywords=Baby+Brands+Direct+sales+OR+%22account+manager%22+OR+%22business+development%22" TargetMode="External"/><Relationship Id="rId623" Type="http://schemas.openxmlformats.org/officeDocument/2006/relationships/hyperlink" Target="https://www.linkedin.com/search/results/companies/?keywords=Wholesale+Baby+Products" TargetMode="External"/><Relationship Id="rId624" Type="http://schemas.openxmlformats.org/officeDocument/2006/relationships/hyperlink" Target="https://www.linkedin.com/search/results/people/?keywords=Wholesale+Baby+Products+sales+OR+%22account+manager%22+OR+%22business+development%22" TargetMode="External"/><Relationship Id="rId625" Type="http://schemas.openxmlformats.org/officeDocument/2006/relationships/hyperlink" Target="https://www.linkedin.com/search/results/companies/?keywords=Toolbank+Ltd" TargetMode="External"/><Relationship Id="rId626" Type="http://schemas.openxmlformats.org/officeDocument/2006/relationships/hyperlink" Target="https://www.linkedin.com/search/results/people/?keywords=Toolbank+Ltd+sales+OR+%22account+manager%22+OR+%22business+development%22" TargetMode="External"/><Relationship Id="rId627" Type="http://schemas.openxmlformats.org/officeDocument/2006/relationships/hyperlink" Target="https://www.linkedin.com/search/results/companies/?keywords=Draper+Tools" TargetMode="External"/><Relationship Id="rId628" Type="http://schemas.openxmlformats.org/officeDocument/2006/relationships/hyperlink" Target="https://www.linkedin.com/search/results/people/?keywords=Draper+Tools+sales+OR+%22account+manager%22+OR+%22business+development%22" TargetMode="External"/><Relationship Id="rId629" Type="http://schemas.openxmlformats.org/officeDocument/2006/relationships/hyperlink" Target="https://www.linkedin.com/search/results/companies/?keywords=Campbell+Miller+Tools" TargetMode="External"/><Relationship Id="rId630" Type="http://schemas.openxmlformats.org/officeDocument/2006/relationships/hyperlink" Target="https://www.linkedin.com/search/results/people/?keywords=Campbell+Miller+Tools+sales+OR+%22account+manager%22+OR+%22business+development%22" TargetMode="External"/><Relationship Id="rId631" Type="http://schemas.openxmlformats.org/officeDocument/2006/relationships/hyperlink" Target="https://www.linkedin.com/search/results/companies/?keywords=Toolstek" TargetMode="External"/><Relationship Id="rId632" Type="http://schemas.openxmlformats.org/officeDocument/2006/relationships/hyperlink" Target="https://www.linkedin.com/search/results/people/?keywords=Toolstek+sales+OR+%22account+manager%22+OR+%22business+development%22" TargetMode="External"/><Relationship Id="rId633" Type="http://schemas.openxmlformats.org/officeDocument/2006/relationships/hyperlink" Target="https://www.linkedin.com/search/results/companies/?keywords=Knights+Fragrances" TargetMode="External"/><Relationship Id="rId634" Type="http://schemas.openxmlformats.org/officeDocument/2006/relationships/hyperlink" Target="https://www.linkedin.com/search/results/people/?keywords=Knights+Fragrances+sales+OR+%22account+manager%22+OR+%22business+development%22" TargetMode="External"/><Relationship Id="rId635" Type="http://schemas.openxmlformats.org/officeDocument/2006/relationships/hyperlink" Target="https://www.linkedin.com/search/results/companies/?keywords=Shaneel+Group" TargetMode="External"/><Relationship Id="rId636" Type="http://schemas.openxmlformats.org/officeDocument/2006/relationships/hyperlink" Target="https://www.linkedin.com/search/results/people/?keywords=Shaneel+Group+sales+OR+%22account+manager%22+OR+%22business+development%22" TargetMode="External"/><Relationship Id="rId637" Type="http://schemas.openxmlformats.org/officeDocument/2006/relationships/hyperlink" Target="https://www.linkedin.com/search/results/companies/?keywords=Affinity+Fragrances" TargetMode="External"/><Relationship Id="rId638" Type="http://schemas.openxmlformats.org/officeDocument/2006/relationships/hyperlink" Target="https://www.linkedin.com/search/results/people/?keywords=Affinity+Fragrances+sales+OR+%22account+manager%22+OR+%22business+development%22" TargetMode="External"/><Relationship Id="rId639" Type="http://schemas.openxmlformats.org/officeDocument/2006/relationships/hyperlink" Target="https://www.linkedin.com/search/results/companies/?keywords=Agence+de+Parfumerie" TargetMode="External"/><Relationship Id="rId640" Type="http://schemas.openxmlformats.org/officeDocument/2006/relationships/hyperlink" Target="https://www.linkedin.com/search/results/people/?keywords=Agence+de+Parfumerie+sales+OR+%22account+manager%22+OR+%22business+development%22" TargetMode="External"/><Relationship Id="rId641" Type="http://schemas.openxmlformats.org/officeDocument/2006/relationships/hyperlink" Target="https://www.linkedin.com/search/results/companies/?keywords=Booker+Wholesale" TargetMode="External"/><Relationship Id="rId642" Type="http://schemas.openxmlformats.org/officeDocument/2006/relationships/hyperlink" Target="https://www.linkedin.com/search/results/people/?keywords=Booker+Wholesale+sales+OR+%22account+manager%22+OR+%22business+development%22" TargetMode="External"/><Relationship Id="rId643" Type="http://schemas.openxmlformats.org/officeDocument/2006/relationships/hyperlink" Target="https://www.linkedin.com/search/results/companies/?keywords=Costco+UK" TargetMode="External"/><Relationship Id="rId644" Type="http://schemas.openxmlformats.org/officeDocument/2006/relationships/hyperlink" Target="https://www.linkedin.com/search/results/people/?keywords=Costco+UK+sales+OR+%22account+manager%22+OR+%22business+development%22" TargetMode="External"/><Relationship Id="rId645" Type="http://schemas.openxmlformats.org/officeDocument/2006/relationships/hyperlink" Target="https://www.linkedin.com/search/results/companies/?keywords=Bestway+Wholesale" TargetMode="External"/><Relationship Id="rId646" Type="http://schemas.openxmlformats.org/officeDocument/2006/relationships/hyperlink" Target="https://www.linkedin.com/search/results/people/?keywords=Bestway+Wholesale+sales+OR+%22account+manager%22+OR+%22business+development%22" TargetMode="External"/><Relationship Id="rId647" Type="http://schemas.openxmlformats.org/officeDocument/2006/relationships/hyperlink" Target="https://www.linkedin.com/search/results/companies/?keywords=Dhamecha+Cash+%26+Carry" TargetMode="External"/><Relationship Id="rId648" Type="http://schemas.openxmlformats.org/officeDocument/2006/relationships/hyperlink" Target="https://www.linkedin.com/search/results/people/?keywords=Dhamecha+Cash+%26+Carry+sales+OR+%22account+manager%22+OR+%22business+development%22" TargetMode="External"/><Relationship Id="rId649" Type="http://schemas.openxmlformats.org/officeDocument/2006/relationships/hyperlink" Target="https://www.linkedin.com/search/results/companies/?keywords=DK+Wholesale" TargetMode="External"/><Relationship Id="rId650" Type="http://schemas.openxmlformats.org/officeDocument/2006/relationships/hyperlink" Target="https://www.linkedin.com/search/results/people/?keywords=DK+Wholesale+sales+OR+%22account+manager%22+OR+%22business+development%22" TargetMode="External"/><Relationship Id="rId651" Type="http://schemas.openxmlformats.org/officeDocument/2006/relationships/hyperlink" Target="https://www.linkedin.com/search/results/companies/?keywords=Hancocks" TargetMode="External"/><Relationship Id="rId652" Type="http://schemas.openxmlformats.org/officeDocument/2006/relationships/hyperlink" Target="https://www.linkedin.com/search/results/people/?keywords=Hancocks+sales+OR+%22account+manager%22+OR+%22business+development%22" TargetMode="External"/><Relationship Id="rId653" Type="http://schemas.openxmlformats.org/officeDocument/2006/relationships/hyperlink" Target="https://www.linkedin.com/search/results/companies/?keywords=Parfetts" TargetMode="External"/><Relationship Id="rId654" Type="http://schemas.openxmlformats.org/officeDocument/2006/relationships/hyperlink" Target="https://www.linkedin.com/search/results/people/?keywords=Parfetts+sales+OR+%22account+manager%22+OR+%22business+development%22" TargetMode="External"/><Relationship Id="rId655" Type="http://schemas.openxmlformats.org/officeDocument/2006/relationships/hyperlink" Target="https://www.linkedin.com/search/results/companies/?keywords=Harrisons+Direct" TargetMode="External"/><Relationship Id="rId656" Type="http://schemas.openxmlformats.org/officeDocument/2006/relationships/hyperlink" Target="https://www.linkedin.com/search/results/people/?keywords=Harrisons+Direct+sales+OR+%22account+manager%22+OR+%22business+development%22" TargetMode="External"/><Relationship Id="rId657" Type="http://schemas.openxmlformats.org/officeDocument/2006/relationships/hyperlink" Target="https://www.linkedin.com/search/results/companies/?keywords=PB+Wholesale" TargetMode="External"/><Relationship Id="rId658" Type="http://schemas.openxmlformats.org/officeDocument/2006/relationships/hyperlink" Target="https://www.linkedin.com/search/results/people/?keywords=PB+Wholesale+sales+OR+%22account+manager%22+OR+%22business+development%22" TargetMode="External"/><Relationship Id="rId659" Type="http://schemas.openxmlformats.org/officeDocument/2006/relationships/hyperlink" Target="https://www.linkedin.com/search/results/companies/?keywords=CLF+Distribution" TargetMode="External"/><Relationship Id="rId660" Type="http://schemas.openxmlformats.org/officeDocument/2006/relationships/hyperlink" Target="https://www.linkedin.com/search/results/people/?keywords=CLF+Distribution+sales+OR+%22account+manager%22+OR+%22business+development%22" TargetMode="External"/><Relationship Id="rId661" Type="http://schemas.openxmlformats.org/officeDocument/2006/relationships/hyperlink" Target="https://www.linkedin.com/search/results/companies/?keywords=Lexon" TargetMode="External"/><Relationship Id="rId662" Type="http://schemas.openxmlformats.org/officeDocument/2006/relationships/hyperlink" Target="https://www.linkedin.com/search/results/people/?keywords=Lexon+sales+OR+%22account+manager%22+OR+%22business+development%22" TargetMode="External"/><Relationship Id="rId663" Type="http://schemas.openxmlformats.org/officeDocument/2006/relationships/hyperlink" Target="https://www.linkedin.com/search/results/companies/?keywords=Reliance+Medical+Ltd" TargetMode="External"/><Relationship Id="rId664" Type="http://schemas.openxmlformats.org/officeDocument/2006/relationships/hyperlink" Target="https://www.linkedin.com/search/results/people/?keywords=Reliance+Medical+Ltd+sales+OR+%22account+manager%22+OR+%22business+development%22" TargetMode="External"/><Relationship Id="rId665" Type="http://schemas.openxmlformats.org/officeDocument/2006/relationships/hyperlink" Target="https://www.linkedin.com/search/results/companies/?keywords=Predator+Nutrition" TargetMode="External"/><Relationship Id="rId666" Type="http://schemas.openxmlformats.org/officeDocument/2006/relationships/hyperlink" Target="https://www.linkedin.com/search/results/people/?keywords=Predator+Nutrition+sales+OR+%22account+manager%22+OR+%22business+development%22" TargetMode="External"/><Relationship Id="rId667" Type="http://schemas.openxmlformats.org/officeDocument/2006/relationships/hyperlink" Target="https://www.linkedin.com/search/results/companies/?keywords=RKW+Ltd" TargetMode="External"/><Relationship Id="rId668" Type="http://schemas.openxmlformats.org/officeDocument/2006/relationships/hyperlink" Target="https://www.linkedin.com/search/results/people/?keywords=RKW+Ltd+sales+OR+%22account+manager%22+OR+%22business+development%22" TargetMode="External"/><Relationship Id="rId669" Type="http://schemas.openxmlformats.org/officeDocument/2006/relationships/hyperlink" Target="https://www.linkedin.com/search/results/companies/?keywords=EPE+International+Ltd" TargetMode="External"/><Relationship Id="rId670" Type="http://schemas.openxmlformats.org/officeDocument/2006/relationships/hyperlink" Target="https://www.linkedin.com/search/results/people/?keywords=EPE+International+Ltd+sales+OR+%22account+manager%22+OR+%22business+development%22" TargetMode="External"/><Relationship Id="rId671" Type="http://schemas.openxmlformats.org/officeDocument/2006/relationships/hyperlink" Target="https://www.linkedin.com/search/results/companies/?keywords=Bluestem+Group" TargetMode="External"/><Relationship Id="rId672" Type="http://schemas.openxmlformats.org/officeDocument/2006/relationships/hyperlink" Target="https://www.linkedin.com/search/results/people/?keywords=Bluestem+Group+sales+OR+%22account+manager%22+OR+%22business+development%22" TargetMode="External"/><Relationship Id="rId673" Type="http://schemas.openxmlformats.org/officeDocument/2006/relationships/hyperlink" Target="https://www.linkedin.com/search/results/companies/?keywords=Burton+McCall" TargetMode="External"/><Relationship Id="rId674" Type="http://schemas.openxmlformats.org/officeDocument/2006/relationships/hyperlink" Target="https://www.linkedin.com/search/results/people/?keywords=Burton+McCall+sales+OR+%22account+manager%22+OR+%22business+development%22" TargetMode="External"/><Relationship Id="rId675" Type="http://schemas.openxmlformats.org/officeDocument/2006/relationships/hyperlink" Target="https://www.linkedin.com/search/results/companies/?keywords=HAUS+Marketing+%26+Distribution" TargetMode="External"/><Relationship Id="rId676" Type="http://schemas.openxmlformats.org/officeDocument/2006/relationships/hyperlink" Target="https://www.linkedin.com/search/results/people/?keywords=HAUS+Marketing+%26+Distribution+sales+OR+%22account+manager%22+OR+%22business+development%22" TargetMode="External"/><Relationship Id="rId677" Type="http://schemas.openxmlformats.org/officeDocument/2006/relationships/hyperlink" Target="https://www.linkedin.com/search/results/companies/?keywords=SQ+Professional+Ltd" TargetMode="External"/><Relationship Id="rId678" Type="http://schemas.openxmlformats.org/officeDocument/2006/relationships/hyperlink" Target="https://www.linkedin.com/search/results/people/?keywords=SQ+Professional+Ltd+sales+OR+%22account+manager%22+OR+%22business+development%22" TargetMode="External"/><Relationship Id="rId679" Type="http://schemas.openxmlformats.org/officeDocument/2006/relationships/hyperlink" Target="https://www.linkedin.com/search/results/companies/?keywords=Pedigree+Wholesale" TargetMode="External"/><Relationship Id="rId680" Type="http://schemas.openxmlformats.org/officeDocument/2006/relationships/hyperlink" Target="https://www.linkedin.com/search/results/people/?keywords=Pedigree+Wholesale+sales+OR+%22account+manager%22+OR+%22business+development%22" TargetMode="External"/><Relationship Id="rId681" Type="http://schemas.openxmlformats.org/officeDocument/2006/relationships/hyperlink" Target="https://www.linkedin.com/search/results/companies/?keywords=Paws+Products+Wholesale" TargetMode="External"/><Relationship Id="rId682" Type="http://schemas.openxmlformats.org/officeDocument/2006/relationships/hyperlink" Target="https://www.linkedin.com/search/results/people/?keywords=Paws+Products+Wholesale+sales+OR+%22account+manager%22+OR+%22business+development%22" TargetMode="External"/><Relationship Id="rId683" Type="http://schemas.openxmlformats.org/officeDocument/2006/relationships/hyperlink" Target="https://www.linkedin.com/search/results/companies/?keywords=PMS+International" TargetMode="External"/><Relationship Id="rId684" Type="http://schemas.openxmlformats.org/officeDocument/2006/relationships/hyperlink" Target="https://www.linkedin.com/search/results/people/?keywords=PMS+International+sales+OR+%22account+manager%22+OR+%22business+development%22" TargetMode="External"/><Relationship Id="rId685" Type="http://schemas.openxmlformats.org/officeDocument/2006/relationships/hyperlink" Target="https://www.linkedin.com/search/results/companies/?keywords=Gymkit+UK" TargetMode="External"/><Relationship Id="rId686" Type="http://schemas.openxmlformats.org/officeDocument/2006/relationships/hyperlink" Target="https://www.linkedin.com/search/results/people/?keywords=Gymkit+UK+sales+OR+%22account+manager%22+OR+%22business+development%22" TargetMode="External"/><Relationship Id="rId687" Type="http://schemas.openxmlformats.org/officeDocument/2006/relationships/hyperlink" Target="https://www.linkedin.com/search/results/companies/?keywords=Vango" TargetMode="External"/><Relationship Id="rId688" Type="http://schemas.openxmlformats.org/officeDocument/2006/relationships/hyperlink" Target="https://www.linkedin.com/search/results/people/?keywords=Vango+sales+OR+%22account+manager%22+OR+%22business+development%22" TargetMode="External"/><Relationship Id="rId689" Type="http://schemas.openxmlformats.org/officeDocument/2006/relationships/hyperlink" Target="https://www.linkedin.com/search/results/companies/?keywords=Hykeham+Wholesale+Ltd" TargetMode="External"/><Relationship Id="rId690" Type="http://schemas.openxmlformats.org/officeDocument/2006/relationships/hyperlink" Target="https://www.linkedin.com/search/results/people/?keywords=Hykeham+Wholesale+Ltd+sales+OR+%22account+manager%22+OR+%22business+development%22" TargetMode="External"/><Relationship Id="rId691" Type="http://schemas.openxmlformats.org/officeDocument/2006/relationships/hyperlink" Target="https://www.linkedin.com/search/results/companies/?keywords=Galaxy+Wholesalers+Ltd" TargetMode="External"/><Relationship Id="rId692" Type="http://schemas.openxmlformats.org/officeDocument/2006/relationships/hyperlink" Target="https://www.linkedin.com/search/results/people/?keywords=Galaxy+Wholesalers+Ltd+sales+OR+%22account+manager%22+OR+%22business+development%22" TargetMode="External"/><Relationship Id="rId693" Type="http://schemas.openxmlformats.org/officeDocument/2006/relationships/hyperlink" Target="https://www.linkedin.com/search/results/companies/?keywords=VOW+Wholesale" TargetMode="External"/><Relationship Id="rId694" Type="http://schemas.openxmlformats.org/officeDocument/2006/relationships/hyperlink" Target="https://www.linkedin.com/search/results/people/?keywords=VOW+Wholesale+sales+OR+%22account+manager%22+OR+%22business+development%22" TargetMode="External"/><Relationship Id="rId695" Type="http://schemas.openxmlformats.org/officeDocument/2006/relationships/hyperlink" Target="https://www.linkedin.com/search/results/companies/?keywords=The+Impact+Distribution+Group" TargetMode="External"/><Relationship Id="rId696" Type="http://schemas.openxmlformats.org/officeDocument/2006/relationships/hyperlink" Target="https://www.linkedin.com/search/results/people/?keywords=The+Impact+Distribution+Group+sales+OR+%22account+manager%22+OR+%22business+development%22" TargetMode="External"/><Relationship Id="rId697" Type="http://schemas.openxmlformats.org/officeDocument/2006/relationships/hyperlink" Target="https://www.linkedin.com/search/results/companies/?keywords=West+Design+Products" TargetMode="External"/><Relationship Id="rId698" Type="http://schemas.openxmlformats.org/officeDocument/2006/relationships/hyperlink" Target="https://www.linkedin.com/search/results/people/?keywords=West+Design+Products+sales+OR+%22account+manager%22+OR+%22business+development%22" TargetMode="External"/><Relationship Id="rId699" Type="http://schemas.openxmlformats.org/officeDocument/2006/relationships/hyperlink" Target="https://www.linkedin.com/search/results/companies/?keywords=A.B.+Gee+of+Ripley+Ltd" TargetMode="External"/><Relationship Id="rId700" Type="http://schemas.openxmlformats.org/officeDocument/2006/relationships/hyperlink" Target="https://www.linkedin.com/search/results/people/?keywords=A.B.+Gee+of+Ripley+Ltd+sales+OR+%22account+manager%22+OR+%22business+development%22" TargetMode="External"/><Relationship Id="rId701" Type="http://schemas.openxmlformats.org/officeDocument/2006/relationships/hyperlink" Target="https://www.linkedin.com/search/results/companies/?keywords=NDA+Toys" TargetMode="External"/><Relationship Id="rId702" Type="http://schemas.openxmlformats.org/officeDocument/2006/relationships/hyperlink" Target="https://www.linkedin.com/search/results/people/?keywords=NDA+Toys+sales+OR+%22account+manager%22+OR+%22business+development%22" TargetMode="External"/><Relationship Id="rId703" Type="http://schemas.openxmlformats.org/officeDocument/2006/relationships/hyperlink" Target="https://www.linkedin.com/search/results/companies/?keywords=Wind+Designs+Ltd" TargetMode="External"/><Relationship Id="rId704" Type="http://schemas.openxmlformats.org/officeDocument/2006/relationships/hyperlink" Target="https://www.linkedin.com/search/results/people/?keywords=Wind+Designs+Ltd+sales+OR+%22account+manager%22+OR+%22business+development%22" TargetMode="External"/><Relationship Id="rId705" Type="http://schemas.openxmlformats.org/officeDocument/2006/relationships/hyperlink" Target="https://www.linkedin.com/search/results/companies/?keywords=John+Adams+Leisure+Ltd" TargetMode="External"/><Relationship Id="rId706" Type="http://schemas.openxmlformats.org/officeDocument/2006/relationships/hyperlink" Target="https://www.linkedin.com/search/results/people/?keywords=John+Adams+Leisure+Ltd+sales+OR+%22account+manager%22+OR+%22business+development%22" TargetMode="External"/><Relationship Id="rId707" Type="http://schemas.openxmlformats.org/officeDocument/2006/relationships/hyperlink" Target="https://www.linkedin.com/search/results/companies/?keywords=One+For+Fun" TargetMode="External"/><Relationship Id="rId708" Type="http://schemas.openxmlformats.org/officeDocument/2006/relationships/hyperlink" Target="https://www.linkedin.com/search/results/people/?keywords=One+For+Fun+sales+OR+%22account+manager%22+OR+%22business+development%22" TargetMode="External"/><Relationship Id="rId709" Type="http://schemas.openxmlformats.org/officeDocument/2006/relationships/hyperlink" Target="https://www.linkedin.com/search/results/companies/?keywords=Peterkin+UK+Ltd" TargetMode="External"/><Relationship Id="rId710" Type="http://schemas.openxmlformats.org/officeDocument/2006/relationships/hyperlink" Target="https://www.linkedin.com/search/results/people/?keywords=Peterkin+UK+Ltd+sales+OR+%22account+manager%22+OR+%22business+development%22" TargetMode="External"/><Relationship Id="rId711" Type="http://schemas.openxmlformats.org/officeDocument/2006/relationships/hyperlink" Target="https://www.linkedin.com/search/results/companies/?keywords=Character+Options+Ltd" TargetMode="External"/><Relationship Id="rId712" Type="http://schemas.openxmlformats.org/officeDocument/2006/relationships/hyperlink" Target="https://www.linkedin.com/search/results/people/?keywords=Character+Options+Ltd+sales+OR+%22account+manager%22+OR+%22business+development%22" TargetMode="External"/><Relationship Id="rId713" Type="http://schemas.openxmlformats.org/officeDocument/2006/relationships/hyperlink" Target="https://www.linkedin.com/search/results/companies/?keywords=Keycraft" TargetMode="External"/><Relationship Id="rId714" Type="http://schemas.openxmlformats.org/officeDocument/2006/relationships/hyperlink" Target="https://www.linkedin.com/search/results/people/?keywords=Keycraft+sales+OR+%22account+manager%22+OR+%22business+development%22" TargetMode="External"/><Relationship Id="rId715" Type="http://schemas.openxmlformats.org/officeDocument/2006/relationships/hyperlink" Target="https://www.linkedin.com/search/results/companies/?keywords=Puckator+Ltd" TargetMode="External"/><Relationship Id="rId716" Type="http://schemas.openxmlformats.org/officeDocument/2006/relationships/hyperlink" Target="https://www.linkedin.com/search/results/people/?keywords=Puckator+Ltd+sales+OR+%22account+manager%22+OR+%22business+development%22" TargetMode="External"/><Relationship Id="rId717"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Crowsons_Wholesale_Suppliers.xlsx" TargetMode="External"/><Relationship Id="rId2" Type="http://schemas.openxmlformats.org/officeDocument/2006/relationships/hyperlink" Target="Crowsons_Wholesale_Suppliers.xlsx" TargetMode="External"/><Relationship Id="rId3" Type="http://schemas.openxmlformats.org/officeDocument/2006/relationships/hyperlink" Target="Crowsons_Wholesale_Suppliers.xlsx" TargetMode="External"/><Relationship Id="rId4" Type="http://schemas.openxmlformats.org/officeDocument/2006/relationships/hyperlink" Target="Crowsons_Wholesale_Suppliers.xlsx" TargetMode="External"/><Relationship Id="rId5" Type="http://schemas.openxmlformats.org/officeDocument/2006/relationships/hyperlink" Target="Crowsons_Wholesale_Suppliers.xlsx" TargetMode="External"/><Relationship Id="rId6" Type="http://schemas.openxmlformats.org/officeDocument/2006/relationships/hyperlink" Target="Crowsons_Wholesale_Suppliers.xlsx" TargetMode="External"/><Relationship Id="rId7" Type="http://schemas.openxmlformats.org/officeDocument/2006/relationships/hyperlink" Target="Crowsons_Wholesale_Suppliers.xlsx" TargetMode="External"/><Relationship Id="rId8" Type="http://schemas.openxmlformats.org/officeDocument/2006/relationships/hyperlink" Target="Crowsons_Wholesale_Suppliers.xlsx" TargetMode="External"/><Relationship Id="rId9" Type="http://schemas.openxmlformats.org/officeDocument/2006/relationships/hyperlink" Target="Crowsons_Wholesale_Suppliers.xlsx" TargetMode="External"/><Relationship Id="rId10" Type="http://schemas.openxmlformats.org/officeDocument/2006/relationships/hyperlink" Target="Crowsons_Wholesale_Suppliers.xlsx" TargetMode="External"/><Relationship Id="rId11" Type="http://schemas.openxmlformats.org/officeDocument/2006/relationships/hyperlink" Target="Crowsons_Wholesale_Suppliers.xlsx" TargetMode="External"/><Relationship Id="rId12" Type="http://schemas.openxmlformats.org/officeDocument/2006/relationships/hyperlink" Target="Crowsons_Wholesale_Suppliers.xlsx" TargetMode="External"/><Relationship Id="rId13" Type="http://schemas.openxmlformats.org/officeDocument/2006/relationships/hyperlink" Target="Crowsons_Wholesale_Suppliers.xlsx" TargetMode="External"/><Relationship Id="rId14" Type="http://schemas.openxmlformats.org/officeDocument/2006/relationships/hyperlink" Target="Crowsons_Wholesale_Suppliers.xlsx" TargetMode="External"/><Relationship Id="rId15" Type="http://schemas.openxmlformats.org/officeDocument/2006/relationships/hyperlink" Target="Crowsons_Wholesale_Suppliers.xlsx" TargetMode="External"/><Relationship Id="rId16" Type="http://schemas.openxmlformats.org/officeDocument/2006/relationships/hyperlink" Target="Crowsons_Wholesale_Suppliers.xlsx" TargetMode="External"/><Relationship Id="rId17" Type="http://schemas.openxmlformats.org/officeDocument/2006/relationships/hyperlink" Target="Crowsons_Wholesale_Suppliers.xlsx" TargetMode="External"/><Relationship Id="rId18" Type="http://schemas.openxmlformats.org/officeDocument/2006/relationships/hyperlink" Target="Crowsons_Wholesale_Suppliers.xlsx" TargetMode="External"/><Relationship Id="rId19" Type="http://schemas.openxmlformats.org/officeDocument/2006/relationships/hyperlink" Target="Crowsons_Wholesale_Suppliers.xlsx" TargetMode="External"/><Relationship Id="rId20" Type="http://schemas.openxmlformats.org/officeDocument/2006/relationships/hyperlink" Target="Crowsons_Wholesale_Suppliers.xlsx" TargetMode="External"/><Relationship Id="rId21" Type="http://schemas.openxmlformats.org/officeDocument/2006/relationships/hyperlink" Target="Crowsons_Wholesale_Suppliers.xlsx" TargetMode="External"/><Relationship Id="rId22" Type="http://schemas.openxmlformats.org/officeDocument/2006/relationships/hyperlink" Target="Crowsons_Wholesale_Suppliers.xlsx" TargetMode="External"/><Relationship Id="rId23" Type="http://schemas.openxmlformats.org/officeDocument/2006/relationships/hyperlink" Target="Crowsons_Wholesale_Suppliers.xlsx" TargetMode="External"/><Relationship Id="rId24" Type="http://schemas.openxmlformats.org/officeDocument/2006/relationships/hyperlink" Target="Crowsons_Wholesale_Suppliers.xlsx" TargetMode="External"/><Relationship Id="rId25" Type="http://schemas.openxmlformats.org/officeDocument/2006/relationships/hyperlink" Target="Crowsons_Wholesale_Suppliers.xlsx" TargetMode="External"/>
</Relationships>
</file>

<file path=xl/worksheets/_rels/sheet8.xml.rels><?xml version="1.0" encoding="UTF-8"?>
<Relationships xmlns="http://schemas.openxmlformats.org/package/2006/relationships"><Relationship Id="rId1" Type="http://schemas.openxmlformats.org/officeDocument/2006/relationships/hyperlink" Target="Crowsons_Wholesale_Suppliers.xlsx" TargetMode="External"/><Relationship Id="rId2" Type="http://schemas.openxmlformats.org/officeDocument/2006/relationships/hyperlink" Target="Crowsons_Wholesale_Suppliers.xlsx" TargetMode="External"/><Relationship Id="rId3" Type="http://schemas.openxmlformats.org/officeDocument/2006/relationships/hyperlink" Target="Crowsons_Wholesale_Suppliers.xlsx" TargetMode="External"/><Relationship Id="rId4" Type="http://schemas.openxmlformats.org/officeDocument/2006/relationships/hyperlink" Target="Crowsons_Wholesale_Suppliers.xlsx" TargetMode="External"/><Relationship Id="rId5" Type="http://schemas.openxmlformats.org/officeDocument/2006/relationships/hyperlink" Target="Crowsons_Wholesale_Suppliers.xlsx" TargetMode="External"/><Relationship Id="rId6" Type="http://schemas.openxmlformats.org/officeDocument/2006/relationships/hyperlink" Target="Crowsons_Wholesale_Suppliers.xlsx" TargetMode="External"/><Relationship Id="rId7" Type="http://schemas.openxmlformats.org/officeDocument/2006/relationships/hyperlink" Target="Crowsons_Wholesale_Suppliers.xlsx" TargetMode="External"/><Relationship Id="rId8" Type="http://schemas.openxmlformats.org/officeDocument/2006/relationships/hyperlink" Target="Crowsons_Wholesale_Suppliers.xlsx" TargetMode="External"/><Relationship Id="rId9" Type="http://schemas.openxmlformats.org/officeDocument/2006/relationships/hyperlink" Target="Crowsons_Wholesale_Suppliers.xlsx" TargetMode="External"/><Relationship Id="rId10" Type="http://schemas.openxmlformats.org/officeDocument/2006/relationships/hyperlink" Target="Crowsons_Wholesale_Suppliers.xlsx" TargetMode="External"/><Relationship Id="rId11" Type="http://schemas.openxmlformats.org/officeDocument/2006/relationships/hyperlink" Target="Crowsons_Wholesale_Suppliers.xlsx" TargetMode="External"/><Relationship Id="rId12" Type="http://schemas.openxmlformats.org/officeDocument/2006/relationships/hyperlink" Target="Crowsons_Wholesale_Suppliers.xlsx" TargetMode="External"/><Relationship Id="rId13" Type="http://schemas.openxmlformats.org/officeDocument/2006/relationships/hyperlink" Target="Crowsons_Wholesale_Suppliers.xlsx" TargetMode="External"/><Relationship Id="rId14" Type="http://schemas.openxmlformats.org/officeDocument/2006/relationships/hyperlink" Target="Crowsons_Wholesale_Suppliers.xlsx" TargetMode="External"/><Relationship Id="rId15" Type="http://schemas.openxmlformats.org/officeDocument/2006/relationships/hyperlink" Target="Crowsons_Wholesale_Suppliers.xlsx" TargetMode="External"/><Relationship Id="rId16" Type="http://schemas.openxmlformats.org/officeDocument/2006/relationships/hyperlink" Target="Crowsons_Wholesale_Suppliers.xlsx" TargetMode="External"/><Relationship Id="rId17" Type="http://schemas.openxmlformats.org/officeDocument/2006/relationships/hyperlink" Target="Crowsons_Wholesale_Suppliers.xlsx" TargetMode="External"/><Relationship Id="rId18" Type="http://schemas.openxmlformats.org/officeDocument/2006/relationships/hyperlink" Target="Crowsons_Wholesale_Suppliers.xlsx" TargetMode="External"/><Relationship Id="rId19" Type="http://schemas.openxmlformats.org/officeDocument/2006/relationships/hyperlink" Target="Crowsons_Wholesale_Suppliers.xlsx" TargetMode="External"/><Relationship Id="rId20" Type="http://schemas.openxmlformats.org/officeDocument/2006/relationships/hyperlink" Target="Crowsons_Wholesale_Suppliers.xlsx" TargetMode="External"/><Relationship Id="rId21" Type="http://schemas.openxmlformats.org/officeDocument/2006/relationships/hyperlink" Target="Crowsons_Wholesale_Suppliers.xlsx" TargetMode="External"/><Relationship Id="rId22" Type="http://schemas.openxmlformats.org/officeDocument/2006/relationships/hyperlink" Target="Crowsons_Wholesale_Suppliers.xlsx" TargetMode="External"/><Relationship Id="rId23" Type="http://schemas.openxmlformats.org/officeDocument/2006/relationships/hyperlink" Target="Crowsons_Wholesale_Suppliers.xlsx" TargetMode="External"/><Relationship Id="rId24" Type="http://schemas.openxmlformats.org/officeDocument/2006/relationships/hyperlink" Target="Crowsons_Wholesale_Suppliers.xlsx" TargetMode="External"/><Relationship Id="rId25" Type="http://schemas.openxmlformats.org/officeDocument/2006/relationships/hyperlink" Target="Crowsons_Wholesale_Suppliers.xlsx" TargetMode="External"/><Relationship Id="rId26" Type="http://schemas.openxmlformats.org/officeDocument/2006/relationships/hyperlink" Target="Crowsons_Wholesale_Suppliers.xlsx" TargetMode="External"/><Relationship Id="rId27" Type="http://schemas.openxmlformats.org/officeDocument/2006/relationships/hyperlink" Target="Crowsons_Wholesale_Suppliers.xlsx" TargetMode="External"/><Relationship Id="rId28" Type="http://schemas.openxmlformats.org/officeDocument/2006/relationships/hyperlink" Target="Crowsons_Wholesale_Suppliers.xlsx" TargetMode="External"/><Relationship Id="rId29" Type="http://schemas.openxmlformats.org/officeDocument/2006/relationships/hyperlink" Target="Crowsons_Wholesale_Suppliers.xlsx" TargetMode="External"/><Relationship Id="rId30" Type="http://schemas.openxmlformats.org/officeDocument/2006/relationships/hyperlink" Target="Crowsons_Wholesale_Suppliers.xlsx" TargetMode="External"/><Relationship Id="rId31" Type="http://schemas.openxmlformats.org/officeDocument/2006/relationships/hyperlink" Target="Crowsons_Wholesale_Suppliers.xlsx" TargetMode="External"/><Relationship Id="rId32" Type="http://schemas.openxmlformats.org/officeDocument/2006/relationships/hyperlink" Target="Crowsons_Wholesale_Suppliers.xlsx" TargetMode="External"/><Relationship Id="rId33" Type="http://schemas.openxmlformats.org/officeDocument/2006/relationships/hyperlink" Target="Crowsons_Wholesale_Suppliers.xlsx" TargetMode="External"/><Relationship Id="rId34" Type="http://schemas.openxmlformats.org/officeDocument/2006/relationships/hyperlink" Target="Crowsons_Wholesale_Suppliers.xlsx" TargetMode="External"/><Relationship Id="rId35" Type="http://schemas.openxmlformats.org/officeDocument/2006/relationships/hyperlink" Target="Crowsons_Wholesale_Suppliers.xlsx" TargetMode="External"/><Relationship Id="rId36" Type="http://schemas.openxmlformats.org/officeDocument/2006/relationships/hyperlink" Target="Crowsons_Wholesale_Suppliers.xlsx" TargetMode="External"/><Relationship Id="rId37" Type="http://schemas.openxmlformats.org/officeDocument/2006/relationships/hyperlink" Target="Crowsons_Wholesale_Suppliers.xlsx" TargetMode="External"/><Relationship Id="rId38" Type="http://schemas.openxmlformats.org/officeDocument/2006/relationships/hyperlink" Target="Crowsons_Wholesale_Suppliers.xlsx" TargetMode="External"/><Relationship Id="rId39" Type="http://schemas.openxmlformats.org/officeDocument/2006/relationships/hyperlink" Target="Crowsons_Wholesale_Suppliers.xlsx" TargetMode="External"/><Relationship Id="rId40" Type="http://schemas.openxmlformats.org/officeDocument/2006/relationships/hyperlink" Target="Crowsons_Wholesale_Suppliers.xlsx" TargetMode="External"/><Relationship Id="rId41" Type="http://schemas.openxmlformats.org/officeDocument/2006/relationships/hyperlink" Target="Crowsons_Wholesale_Suppliers.xlsx" TargetMode="External"/><Relationship Id="rId42" Type="http://schemas.openxmlformats.org/officeDocument/2006/relationships/hyperlink" Target="Crowsons_Wholesale_Suppliers.xlsx" TargetMode="External"/><Relationship Id="rId43" Type="http://schemas.openxmlformats.org/officeDocument/2006/relationships/hyperlink" Target="Crowsons_Wholesale_Suppliers.xlsx" TargetMode="External"/><Relationship Id="rId44" Type="http://schemas.openxmlformats.org/officeDocument/2006/relationships/hyperlink" Target="Crowsons_Wholesale_Suppliers.xlsx" TargetMode="External"/><Relationship Id="rId45" Type="http://schemas.openxmlformats.org/officeDocument/2006/relationships/hyperlink" Target="Crowsons_Wholesale_Suppliers.xlsx" TargetMode="External"/><Relationship Id="rId46" Type="http://schemas.openxmlformats.org/officeDocument/2006/relationships/hyperlink" Target="Crowsons_Wholesale_Suppliers.xlsx" TargetMode="External"/><Relationship Id="rId47" Type="http://schemas.openxmlformats.org/officeDocument/2006/relationships/hyperlink" Target="Crowsons_Wholesale_Suppliers.xlsx" TargetMode="External"/><Relationship Id="rId48" Type="http://schemas.openxmlformats.org/officeDocument/2006/relationships/hyperlink" Target="Crowsons_Wholesale_Suppliers.xlsx" TargetMode="External"/><Relationship Id="rId49" Type="http://schemas.openxmlformats.org/officeDocument/2006/relationships/hyperlink" Target="Crowsons_Wholesale_Suppliers.xlsx" TargetMode="External"/><Relationship Id="rId50" Type="http://schemas.openxmlformats.org/officeDocument/2006/relationships/hyperlink" Target="Crowsons_Wholesale_Suppliers.xlsx" TargetMode="External"/><Relationship Id="rId51" Type="http://schemas.openxmlformats.org/officeDocument/2006/relationships/hyperlink" Target="Crowsons_Wholesale_Suppliers.xlsx" TargetMode="External"/><Relationship Id="rId52" Type="http://schemas.openxmlformats.org/officeDocument/2006/relationships/hyperlink" Target="Crowsons_Wholesale_Suppliers.xlsx" TargetMode="External"/><Relationship Id="rId53" Type="http://schemas.openxmlformats.org/officeDocument/2006/relationships/hyperlink" Target="Crowsons_Wholesale_Suppliers.xlsx" TargetMode="External"/><Relationship Id="rId54" Type="http://schemas.openxmlformats.org/officeDocument/2006/relationships/hyperlink" Target="Crowsons_Wholesale_Suppliers.xlsx" TargetMode="External"/><Relationship Id="rId55" Type="http://schemas.openxmlformats.org/officeDocument/2006/relationships/hyperlink" Target="Crowsons_Wholesale_Suppliers.xlsx" TargetMode="External"/><Relationship Id="rId56" Type="http://schemas.openxmlformats.org/officeDocument/2006/relationships/hyperlink" Target="Crowsons_Wholesale_Suppliers.xlsx" TargetMode="External"/><Relationship Id="rId57" Type="http://schemas.openxmlformats.org/officeDocument/2006/relationships/hyperlink" Target="Crowsons_Wholesale_Suppliers.xlsx" TargetMode="External"/><Relationship Id="rId58" Type="http://schemas.openxmlformats.org/officeDocument/2006/relationships/hyperlink" Target="Crowsons_Wholesale_Suppliers.xlsx" TargetMode="External"/><Relationship Id="rId59" Type="http://schemas.openxmlformats.org/officeDocument/2006/relationships/hyperlink" Target="Crowsons_Wholesale_Suppliers.xlsx" TargetMode="External"/><Relationship Id="rId60" Type="http://schemas.openxmlformats.org/officeDocument/2006/relationships/hyperlink" Target="Crowsons_Wholesale_Suppliers.xlsx" TargetMode="External"/><Relationship Id="rId61" Type="http://schemas.openxmlformats.org/officeDocument/2006/relationships/hyperlink" Target="Crowsons_Wholesale_Suppliers.xlsx" TargetMode="External"/><Relationship Id="rId62" Type="http://schemas.openxmlformats.org/officeDocument/2006/relationships/hyperlink" Target="Crowsons_Wholesale_Suppliers.xlsx" TargetMode="External"/><Relationship Id="rId63" Type="http://schemas.openxmlformats.org/officeDocument/2006/relationships/hyperlink" Target="Crowsons_Wholesale_Suppliers.xlsx" TargetMode="External"/><Relationship Id="rId64" Type="http://schemas.openxmlformats.org/officeDocument/2006/relationships/hyperlink" Target="Crowsons_Wholesale_Suppliers.xlsx" TargetMode="External"/><Relationship Id="rId65" Type="http://schemas.openxmlformats.org/officeDocument/2006/relationships/hyperlink" Target="Crowsons_Wholesale_Suppliers.xlsx" TargetMode="External"/><Relationship Id="rId66" Type="http://schemas.openxmlformats.org/officeDocument/2006/relationships/hyperlink" Target="Crowsons_Wholesale_Suppliers.xlsx" TargetMode="External"/><Relationship Id="rId67" Type="http://schemas.openxmlformats.org/officeDocument/2006/relationships/hyperlink" Target="Crowsons_Wholesale_Suppliers.xlsx" TargetMode="External"/><Relationship Id="rId68" Type="http://schemas.openxmlformats.org/officeDocument/2006/relationships/hyperlink" Target="Crowsons_Wholesale_Suppliers.xlsx" TargetMode="External"/><Relationship Id="rId69" Type="http://schemas.openxmlformats.org/officeDocument/2006/relationships/hyperlink" Target="Crowsons_Wholesale_Suppliers.xlsx" TargetMode="External"/><Relationship Id="rId70" Type="http://schemas.openxmlformats.org/officeDocument/2006/relationships/hyperlink" Target="Crowsons_Wholesale_Suppliers.xlsx" TargetMode="External"/><Relationship Id="rId71" Type="http://schemas.openxmlformats.org/officeDocument/2006/relationships/hyperlink" Target="Crowsons_Wholesale_Suppliers.xlsx" TargetMode="External"/><Relationship Id="rId72" Type="http://schemas.openxmlformats.org/officeDocument/2006/relationships/hyperlink" Target="Crowsons_Wholesale_Suppliers.xlsx" TargetMode="External"/><Relationship Id="rId73" Type="http://schemas.openxmlformats.org/officeDocument/2006/relationships/hyperlink" Target="Crowsons_Wholesale_Suppliers.xlsx" TargetMode="External"/><Relationship Id="rId74" Type="http://schemas.openxmlformats.org/officeDocument/2006/relationships/hyperlink" Target="Crowsons_Wholesale_Suppliers.xlsx" TargetMode="External"/><Relationship Id="rId75" Type="http://schemas.openxmlformats.org/officeDocument/2006/relationships/hyperlink" Target="Crowsons_Wholesale_Suppliers.xlsx" TargetMode="External"/><Relationship Id="rId76" Type="http://schemas.openxmlformats.org/officeDocument/2006/relationships/hyperlink" Target="Crowsons_Wholesale_Suppliers.xlsx" TargetMode="External"/><Relationship Id="rId77" Type="http://schemas.openxmlformats.org/officeDocument/2006/relationships/hyperlink" Target="Crowsons_Wholesale_Suppliers.xlsx" TargetMode="External"/><Relationship Id="rId78" Type="http://schemas.openxmlformats.org/officeDocument/2006/relationships/hyperlink" Target="Crowsons_Wholesale_Suppliers.xlsx" TargetMode="External"/><Relationship Id="rId79" Type="http://schemas.openxmlformats.org/officeDocument/2006/relationships/hyperlink" Target="Crowsons_Wholesale_Suppliers.xlsx" TargetMode="External"/><Relationship Id="rId80" Type="http://schemas.openxmlformats.org/officeDocument/2006/relationships/hyperlink" Target="Crowsons_Wholesale_Suppliers.xlsx" TargetMode="External"/><Relationship Id="rId81" Type="http://schemas.openxmlformats.org/officeDocument/2006/relationships/hyperlink" Target="Crowsons_Wholesale_Suppliers.xlsx" TargetMode="External"/><Relationship Id="rId82" Type="http://schemas.openxmlformats.org/officeDocument/2006/relationships/hyperlink" Target="Crowsons_Wholesale_Suppliers.xlsx" TargetMode="External"/><Relationship Id="rId83" Type="http://schemas.openxmlformats.org/officeDocument/2006/relationships/hyperlink" Target="Crowsons_Wholesale_Suppliers.xlsx" TargetMode="External"/><Relationship Id="rId84" Type="http://schemas.openxmlformats.org/officeDocument/2006/relationships/hyperlink" Target="Crowsons_Wholesale_Suppliers.xlsx" TargetMode="External"/><Relationship Id="rId85" Type="http://schemas.openxmlformats.org/officeDocument/2006/relationships/hyperlink" Target="Crowsons_Wholesale_Suppliers.xlsx" TargetMode="External"/><Relationship Id="rId86" Type="http://schemas.openxmlformats.org/officeDocument/2006/relationships/hyperlink" Target="Crowsons_Wholesale_Suppliers.xlsx" TargetMode="External"/><Relationship Id="rId87" Type="http://schemas.openxmlformats.org/officeDocument/2006/relationships/hyperlink" Target="Crowsons_Wholesale_Suppliers.xlsx" TargetMode="External"/><Relationship Id="rId88" Type="http://schemas.openxmlformats.org/officeDocument/2006/relationships/hyperlink" Target="Crowsons_Wholesale_Suppliers.xlsx" TargetMode="External"/><Relationship Id="rId89" Type="http://schemas.openxmlformats.org/officeDocument/2006/relationships/hyperlink" Target="Crowsons_Wholesale_Suppliers.xlsx" TargetMode="External"/><Relationship Id="rId90" Type="http://schemas.openxmlformats.org/officeDocument/2006/relationships/hyperlink" Target="Crowsons_Wholesale_Suppliers.xlsx" TargetMode="External"/><Relationship Id="rId91" Type="http://schemas.openxmlformats.org/officeDocument/2006/relationships/hyperlink" Target="Crowsons_Wholesale_Suppliers.xlsx" TargetMode="External"/><Relationship Id="rId92" Type="http://schemas.openxmlformats.org/officeDocument/2006/relationships/hyperlink" Target="Crowsons_Wholesale_Suppliers.xlsx" TargetMode="External"/><Relationship Id="rId93" Type="http://schemas.openxmlformats.org/officeDocument/2006/relationships/hyperlink" Target="Crowsons_Wholesale_Suppliers.xlsx" TargetMode="External"/><Relationship Id="rId94" Type="http://schemas.openxmlformats.org/officeDocument/2006/relationships/hyperlink" Target="Crowsons_Wholesale_Suppliers.xlsx" TargetMode="External"/><Relationship Id="rId95" Type="http://schemas.openxmlformats.org/officeDocument/2006/relationships/hyperlink" Target="Crowsons_Wholesale_Suppliers.xlsx" TargetMode="External"/><Relationship Id="rId96" Type="http://schemas.openxmlformats.org/officeDocument/2006/relationships/hyperlink" Target="Crowsons_Wholesale_Suppliers.xlsx" TargetMode="External"/><Relationship Id="rId97" Type="http://schemas.openxmlformats.org/officeDocument/2006/relationships/hyperlink" Target="Crowsons_Wholesale_Suppliers.xlsx" TargetMode="External"/><Relationship Id="rId98" Type="http://schemas.openxmlformats.org/officeDocument/2006/relationships/hyperlink" Target="Crowsons_Wholesale_Suppliers.xlsx" TargetMode="External"/><Relationship Id="rId99" Type="http://schemas.openxmlformats.org/officeDocument/2006/relationships/hyperlink" Target="Crowsons_Wholesale_Suppliers.xlsx" TargetMode="External"/><Relationship Id="rId100"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vml"/>
</Relationships>
</file>

<file path=xl/worksheets/_rels/sheet13.xml.rels><?xml version="1.0" encoding="UTF-8"?>
<Relationships xmlns="http://schemas.openxmlformats.org/package/2006/relationships"><Relationship Id="rId1" Type="http://schemas.openxmlformats.org/officeDocument/2006/relationships/hyperlink" Target="https://find-and-update.company-information.service.gov.uk/" TargetMode="External"/><Relationship Id="rId2" Type="http://schemas.openxmlformats.org/officeDocument/2006/relationships/hyperlink" Target="https://ec.europa.eu/taxation_customs/vies/" TargetMode="External"/><Relationship Id="rId3" Type="http://schemas.openxmlformats.org/officeDocument/2006/relationships/hyperlink" Target="https://www.kvk.nl/en/" TargetMode="External"/><Relationship Id="rId4" Type="http://schemas.openxmlformats.org/officeDocument/2006/relationships/hyperlink" Target="https://rejestr.io/" TargetMode="External"/><Relationship Id="rId5" Type="http://schemas.openxmlformats.org/officeDocument/2006/relationships/hyperlink" Target="https://www.handelsregister.de/" TargetMode="External"/><Relationship Id="rId6" Type="http://schemas.openxmlformats.org/officeDocument/2006/relationships/hyperlink" Target="https://search.gleif.org/" TargetMode="External"/><Relationship Id="rId7" Type="http://schemas.openxmlformats.org/officeDocument/2006/relationships/hyperlink" Target="https://cms.mhra.gov.uk/mhra/wholesale-dealer-licences" TargetMode="External"/><Relationship Id="rId8" Type="http://schemas.openxmlformats.org/officeDocument/2006/relationships/hyperlink" Target="https://www.gov.uk/trade-tariff" TargetMode="External"/><Relationship Id="rId9" Type="http://schemas.openxmlformats.org/officeDocument/2006/relationships/hyperlink" Target="https://supplier-directory.betterretailing.com/" TargetMode="External"/><Relationship Id="rId10" Type="http://schemas.openxmlformats.org/officeDocument/2006/relationships/hyperlink" Target="https://bira.co.uk/" TargetMode="External"/><Relationship Id="rId11" Type="http://schemas.openxmlformats.org/officeDocument/2006/relationships/hyperlink" Target="https://www.bheta.co.uk/" TargetMode="External"/><Relationship Id="rId12" Type="http://schemas.openxmlformats.org/officeDocument/2006/relationships/hyperlink" Target="https://www.petbusinessworld.co.uk/trade-directory/" TargetMode="External"/><Relationship Id="rId13" Type="http://schemas.openxmlformats.org/officeDocument/2006/relationships/hyperlink" Target="https://www.great.gov.uk/international/buy-from-the-uk/find-a-supplier/" TargetMode="External"/><Relationship Id="rId14" Type="http://schemas.openxmlformats.org/officeDocument/2006/relationships/hyperlink" Target="https://www.trade.gov.pl/en/" TargetMode="External"/><Relationship Id="rId15" Type="http://schemas.openxmlformats.org/officeDocument/2006/relationships/hyperlink" Target="https://exporters.czechtrade.cz/en" TargetMode="External"/><Relationship Id="rId16" Type="http://schemas.openxmlformats.org/officeDocument/2006/relationships/hyperlink" Target="https://ares.gov.cz/" TargetMode="External"/><Relationship Id="rId17" Type="http://schemas.openxmlformats.org/officeDocument/2006/relationships/hyperlink" Target="https://portal.registryagency.bg/en/" TargetMode="External"/><Relationship Id="rId18" Type="http://schemas.openxmlformats.org/officeDocument/2006/relationships/hyperlink" Target="https://www.onrc.ro/index.php/en/" TargetMode="External"/><Relationship Id="rId19" Type="http://schemas.openxmlformats.org/officeDocument/2006/relationships/hyperlink" Target="https://www.registrucentras.lt/en/" TargetMode="External"/><Relationship Id="rId20" Type="http://schemas.openxmlformats.org/officeDocument/2006/relationships/hyperlink" Target="https://www.enterpriselithuania.com/en/" TargetMode="External"/><Relationship Id="rId21" Type="http://schemas.openxmlformats.org/officeDocument/2006/relationships/hyperlink" Target="https://www.portugalglobal.pt/en/" TargetMode="External"/><Relationship Id="rId22" Type="http://schemas.openxmlformats.org/officeDocument/2006/relationships/hyperlink" Target="https://www.icex.es/en/" TargetMode="External"/><Relationship Id="rId23" Type="http://schemas.openxmlformats.org/officeDocument/2006/relationships/hyperlink" Target="https://asepri.com/en/" TargetMode="External"/><Relationship Id="rId24" Type="http://schemas.openxmlformats.org/officeDocument/2006/relationships/hyperlink" Target="https://heimtextil.messefrankfurt.com/" TargetMode="External"/><Relationship Id="rId25" Type="http://schemas.openxmlformats.org/officeDocument/2006/relationships/hyperlink" Target="https://www.targikielce.pl/en/kids-time" TargetMode="External"/><Relationship Id="rId26" Type="http://schemas.openxmlformats.org/officeDocument/2006/relationships/hyperlink" Target="https://een.ec.europa.eu/partnering-opportunities" TargetMode="External"/><Relationship Id="rId27" Type="http://schemas.openxmlformats.org/officeDocument/2006/relationships/hyperlink" Target="https://www.europages.co.uk/" TargetMode="External"/><Relationship Id="rId28" Type="http://schemas.openxmlformats.org/officeDocument/2006/relationships/hyperlink" Target="https://www.wlw.de/" TargetMode="External"/><Relationship Id="rId29" Type="http://schemas.openxmlformats.org/officeDocument/2006/relationships/hyperlink" Target="https://www.kompass.com/" TargetMode="External"/><Relationship Id="rId30" Type="http://schemas.openxmlformats.org/officeDocument/2006/relationships/hyperlink" Target="https://www.cosmeticindex.com/~cosmetic-distributors-wholesalers_Europe" TargetMode="External"/><Relationship Id="rId31" Type="http://schemas.openxmlformats.org/officeDocument/2006/relationships/hyperlink" Target="https://www.interzoo.com/en/exhibitors" TargetMode="External"/><Relationship Id="rId32" Type="http://schemas.openxmlformats.org/officeDocument/2006/relationships/hyperlink" Target="https://www.zoomark.it/en/" TargetMode="External"/><Relationship Id="rId33" Type="http://schemas.openxmlformats.org/officeDocument/2006/relationships/hyperlink" Target="https://ambiente.messefrankfurt.com/" TargetMode="External"/><Relationship Id="rId34" Type="http://schemas.openxmlformats.org/officeDocument/2006/relationships/hyperlink" Target="https://www.ifa-berlin.com/" TargetMode="External"/><Relationship Id="rId35" Type="http://schemas.openxmlformats.org/officeDocument/2006/relationships/hyperlink" Target="https://www.fibo.com/" TargetMode="External"/><Relationship Id="rId36" Type="http://schemas.openxmlformats.org/officeDocument/2006/relationships/hyperlink" Target="https://www.eurobike.com/" TargetMode="External"/><Relationship Id="rId37" Type="http://schemas.openxmlformats.org/officeDocument/2006/relationships/hyperlink" Target="https://www.kindundjugend.com/" TargetMode="External"/><Relationship Id="rId38" Type="http://schemas.openxmlformats.org/officeDocument/2006/relationships/hyperlink" Target="https://creativeworld.messefrankfurt.com/" TargetMode="External"/><Relationship Id="rId39" Type="http://schemas.openxmlformats.org/officeDocument/2006/relationships/hyperlink" Target="https://www.toyfair.co.uk/" TargetMode="External"/><Relationship Id="rId40" Type="http://schemas.openxmlformats.org/officeDocument/2006/relationships/hyperlink" Target="https://www.spielwarenmesse.de/" TargetMode="External"/><Relationship Id="rId41" Type="http://schemas.openxmlformats.org/officeDocument/2006/relationships/hyperlink" Target="https://www.cosmoprof.com/" TargetMode="External"/><Relationship Id="rId42" Type="http://schemas.openxmlformats.org/officeDocument/2006/relationships/hyperlink" Target="https://www.springfair.com/" TargetMode="External"/><Relationship Id="rId43" Type="http://schemas.openxmlformats.org/officeDocument/2006/relationships/hyperlink" Target="https://www.linkedin.com/search/results/companies/?keywords=distributo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31.5" hidden="false" customHeight="true" outlineLevel="0" collapsed="false">
      <c r="B6" s="4" t="s">
        <v>3</v>
      </c>
      <c r="C6" s="5" t="s">
        <v>4</v>
      </c>
    </row>
    <row r="7" customFormat="false" ht="31.5" hidden="false" customHeight="true" outlineLevel="0" collapsed="false">
      <c r="B7" s="4" t="s">
        <v>5</v>
      </c>
      <c r="C7" s="5" t="s">
        <v>6</v>
      </c>
    </row>
    <row r="8" customFormat="false" ht="31.5" hidden="false" customHeight="true" outlineLevel="0" collapsed="false">
      <c r="B8" s="4" t="s">
        <v>7</v>
      </c>
      <c r="C8" s="5" t="s">
        <v>8</v>
      </c>
    </row>
    <row r="9" customFormat="false" ht="31.5" hidden="false" customHeight="true" outlineLevel="0" collapsed="false">
      <c r="B9" s="4" t="s">
        <v>9</v>
      </c>
      <c r="C9" s="5" t="s">
        <v>10</v>
      </c>
    </row>
    <row r="10" customFormat="false" ht="31.5" hidden="false" customHeight="true" outlineLevel="0" collapsed="false">
      <c r="B10" s="4" t="s">
        <v>11</v>
      </c>
      <c r="C10" s="5" t="s">
        <v>12</v>
      </c>
    </row>
    <row r="11" customFormat="false" ht="31.5" hidden="false" customHeight="true" outlineLevel="0" collapsed="false">
      <c r="B11" s="4" t="s">
        <v>13</v>
      </c>
      <c r="C11" s="5" t="s">
        <v>14</v>
      </c>
    </row>
    <row r="12" customFormat="false" ht="31.5" hidden="false" customHeight="true" outlineLevel="0" collapsed="false">
      <c r="B12" s="4" t="s">
        <v>15</v>
      </c>
      <c r="C12" s="5" t="s">
        <v>16</v>
      </c>
    </row>
    <row r="13" customFormat="false" ht="31.5" hidden="false" customHeight="true" outlineLevel="0" collapsed="false">
      <c r="B13" s="4" t="s">
        <v>17</v>
      </c>
      <c r="C13" s="5" t="s">
        <v>18</v>
      </c>
    </row>
    <row r="14" customFormat="false" ht="31.5" hidden="false" customHeight="true" outlineLevel="0" collapsed="false">
      <c r="B14" s="4" t="s">
        <v>19</v>
      </c>
      <c r="C14" s="5" t="s">
        <v>20</v>
      </c>
    </row>
    <row r="15" customFormat="false" ht="31.5" hidden="false" customHeight="true" outlineLevel="0" collapsed="false">
      <c r="B15" s="4" t="s">
        <v>21</v>
      </c>
      <c r="C15" s="5" t="s">
        <v>22</v>
      </c>
    </row>
    <row r="16" customFormat="false" ht="31.5" hidden="false" customHeight="true" outlineLevel="0" collapsed="false">
      <c r="B16" s="4" t="s">
        <v>23</v>
      </c>
      <c r="C16" s="5" t="s">
        <v>24</v>
      </c>
    </row>
    <row r="18" customFormat="false" ht="15" hidden="false" customHeight="false" outlineLevel="0" collapsed="false">
      <c r="B18" s="3" t="s">
        <v>25</v>
      </c>
    </row>
    <row r="19" customFormat="false" ht="23.85" hidden="false" customHeight="false" outlineLevel="0" collapsed="false">
      <c r="B19" s="4" t="s">
        <v>26</v>
      </c>
      <c r="C19" s="5" t="s">
        <v>27</v>
      </c>
    </row>
    <row r="20" customFormat="false" ht="23.85" hidden="false" customHeight="false" outlineLevel="0" collapsed="false">
      <c r="B20" s="4" t="s">
        <v>28</v>
      </c>
      <c r="C20" s="5" t="s">
        <v>29</v>
      </c>
    </row>
    <row r="21" customFormat="false" ht="23.85" hidden="false" customHeight="false" outlineLevel="0" collapsed="false">
      <c r="B21" s="4" t="s">
        <v>30</v>
      </c>
      <c r="C21" s="5" t="s">
        <v>31</v>
      </c>
    </row>
    <row r="22" customFormat="false" ht="15" hidden="false" customHeight="false" outlineLevel="0" collapsed="false">
      <c r="B22" s="4" t="s">
        <v>32</v>
      </c>
      <c r="C22" s="5" t="s">
        <v>33</v>
      </c>
    </row>
    <row r="23" customFormat="false" ht="15" hidden="false" customHeight="false" outlineLevel="0" collapsed="false">
      <c r="B23" s="4" t="s">
        <v>34</v>
      </c>
      <c r="C23" s="5" t="s">
        <v>35</v>
      </c>
    </row>
    <row r="24" customFormat="false" ht="23.85" hidden="false" customHeight="false" outlineLevel="0" collapsed="false">
      <c r="B24" s="4" t="s">
        <v>36</v>
      </c>
      <c r="C24" s="5" t="s">
        <v>37</v>
      </c>
    </row>
    <row r="25" customFormat="false" ht="23.85" hidden="false" customHeight="false" outlineLevel="0" collapsed="false">
      <c r="B25" s="4" t="s">
        <v>38</v>
      </c>
      <c r="C25" s="5" t="s">
        <v>39</v>
      </c>
    </row>
    <row r="26" customFormat="false" ht="15" hidden="false" customHeight="false" outlineLevel="0" collapsed="false">
      <c r="B26" s="4" t="s">
        <v>40</v>
      </c>
      <c r="C26" s="5" t="s">
        <v>41</v>
      </c>
    </row>
    <row r="27" customFormat="false" ht="15" hidden="false" customHeight="false" outlineLevel="0" collapsed="false">
      <c r="B27" s="4" t="s">
        <v>42</v>
      </c>
      <c r="C27" s="5" t="s">
        <v>43</v>
      </c>
    </row>
    <row r="28" customFormat="false" ht="15" hidden="false" customHeight="false" outlineLevel="0" collapsed="false">
      <c r="B28" s="4" t="s">
        <v>44</v>
      </c>
      <c r="C28" s="5" t="s">
        <v>45</v>
      </c>
    </row>
    <row r="29" customFormat="false" ht="15" hidden="false" customHeight="false" outlineLevel="0" collapsed="false">
      <c r="B29" s="4" t="s">
        <v>46</v>
      </c>
      <c r="C29" s="5" t="s">
        <v>47</v>
      </c>
    </row>
    <row r="30" customFormat="false" ht="15" hidden="false" customHeight="false" outlineLevel="0" collapsed="false">
      <c r="B30" s="4" t="s">
        <v>48</v>
      </c>
      <c r="C30" s="5" t="s">
        <v>49</v>
      </c>
    </row>
    <row r="31" customFormat="false" ht="23.85" hidden="false" customHeight="false" outlineLevel="0" collapsed="false">
      <c r="B31" s="4" t="s">
        <v>50</v>
      </c>
      <c r="C31" s="5" t="s">
        <v>51</v>
      </c>
    </row>
    <row r="33" customFormat="false" ht="15" hidden="false" customHeight="false" outlineLevel="0" collapsed="false">
      <c r="B33" s="3" t="s">
        <v>52</v>
      </c>
    </row>
    <row r="34" customFormat="false" ht="15" hidden="false" customHeight="false" outlineLevel="0" collapsed="false">
      <c r="B34" s="4" t="s">
        <v>53</v>
      </c>
      <c r="C34" s="5" t="s">
        <v>54</v>
      </c>
    </row>
    <row r="35" customFormat="false" ht="15" hidden="false" customHeight="false" outlineLevel="0" collapsed="false">
      <c r="B35" s="4" t="s">
        <v>55</v>
      </c>
      <c r="C35" s="5" t="s">
        <v>56</v>
      </c>
    </row>
    <row r="36" customFormat="false" ht="15" hidden="false" customHeight="false" outlineLevel="0" collapsed="false">
      <c r="B36" s="4" t="s">
        <v>57</v>
      </c>
      <c r="C36" s="5" t="s">
        <v>58</v>
      </c>
    </row>
    <row r="37" customFormat="false" ht="15" hidden="false" customHeight="false" outlineLevel="0" collapsed="false">
      <c r="B37" s="4" t="s">
        <v>59</v>
      </c>
      <c r="C37" s="5" t="s">
        <v>60</v>
      </c>
    </row>
    <row r="38" customFormat="false" ht="15" hidden="false" customHeight="false" outlineLevel="0" collapsed="false">
      <c r="B38" s="4" t="s">
        <v>61</v>
      </c>
      <c r="C38" s="5" t="s">
        <v>62</v>
      </c>
    </row>
    <row r="40" customFormat="false" ht="15" hidden="false" customHeight="false" outlineLevel="0" collapsed="false">
      <c r="B40" s="3" t="s">
        <v>63</v>
      </c>
    </row>
    <row r="41" customFormat="false" ht="15" hidden="false" customHeight="false" outlineLevel="0" collapsed="false">
      <c r="B41" s="4" t="s">
        <v>64</v>
      </c>
      <c r="C41" s="5" t="s">
        <v>65</v>
      </c>
    </row>
    <row r="42" customFormat="false" ht="15" hidden="false" customHeight="false" outlineLevel="0" collapsed="false">
      <c r="B42" s="4" t="s">
        <v>66</v>
      </c>
      <c r="C42" s="5" t="s">
        <v>67</v>
      </c>
    </row>
    <row r="43" customFormat="false" ht="15" hidden="false" customHeight="false" outlineLevel="0" collapsed="false">
      <c r="B43" s="4" t="s">
        <v>68</v>
      </c>
      <c r="C43" s="5" t="s">
        <v>69</v>
      </c>
    </row>
    <row r="44" customFormat="false" ht="15" hidden="false" customHeight="false" outlineLevel="0" collapsed="false">
      <c r="B44" s="4" t="s">
        <v>70</v>
      </c>
      <c r="C44" s="5" t="s">
        <v>71</v>
      </c>
    </row>
    <row r="46" customFormat="false" ht="15" hidden="false" customHeight="false" outlineLevel="0" collapsed="false">
      <c r="B46" s="3" t="s">
        <v>72</v>
      </c>
    </row>
    <row r="47" customFormat="false" ht="45" hidden="false" customHeight="true" outlineLevel="0" collapsed="false">
      <c r="B47" s="4" t="s">
        <v>73</v>
      </c>
      <c r="C47" s="5" t="s">
        <v>74</v>
      </c>
    </row>
    <row r="48" customFormat="false" ht="45" hidden="false" customHeight="true" outlineLevel="0" collapsed="false">
      <c r="B48" s="4" t="s">
        <v>75</v>
      </c>
      <c r="C48" s="5" t="s">
        <v>76</v>
      </c>
    </row>
    <row r="49" customFormat="false" ht="45" hidden="false" customHeight="true" outlineLevel="0" collapsed="false">
      <c r="B49" s="4" t="s">
        <v>77</v>
      </c>
      <c r="C49" s="5" t="s">
        <v>78</v>
      </c>
    </row>
    <row r="50" customFormat="false" ht="45" hidden="false" customHeight="true" outlineLevel="0" collapsed="false">
      <c r="B50" s="4" t="s">
        <v>79</v>
      </c>
      <c r="C50" s="5" t="s">
        <v>80</v>
      </c>
    </row>
    <row r="51" customFormat="false" ht="45" hidden="false" customHeight="true" outlineLevel="0" collapsed="false">
      <c r="B51" s="4" t="s">
        <v>81</v>
      </c>
      <c r="C51" s="5" t="s">
        <v>82</v>
      </c>
    </row>
    <row r="53" customFormat="false" ht="15" hidden="false" customHeight="false" outlineLevel="0" collapsed="false">
      <c r="B53" s="3" t="s">
        <v>83</v>
      </c>
    </row>
    <row r="54" customFormat="false" ht="45" hidden="false" customHeight="true" outlineLevel="0" collapsed="false">
      <c r="B54" s="4"/>
      <c r="C54" s="5"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
    <col collapsed="false" customWidth="true" hidden="false" outlineLevel="0" max="3" min="3" style="0" width="32"/>
    <col collapsed="false" customWidth="true" hidden="false" outlineLevel="0" max="4" min="4" style="0" width="13"/>
    <col collapsed="false" customWidth="true" hidden="false" outlineLevel="0" max="5" min="5" style="0" width="22"/>
    <col collapsed="false" customWidth="true" hidden="false" outlineLevel="0" max="7" min="6" style="0" width="40"/>
    <col collapsed="false" customWidth="true" hidden="false" outlineLevel="0" max="8" min="8" style="0" width="18"/>
    <col collapsed="false" customWidth="true" hidden="false" outlineLevel="0" max="10" min="9" style="0" width="28"/>
    <col collapsed="false" customWidth="true" hidden="false" outlineLevel="0" max="11" min="11" style="0" width="34"/>
    <col collapsed="false" customWidth="true" hidden="false" outlineLevel="0" max="12" min="12" style="0" width="11"/>
  </cols>
  <sheetData>
    <row r="1" customFormat="false" ht="19.7" hidden="false" customHeight="false" outlineLevel="0" collapsed="false">
      <c r="A1" s="1" t="s">
        <v>85</v>
      </c>
    </row>
    <row r="2" customFormat="false" ht="45" hidden="false" customHeight="true" outlineLevel="0" collapsed="false">
      <c r="A2" s="6" t="s">
        <v>86</v>
      </c>
      <c r="B2" s="6"/>
      <c r="C2" s="6"/>
      <c r="D2" s="6"/>
      <c r="E2" s="6"/>
      <c r="F2" s="6"/>
      <c r="G2" s="6"/>
      <c r="H2" s="6"/>
      <c r="I2" s="6"/>
      <c r="J2" s="6"/>
      <c r="K2" s="6"/>
      <c r="L2" s="6"/>
    </row>
    <row r="4" customFormat="false" ht="31.5" hidden="false" customHeight="true" outlineLevel="0" collapsed="false">
      <c r="A4" s="7" t="s">
        <v>87</v>
      </c>
      <c r="B4" s="7" t="s">
        <v>88</v>
      </c>
      <c r="C4" s="7" t="s">
        <v>89</v>
      </c>
      <c r="D4" s="7" t="s">
        <v>90</v>
      </c>
      <c r="E4" s="7" t="s">
        <v>91</v>
      </c>
      <c r="F4" s="7" t="s">
        <v>92</v>
      </c>
      <c r="G4" s="7" t="s">
        <v>93</v>
      </c>
      <c r="H4" s="7" t="s">
        <v>94</v>
      </c>
      <c r="I4" s="7" t="s">
        <v>95</v>
      </c>
      <c r="J4" s="7" t="s">
        <v>96</v>
      </c>
      <c r="K4" s="7" t="s">
        <v>97</v>
      </c>
      <c r="L4" s="7" t="s">
        <v>98</v>
      </c>
    </row>
    <row r="5" customFormat="false" ht="23.85" hidden="false" customHeight="false" outlineLevel="0" collapsed="false">
      <c r="A5" s="8" t="s">
        <v>99</v>
      </c>
      <c r="B5" s="8" t="n">
        <v>5</v>
      </c>
      <c r="C5" s="9" t="s">
        <v>100</v>
      </c>
      <c r="D5" s="8" t="s">
        <v>101</v>
      </c>
      <c r="E5" s="8" t="s">
        <v>102</v>
      </c>
      <c r="F5" s="8" t="s">
        <v>103</v>
      </c>
      <c r="G5" s="8" t="s">
        <v>104</v>
      </c>
      <c r="H5" s="8"/>
      <c r="I5" s="8" t="s">
        <v>105</v>
      </c>
      <c r="J5" s="10" t="s">
        <v>106</v>
      </c>
      <c r="K5" s="11" t="s">
        <v>107</v>
      </c>
      <c r="L5" s="10" t="s">
        <v>98</v>
      </c>
    </row>
    <row r="6" customFormat="false" ht="23.85" hidden="false" customHeight="false" outlineLevel="0" collapsed="false">
      <c r="A6" s="8" t="s">
        <v>108</v>
      </c>
      <c r="B6" s="8" t="n">
        <v>5</v>
      </c>
      <c r="C6" s="9" t="s">
        <v>109</v>
      </c>
      <c r="D6" s="8" t="s">
        <v>101</v>
      </c>
      <c r="E6" s="8" t="s">
        <v>110</v>
      </c>
      <c r="F6" s="8" t="s">
        <v>111</v>
      </c>
      <c r="G6" s="8" t="s">
        <v>112</v>
      </c>
      <c r="H6" s="8" t="s">
        <v>113</v>
      </c>
      <c r="I6" s="8" t="s">
        <v>114</v>
      </c>
      <c r="J6" s="10" t="s">
        <v>115</v>
      </c>
      <c r="K6" s="11" t="s">
        <v>116</v>
      </c>
      <c r="L6" s="10" t="s">
        <v>98</v>
      </c>
    </row>
    <row r="7" customFormat="false" ht="23.85" hidden="false" customHeight="false" outlineLevel="0" collapsed="false">
      <c r="A7" s="12" t="s">
        <v>108</v>
      </c>
      <c r="B7" s="12" t="n">
        <v>4</v>
      </c>
      <c r="C7" s="13" t="s">
        <v>117</v>
      </c>
      <c r="D7" s="12" t="s">
        <v>118</v>
      </c>
      <c r="E7" s="12" t="s">
        <v>119</v>
      </c>
      <c r="F7" s="12" t="s">
        <v>120</v>
      </c>
      <c r="G7" s="12" t="s">
        <v>121</v>
      </c>
      <c r="H7" s="12"/>
      <c r="I7" s="12"/>
      <c r="J7" s="14" t="s">
        <v>122</v>
      </c>
      <c r="K7" s="15" t="s">
        <v>123</v>
      </c>
      <c r="L7" s="14" t="s">
        <v>98</v>
      </c>
    </row>
    <row r="8" customFormat="false" ht="23.85" hidden="false" customHeight="false" outlineLevel="0" collapsed="false">
      <c r="A8" s="12" t="s">
        <v>108</v>
      </c>
      <c r="B8" s="12" t="n">
        <v>4</v>
      </c>
      <c r="C8" s="13" t="s">
        <v>124</v>
      </c>
      <c r="D8" s="12" t="s">
        <v>125</v>
      </c>
      <c r="E8" s="12" t="s">
        <v>126</v>
      </c>
      <c r="F8" s="12" t="s">
        <v>127</v>
      </c>
      <c r="G8" s="12" t="s">
        <v>128</v>
      </c>
      <c r="H8" s="12"/>
      <c r="I8" s="12"/>
      <c r="J8" s="14" t="s">
        <v>129</v>
      </c>
      <c r="K8" s="15" t="s">
        <v>130</v>
      </c>
      <c r="L8" s="14" t="s">
        <v>98</v>
      </c>
    </row>
    <row r="9" customFormat="false" ht="23.85" hidden="false" customHeight="false" outlineLevel="0" collapsed="false">
      <c r="A9" s="12" t="s">
        <v>108</v>
      </c>
      <c r="B9" s="12" t="n">
        <v>3</v>
      </c>
      <c r="C9" s="13" t="s">
        <v>131</v>
      </c>
      <c r="D9" s="12" t="s">
        <v>125</v>
      </c>
      <c r="E9" s="12" t="s">
        <v>132</v>
      </c>
      <c r="F9" s="12" t="s">
        <v>133</v>
      </c>
      <c r="G9" s="12" t="s">
        <v>134</v>
      </c>
      <c r="H9" s="12" t="s">
        <v>135</v>
      </c>
      <c r="I9" s="12"/>
      <c r="J9" s="14" t="s">
        <v>136</v>
      </c>
      <c r="K9" s="15" t="s">
        <v>123</v>
      </c>
      <c r="L9" s="14" t="s">
        <v>98</v>
      </c>
    </row>
    <row r="10" customFormat="false" ht="23.85" hidden="false" customHeight="false" outlineLevel="0" collapsed="false">
      <c r="A10" s="12" t="s">
        <v>108</v>
      </c>
      <c r="B10" s="12" t="n">
        <v>3</v>
      </c>
      <c r="C10" s="13" t="s">
        <v>137</v>
      </c>
      <c r="D10" s="12" t="s">
        <v>138</v>
      </c>
      <c r="E10" s="12" t="s">
        <v>126</v>
      </c>
      <c r="F10" s="12" t="s">
        <v>139</v>
      </c>
      <c r="G10" s="12" t="s">
        <v>140</v>
      </c>
      <c r="H10" s="12" t="s">
        <v>141</v>
      </c>
      <c r="I10" s="12"/>
      <c r="J10" s="14" t="s">
        <v>142</v>
      </c>
      <c r="K10" s="15" t="s">
        <v>123</v>
      </c>
      <c r="L10" s="14" t="s">
        <v>98</v>
      </c>
    </row>
    <row r="11" customFormat="false" ht="35.05" hidden="false" customHeight="false" outlineLevel="0" collapsed="false">
      <c r="A11" s="8" t="s">
        <v>143</v>
      </c>
      <c r="B11" s="8" t="n">
        <v>4</v>
      </c>
      <c r="C11" s="9" t="s">
        <v>144</v>
      </c>
      <c r="D11" s="8" t="s">
        <v>125</v>
      </c>
      <c r="E11" s="8" t="s">
        <v>145</v>
      </c>
      <c r="F11" s="8" t="s">
        <v>146</v>
      </c>
      <c r="G11" s="8" t="s">
        <v>147</v>
      </c>
      <c r="H11" s="8" t="s">
        <v>148</v>
      </c>
      <c r="I11" s="8" t="s">
        <v>149</v>
      </c>
      <c r="J11" s="10" t="s">
        <v>150</v>
      </c>
      <c r="K11" s="11" t="s">
        <v>151</v>
      </c>
      <c r="L11" s="10" t="s">
        <v>98</v>
      </c>
    </row>
    <row r="12" customFormat="false" ht="23.85" hidden="false" customHeight="false" outlineLevel="0" collapsed="false">
      <c r="A12" s="12" t="s">
        <v>143</v>
      </c>
      <c r="B12" s="12" t="n">
        <v>4</v>
      </c>
      <c r="C12" s="13" t="s">
        <v>152</v>
      </c>
      <c r="D12" s="12" t="s">
        <v>125</v>
      </c>
      <c r="E12" s="12" t="s">
        <v>126</v>
      </c>
      <c r="F12" s="12" t="s">
        <v>153</v>
      </c>
      <c r="G12" s="12" t="s">
        <v>154</v>
      </c>
      <c r="H12" s="12"/>
      <c r="I12" s="12" t="s">
        <v>155</v>
      </c>
      <c r="J12" s="14" t="s">
        <v>156</v>
      </c>
      <c r="K12" s="15" t="s">
        <v>123</v>
      </c>
      <c r="L12" s="14" t="s">
        <v>98</v>
      </c>
    </row>
    <row r="13" customFormat="false" ht="35.05" hidden="false" customHeight="false" outlineLevel="0" collapsed="false">
      <c r="A13" s="12" t="s">
        <v>143</v>
      </c>
      <c r="B13" s="12" t="n">
        <v>3</v>
      </c>
      <c r="C13" s="13" t="s">
        <v>157</v>
      </c>
      <c r="D13" s="12" t="s">
        <v>158</v>
      </c>
      <c r="E13" s="12" t="s">
        <v>159</v>
      </c>
      <c r="F13" s="12" t="s">
        <v>160</v>
      </c>
      <c r="G13" s="12" t="s">
        <v>161</v>
      </c>
      <c r="H13" s="12" t="s">
        <v>162</v>
      </c>
      <c r="I13" s="12" t="s">
        <v>163</v>
      </c>
      <c r="J13" s="14" t="s">
        <v>164</v>
      </c>
      <c r="K13" s="16" t="s">
        <v>165</v>
      </c>
      <c r="L13" s="14" t="s">
        <v>98</v>
      </c>
    </row>
    <row r="14" customFormat="false" ht="35.05" hidden="false" customHeight="false" outlineLevel="0" collapsed="false">
      <c r="A14" s="8" t="s">
        <v>166</v>
      </c>
      <c r="B14" s="8" t="n">
        <v>5</v>
      </c>
      <c r="C14" s="9" t="s">
        <v>167</v>
      </c>
      <c r="D14" s="8" t="s">
        <v>101</v>
      </c>
      <c r="E14" s="8" t="s">
        <v>168</v>
      </c>
      <c r="F14" s="8" t="s">
        <v>169</v>
      </c>
      <c r="G14" s="8" t="s">
        <v>170</v>
      </c>
      <c r="H14" s="8" t="s">
        <v>171</v>
      </c>
      <c r="I14" s="8"/>
      <c r="J14" s="10" t="s">
        <v>172</v>
      </c>
      <c r="K14" s="11" t="s">
        <v>130</v>
      </c>
      <c r="L14" s="10" t="s">
        <v>98</v>
      </c>
    </row>
    <row r="15" customFormat="false" ht="23.85" hidden="false" customHeight="false" outlineLevel="0" collapsed="false">
      <c r="A15" s="12" t="s">
        <v>166</v>
      </c>
      <c r="B15" s="12" t="n">
        <v>4</v>
      </c>
      <c r="C15" s="13" t="s">
        <v>173</v>
      </c>
      <c r="D15" s="12" t="s">
        <v>174</v>
      </c>
      <c r="E15" s="12" t="s">
        <v>175</v>
      </c>
      <c r="F15" s="12" t="s">
        <v>176</v>
      </c>
      <c r="G15" s="12" t="s">
        <v>177</v>
      </c>
      <c r="H15" s="12"/>
      <c r="I15" s="12"/>
      <c r="J15" s="14" t="s">
        <v>178</v>
      </c>
      <c r="K15" s="15" t="s">
        <v>179</v>
      </c>
      <c r="L15" s="14" t="s">
        <v>98</v>
      </c>
    </row>
    <row r="16" customFormat="false" ht="23.85" hidden="false" customHeight="false" outlineLevel="0" collapsed="false">
      <c r="A16" s="12" t="s">
        <v>166</v>
      </c>
      <c r="B16" s="12" t="n">
        <v>4</v>
      </c>
      <c r="C16" s="13" t="s">
        <v>180</v>
      </c>
      <c r="D16" s="12" t="s">
        <v>125</v>
      </c>
      <c r="E16" s="12" t="s">
        <v>175</v>
      </c>
      <c r="F16" s="12" t="s">
        <v>181</v>
      </c>
      <c r="G16" s="12" t="s">
        <v>182</v>
      </c>
      <c r="H16" s="12"/>
      <c r="I16" s="12" t="s">
        <v>183</v>
      </c>
      <c r="J16" s="14" t="s">
        <v>184</v>
      </c>
      <c r="K16" s="15" t="s">
        <v>179</v>
      </c>
      <c r="L16" s="14" t="s">
        <v>98</v>
      </c>
    </row>
    <row r="17" customFormat="false" ht="35.05" hidden="false" customHeight="false" outlineLevel="0" collapsed="false">
      <c r="A17" s="12" t="s">
        <v>166</v>
      </c>
      <c r="B17" s="12" t="n">
        <v>4</v>
      </c>
      <c r="C17" s="13" t="s">
        <v>185</v>
      </c>
      <c r="D17" s="12" t="s">
        <v>125</v>
      </c>
      <c r="E17" s="12" t="s">
        <v>126</v>
      </c>
      <c r="F17" s="12" t="s">
        <v>186</v>
      </c>
      <c r="G17" s="12" t="s">
        <v>187</v>
      </c>
      <c r="H17" s="12" t="s">
        <v>188</v>
      </c>
      <c r="I17" s="12"/>
      <c r="J17" s="14" t="s">
        <v>189</v>
      </c>
      <c r="K17" s="15" t="s">
        <v>190</v>
      </c>
      <c r="L17" s="14" t="s">
        <v>98</v>
      </c>
    </row>
    <row r="18" customFormat="false" ht="23.85" hidden="false" customHeight="false" outlineLevel="0" collapsed="false">
      <c r="A18" s="12" t="s">
        <v>166</v>
      </c>
      <c r="B18" s="12" t="n">
        <v>4</v>
      </c>
      <c r="C18" s="13" t="s">
        <v>191</v>
      </c>
      <c r="D18" s="12" t="s">
        <v>125</v>
      </c>
      <c r="E18" s="12" t="s">
        <v>192</v>
      </c>
      <c r="F18" s="12" t="s">
        <v>193</v>
      </c>
      <c r="G18" s="12" t="s">
        <v>194</v>
      </c>
      <c r="H18" s="12" t="s">
        <v>195</v>
      </c>
      <c r="I18" s="12" t="s">
        <v>196</v>
      </c>
      <c r="J18" s="14" t="s">
        <v>197</v>
      </c>
      <c r="K18" s="15" t="s">
        <v>123</v>
      </c>
      <c r="L18" s="14" t="s">
        <v>98</v>
      </c>
    </row>
    <row r="19" customFormat="false" ht="23.85" hidden="false" customHeight="false" outlineLevel="0" collapsed="false">
      <c r="A19" s="12" t="s">
        <v>166</v>
      </c>
      <c r="B19" s="12" t="n">
        <v>4</v>
      </c>
      <c r="C19" s="13" t="s">
        <v>198</v>
      </c>
      <c r="D19" s="12" t="s">
        <v>125</v>
      </c>
      <c r="E19" s="12" t="s">
        <v>126</v>
      </c>
      <c r="F19" s="12" t="s">
        <v>199</v>
      </c>
      <c r="G19" s="12" t="s">
        <v>200</v>
      </c>
      <c r="H19" s="12" t="s">
        <v>201</v>
      </c>
      <c r="I19" s="12" t="s">
        <v>202</v>
      </c>
      <c r="J19" s="14" t="s">
        <v>203</v>
      </c>
      <c r="K19" s="15" t="s">
        <v>204</v>
      </c>
      <c r="L19" s="14" t="s">
        <v>98</v>
      </c>
    </row>
    <row r="20" customFormat="false" ht="23.85" hidden="false" customHeight="false" outlineLevel="0" collapsed="false">
      <c r="A20" s="12" t="s">
        <v>166</v>
      </c>
      <c r="B20" s="12" t="n">
        <v>4</v>
      </c>
      <c r="C20" s="13" t="s">
        <v>205</v>
      </c>
      <c r="D20" s="12" t="s">
        <v>125</v>
      </c>
      <c r="E20" s="12" t="s">
        <v>126</v>
      </c>
      <c r="F20" s="12" t="s">
        <v>206</v>
      </c>
      <c r="G20" s="12" t="s">
        <v>207</v>
      </c>
      <c r="H20" s="12" t="s">
        <v>208</v>
      </c>
      <c r="I20" s="12" t="s">
        <v>209</v>
      </c>
      <c r="J20" s="14" t="s">
        <v>210</v>
      </c>
      <c r="K20" s="15" t="s">
        <v>123</v>
      </c>
      <c r="L20" s="14" t="s">
        <v>98</v>
      </c>
    </row>
    <row r="21" customFormat="false" ht="23.85" hidden="false" customHeight="false" outlineLevel="0" collapsed="false">
      <c r="A21" s="12" t="s">
        <v>166</v>
      </c>
      <c r="B21" s="12" t="n">
        <v>4</v>
      </c>
      <c r="C21" s="13" t="s">
        <v>211</v>
      </c>
      <c r="D21" s="12" t="s">
        <v>125</v>
      </c>
      <c r="E21" s="12" t="s">
        <v>126</v>
      </c>
      <c r="F21" s="12" t="s">
        <v>212</v>
      </c>
      <c r="G21" s="12"/>
      <c r="H21" s="12" t="s">
        <v>213</v>
      </c>
      <c r="I21" s="12" t="s">
        <v>214</v>
      </c>
      <c r="J21" s="14" t="s">
        <v>215</v>
      </c>
      <c r="K21" s="15" t="s">
        <v>216</v>
      </c>
      <c r="L21" s="14" t="s">
        <v>98</v>
      </c>
    </row>
    <row r="22" customFormat="false" ht="23.85" hidden="false" customHeight="false" outlineLevel="0" collapsed="false">
      <c r="A22" s="12" t="s">
        <v>166</v>
      </c>
      <c r="B22" s="12" t="n">
        <v>4</v>
      </c>
      <c r="C22" s="13" t="s">
        <v>217</v>
      </c>
      <c r="D22" s="12" t="s">
        <v>101</v>
      </c>
      <c r="E22" s="12" t="s">
        <v>218</v>
      </c>
      <c r="F22" s="12" t="s">
        <v>219</v>
      </c>
      <c r="G22" s="12" t="s">
        <v>220</v>
      </c>
      <c r="H22" s="12" t="s">
        <v>221</v>
      </c>
      <c r="I22" s="12" t="s">
        <v>222</v>
      </c>
      <c r="J22" s="14" t="s">
        <v>223</v>
      </c>
      <c r="K22" s="15" t="s">
        <v>123</v>
      </c>
      <c r="L22" s="14" t="s">
        <v>98</v>
      </c>
    </row>
    <row r="23" customFormat="false" ht="23.85" hidden="false" customHeight="false" outlineLevel="0" collapsed="false">
      <c r="A23" s="12" t="s">
        <v>166</v>
      </c>
      <c r="B23" s="12" t="n">
        <v>3</v>
      </c>
      <c r="C23" s="13" t="s">
        <v>224</v>
      </c>
      <c r="D23" s="12" t="s">
        <v>101</v>
      </c>
      <c r="E23" s="12" t="s">
        <v>225</v>
      </c>
      <c r="F23" s="12" t="s">
        <v>226</v>
      </c>
      <c r="G23" s="12"/>
      <c r="H23" s="12"/>
      <c r="I23" s="12"/>
      <c r="J23" s="14" t="s">
        <v>227</v>
      </c>
      <c r="K23" s="15" t="s">
        <v>228</v>
      </c>
      <c r="L23" s="14" t="s">
        <v>98</v>
      </c>
    </row>
    <row r="24" customFormat="false" ht="35.05" hidden="false" customHeight="false" outlineLevel="0" collapsed="false">
      <c r="A24" s="8" t="s">
        <v>229</v>
      </c>
      <c r="B24" s="8" t="n">
        <v>5</v>
      </c>
      <c r="C24" s="9" t="s">
        <v>230</v>
      </c>
      <c r="D24" s="8" t="s">
        <v>101</v>
      </c>
      <c r="E24" s="8" t="s">
        <v>231</v>
      </c>
      <c r="F24" s="8" t="s">
        <v>232</v>
      </c>
      <c r="G24" s="8" t="s">
        <v>233</v>
      </c>
      <c r="H24" s="8"/>
      <c r="I24" s="8"/>
      <c r="J24" s="10" t="s">
        <v>234</v>
      </c>
      <c r="K24" s="17" t="s">
        <v>235</v>
      </c>
      <c r="L24" s="10" t="s">
        <v>98</v>
      </c>
    </row>
    <row r="25" customFormat="false" ht="46.25" hidden="false" customHeight="false" outlineLevel="0" collapsed="false">
      <c r="A25" s="12" t="s">
        <v>229</v>
      </c>
      <c r="B25" s="12" t="n">
        <v>4</v>
      </c>
      <c r="C25" s="13" t="s">
        <v>236</v>
      </c>
      <c r="D25" s="12" t="s">
        <v>237</v>
      </c>
      <c r="E25" s="12" t="s">
        <v>238</v>
      </c>
      <c r="F25" s="12" t="s">
        <v>239</v>
      </c>
      <c r="G25" s="12" t="s">
        <v>240</v>
      </c>
      <c r="H25" s="12" t="s">
        <v>241</v>
      </c>
      <c r="I25" s="12" t="s">
        <v>242</v>
      </c>
      <c r="J25" s="14" t="s">
        <v>243</v>
      </c>
      <c r="K25" s="16" t="s">
        <v>244</v>
      </c>
      <c r="L25" s="14" t="s">
        <v>98</v>
      </c>
    </row>
    <row r="26" customFormat="false" ht="35.05" hidden="false" customHeight="false" outlineLevel="0" collapsed="false">
      <c r="A26" s="12" t="s">
        <v>229</v>
      </c>
      <c r="B26" s="12" t="n">
        <v>4</v>
      </c>
      <c r="C26" s="13" t="s">
        <v>245</v>
      </c>
      <c r="D26" s="12" t="s">
        <v>101</v>
      </c>
      <c r="E26" s="12" t="s">
        <v>246</v>
      </c>
      <c r="F26" s="12" t="s">
        <v>247</v>
      </c>
      <c r="G26" s="12" t="s">
        <v>248</v>
      </c>
      <c r="H26" s="12"/>
      <c r="I26" s="12"/>
      <c r="J26" s="14" t="s">
        <v>249</v>
      </c>
      <c r="K26" s="15" t="s">
        <v>250</v>
      </c>
      <c r="L26" s="14" t="s">
        <v>98</v>
      </c>
    </row>
    <row r="27" customFormat="false" ht="23.85" hidden="false" customHeight="false" outlineLevel="0" collapsed="false">
      <c r="A27" s="12" t="s">
        <v>229</v>
      </c>
      <c r="B27" s="12" t="n">
        <v>3</v>
      </c>
      <c r="C27" s="13" t="s">
        <v>251</v>
      </c>
      <c r="D27" s="12" t="s">
        <v>125</v>
      </c>
      <c r="E27" s="12" t="s">
        <v>252</v>
      </c>
      <c r="F27" s="12" t="s">
        <v>253</v>
      </c>
      <c r="G27" s="12"/>
      <c r="H27" s="12"/>
      <c r="I27" s="12"/>
      <c r="J27" s="12"/>
      <c r="K27" s="15" t="s">
        <v>123</v>
      </c>
      <c r="L27" s="14" t="s">
        <v>98</v>
      </c>
    </row>
    <row r="28" customFormat="false" ht="23.85" hidden="false" customHeight="false" outlineLevel="0" collapsed="false">
      <c r="A28" s="12" t="s">
        <v>229</v>
      </c>
      <c r="B28" s="12" t="n">
        <v>3</v>
      </c>
      <c r="C28" s="13" t="s">
        <v>254</v>
      </c>
      <c r="D28" s="12" t="s">
        <v>255</v>
      </c>
      <c r="E28" s="12" t="s">
        <v>256</v>
      </c>
      <c r="F28" s="12" t="s">
        <v>257</v>
      </c>
      <c r="G28" s="12" t="s">
        <v>258</v>
      </c>
      <c r="H28" s="12"/>
      <c r="I28" s="12"/>
      <c r="J28" s="12"/>
      <c r="K28" s="15" t="s">
        <v>259</v>
      </c>
      <c r="L28" s="14" t="s">
        <v>98</v>
      </c>
    </row>
    <row r="29" customFormat="false" ht="23.85" hidden="false" customHeight="false" outlineLevel="0" collapsed="false">
      <c r="A29" s="8" t="s">
        <v>260</v>
      </c>
      <c r="B29" s="8" t="n">
        <v>4</v>
      </c>
      <c r="C29" s="9" t="s">
        <v>261</v>
      </c>
      <c r="D29" s="8" t="s">
        <v>262</v>
      </c>
      <c r="E29" s="8" t="s">
        <v>263</v>
      </c>
      <c r="F29" s="8" t="s">
        <v>264</v>
      </c>
      <c r="G29" s="8" t="s">
        <v>265</v>
      </c>
      <c r="H29" s="8"/>
      <c r="I29" s="8" t="s">
        <v>266</v>
      </c>
      <c r="J29" s="10" t="s">
        <v>267</v>
      </c>
      <c r="K29" s="11" t="s">
        <v>268</v>
      </c>
      <c r="L29" s="10" t="s">
        <v>98</v>
      </c>
    </row>
    <row r="30" customFormat="false" ht="23.85" hidden="false" customHeight="false" outlineLevel="0" collapsed="false">
      <c r="A30" s="12" t="s">
        <v>260</v>
      </c>
      <c r="B30" s="12" t="n">
        <v>4</v>
      </c>
      <c r="C30" s="13" t="s">
        <v>269</v>
      </c>
      <c r="D30" s="12" t="s">
        <v>101</v>
      </c>
      <c r="E30" s="12" t="s">
        <v>270</v>
      </c>
      <c r="F30" s="12" t="s">
        <v>271</v>
      </c>
      <c r="G30" s="12" t="s">
        <v>272</v>
      </c>
      <c r="H30" s="12"/>
      <c r="I30" s="12"/>
      <c r="J30" s="14" t="s">
        <v>273</v>
      </c>
      <c r="K30" s="15" t="s">
        <v>123</v>
      </c>
      <c r="L30" s="14" t="s">
        <v>98</v>
      </c>
    </row>
    <row r="31" customFormat="false" ht="23.85" hidden="false" customHeight="false" outlineLevel="0" collapsed="false">
      <c r="A31" s="12" t="s">
        <v>260</v>
      </c>
      <c r="B31" s="12" t="n">
        <v>3</v>
      </c>
      <c r="C31" s="13" t="s">
        <v>274</v>
      </c>
      <c r="D31" s="12" t="s">
        <v>101</v>
      </c>
      <c r="E31" s="12" t="s">
        <v>275</v>
      </c>
      <c r="F31" s="12" t="s">
        <v>276</v>
      </c>
      <c r="G31" s="12" t="s">
        <v>277</v>
      </c>
      <c r="H31" s="12" t="s">
        <v>278</v>
      </c>
      <c r="I31" s="12"/>
      <c r="J31" s="14" t="s">
        <v>279</v>
      </c>
      <c r="K31" s="15" t="s">
        <v>280</v>
      </c>
      <c r="L31" s="14" t="s">
        <v>98</v>
      </c>
    </row>
    <row r="32" customFormat="false" ht="35.05" hidden="false" customHeight="false" outlineLevel="0" collapsed="false">
      <c r="A32" s="8" t="s">
        <v>281</v>
      </c>
      <c r="B32" s="8" t="n">
        <v>5</v>
      </c>
      <c r="C32" s="9" t="s">
        <v>282</v>
      </c>
      <c r="D32" s="8" t="s">
        <v>101</v>
      </c>
      <c r="E32" s="8" t="s">
        <v>252</v>
      </c>
      <c r="F32" s="8" t="s">
        <v>283</v>
      </c>
      <c r="G32" s="8" t="s">
        <v>284</v>
      </c>
      <c r="H32" s="8" t="s">
        <v>285</v>
      </c>
      <c r="I32" s="8"/>
      <c r="J32" s="10" t="s">
        <v>286</v>
      </c>
      <c r="K32" s="11" t="s">
        <v>287</v>
      </c>
      <c r="L32" s="10" t="s">
        <v>98</v>
      </c>
    </row>
    <row r="33" customFormat="false" ht="23.85" hidden="false" customHeight="false" outlineLevel="0" collapsed="false">
      <c r="A33" s="12" t="s">
        <v>281</v>
      </c>
      <c r="B33" s="12" t="n">
        <v>4</v>
      </c>
      <c r="C33" s="13" t="s">
        <v>288</v>
      </c>
      <c r="D33" s="12" t="s">
        <v>125</v>
      </c>
      <c r="E33" s="12" t="s">
        <v>289</v>
      </c>
      <c r="F33" s="12" t="s">
        <v>290</v>
      </c>
      <c r="G33" s="12" t="s">
        <v>291</v>
      </c>
      <c r="H33" s="12" t="s">
        <v>292</v>
      </c>
      <c r="I33" s="12"/>
      <c r="J33" s="14" t="s">
        <v>293</v>
      </c>
      <c r="K33" s="15" t="s">
        <v>123</v>
      </c>
      <c r="L33" s="14" t="s">
        <v>98</v>
      </c>
    </row>
    <row r="34" customFormat="false" ht="23.85" hidden="false" customHeight="false" outlineLevel="0" collapsed="false">
      <c r="A34" s="12" t="s">
        <v>281</v>
      </c>
      <c r="B34" s="12" t="n">
        <v>4</v>
      </c>
      <c r="C34" s="13" t="s">
        <v>294</v>
      </c>
      <c r="D34" s="12" t="s">
        <v>295</v>
      </c>
      <c r="E34" s="12" t="s">
        <v>126</v>
      </c>
      <c r="F34" s="12" t="s">
        <v>296</v>
      </c>
      <c r="G34" s="12" t="s">
        <v>297</v>
      </c>
      <c r="H34" s="12" t="s">
        <v>298</v>
      </c>
      <c r="I34" s="12" t="s">
        <v>299</v>
      </c>
      <c r="J34" s="14" t="s">
        <v>300</v>
      </c>
      <c r="K34" s="15" t="s">
        <v>123</v>
      </c>
      <c r="L34" s="14" t="s">
        <v>98</v>
      </c>
    </row>
    <row r="35" customFormat="false" ht="23.85" hidden="false" customHeight="false" outlineLevel="0" collapsed="false">
      <c r="A35" s="12" t="s">
        <v>281</v>
      </c>
      <c r="B35" s="12" t="n">
        <v>3</v>
      </c>
      <c r="C35" s="13" t="s">
        <v>301</v>
      </c>
      <c r="D35" s="12" t="s">
        <v>125</v>
      </c>
      <c r="E35" s="12" t="s">
        <v>192</v>
      </c>
      <c r="F35" s="12" t="s">
        <v>302</v>
      </c>
      <c r="G35" s="12" t="s">
        <v>303</v>
      </c>
      <c r="H35" s="12" t="s">
        <v>304</v>
      </c>
      <c r="I35" s="12" t="s">
        <v>305</v>
      </c>
      <c r="J35" s="14" t="s">
        <v>306</v>
      </c>
      <c r="K35" s="15" t="s">
        <v>123</v>
      </c>
      <c r="L35" s="14" t="s">
        <v>98</v>
      </c>
    </row>
    <row r="36" customFormat="false" ht="23.85" hidden="false" customHeight="false" outlineLevel="0" collapsed="false">
      <c r="A36" s="8" t="s">
        <v>307</v>
      </c>
      <c r="B36" s="8" t="n">
        <v>5</v>
      </c>
      <c r="C36" s="9" t="s">
        <v>308</v>
      </c>
      <c r="D36" s="8" t="s">
        <v>101</v>
      </c>
      <c r="E36" s="8" t="s">
        <v>119</v>
      </c>
      <c r="F36" s="8" t="s">
        <v>309</v>
      </c>
      <c r="G36" s="8" t="s">
        <v>310</v>
      </c>
      <c r="H36" s="8" t="s">
        <v>311</v>
      </c>
      <c r="I36" s="8" t="s">
        <v>312</v>
      </c>
      <c r="J36" s="10" t="s">
        <v>313</v>
      </c>
      <c r="K36" s="11" t="s">
        <v>204</v>
      </c>
      <c r="L36" s="10" t="s">
        <v>98</v>
      </c>
    </row>
    <row r="37" customFormat="false" ht="23.85" hidden="false" customHeight="false" outlineLevel="0" collapsed="false">
      <c r="A37" s="12" t="s">
        <v>307</v>
      </c>
      <c r="B37" s="12" t="n">
        <v>4</v>
      </c>
      <c r="C37" s="13" t="s">
        <v>314</v>
      </c>
      <c r="D37" s="12" t="s">
        <v>138</v>
      </c>
      <c r="E37" s="12" t="s">
        <v>175</v>
      </c>
      <c r="F37" s="12" t="s">
        <v>315</v>
      </c>
      <c r="G37" s="12" t="s">
        <v>316</v>
      </c>
      <c r="H37" s="12" t="s">
        <v>317</v>
      </c>
      <c r="I37" s="12"/>
      <c r="J37" s="14" t="s">
        <v>318</v>
      </c>
      <c r="K37" s="15" t="s">
        <v>179</v>
      </c>
      <c r="L37" s="14" t="s">
        <v>98</v>
      </c>
    </row>
    <row r="38" customFormat="false" ht="35.05" hidden="false" customHeight="false" outlineLevel="0" collapsed="false">
      <c r="A38" s="12" t="s">
        <v>307</v>
      </c>
      <c r="B38" s="12" t="n">
        <v>4</v>
      </c>
      <c r="C38" s="13" t="s">
        <v>319</v>
      </c>
      <c r="D38" s="12" t="s">
        <v>101</v>
      </c>
      <c r="E38" s="12" t="s">
        <v>320</v>
      </c>
      <c r="F38" s="12" t="s">
        <v>321</v>
      </c>
      <c r="G38" s="12"/>
      <c r="H38" s="12"/>
      <c r="I38" s="12"/>
      <c r="J38" s="14" t="s">
        <v>322</v>
      </c>
      <c r="K38" s="15" t="s">
        <v>323</v>
      </c>
      <c r="L38" s="14" t="s">
        <v>98</v>
      </c>
    </row>
    <row r="39" customFormat="false" ht="23.85" hidden="false" customHeight="false" outlineLevel="0" collapsed="false">
      <c r="A39" s="12" t="s">
        <v>307</v>
      </c>
      <c r="B39" s="12" t="n">
        <v>3</v>
      </c>
      <c r="C39" s="13" t="s">
        <v>324</v>
      </c>
      <c r="D39" s="12" t="s">
        <v>125</v>
      </c>
      <c r="E39" s="12" t="s">
        <v>325</v>
      </c>
      <c r="F39" s="12" t="s">
        <v>326</v>
      </c>
      <c r="G39" s="12" t="s">
        <v>327</v>
      </c>
      <c r="H39" s="12"/>
      <c r="I39" s="12"/>
      <c r="J39" s="14" t="s">
        <v>328</v>
      </c>
      <c r="K39" s="15" t="s">
        <v>179</v>
      </c>
      <c r="L39" s="14" t="s">
        <v>98</v>
      </c>
    </row>
    <row r="40" customFormat="false" ht="23.85" hidden="false" customHeight="false" outlineLevel="0" collapsed="false">
      <c r="A40" s="12" t="s">
        <v>307</v>
      </c>
      <c r="B40" s="12" t="n">
        <v>3</v>
      </c>
      <c r="C40" s="13" t="s">
        <v>329</v>
      </c>
      <c r="D40" s="12" t="s">
        <v>125</v>
      </c>
      <c r="E40" s="12" t="s">
        <v>330</v>
      </c>
      <c r="F40" s="12" t="s">
        <v>331</v>
      </c>
      <c r="G40" s="12"/>
      <c r="H40" s="12"/>
      <c r="I40" s="12"/>
      <c r="J40" s="14" t="s">
        <v>332</v>
      </c>
      <c r="K40" s="15" t="s">
        <v>333</v>
      </c>
      <c r="L40" s="14" t="s">
        <v>98</v>
      </c>
    </row>
    <row r="41" customFormat="false" ht="23.85" hidden="false" customHeight="false" outlineLevel="0" collapsed="false">
      <c r="A41" s="12" t="s">
        <v>307</v>
      </c>
      <c r="B41" s="12" t="n">
        <v>3</v>
      </c>
      <c r="C41" s="13" t="s">
        <v>334</v>
      </c>
      <c r="D41" s="12" t="s">
        <v>335</v>
      </c>
      <c r="E41" s="12" t="s">
        <v>126</v>
      </c>
      <c r="F41" s="12" t="s">
        <v>336</v>
      </c>
      <c r="G41" s="12" t="s">
        <v>337</v>
      </c>
      <c r="H41" s="12" t="s">
        <v>338</v>
      </c>
      <c r="I41" s="12"/>
      <c r="J41" s="14" t="s">
        <v>339</v>
      </c>
      <c r="K41" s="15" t="s">
        <v>204</v>
      </c>
      <c r="L41" s="14" t="s">
        <v>98</v>
      </c>
    </row>
    <row r="42" customFormat="false" ht="23.85" hidden="false" customHeight="false" outlineLevel="0" collapsed="false">
      <c r="A42" s="12" t="s">
        <v>307</v>
      </c>
      <c r="B42" s="12" t="n">
        <v>3</v>
      </c>
      <c r="C42" s="13" t="s">
        <v>340</v>
      </c>
      <c r="D42" s="12" t="s">
        <v>262</v>
      </c>
      <c r="E42" s="12" t="s">
        <v>341</v>
      </c>
      <c r="F42" s="12" t="s">
        <v>342</v>
      </c>
      <c r="G42" s="12" t="s">
        <v>343</v>
      </c>
      <c r="H42" s="12" t="s">
        <v>344</v>
      </c>
      <c r="I42" s="12" t="s">
        <v>105</v>
      </c>
      <c r="J42" s="14" t="s">
        <v>345</v>
      </c>
      <c r="K42" s="15" t="s">
        <v>346</v>
      </c>
      <c r="L42" s="14" t="s">
        <v>98</v>
      </c>
    </row>
    <row r="43" customFormat="false" ht="35.05" hidden="false" customHeight="false" outlineLevel="0" collapsed="false">
      <c r="A43" s="12" t="s">
        <v>307</v>
      </c>
      <c r="B43" s="12" t="n">
        <v>3</v>
      </c>
      <c r="C43" s="13" t="s">
        <v>347</v>
      </c>
      <c r="D43" s="12" t="s">
        <v>101</v>
      </c>
      <c r="E43" s="12" t="s">
        <v>348</v>
      </c>
      <c r="F43" s="12" t="s">
        <v>349</v>
      </c>
      <c r="G43" s="12"/>
      <c r="H43" s="12" t="s">
        <v>350</v>
      </c>
      <c r="I43" s="12" t="s">
        <v>351</v>
      </c>
      <c r="J43" s="12"/>
      <c r="K43" s="15" t="s">
        <v>352</v>
      </c>
      <c r="L43" s="14" t="s">
        <v>98</v>
      </c>
    </row>
    <row r="44" customFormat="false" ht="23.85" hidden="false" customHeight="false" outlineLevel="0" collapsed="false">
      <c r="A44" s="8" t="s">
        <v>353</v>
      </c>
      <c r="B44" s="8" t="n">
        <v>5</v>
      </c>
      <c r="C44" s="9" t="s">
        <v>354</v>
      </c>
      <c r="D44" s="8" t="s">
        <v>125</v>
      </c>
      <c r="E44" s="8" t="s">
        <v>355</v>
      </c>
      <c r="F44" s="8" t="s">
        <v>356</v>
      </c>
      <c r="G44" s="8" t="s">
        <v>357</v>
      </c>
      <c r="H44" s="8" t="s">
        <v>358</v>
      </c>
      <c r="I44" s="8" t="s">
        <v>359</v>
      </c>
      <c r="J44" s="10" t="s">
        <v>360</v>
      </c>
      <c r="K44" s="11" t="s">
        <v>204</v>
      </c>
      <c r="L44" s="10" t="s">
        <v>98</v>
      </c>
    </row>
    <row r="45" customFormat="false" ht="23.85" hidden="false" customHeight="false" outlineLevel="0" collapsed="false">
      <c r="A45" s="12" t="s">
        <v>353</v>
      </c>
      <c r="B45" s="12" t="n">
        <v>4</v>
      </c>
      <c r="C45" s="13" t="s">
        <v>361</v>
      </c>
      <c r="D45" s="12" t="s">
        <v>262</v>
      </c>
      <c r="E45" s="12" t="s">
        <v>119</v>
      </c>
      <c r="F45" s="12" t="s">
        <v>362</v>
      </c>
      <c r="G45" s="12" t="s">
        <v>363</v>
      </c>
      <c r="H45" s="12" t="s">
        <v>364</v>
      </c>
      <c r="I45" s="12"/>
      <c r="J45" s="14" t="s">
        <v>365</v>
      </c>
      <c r="K45" s="15" t="s">
        <v>130</v>
      </c>
      <c r="L45" s="14" t="s">
        <v>98</v>
      </c>
    </row>
    <row r="46" customFormat="false" ht="35.05" hidden="false" customHeight="false" outlineLevel="0" collapsed="false">
      <c r="A46" s="12" t="s">
        <v>353</v>
      </c>
      <c r="B46" s="12" t="n">
        <v>4</v>
      </c>
      <c r="C46" s="13" t="s">
        <v>366</v>
      </c>
      <c r="D46" s="12" t="s">
        <v>101</v>
      </c>
      <c r="E46" s="12" t="s">
        <v>367</v>
      </c>
      <c r="F46" s="12" t="s">
        <v>368</v>
      </c>
      <c r="G46" s="12" t="s">
        <v>369</v>
      </c>
      <c r="H46" s="12" t="s">
        <v>370</v>
      </c>
      <c r="I46" s="12" t="s">
        <v>371</v>
      </c>
      <c r="J46" s="14" t="s">
        <v>372</v>
      </c>
      <c r="K46" s="15" t="s">
        <v>373</v>
      </c>
      <c r="L46" s="14" t="s">
        <v>98</v>
      </c>
    </row>
    <row r="47" customFormat="false" ht="23.85" hidden="false" customHeight="false" outlineLevel="0" collapsed="false">
      <c r="A47" s="8" t="s">
        <v>374</v>
      </c>
      <c r="B47" s="8" t="n">
        <v>4</v>
      </c>
      <c r="C47" s="9" t="s">
        <v>375</v>
      </c>
      <c r="D47" s="8" t="s">
        <v>376</v>
      </c>
      <c r="E47" s="8" t="s">
        <v>192</v>
      </c>
      <c r="F47" s="8" t="s">
        <v>377</v>
      </c>
      <c r="G47" s="8" t="s">
        <v>378</v>
      </c>
      <c r="H47" s="8"/>
      <c r="I47" s="8"/>
      <c r="J47" s="10" t="s">
        <v>379</v>
      </c>
      <c r="K47" s="11" t="s">
        <v>123</v>
      </c>
      <c r="L47" s="10" t="s">
        <v>98</v>
      </c>
    </row>
    <row r="48" customFormat="false" ht="23.85" hidden="false" customHeight="false" outlineLevel="0" collapsed="false">
      <c r="A48" s="8" t="s">
        <v>380</v>
      </c>
      <c r="B48" s="8" t="n">
        <v>4</v>
      </c>
      <c r="C48" s="9" t="s">
        <v>381</v>
      </c>
      <c r="D48" s="8" t="s">
        <v>125</v>
      </c>
      <c r="E48" s="8" t="s">
        <v>175</v>
      </c>
      <c r="F48" s="8" t="s">
        <v>382</v>
      </c>
      <c r="G48" s="8" t="s">
        <v>383</v>
      </c>
      <c r="H48" s="8" t="s">
        <v>384</v>
      </c>
      <c r="I48" s="8" t="s">
        <v>385</v>
      </c>
      <c r="J48" s="10" t="s">
        <v>386</v>
      </c>
      <c r="K48" s="11" t="s">
        <v>179</v>
      </c>
      <c r="L48" s="10" t="s">
        <v>98</v>
      </c>
    </row>
    <row r="49" customFormat="false" ht="23.85" hidden="false" customHeight="false" outlineLevel="0" collapsed="false">
      <c r="A49" s="12" t="s">
        <v>380</v>
      </c>
      <c r="B49" s="12" t="n">
        <v>4</v>
      </c>
      <c r="C49" s="13" t="s">
        <v>387</v>
      </c>
      <c r="D49" s="12" t="s">
        <v>125</v>
      </c>
      <c r="E49" s="12" t="s">
        <v>126</v>
      </c>
      <c r="F49" s="12" t="s">
        <v>388</v>
      </c>
      <c r="G49" s="12" t="s">
        <v>389</v>
      </c>
      <c r="H49" s="12" t="s">
        <v>390</v>
      </c>
      <c r="I49" s="12" t="s">
        <v>391</v>
      </c>
      <c r="J49" s="14" t="s">
        <v>392</v>
      </c>
      <c r="K49" s="15" t="s">
        <v>393</v>
      </c>
      <c r="L49" s="14" t="s">
        <v>98</v>
      </c>
    </row>
    <row r="50" customFormat="false" ht="23.85" hidden="false" customHeight="false" outlineLevel="0" collapsed="false">
      <c r="A50" s="12" t="s">
        <v>380</v>
      </c>
      <c r="B50" s="12" t="n">
        <v>4</v>
      </c>
      <c r="C50" s="13" t="s">
        <v>394</v>
      </c>
      <c r="D50" s="12" t="s">
        <v>138</v>
      </c>
      <c r="E50" s="12" t="s">
        <v>395</v>
      </c>
      <c r="F50" s="12" t="s">
        <v>396</v>
      </c>
      <c r="G50" s="12" t="s">
        <v>397</v>
      </c>
      <c r="H50" s="12"/>
      <c r="I50" s="12"/>
      <c r="J50" s="14" t="s">
        <v>398</v>
      </c>
      <c r="K50" s="15" t="s">
        <v>179</v>
      </c>
      <c r="L50" s="14" t="s">
        <v>98</v>
      </c>
    </row>
    <row r="51" customFormat="false" ht="35.05" hidden="false" customHeight="false" outlineLevel="0" collapsed="false">
      <c r="A51" s="12" t="s">
        <v>380</v>
      </c>
      <c r="B51" s="12" t="n">
        <v>3</v>
      </c>
      <c r="C51" s="13" t="s">
        <v>399</v>
      </c>
      <c r="D51" s="12" t="s">
        <v>262</v>
      </c>
      <c r="E51" s="12" t="s">
        <v>400</v>
      </c>
      <c r="F51" s="12" t="s">
        <v>401</v>
      </c>
      <c r="G51" s="12" t="s">
        <v>402</v>
      </c>
      <c r="H51" s="12"/>
      <c r="I51" s="12"/>
      <c r="J51" s="14" t="s">
        <v>403</v>
      </c>
      <c r="K51" s="15" t="s">
        <v>404</v>
      </c>
      <c r="L51" s="14" t="s">
        <v>98</v>
      </c>
    </row>
    <row r="52" customFormat="false" ht="23.85" hidden="false" customHeight="false" outlineLevel="0" collapsed="false">
      <c r="A52" s="8" t="s">
        <v>405</v>
      </c>
      <c r="B52" s="8" t="n">
        <v>5</v>
      </c>
      <c r="C52" s="9" t="s">
        <v>406</v>
      </c>
      <c r="D52" s="8" t="s">
        <v>125</v>
      </c>
      <c r="E52" s="8" t="s">
        <v>407</v>
      </c>
      <c r="F52" s="8" t="s">
        <v>408</v>
      </c>
      <c r="G52" s="8" t="s">
        <v>409</v>
      </c>
      <c r="H52" s="8" t="s">
        <v>410</v>
      </c>
      <c r="I52" s="8" t="s">
        <v>411</v>
      </c>
      <c r="J52" s="10" t="s">
        <v>412</v>
      </c>
      <c r="K52" s="11" t="s">
        <v>204</v>
      </c>
      <c r="L52" s="10" t="s">
        <v>98</v>
      </c>
    </row>
    <row r="53" customFormat="false" ht="23.85" hidden="false" customHeight="false" outlineLevel="0" collapsed="false">
      <c r="A53" s="12" t="s">
        <v>405</v>
      </c>
      <c r="B53" s="12" t="n">
        <v>5</v>
      </c>
      <c r="C53" s="13" t="s">
        <v>413</v>
      </c>
      <c r="D53" s="12" t="s">
        <v>101</v>
      </c>
      <c r="E53" s="12" t="s">
        <v>414</v>
      </c>
      <c r="F53" s="12" t="s">
        <v>415</v>
      </c>
      <c r="G53" s="12" t="s">
        <v>416</v>
      </c>
      <c r="H53" s="12" t="s">
        <v>417</v>
      </c>
      <c r="I53" s="12" t="s">
        <v>418</v>
      </c>
      <c r="J53" s="14" t="s">
        <v>419</v>
      </c>
      <c r="K53" s="15" t="s">
        <v>130</v>
      </c>
      <c r="L53" s="14" t="s">
        <v>98</v>
      </c>
    </row>
    <row r="54" customFormat="false" ht="35.05" hidden="false" customHeight="false" outlineLevel="0" collapsed="false">
      <c r="A54" s="12" t="s">
        <v>405</v>
      </c>
      <c r="B54" s="12" t="n">
        <v>5</v>
      </c>
      <c r="C54" s="13" t="s">
        <v>420</v>
      </c>
      <c r="D54" s="12" t="s">
        <v>101</v>
      </c>
      <c r="E54" s="12" t="s">
        <v>421</v>
      </c>
      <c r="F54" s="12" t="s">
        <v>422</v>
      </c>
      <c r="G54" s="12" t="s">
        <v>423</v>
      </c>
      <c r="H54" s="12"/>
      <c r="I54" s="12"/>
      <c r="J54" s="14" t="s">
        <v>424</v>
      </c>
      <c r="K54" s="15" t="s">
        <v>425</v>
      </c>
      <c r="L54" s="14" t="s">
        <v>98</v>
      </c>
    </row>
    <row r="55" customFormat="false" ht="35.05" hidden="false" customHeight="false" outlineLevel="0" collapsed="false">
      <c r="A55" s="12" t="s">
        <v>405</v>
      </c>
      <c r="B55" s="12" t="n">
        <v>5</v>
      </c>
      <c r="C55" s="13" t="s">
        <v>426</v>
      </c>
      <c r="D55" s="12" t="s">
        <v>101</v>
      </c>
      <c r="E55" s="12" t="s">
        <v>427</v>
      </c>
      <c r="F55" s="12" t="s">
        <v>428</v>
      </c>
      <c r="G55" s="12" t="s">
        <v>233</v>
      </c>
      <c r="H55" s="12" t="s">
        <v>429</v>
      </c>
      <c r="I55" s="12"/>
      <c r="J55" s="14" t="s">
        <v>430</v>
      </c>
      <c r="K55" s="15" t="s">
        <v>431</v>
      </c>
      <c r="L55" s="14" t="s">
        <v>98</v>
      </c>
    </row>
    <row r="56" customFormat="false" ht="23.85" hidden="false" customHeight="false" outlineLevel="0" collapsed="false">
      <c r="A56" s="12" t="s">
        <v>405</v>
      </c>
      <c r="B56" s="12" t="n">
        <v>4</v>
      </c>
      <c r="C56" s="13" t="s">
        <v>432</v>
      </c>
      <c r="D56" s="12" t="s">
        <v>125</v>
      </c>
      <c r="E56" s="12" t="s">
        <v>433</v>
      </c>
      <c r="F56" s="12" t="s">
        <v>434</v>
      </c>
      <c r="G56" s="12" t="s">
        <v>435</v>
      </c>
      <c r="H56" s="12"/>
      <c r="I56" s="12"/>
      <c r="J56" s="14" t="s">
        <v>436</v>
      </c>
      <c r="K56" s="15" t="s">
        <v>437</v>
      </c>
      <c r="L56" s="14" t="s">
        <v>98</v>
      </c>
    </row>
    <row r="57" customFormat="false" ht="35.05" hidden="false" customHeight="false" outlineLevel="0" collapsed="false">
      <c r="A57" s="12" t="s">
        <v>405</v>
      </c>
      <c r="B57" s="12" t="n">
        <v>4</v>
      </c>
      <c r="C57" s="13" t="s">
        <v>438</v>
      </c>
      <c r="D57" s="12" t="s">
        <v>125</v>
      </c>
      <c r="E57" s="12" t="s">
        <v>126</v>
      </c>
      <c r="F57" s="12" t="s">
        <v>439</v>
      </c>
      <c r="G57" s="12" t="s">
        <v>440</v>
      </c>
      <c r="H57" s="12" t="s">
        <v>441</v>
      </c>
      <c r="I57" s="12"/>
      <c r="J57" s="14" t="s">
        <v>442</v>
      </c>
      <c r="K57" s="15" t="s">
        <v>443</v>
      </c>
      <c r="L57" s="14" t="s">
        <v>98</v>
      </c>
    </row>
    <row r="58" customFormat="false" ht="23.85" hidden="false" customHeight="false" outlineLevel="0" collapsed="false">
      <c r="A58" s="12" t="s">
        <v>405</v>
      </c>
      <c r="B58" s="12" t="n">
        <v>4</v>
      </c>
      <c r="C58" s="13" t="s">
        <v>444</v>
      </c>
      <c r="D58" s="12" t="s">
        <v>138</v>
      </c>
      <c r="E58" s="12" t="s">
        <v>126</v>
      </c>
      <c r="F58" s="12" t="s">
        <v>445</v>
      </c>
      <c r="G58" s="12" t="s">
        <v>446</v>
      </c>
      <c r="H58" s="12"/>
      <c r="I58" s="12"/>
      <c r="J58" s="14" t="s">
        <v>447</v>
      </c>
      <c r="K58" s="15" t="s">
        <v>123</v>
      </c>
      <c r="L58" s="14" t="s">
        <v>98</v>
      </c>
    </row>
    <row r="59" customFormat="false" ht="15" hidden="false" customHeight="false" outlineLevel="0" collapsed="false">
      <c r="A59" s="12" t="s">
        <v>405</v>
      </c>
      <c r="B59" s="12" t="n">
        <v>3</v>
      </c>
      <c r="C59" s="13" t="s">
        <v>448</v>
      </c>
      <c r="D59" s="12" t="s">
        <v>295</v>
      </c>
      <c r="E59" s="12" t="s">
        <v>192</v>
      </c>
      <c r="F59" s="12" t="s">
        <v>449</v>
      </c>
      <c r="G59" s="12" t="s">
        <v>450</v>
      </c>
      <c r="H59" s="12"/>
      <c r="I59" s="12"/>
      <c r="J59" s="14" t="s">
        <v>451</v>
      </c>
      <c r="K59" s="15" t="s">
        <v>123</v>
      </c>
      <c r="L59" s="14" t="s">
        <v>98</v>
      </c>
    </row>
  </sheetData>
  <autoFilter ref="A4:L59"/>
  <mergeCells count="1">
    <mergeCell ref="A2:L2"/>
  </mergeCells>
  <hyperlinks>
    <hyperlink ref="J5" r:id="rId1" display="https://www.qogita.com"/>
    <hyperlink ref="L5" r:id="rId2" location="Suppliers!A310" display="Go to row"/>
    <hyperlink ref="J6" r:id="rId3" display="https://www.babybase.co.uk"/>
    <hyperlink ref="L6" r:id="rId4" location="Suppliers!A311" display="Go to row"/>
    <hyperlink ref="J7" r:id="rId5" display="https://www.beaba.com"/>
    <hyperlink ref="L7" r:id="rId6" location="Suppliers!A53" display="Go to row"/>
    <hyperlink ref="J8" r:id="rId7" display="https://www.mapa.de"/>
    <hyperlink ref="L8" r:id="rId8" location="Suppliers!A65" display="Go to row"/>
    <hyperlink ref="J9" r:id="rId9" display="https://www.mambaby.com"/>
    <hyperlink ref="L9" r:id="rId10" location="Suppliers!A66" display="Go to row"/>
    <hyperlink ref="J10" r:id="rId11" display="https://www.artsana.com"/>
    <hyperlink ref="L10" r:id="rId12" location="Suppliers!A139" display="Go to row"/>
    <hyperlink ref="J11" r:id="rId13" display="https://www.cosnova.com"/>
    <hyperlink ref="L11" r:id="rId14" location="Suppliers!A71" display="Go to row"/>
    <hyperlink ref="J12" r:id="rId15" display="https://www.weleda.de"/>
    <hyperlink ref="L12" r:id="rId16" location="Suppliers!A72" display="Go to row"/>
    <hyperlink ref="J13" r:id="rId17" display="https://qudobeauty.com"/>
    <hyperlink ref="L13" r:id="rId18" location="Suppliers!A264" display="Go to row"/>
    <hyperlink ref="J14" r:id="rId19" display="https://www.toolbank.com"/>
    <hyperlink ref="L14" r:id="rId20" location="Suppliers!A314" display="Go to row"/>
    <hyperlink ref="J15" r:id="rId21" display="https://www.fiskarsgroup.com"/>
    <hyperlink ref="L15" r:id="rId22" location="Suppliers!A50" display="Go to row"/>
    <hyperlink ref="J16" r:id="rId23" display="https://www.einhell.com/einhell-worldwide/"/>
    <hyperlink ref="L16" r:id="rId24" location="Suppliers!A75" display="Go to row"/>
    <hyperlink ref="J17" r:id="rId25" display="https://www.fischer.de"/>
    <hyperlink ref="L17" r:id="rId26" location="Suppliers!A76" display="Go to row"/>
    <hyperlink ref="J18" r:id="rId27" display="https://www.gardena.com"/>
    <hyperlink ref="L18" r:id="rId28" location="Suppliers!A77" display="Go to row"/>
    <hyperlink ref="J19" r:id="rId29" display="https://www.knipex.com"/>
    <hyperlink ref="L19" r:id="rId30" location="Suppliers!A78" display="Go to row"/>
    <hyperlink ref="J20" r:id="rId31" display="https://www.wera.de"/>
    <hyperlink ref="L20" r:id="rId32" location="Suppliers!A79" display="Go to row"/>
    <hyperlink ref="J21" r:id="rId33" display="https://www.wiha.com"/>
    <hyperlink ref="L21" r:id="rId34" location="Suppliers!A80" display="Go to row"/>
    <hyperlink ref="J22" r:id="rId35" display="https://www.drapertools.com"/>
    <hyperlink ref="L22" r:id="rId36" location="Suppliers!A315" display="Go to row"/>
    <hyperlink ref="J23" r:id="rId37" display="https://bosch-pt.com/uk_bssdealer/uk/en/start/bss_acct/dealers_list/campbell_miller.htm"/>
    <hyperlink ref="L23" r:id="rId38" location="Suppliers!A316" display="Go to row"/>
    <hyperlink ref="J24" r:id="rId39" display="https://www.knights-fragrances.co.uk"/>
    <hyperlink ref="L24" r:id="rId40" location="Suppliers!A318" display="Go to row"/>
    <hyperlink ref="J25" r:id="rId41" display="https://www.bjutip.com"/>
    <hyperlink ref="L25" r:id="rId42" location="Suppliers!A22" display="Go to row"/>
    <hyperlink ref="J26" r:id="rId43" display="https://www.shaneel.com/shaneel-enterprises"/>
    <hyperlink ref="L26" r:id="rId44" location="Suppliers!A319" display="Go to row"/>
    <hyperlink ref="L27" r:id="rId45" location="Suppliers!A85" display="Go to row"/>
    <hyperlink ref="L28" r:id="rId46" location="Suppliers!A213" display="Go to row"/>
    <hyperlink ref="J29" r:id="rId47" display="https://www.westcoastsupplygroup.com"/>
    <hyperlink ref="L29" r:id="rId48" location="Suppliers!A169" display="Go to row"/>
    <hyperlink ref="J30" r:id="rId49" display="https://www.booker.co.uk"/>
    <hyperlink ref="L30" r:id="rId50" location="Suppliers!A322" display="Go to row"/>
    <hyperlink ref="J31" r:id="rId51" display="https://www.costco.co.uk"/>
    <hyperlink ref="L31" r:id="rId52" location="Suppliers!A323" display="Go to row"/>
    <hyperlink ref="J32" r:id="rId53" display="https://www.harrisonsdirect.co.uk"/>
    <hyperlink ref="L32" r:id="rId54" location="Suppliers!A329" display="Go to row"/>
    <hyperlink ref="J33" r:id="rId55" display="https://www.beurer.com/uk/facts/"/>
    <hyperlink ref="L33" r:id="rId56" location="Suppliers!A86" display="Go to row"/>
    <hyperlink ref="J34" r:id="rId57" display="https://tepe.com/global/contact"/>
    <hyperlink ref="L34" r:id="rId58" location="Suppliers!A304" display="Go to row"/>
    <hyperlink ref="J35" r:id="rId59" display="https://www.medisana.de"/>
    <hyperlink ref="L35" r:id="rId60" location="Suppliers!A87" display="Go to row"/>
    <hyperlink ref="J36" r:id="rId61" display="https://www.rkwltd.com"/>
    <hyperlink ref="L36" r:id="rId62" location="Suppliers!A335" display="Go to row"/>
    <hyperlink ref="J37" r:id="rId63" display="https://www.bialetti.it"/>
    <hyperlink ref="L37" r:id="rId64" location="Suppliers!A147" display="Go to row"/>
    <hyperlink ref="J38" r:id="rId65" display="https://www.epeinternational.com"/>
    <hyperlink ref="L38" r:id="rId66" location="Suppliers!A336" display="Go to row"/>
    <hyperlink ref="J39" r:id="rId67" display="https://www.leifheit.com"/>
    <hyperlink ref="L39" r:id="rId68" location="Suppliers!A91" display="Go to row"/>
    <hyperlink ref="J40" r:id="rId69" display="https://www.ifa-berlin.com/exhibitors/wolfsohn"/>
    <hyperlink ref="L40" r:id="rId70" location="Suppliers!A92" display="Go to row"/>
    <hyperlink ref="J41" r:id="rId71" display="https://www.curver.com"/>
    <hyperlink ref="L41" r:id="rId72" location="Suppliers!A166" display="Go to row"/>
    <hyperlink ref="J42" r:id="rId73" display="https://www.brabantia.com/uk/offices"/>
    <hyperlink ref="L42" r:id="rId74" location="Suppliers!A172" display="Go to row"/>
    <hyperlink ref="L43" r:id="rId75" location="Suppliers!A337" display="Go to row"/>
    <hyperlink ref="J44" r:id="rId76" display="https://www.trixie.de"/>
    <hyperlink ref="L44" r:id="rId77" location="Suppliers!A97" display="Go to row"/>
    <hyperlink ref="J45" r:id="rId78" display="https://www.beaphar.com"/>
    <hyperlink ref="L45" r:id="rId79" location="Suppliers!A179" display="Go to row"/>
    <hyperlink ref="J46" r:id="rId80" display="https://www.petproducts.co.uk"/>
    <hyperlink ref="L46" r:id="rId81" location="Suppliers!A341" display="Go to row"/>
    <hyperlink ref="J47" r:id="rId82" display="https://www.oase-outdoors.dk"/>
    <hyperlink ref="L47" r:id="rId83" location="Suppliers!A45" display="Go to row"/>
    <hyperlink ref="J48" r:id="rId84" display="https://www.edding.com/en-uk/"/>
    <hyperlink ref="L48" r:id="rId85" location="Suppliers!A117" display="Go to row"/>
    <hyperlink ref="J49" r:id="rId86" display="https://www.staedtler.com/intl/en/company"/>
    <hyperlink ref="L49" r:id="rId87" location="Suppliers!A118" display="Go to row"/>
    <hyperlink ref="J50" r:id="rId88" display="https://www.fila.it"/>
    <hyperlink ref="L50" r:id="rId89" location="Suppliers!A159" display="Go to row"/>
    <hyperlink ref="J51" r:id="rId90" display="https://www.also.com/ec/cms5/en_2420/2420/index.jsp"/>
    <hyperlink ref="L51" r:id="rId91" location="Suppliers!A183" display="Go to row"/>
    <hyperlink ref="J52" r:id="rId92" display="https://www.kosmos.de"/>
    <hyperlink ref="L52" r:id="rId93" location="Suppliers!A122" display="Go to row"/>
    <hyperlink ref="J53" r:id="rId94" display="https://www.abgee.co.uk"/>
    <hyperlink ref="L53" r:id="rId95" location="Suppliers!A351" display="Go to row"/>
    <hyperlink ref="J54" r:id="rId96" display="https://www.nda-toys.com"/>
    <hyperlink ref="L54" r:id="rId97" location="Suppliers!A352" display="Go to row"/>
    <hyperlink ref="J55" r:id="rId98" display="https://www.wind-designs.com"/>
    <hyperlink ref="L55" r:id="rId99" location="Suppliers!A353" display="Go to row"/>
    <hyperlink ref="J56" r:id="rId100" display="https://www.carrera-revell-toys.com"/>
    <hyperlink ref="L56" r:id="rId101" location="Suppliers!A123" display="Go to row"/>
    <hyperlink ref="J57" r:id="rId102" display="https://www.simba-dickie-group.com"/>
    <hyperlink ref="L57" r:id="rId103" location="Suppliers!A124" display="Go to row"/>
    <hyperlink ref="J58" r:id="rId104" display="https://www.clementoni.com"/>
    <hyperlink ref="L58" r:id="rId105" location="Suppliers!A161" display="Go to row"/>
    <hyperlink ref="J59" r:id="rId106" display="https://www.brio.eu"/>
    <hyperlink ref="L59" r:id="rId107" location="Suppliers!A307" display="Go to row"/>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3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
    <col collapsed="false" customWidth="true" hidden="false" outlineLevel="0" max="3" min="3" style="0" width="9"/>
    <col collapsed="false" customWidth="true" hidden="false" outlineLevel="0" max="4" min="4" style="0" width="18"/>
    <col collapsed="false" customWidth="true" hidden="false" outlineLevel="0" max="5" min="5" style="0" width="30"/>
    <col collapsed="false" customWidth="true" hidden="false" outlineLevel="0" max="6" min="6" style="0" width="16"/>
    <col collapsed="false" customWidth="true" hidden="false" outlineLevel="0" max="7" min="7" style="0" width="30"/>
    <col collapsed="false" customWidth="true" hidden="false" outlineLevel="0" max="8" min="8" style="0" width="20"/>
    <col collapsed="false" customWidth="true" hidden="false" outlineLevel="0" max="9" min="9" style="0" width="16"/>
    <col collapsed="false" customWidth="true" hidden="false" outlineLevel="0" max="10" min="10" style="0" width="10"/>
    <col collapsed="false" customWidth="true" hidden="false" outlineLevel="0" max="11" min="11" style="0" width="12"/>
    <col collapsed="false" customWidth="true" hidden="false" outlineLevel="0" max="12" min="12" style="0" width="34"/>
    <col collapsed="false" customWidth="true" hidden="false" outlineLevel="0" max="13" min="13" style="0" width="18"/>
    <col collapsed="false" customWidth="true" hidden="false" outlineLevel="0" max="14" min="14" style="0" width="28"/>
    <col collapsed="false" customWidth="true" hidden="false" outlineLevel="0" max="15" min="15" style="0" width="20"/>
    <col collapsed="false" customWidth="true" hidden="false" outlineLevel="0" max="16" min="16" style="0" width="38"/>
    <col collapsed="false" customWidth="true" hidden="false" outlineLevel="0" max="17" min="17" style="0" width="20"/>
    <col collapsed="false" customWidth="true" hidden="false" outlineLevel="0" max="18" min="18" style="0" width="22"/>
    <col collapsed="false" customWidth="true" hidden="false" outlineLevel="0" max="19" min="19" style="0" width="28"/>
    <col collapsed="false" customWidth="true" hidden="false" outlineLevel="0" max="20" min="20" style="0" width="18"/>
    <col collapsed="false" customWidth="true" hidden="false" outlineLevel="0" max="21" min="21" style="0" width="16"/>
    <col collapsed="false" customWidth="true" hidden="false" outlineLevel="0" max="22" min="22" style="0" width="11"/>
    <col collapsed="false" customWidth="true" hidden="false" outlineLevel="0" max="23" min="23" style="0" width="18"/>
    <col collapsed="false" customWidth="true" hidden="false" outlineLevel="0" max="24" min="24" style="0" width="34"/>
    <col collapsed="false" customWidth="true" hidden="false" outlineLevel="0" max="26" min="25" style="0" width="36"/>
    <col collapsed="false" customWidth="true" hidden="false" outlineLevel="0" max="27" min="27" style="0" width="22"/>
    <col collapsed="false" customWidth="true" hidden="false" outlineLevel="0" max="28" min="28" style="0" width="40"/>
    <col collapsed="false" customWidth="true" hidden="false" outlineLevel="0" max="29" min="29" style="0" width="13"/>
    <col collapsed="false" customWidth="true" hidden="false" outlineLevel="0" max="30" min="30" style="0" width="15"/>
    <col collapsed="false" customWidth="true" hidden="false" outlineLevel="0" max="31" min="31" style="0" width="10"/>
    <col collapsed="false" customWidth="true" hidden="false" outlineLevel="0" max="32" min="32" style="0" width="18"/>
    <col collapsed="false" customWidth="true" hidden="false" outlineLevel="0" max="34" min="33" style="0" width="13"/>
    <col collapsed="false" customWidth="true" hidden="false" outlineLevel="0" max="35" min="35" style="0" width="18"/>
    <col collapsed="false" customWidth="true" hidden="false" outlineLevel="0" max="36" min="36" style="0" width="30"/>
    <col collapsed="false" customWidth="true" hidden="false" outlineLevel="0" max="37" min="37" style="0" width="13"/>
    <col collapsed="false" customWidth="true" hidden="false" outlineLevel="0" max="38" min="38" style="0" width="12"/>
    <col collapsed="false" customWidth="true" hidden="false" outlineLevel="0" max="39" min="39" style="0" width="26"/>
  </cols>
  <sheetData>
    <row r="1" customFormat="false" ht="31.5" hidden="false" customHeight="true" outlineLevel="0" collapsed="false">
      <c r="A1" s="7" t="s">
        <v>90</v>
      </c>
      <c r="B1" s="7" t="s">
        <v>452</v>
      </c>
      <c r="C1" s="7" t="s">
        <v>453</v>
      </c>
      <c r="D1" s="7" t="s">
        <v>87</v>
      </c>
      <c r="E1" s="7" t="s">
        <v>89</v>
      </c>
      <c r="F1" s="7" t="s">
        <v>454</v>
      </c>
      <c r="G1" s="7" t="s">
        <v>96</v>
      </c>
      <c r="H1" s="7" t="s">
        <v>455</v>
      </c>
      <c r="I1" s="7" t="s">
        <v>21</v>
      </c>
      <c r="J1" s="7" t="s">
        <v>456</v>
      </c>
      <c r="K1" s="7" t="s">
        <v>457</v>
      </c>
      <c r="L1" s="7" t="s">
        <v>458</v>
      </c>
      <c r="M1" s="7" t="s">
        <v>94</v>
      </c>
      <c r="N1" s="7" t="s">
        <v>95</v>
      </c>
      <c r="O1" s="7" t="s">
        <v>91</v>
      </c>
      <c r="P1" s="7" t="s">
        <v>92</v>
      </c>
      <c r="Q1" s="7" t="s">
        <v>459</v>
      </c>
      <c r="R1" s="7" t="s">
        <v>460</v>
      </c>
      <c r="S1" s="7" t="s">
        <v>461</v>
      </c>
      <c r="T1" s="7" t="s">
        <v>462</v>
      </c>
      <c r="U1" s="7" t="s">
        <v>463</v>
      </c>
      <c r="V1" s="7" t="s">
        <v>464</v>
      </c>
      <c r="W1" s="7" t="s">
        <v>465</v>
      </c>
      <c r="X1" s="7" t="s">
        <v>466</v>
      </c>
      <c r="Y1" s="7" t="s">
        <v>93</v>
      </c>
      <c r="Z1" s="7" t="s">
        <v>467</v>
      </c>
      <c r="AA1" s="7" t="s">
        <v>468</v>
      </c>
      <c r="AB1" s="7" t="s">
        <v>469</v>
      </c>
      <c r="AC1" s="7" t="s">
        <v>470</v>
      </c>
      <c r="AD1" s="7" t="s">
        <v>471</v>
      </c>
      <c r="AE1" s="7" t="s">
        <v>472</v>
      </c>
      <c r="AF1" s="18" t="s">
        <v>473</v>
      </c>
      <c r="AG1" s="18" t="s">
        <v>474</v>
      </c>
      <c r="AH1" s="18" t="s">
        <v>475</v>
      </c>
      <c r="AI1" s="18" t="s">
        <v>476</v>
      </c>
      <c r="AJ1" s="18" t="s">
        <v>477</v>
      </c>
      <c r="AK1" s="18" t="s">
        <v>478</v>
      </c>
      <c r="AL1" s="18" t="s">
        <v>479</v>
      </c>
      <c r="AM1" s="18" t="s">
        <v>480</v>
      </c>
    </row>
    <row r="2" customFormat="false" ht="23.85" hidden="false" customHeight="false" outlineLevel="0" collapsed="false">
      <c r="A2" s="19" t="s">
        <v>481</v>
      </c>
      <c r="B2" s="20" t="n">
        <v>1</v>
      </c>
      <c r="C2" s="21" t="n">
        <v>3</v>
      </c>
      <c r="D2" s="8" t="s">
        <v>380</v>
      </c>
      <c r="E2" s="8" t="s">
        <v>482</v>
      </c>
      <c r="F2" s="8" t="s">
        <v>483</v>
      </c>
      <c r="G2" s="10" t="s">
        <v>484</v>
      </c>
      <c r="H2" s="8" t="s">
        <v>485</v>
      </c>
      <c r="I2" s="8"/>
      <c r="J2" s="8" t="s">
        <v>486</v>
      </c>
      <c r="K2" s="8" t="s">
        <v>487</v>
      </c>
      <c r="L2" s="8" t="s">
        <v>488</v>
      </c>
      <c r="M2" s="8"/>
      <c r="N2" s="8"/>
      <c r="O2" s="8" t="s">
        <v>126</v>
      </c>
      <c r="P2" s="8" t="s">
        <v>489</v>
      </c>
      <c r="Q2" s="8" t="s">
        <v>490</v>
      </c>
      <c r="R2" s="8" t="s">
        <v>491</v>
      </c>
      <c r="S2" s="8" t="s">
        <v>492</v>
      </c>
      <c r="T2" s="8" t="s">
        <v>493</v>
      </c>
      <c r="U2" s="8" t="s">
        <v>494</v>
      </c>
      <c r="V2" s="8" t="s">
        <v>494</v>
      </c>
      <c r="W2" s="8"/>
      <c r="X2" s="8" t="s">
        <v>495</v>
      </c>
      <c r="Y2" s="8"/>
      <c r="Z2" s="8"/>
      <c r="AA2" s="8" t="s">
        <v>496</v>
      </c>
      <c r="AB2" s="8" t="s">
        <v>497</v>
      </c>
      <c r="AC2" s="10" t="s">
        <v>498</v>
      </c>
      <c r="AD2" s="10" t="s">
        <v>499</v>
      </c>
      <c r="AE2" s="8" t="s">
        <v>500</v>
      </c>
      <c r="AF2" s="22" t="s">
        <v>501</v>
      </c>
      <c r="AG2" s="23"/>
      <c r="AH2" s="22"/>
      <c r="AI2" s="22"/>
      <c r="AJ2" s="22"/>
      <c r="AK2" s="23" t="str">
        <f aca="false">IF(AG2="","",WORKDAY(AG2,5))</f>
        <v/>
      </c>
      <c r="AL2" s="22"/>
      <c r="AM2" s="22"/>
    </row>
    <row r="3" customFormat="false" ht="35.05" hidden="false" customHeight="false" outlineLevel="0" collapsed="false">
      <c r="A3" s="24" t="s">
        <v>481</v>
      </c>
      <c r="B3" s="25" t="n">
        <v>2</v>
      </c>
      <c r="C3" s="26" t="n">
        <v>3</v>
      </c>
      <c r="D3" s="12" t="s">
        <v>405</v>
      </c>
      <c r="E3" s="12" t="s">
        <v>502</v>
      </c>
      <c r="F3" s="12" t="s">
        <v>483</v>
      </c>
      <c r="G3" s="14" t="s">
        <v>503</v>
      </c>
      <c r="H3" s="12" t="s">
        <v>504</v>
      </c>
      <c r="I3" s="12"/>
      <c r="J3" s="12" t="s">
        <v>486</v>
      </c>
      <c r="K3" s="12" t="s">
        <v>487</v>
      </c>
      <c r="L3" s="12" t="s">
        <v>505</v>
      </c>
      <c r="M3" s="12"/>
      <c r="N3" s="12"/>
      <c r="O3" s="12" t="s">
        <v>506</v>
      </c>
      <c r="P3" s="12" t="s">
        <v>507</v>
      </c>
      <c r="Q3" s="12" t="s">
        <v>508</v>
      </c>
      <c r="R3" s="12" t="s">
        <v>491</v>
      </c>
      <c r="S3" s="12" t="s">
        <v>509</v>
      </c>
      <c r="T3" s="12" t="s">
        <v>510</v>
      </c>
      <c r="U3" s="12" t="s">
        <v>494</v>
      </c>
      <c r="V3" s="12" t="s">
        <v>494</v>
      </c>
      <c r="W3" s="12"/>
      <c r="X3" s="12" t="s">
        <v>511</v>
      </c>
      <c r="Y3" s="12" t="s">
        <v>512</v>
      </c>
      <c r="Z3" s="12"/>
      <c r="AA3" s="12" t="s">
        <v>513</v>
      </c>
      <c r="AB3" s="12" t="s">
        <v>123</v>
      </c>
      <c r="AC3" s="14" t="s">
        <v>498</v>
      </c>
      <c r="AD3" s="14" t="s">
        <v>499</v>
      </c>
      <c r="AE3" s="12" t="s">
        <v>500</v>
      </c>
      <c r="AF3" s="27" t="s">
        <v>501</v>
      </c>
      <c r="AG3" s="28"/>
      <c r="AH3" s="27"/>
      <c r="AI3" s="27"/>
      <c r="AJ3" s="27"/>
      <c r="AK3" s="28" t="str">
        <f aca="false">IF(AG3="","",WORKDAY(AG3,5))</f>
        <v/>
      </c>
      <c r="AL3" s="27"/>
      <c r="AM3" s="27"/>
    </row>
    <row r="4" customFormat="false" ht="35.05" hidden="false" customHeight="false" outlineLevel="0" collapsed="false">
      <c r="A4" s="24" t="s">
        <v>481</v>
      </c>
      <c r="B4" s="25" t="n">
        <v>3</v>
      </c>
      <c r="C4" s="26" t="n">
        <v>3</v>
      </c>
      <c r="D4" s="12" t="s">
        <v>405</v>
      </c>
      <c r="E4" s="12" t="s">
        <v>514</v>
      </c>
      <c r="F4" s="12" t="s">
        <v>483</v>
      </c>
      <c r="G4" s="14" t="s">
        <v>515</v>
      </c>
      <c r="H4" s="12" t="s">
        <v>485</v>
      </c>
      <c r="I4" s="12"/>
      <c r="J4" s="12" t="s">
        <v>486</v>
      </c>
      <c r="K4" s="12" t="s">
        <v>487</v>
      </c>
      <c r="L4" s="12" t="s">
        <v>485</v>
      </c>
      <c r="M4" s="12"/>
      <c r="N4" s="12"/>
      <c r="O4" s="12" t="s">
        <v>126</v>
      </c>
      <c r="P4" s="12" t="s">
        <v>516</v>
      </c>
      <c r="Q4" s="12" t="s">
        <v>517</v>
      </c>
      <c r="R4" s="12" t="s">
        <v>518</v>
      </c>
      <c r="S4" s="12" t="s">
        <v>519</v>
      </c>
      <c r="T4" s="12" t="s">
        <v>520</v>
      </c>
      <c r="U4" s="12" t="s">
        <v>494</v>
      </c>
      <c r="V4" s="12" t="s">
        <v>494</v>
      </c>
      <c r="W4" s="12"/>
      <c r="X4" s="12" t="s">
        <v>521</v>
      </c>
      <c r="Y4" s="12"/>
      <c r="Z4" s="12"/>
      <c r="AA4" s="12" t="s">
        <v>522</v>
      </c>
      <c r="AB4" s="12" t="s">
        <v>497</v>
      </c>
      <c r="AC4" s="14" t="s">
        <v>498</v>
      </c>
      <c r="AD4" s="14" t="s">
        <v>499</v>
      </c>
      <c r="AE4" s="12" t="s">
        <v>500</v>
      </c>
      <c r="AF4" s="27" t="s">
        <v>501</v>
      </c>
      <c r="AG4" s="28"/>
      <c r="AH4" s="27"/>
      <c r="AI4" s="27"/>
      <c r="AJ4" s="27"/>
      <c r="AK4" s="28" t="str">
        <f aca="false">IF(AG4="","",WORKDAY(AG4,5))</f>
        <v/>
      </c>
      <c r="AL4" s="27"/>
      <c r="AM4" s="27"/>
    </row>
    <row r="5" customFormat="false" ht="35.05" hidden="false" customHeight="false" outlineLevel="0" collapsed="false">
      <c r="A5" s="29" t="s">
        <v>523</v>
      </c>
      <c r="B5" s="30" t="n">
        <v>4</v>
      </c>
      <c r="C5" s="21" t="n">
        <v>4</v>
      </c>
      <c r="D5" s="8" t="s">
        <v>166</v>
      </c>
      <c r="E5" s="8" t="s">
        <v>524</v>
      </c>
      <c r="F5" s="8" t="s">
        <v>525</v>
      </c>
      <c r="G5" s="10" t="s">
        <v>526</v>
      </c>
      <c r="H5" s="8" t="s">
        <v>527</v>
      </c>
      <c r="I5" s="8"/>
      <c r="J5" s="8" t="s">
        <v>486</v>
      </c>
      <c r="K5" s="8" t="s">
        <v>487</v>
      </c>
      <c r="L5" s="8" t="s">
        <v>528</v>
      </c>
      <c r="M5" s="8" t="s">
        <v>529</v>
      </c>
      <c r="N5" s="8" t="s">
        <v>530</v>
      </c>
      <c r="O5" s="8" t="s">
        <v>119</v>
      </c>
      <c r="P5" s="8" t="s">
        <v>531</v>
      </c>
      <c r="Q5" s="8" t="s">
        <v>532</v>
      </c>
      <c r="R5" s="8" t="s">
        <v>518</v>
      </c>
      <c r="S5" s="8" t="s">
        <v>519</v>
      </c>
      <c r="T5" s="8" t="s">
        <v>533</v>
      </c>
      <c r="U5" s="8" t="s">
        <v>494</v>
      </c>
      <c r="V5" s="8" t="s">
        <v>494</v>
      </c>
      <c r="W5" s="8"/>
      <c r="X5" s="8" t="s">
        <v>534</v>
      </c>
      <c r="Y5" s="8" t="s">
        <v>535</v>
      </c>
      <c r="Z5" s="8"/>
      <c r="AA5" s="8" t="s">
        <v>536</v>
      </c>
      <c r="AB5" s="8" t="s">
        <v>537</v>
      </c>
      <c r="AC5" s="10" t="s">
        <v>498</v>
      </c>
      <c r="AD5" s="10" t="s">
        <v>499</v>
      </c>
      <c r="AE5" s="8" t="s">
        <v>500</v>
      </c>
      <c r="AF5" s="22" t="s">
        <v>501</v>
      </c>
      <c r="AG5" s="23"/>
      <c r="AH5" s="22"/>
      <c r="AI5" s="22"/>
      <c r="AJ5" s="22"/>
      <c r="AK5" s="23" t="str">
        <f aca="false">IF(AG5="","",WORKDAY(AG5,5))</f>
        <v/>
      </c>
      <c r="AL5" s="22"/>
      <c r="AM5" s="22"/>
    </row>
    <row r="6" customFormat="false" ht="23.85" hidden="false" customHeight="false" outlineLevel="0" collapsed="false">
      <c r="A6" s="31" t="s">
        <v>523</v>
      </c>
      <c r="B6" s="32" t="n">
        <v>5</v>
      </c>
      <c r="C6" s="26" t="n">
        <v>3</v>
      </c>
      <c r="D6" s="12" t="s">
        <v>229</v>
      </c>
      <c r="E6" s="12" t="s">
        <v>538</v>
      </c>
      <c r="F6" s="12" t="s">
        <v>483</v>
      </c>
      <c r="G6" s="14" t="s">
        <v>539</v>
      </c>
      <c r="H6" s="12" t="s">
        <v>540</v>
      </c>
      <c r="I6" s="12"/>
      <c r="J6" s="12" t="s">
        <v>486</v>
      </c>
      <c r="K6" s="12" t="s">
        <v>487</v>
      </c>
      <c r="L6" s="12" t="s">
        <v>541</v>
      </c>
      <c r="M6" s="12" t="s">
        <v>542</v>
      </c>
      <c r="N6" s="12"/>
      <c r="O6" s="12" t="s">
        <v>543</v>
      </c>
      <c r="P6" s="12" t="s">
        <v>544</v>
      </c>
      <c r="Q6" s="12" t="s">
        <v>545</v>
      </c>
      <c r="R6" s="12" t="s">
        <v>518</v>
      </c>
      <c r="S6" s="12" t="s">
        <v>546</v>
      </c>
      <c r="T6" s="12" t="s">
        <v>547</v>
      </c>
      <c r="U6" s="12" t="s">
        <v>494</v>
      </c>
      <c r="V6" s="12" t="s">
        <v>494</v>
      </c>
      <c r="W6" s="12"/>
      <c r="X6" s="12" t="s">
        <v>548</v>
      </c>
      <c r="Y6" s="12" t="s">
        <v>549</v>
      </c>
      <c r="Z6" s="12"/>
      <c r="AA6" s="12" t="s">
        <v>550</v>
      </c>
      <c r="AB6" s="12" t="s">
        <v>551</v>
      </c>
      <c r="AC6" s="14" t="s">
        <v>498</v>
      </c>
      <c r="AD6" s="14" t="s">
        <v>499</v>
      </c>
      <c r="AE6" s="12" t="s">
        <v>552</v>
      </c>
      <c r="AF6" s="27" t="s">
        <v>501</v>
      </c>
      <c r="AG6" s="28"/>
      <c r="AH6" s="27"/>
      <c r="AI6" s="27"/>
      <c r="AJ6" s="27"/>
      <c r="AK6" s="28" t="str">
        <f aca="false">IF(AG6="","",WORKDAY(AG6,5))</f>
        <v/>
      </c>
      <c r="AL6" s="27"/>
      <c r="AM6" s="27"/>
    </row>
    <row r="7" customFormat="false" ht="46.25" hidden="false" customHeight="false" outlineLevel="0" collapsed="false">
      <c r="A7" s="31" t="s">
        <v>523</v>
      </c>
      <c r="B7" s="32" t="n">
        <v>6</v>
      </c>
      <c r="C7" s="26" t="n">
        <v>3</v>
      </c>
      <c r="D7" s="12" t="s">
        <v>307</v>
      </c>
      <c r="E7" s="12" t="s">
        <v>553</v>
      </c>
      <c r="F7" s="12" t="s">
        <v>525</v>
      </c>
      <c r="G7" s="14" t="s">
        <v>554</v>
      </c>
      <c r="H7" s="12" t="s">
        <v>555</v>
      </c>
      <c r="I7" s="12"/>
      <c r="J7" s="12" t="s">
        <v>486</v>
      </c>
      <c r="K7" s="12" t="s">
        <v>487</v>
      </c>
      <c r="L7" s="12" t="s">
        <v>556</v>
      </c>
      <c r="M7" s="12" t="s">
        <v>557</v>
      </c>
      <c r="N7" s="12" t="s">
        <v>558</v>
      </c>
      <c r="O7" s="12" t="s">
        <v>119</v>
      </c>
      <c r="P7" s="12" t="s">
        <v>559</v>
      </c>
      <c r="Q7" s="12" t="s">
        <v>560</v>
      </c>
      <c r="R7" s="12" t="s">
        <v>518</v>
      </c>
      <c r="S7" s="12" t="s">
        <v>561</v>
      </c>
      <c r="T7" s="12" t="s">
        <v>562</v>
      </c>
      <c r="U7" s="12" t="s">
        <v>494</v>
      </c>
      <c r="V7" s="12" t="s">
        <v>494</v>
      </c>
      <c r="W7" s="12" t="s">
        <v>563</v>
      </c>
      <c r="X7" s="12" t="s">
        <v>564</v>
      </c>
      <c r="Y7" s="12" t="s">
        <v>565</v>
      </c>
      <c r="Z7" s="12" t="s">
        <v>566</v>
      </c>
      <c r="AA7" s="12" t="s">
        <v>536</v>
      </c>
      <c r="AB7" s="12" t="s">
        <v>567</v>
      </c>
      <c r="AC7" s="14" t="s">
        <v>498</v>
      </c>
      <c r="AD7" s="14" t="s">
        <v>499</v>
      </c>
      <c r="AE7" s="12" t="s">
        <v>568</v>
      </c>
      <c r="AF7" s="27" t="s">
        <v>501</v>
      </c>
      <c r="AG7" s="28"/>
      <c r="AH7" s="27"/>
      <c r="AI7" s="27"/>
      <c r="AJ7" s="27"/>
      <c r="AK7" s="28" t="str">
        <f aca="false">IF(AG7="","",WORKDAY(AG7,5))</f>
        <v/>
      </c>
      <c r="AL7" s="27"/>
      <c r="AM7" s="27"/>
    </row>
    <row r="8" customFormat="false" ht="23.85" hidden="false" customHeight="false" outlineLevel="0" collapsed="false">
      <c r="A8" s="31" t="s">
        <v>523</v>
      </c>
      <c r="B8" s="32" t="n">
        <v>7</v>
      </c>
      <c r="C8" s="26" t="n">
        <v>4</v>
      </c>
      <c r="D8" s="12" t="s">
        <v>353</v>
      </c>
      <c r="E8" s="12" t="s">
        <v>569</v>
      </c>
      <c r="F8" s="12" t="s">
        <v>483</v>
      </c>
      <c r="G8" s="14" t="s">
        <v>570</v>
      </c>
      <c r="H8" s="12" t="s">
        <v>571</v>
      </c>
      <c r="I8" s="12"/>
      <c r="J8" s="12" t="s">
        <v>486</v>
      </c>
      <c r="K8" s="12" t="s">
        <v>487</v>
      </c>
      <c r="L8" s="12" t="s">
        <v>572</v>
      </c>
      <c r="M8" s="12" t="s">
        <v>573</v>
      </c>
      <c r="N8" s="12" t="s">
        <v>574</v>
      </c>
      <c r="O8" s="12" t="s">
        <v>126</v>
      </c>
      <c r="P8" s="12" t="s">
        <v>575</v>
      </c>
      <c r="Q8" s="12" t="s">
        <v>576</v>
      </c>
      <c r="R8" s="12" t="s">
        <v>518</v>
      </c>
      <c r="S8" s="12" t="s">
        <v>492</v>
      </c>
      <c r="T8" s="12" t="s">
        <v>577</v>
      </c>
      <c r="U8" s="12" t="s">
        <v>494</v>
      </c>
      <c r="V8" s="12" t="s">
        <v>494</v>
      </c>
      <c r="W8" s="12"/>
      <c r="X8" s="12" t="s">
        <v>578</v>
      </c>
      <c r="Y8" s="12"/>
      <c r="Z8" s="12"/>
      <c r="AA8" s="12" t="s">
        <v>579</v>
      </c>
      <c r="AB8" s="12" t="s">
        <v>204</v>
      </c>
      <c r="AC8" s="14" t="s">
        <v>498</v>
      </c>
      <c r="AD8" s="14" t="s">
        <v>499</v>
      </c>
      <c r="AE8" s="12" t="s">
        <v>500</v>
      </c>
      <c r="AF8" s="27" t="s">
        <v>501</v>
      </c>
      <c r="AG8" s="28"/>
      <c r="AH8" s="27"/>
      <c r="AI8" s="27"/>
      <c r="AJ8" s="27"/>
      <c r="AK8" s="28" t="str">
        <f aca="false">IF(AG8="","",WORKDAY(AG8,5))</f>
        <v/>
      </c>
      <c r="AL8" s="27"/>
      <c r="AM8" s="27"/>
    </row>
    <row r="9" customFormat="false" ht="23.85" hidden="false" customHeight="false" outlineLevel="0" collapsed="false">
      <c r="A9" s="31" t="s">
        <v>523</v>
      </c>
      <c r="B9" s="32" t="n">
        <v>8</v>
      </c>
      <c r="C9" s="26" t="n">
        <v>4</v>
      </c>
      <c r="D9" s="12" t="s">
        <v>353</v>
      </c>
      <c r="E9" s="12" t="s">
        <v>580</v>
      </c>
      <c r="F9" s="12" t="s">
        <v>525</v>
      </c>
      <c r="G9" s="14" t="s">
        <v>581</v>
      </c>
      <c r="H9" s="12" t="s">
        <v>582</v>
      </c>
      <c r="I9" s="12"/>
      <c r="J9" s="12" t="s">
        <v>486</v>
      </c>
      <c r="K9" s="12" t="s">
        <v>487</v>
      </c>
      <c r="L9" s="12" t="s">
        <v>583</v>
      </c>
      <c r="M9" s="12" t="s">
        <v>584</v>
      </c>
      <c r="N9" s="12" t="s">
        <v>585</v>
      </c>
      <c r="O9" s="12" t="s">
        <v>586</v>
      </c>
      <c r="P9" s="12" t="s">
        <v>587</v>
      </c>
      <c r="Q9" s="12" t="s">
        <v>588</v>
      </c>
      <c r="R9" s="12" t="s">
        <v>518</v>
      </c>
      <c r="S9" s="12" t="s">
        <v>589</v>
      </c>
      <c r="T9" s="12" t="s">
        <v>562</v>
      </c>
      <c r="U9" s="12" t="s">
        <v>494</v>
      </c>
      <c r="V9" s="12" t="s">
        <v>494</v>
      </c>
      <c r="W9" s="12"/>
      <c r="X9" s="12" t="s">
        <v>590</v>
      </c>
      <c r="Y9" s="12"/>
      <c r="Z9" s="12"/>
      <c r="AA9" s="12" t="s">
        <v>591</v>
      </c>
      <c r="AB9" s="12" t="s">
        <v>204</v>
      </c>
      <c r="AC9" s="14" t="s">
        <v>498</v>
      </c>
      <c r="AD9" s="14" t="s">
        <v>499</v>
      </c>
      <c r="AE9" s="12" t="s">
        <v>568</v>
      </c>
      <c r="AF9" s="27" t="s">
        <v>501</v>
      </c>
      <c r="AG9" s="28"/>
      <c r="AH9" s="27"/>
      <c r="AI9" s="27"/>
      <c r="AJ9" s="27"/>
      <c r="AK9" s="28" t="str">
        <f aca="false">IF(AG9="","",WORKDAY(AG9,5))</f>
        <v/>
      </c>
      <c r="AL9" s="27"/>
      <c r="AM9" s="27"/>
    </row>
    <row r="10" customFormat="false" ht="23.85" hidden="false" customHeight="false" outlineLevel="0" collapsed="false">
      <c r="A10" s="31" t="s">
        <v>523</v>
      </c>
      <c r="B10" s="32" t="n">
        <v>9</v>
      </c>
      <c r="C10" s="26" t="n">
        <v>3</v>
      </c>
      <c r="D10" s="12" t="s">
        <v>353</v>
      </c>
      <c r="E10" s="12" t="s">
        <v>592</v>
      </c>
      <c r="F10" s="12" t="s">
        <v>525</v>
      </c>
      <c r="G10" s="14" t="s">
        <v>593</v>
      </c>
      <c r="H10" s="12" t="s">
        <v>594</v>
      </c>
      <c r="I10" s="12"/>
      <c r="J10" s="12" t="s">
        <v>486</v>
      </c>
      <c r="K10" s="12" t="s">
        <v>487</v>
      </c>
      <c r="L10" s="12" t="s">
        <v>595</v>
      </c>
      <c r="M10" s="12" t="s">
        <v>596</v>
      </c>
      <c r="N10" s="12"/>
      <c r="O10" s="12" t="s">
        <v>433</v>
      </c>
      <c r="P10" s="12" t="s">
        <v>597</v>
      </c>
      <c r="Q10" s="12" t="s">
        <v>598</v>
      </c>
      <c r="R10" s="12" t="s">
        <v>518</v>
      </c>
      <c r="S10" s="12" t="s">
        <v>599</v>
      </c>
      <c r="T10" s="12" t="s">
        <v>562</v>
      </c>
      <c r="U10" s="12" t="s">
        <v>494</v>
      </c>
      <c r="V10" s="12" t="s">
        <v>494</v>
      </c>
      <c r="W10" s="12"/>
      <c r="X10" s="12" t="s">
        <v>600</v>
      </c>
      <c r="Y10" s="12"/>
      <c r="Z10" s="12"/>
      <c r="AA10" s="12" t="s">
        <v>601</v>
      </c>
      <c r="AB10" s="12" t="s">
        <v>123</v>
      </c>
      <c r="AC10" s="14" t="s">
        <v>498</v>
      </c>
      <c r="AD10" s="14" t="s">
        <v>499</v>
      </c>
      <c r="AE10" s="12" t="s">
        <v>602</v>
      </c>
      <c r="AF10" s="27" t="s">
        <v>501</v>
      </c>
      <c r="AG10" s="28"/>
      <c r="AH10" s="27"/>
      <c r="AI10" s="27"/>
      <c r="AJ10" s="27"/>
      <c r="AK10" s="28" t="str">
        <f aca="false">IF(AG10="","",WORKDAY(AG10,5))</f>
        <v/>
      </c>
      <c r="AL10" s="27"/>
      <c r="AM10" s="27"/>
    </row>
    <row r="11" customFormat="false" ht="23.85" hidden="false" customHeight="false" outlineLevel="0" collapsed="false">
      <c r="A11" s="31" t="s">
        <v>523</v>
      </c>
      <c r="B11" s="32" t="n">
        <v>10</v>
      </c>
      <c r="C11" s="26" t="n">
        <v>3</v>
      </c>
      <c r="D11" s="12" t="s">
        <v>353</v>
      </c>
      <c r="E11" s="12" t="s">
        <v>603</v>
      </c>
      <c r="F11" s="12" t="s">
        <v>525</v>
      </c>
      <c r="G11" s="14" t="s">
        <v>604</v>
      </c>
      <c r="H11" s="12" t="s">
        <v>605</v>
      </c>
      <c r="I11" s="12"/>
      <c r="J11" s="12" t="s">
        <v>486</v>
      </c>
      <c r="K11" s="12" t="s">
        <v>487</v>
      </c>
      <c r="L11" s="12" t="s">
        <v>606</v>
      </c>
      <c r="M11" s="12"/>
      <c r="N11" s="12"/>
      <c r="O11" s="12" t="s">
        <v>433</v>
      </c>
      <c r="P11" s="12" t="s">
        <v>607</v>
      </c>
      <c r="Q11" s="12" t="s">
        <v>608</v>
      </c>
      <c r="R11" s="12" t="s">
        <v>518</v>
      </c>
      <c r="S11" s="12" t="s">
        <v>492</v>
      </c>
      <c r="T11" s="12" t="s">
        <v>609</v>
      </c>
      <c r="U11" s="12" t="s">
        <v>494</v>
      </c>
      <c r="V11" s="12" t="s">
        <v>494</v>
      </c>
      <c r="W11" s="12"/>
      <c r="X11" s="12" t="s">
        <v>610</v>
      </c>
      <c r="Y11" s="12"/>
      <c r="Z11" s="12"/>
      <c r="AA11" s="12" t="s">
        <v>611</v>
      </c>
      <c r="AB11" s="12" t="s">
        <v>204</v>
      </c>
      <c r="AC11" s="14" t="s">
        <v>498</v>
      </c>
      <c r="AD11" s="14" t="s">
        <v>499</v>
      </c>
      <c r="AE11" s="12" t="s">
        <v>500</v>
      </c>
      <c r="AF11" s="27" t="s">
        <v>501</v>
      </c>
      <c r="AG11" s="28"/>
      <c r="AH11" s="27"/>
      <c r="AI11" s="27"/>
      <c r="AJ11" s="27"/>
      <c r="AK11" s="28" t="str">
        <f aca="false">IF(AG11="","",WORKDAY(AG11,5))</f>
        <v/>
      </c>
      <c r="AL11" s="27"/>
      <c r="AM11" s="27"/>
    </row>
    <row r="12" customFormat="false" ht="23.85" hidden="false" customHeight="false" outlineLevel="0" collapsed="false">
      <c r="A12" s="31" t="s">
        <v>523</v>
      </c>
      <c r="B12" s="32" t="n">
        <v>11</v>
      </c>
      <c r="C12" s="26" t="n">
        <v>3</v>
      </c>
      <c r="D12" s="12" t="s">
        <v>353</v>
      </c>
      <c r="E12" s="12" t="s">
        <v>612</v>
      </c>
      <c r="F12" s="12" t="s">
        <v>525</v>
      </c>
      <c r="G12" s="14" t="s">
        <v>613</v>
      </c>
      <c r="H12" s="12" t="s">
        <v>614</v>
      </c>
      <c r="I12" s="12"/>
      <c r="J12" s="12" t="s">
        <v>486</v>
      </c>
      <c r="K12" s="12" t="s">
        <v>487</v>
      </c>
      <c r="L12" s="12" t="s">
        <v>615</v>
      </c>
      <c r="M12" s="12" t="s">
        <v>616</v>
      </c>
      <c r="N12" s="12"/>
      <c r="O12" s="12" t="s">
        <v>617</v>
      </c>
      <c r="P12" s="12" t="s">
        <v>618</v>
      </c>
      <c r="Q12" s="12" t="s">
        <v>598</v>
      </c>
      <c r="R12" s="12" t="s">
        <v>518</v>
      </c>
      <c r="S12" s="12" t="s">
        <v>619</v>
      </c>
      <c r="T12" s="12" t="s">
        <v>562</v>
      </c>
      <c r="U12" s="12" t="s">
        <v>494</v>
      </c>
      <c r="V12" s="12" t="s">
        <v>494</v>
      </c>
      <c r="W12" s="12" t="s">
        <v>620</v>
      </c>
      <c r="X12" s="12" t="s">
        <v>621</v>
      </c>
      <c r="Y12" s="12"/>
      <c r="Z12" s="12" t="s">
        <v>622</v>
      </c>
      <c r="AA12" s="12" t="s">
        <v>623</v>
      </c>
      <c r="AB12" s="12" t="s">
        <v>130</v>
      </c>
      <c r="AC12" s="14" t="s">
        <v>498</v>
      </c>
      <c r="AD12" s="14" t="s">
        <v>499</v>
      </c>
      <c r="AE12" s="12" t="s">
        <v>500</v>
      </c>
      <c r="AF12" s="27" t="s">
        <v>501</v>
      </c>
      <c r="AG12" s="28"/>
      <c r="AH12" s="27"/>
      <c r="AI12" s="27"/>
      <c r="AJ12" s="27"/>
      <c r="AK12" s="28" t="str">
        <f aca="false">IF(AG12="","",WORKDAY(AG12,5))</f>
        <v/>
      </c>
      <c r="AL12" s="27"/>
      <c r="AM12" s="27"/>
    </row>
    <row r="13" customFormat="false" ht="35.05" hidden="false" customHeight="false" outlineLevel="0" collapsed="false">
      <c r="A13" s="19" t="s">
        <v>624</v>
      </c>
      <c r="B13" s="20" t="n">
        <v>12</v>
      </c>
      <c r="C13" s="21" t="n">
        <v>4</v>
      </c>
      <c r="D13" s="8" t="s">
        <v>143</v>
      </c>
      <c r="E13" s="33" t="s">
        <v>625</v>
      </c>
      <c r="F13" s="8" t="s">
        <v>525</v>
      </c>
      <c r="G13" s="10" t="s">
        <v>593</v>
      </c>
      <c r="H13" s="8" t="s">
        <v>626</v>
      </c>
      <c r="I13" s="8"/>
      <c r="J13" s="8" t="s">
        <v>486</v>
      </c>
      <c r="K13" s="8" t="s">
        <v>627</v>
      </c>
      <c r="L13" s="8" t="s">
        <v>628</v>
      </c>
      <c r="M13" s="8"/>
      <c r="N13" s="8" t="s">
        <v>629</v>
      </c>
      <c r="O13" s="8" t="s">
        <v>630</v>
      </c>
      <c r="P13" s="8" t="s">
        <v>631</v>
      </c>
      <c r="Q13" s="8" t="s">
        <v>632</v>
      </c>
      <c r="R13" s="8" t="s">
        <v>518</v>
      </c>
      <c r="S13" s="8" t="s">
        <v>633</v>
      </c>
      <c r="T13" s="8" t="s">
        <v>562</v>
      </c>
      <c r="U13" s="8" t="s">
        <v>494</v>
      </c>
      <c r="V13" s="8" t="s">
        <v>494</v>
      </c>
      <c r="W13" s="8" t="s">
        <v>634</v>
      </c>
      <c r="X13" s="8" t="s">
        <v>635</v>
      </c>
      <c r="Y13" s="8" t="s">
        <v>636</v>
      </c>
      <c r="Z13" s="8"/>
      <c r="AA13" s="8" t="s">
        <v>637</v>
      </c>
      <c r="AB13" s="8" t="s">
        <v>179</v>
      </c>
      <c r="AC13" s="10" t="s">
        <v>498</v>
      </c>
      <c r="AD13" s="10" t="s">
        <v>499</v>
      </c>
      <c r="AE13" s="8" t="s">
        <v>638</v>
      </c>
      <c r="AF13" s="22" t="s">
        <v>501</v>
      </c>
      <c r="AG13" s="23"/>
      <c r="AH13" s="22"/>
      <c r="AI13" s="22"/>
      <c r="AJ13" s="22"/>
      <c r="AK13" s="23" t="str">
        <f aca="false">IF(AG13="","",WORKDAY(AG13,5))</f>
        <v/>
      </c>
      <c r="AL13" s="22"/>
      <c r="AM13" s="22"/>
    </row>
    <row r="14" customFormat="false" ht="35.05" hidden="false" customHeight="false" outlineLevel="0" collapsed="false">
      <c r="A14" s="24" t="s">
        <v>624</v>
      </c>
      <c r="B14" s="25" t="n">
        <v>13</v>
      </c>
      <c r="C14" s="26" t="n">
        <v>3</v>
      </c>
      <c r="D14" s="12" t="s">
        <v>143</v>
      </c>
      <c r="E14" s="34" t="s">
        <v>639</v>
      </c>
      <c r="F14" s="12" t="s">
        <v>525</v>
      </c>
      <c r="G14" s="14" t="s">
        <v>640</v>
      </c>
      <c r="H14" s="12" t="s">
        <v>641</v>
      </c>
      <c r="I14" s="12"/>
      <c r="J14" s="12" t="s">
        <v>486</v>
      </c>
      <c r="K14" s="12" t="s">
        <v>627</v>
      </c>
      <c r="L14" s="12" t="s">
        <v>642</v>
      </c>
      <c r="M14" s="12"/>
      <c r="N14" s="12"/>
      <c r="O14" s="12" t="s">
        <v>643</v>
      </c>
      <c r="P14" s="12" t="s">
        <v>644</v>
      </c>
      <c r="Q14" s="12" t="s">
        <v>645</v>
      </c>
      <c r="R14" s="12" t="s">
        <v>518</v>
      </c>
      <c r="S14" s="12" t="s">
        <v>646</v>
      </c>
      <c r="T14" s="12" t="s">
        <v>562</v>
      </c>
      <c r="U14" s="12" t="s">
        <v>494</v>
      </c>
      <c r="V14" s="12" t="s">
        <v>494</v>
      </c>
      <c r="W14" s="12"/>
      <c r="X14" s="12" t="s">
        <v>647</v>
      </c>
      <c r="Y14" s="12" t="s">
        <v>648</v>
      </c>
      <c r="Z14" s="12" t="s">
        <v>649</v>
      </c>
      <c r="AA14" s="12" t="s">
        <v>650</v>
      </c>
      <c r="AB14" s="12" t="s">
        <v>497</v>
      </c>
      <c r="AC14" s="14" t="s">
        <v>498</v>
      </c>
      <c r="AD14" s="14" t="s">
        <v>499</v>
      </c>
      <c r="AE14" s="12" t="s">
        <v>638</v>
      </c>
      <c r="AF14" s="27" t="s">
        <v>501</v>
      </c>
      <c r="AG14" s="28"/>
      <c r="AH14" s="27"/>
      <c r="AI14" s="27"/>
      <c r="AJ14" s="27"/>
      <c r="AK14" s="28" t="str">
        <f aca="false">IF(AG14="","",WORKDAY(AG14,5))</f>
        <v/>
      </c>
      <c r="AL14" s="27"/>
      <c r="AM14" s="27"/>
    </row>
    <row r="15" customFormat="false" ht="23.85" hidden="false" customHeight="false" outlineLevel="0" collapsed="false">
      <c r="A15" s="24" t="s">
        <v>624</v>
      </c>
      <c r="B15" s="25" t="n">
        <v>14</v>
      </c>
      <c r="C15" s="26" t="n">
        <v>3</v>
      </c>
      <c r="D15" s="12" t="s">
        <v>307</v>
      </c>
      <c r="E15" s="34" t="s">
        <v>651</v>
      </c>
      <c r="F15" s="12" t="s">
        <v>525</v>
      </c>
      <c r="G15" s="14" t="s">
        <v>593</v>
      </c>
      <c r="H15" s="12" t="s">
        <v>652</v>
      </c>
      <c r="I15" s="12"/>
      <c r="J15" s="12" t="s">
        <v>486</v>
      </c>
      <c r="K15" s="12" t="s">
        <v>627</v>
      </c>
      <c r="L15" s="12" t="s">
        <v>653</v>
      </c>
      <c r="M15" s="12" t="s">
        <v>654</v>
      </c>
      <c r="N15" s="12"/>
      <c r="O15" s="12" t="s">
        <v>655</v>
      </c>
      <c r="P15" s="12" t="s">
        <v>656</v>
      </c>
      <c r="Q15" s="12" t="s">
        <v>657</v>
      </c>
      <c r="R15" s="12" t="s">
        <v>518</v>
      </c>
      <c r="S15" s="12" t="s">
        <v>658</v>
      </c>
      <c r="T15" s="12" t="s">
        <v>562</v>
      </c>
      <c r="U15" s="12" t="s">
        <v>494</v>
      </c>
      <c r="V15" s="12" t="s">
        <v>494</v>
      </c>
      <c r="W15" s="12"/>
      <c r="X15" s="12" t="s">
        <v>659</v>
      </c>
      <c r="Y15" s="12" t="s">
        <v>660</v>
      </c>
      <c r="Z15" s="12"/>
      <c r="AA15" s="12" t="s">
        <v>661</v>
      </c>
      <c r="AB15" s="12" t="s">
        <v>204</v>
      </c>
      <c r="AC15" s="14" t="s">
        <v>498</v>
      </c>
      <c r="AD15" s="14" t="s">
        <v>499</v>
      </c>
      <c r="AE15" s="12" t="s">
        <v>638</v>
      </c>
      <c r="AF15" s="27" t="s">
        <v>501</v>
      </c>
      <c r="AG15" s="28"/>
      <c r="AH15" s="27"/>
      <c r="AI15" s="27"/>
      <c r="AJ15" s="27"/>
      <c r="AK15" s="28" t="str">
        <f aca="false">IF(AG15="","",WORKDAY(AG15,5))</f>
        <v/>
      </c>
      <c r="AL15" s="27"/>
      <c r="AM15" s="27"/>
    </row>
    <row r="16" customFormat="false" ht="23.85" hidden="false" customHeight="false" outlineLevel="0" collapsed="false">
      <c r="A16" s="29" t="s">
        <v>662</v>
      </c>
      <c r="B16" s="30" t="n">
        <v>15</v>
      </c>
      <c r="C16" s="21" t="n">
        <v>3</v>
      </c>
      <c r="D16" s="8" t="s">
        <v>281</v>
      </c>
      <c r="E16" s="33" t="s">
        <v>663</v>
      </c>
      <c r="F16" s="8" t="s">
        <v>525</v>
      </c>
      <c r="G16" s="10" t="s">
        <v>664</v>
      </c>
      <c r="H16" s="8" t="s">
        <v>665</v>
      </c>
      <c r="I16" s="8"/>
      <c r="J16" s="8" t="s">
        <v>486</v>
      </c>
      <c r="K16" s="8" t="s">
        <v>627</v>
      </c>
      <c r="L16" s="8" t="s">
        <v>666</v>
      </c>
      <c r="M16" s="8" t="s">
        <v>667</v>
      </c>
      <c r="N16" s="8"/>
      <c r="O16" s="8" t="s">
        <v>630</v>
      </c>
      <c r="P16" s="8" t="s">
        <v>668</v>
      </c>
      <c r="Q16" s="8" t="s">
        <v>669</v>
      </c>
      <c r="R16" s="8" t="s">
        <v>670</v>
      </c>
      <c r="S16" s="8" t="s">
        <v>671</v>
      </c>
      <c r="T16" s="8" t="s">
        <v>562</v>
      </c>
      <c r="U16" s="8" t="s">
        <v>494</v>
      </c>
      <c r="V16" s="8" t="s">
        <v>494</v>
      </c>
      <c r="W16" s="8"/>
      <c r="X16" s="8" t="s">
        <v>672</v>
      </c>
      <c r="Y16" s="8" t="s">
        <v>673</v>
      </c>
      <c r="Z16" s="8"/>
      <c r="AA16" s="8" t="s">
        <v>674</v>
      </c>
      <c r="AB16" s="8" t="s">
        <v>179</v>
      </c>
      <c r="AC16" s="10" t="s">
        <v>498</v>
      </c>
      <c r="AD16" s="10" t="s">
        <v>499</v>
      </c>
      <c r="AE16" s="8" t="s">
        <v>638</v>
      </c>
      <c r="AF16" s="22" t="s">
        <v>501</v>
      </c>
      <c r="AG16" s="23"/>
      <c r="AH16" s="22"/>
      <c r="AI16" s="22"/>
      <c r="AJ16" s="22"/>
      <c r="AK16" s="23" t="str">
        <f aca="false">IF(AG16="","",WORKDAY(AG16,5))</f>
        <v/>
      </c>
      <c r="AL16" s="22"/>
      <c r="AM16" s="22"/>
    </row>
    <row r="17" customFormat="false" ht="23.85" hidden="false" customHeight="false" outlineLevel="0" collapsed="false">
      <c r="A17" s="19" t="s">
        <v>237</v>
      </c>
      <c r="B17" s="20" t="n">
        <v>16</v>
      </c>
      <c r="C17" s="21" t="n">
        <v>3</v>
      </c>
      <c r="D17" s="8" t="s">
        <v>143</v>
      </c>
      <c r="E17" s="33" t="s">
        <v>675</v>
      </c>
      <c r="F17" s="8" t="s">
        <v>483</v>
      </c>
      <c r="G17" s="10" t="s">
        <v>676</v>
      </c>
      <c r="H17" s="8" t="s">
        <v>677</v>
      </c>
      <c r="I17" s="8"/>
      <c r="J17" s="8" t="s">
        <v>486</v>
      </c>
      <c r="K17" s="8" t="s">
        <v>627</v>
      </c>
      <c r="L17" s="8" t="s">
        <v>678</v>
      </c>
      <c r="M17" s="8"/>
      <c r="N17" s="8"/>
      <c r="O17" s="8" t="s">
        <v>126</v>
      </c>
      <c r="P17" s="8" t="s">
        <v>679</v>
      </c>
      <c r="Q17" s="8" t="s">
        <v>680</v>
      </c>
      <c r="R17" s="8" t="s">
        <v>491</v>
      </c>
      <c r="S17" s="8" t="s">
        <v>681</v>
      </c>
      <c r="T17" s="8" t="s">
        <v>562</v>
      </c>
      <c r="U17" s="8" t="s">
        <v>494</v>
      </c>
      <c r="V17" s="8" t="s">
        <v>494</v>
      </c>
      <c r="W17" s="8"/>
      <c r="X17" s="8" t="s">
        <v>682</v>
      </c>
      <c r="Y17" s="8" t="s">
        <v>683</v>
      </c>
      <c r="Z17" s="8" t="s">
        <v>684</v>
      </c>
      <c r="AA17" s="8" t="s">
        <v>685</v>
      </c>
      <c r="AB17" s="8" t="s">
        <v>204</v>
      </c>
      <c r="AC17" s="10" t="s">
        <v>498</v>
      </c>
      <c r="AD17" s="10" t="s">
        <v>499</v>
      </c>
      <c r="AE17" s="8" t="s">
        <v>638</v>
      </c>
      <c r="AF17" s="22" t="s">
        <v>501</v>
      </c>
      <c r="AG17" s="23"/>
      <c r="AH17" s="22"/>
      <c r="AI17" s="22"/>
      <c r="AJ17" s="22"/>
      <c r="AK17" s="23" t="str">
        <f aca="false">IF(AG17="","",WORKDAY(AG17,5))</f>
        <v/>
      </c>
      <c r="AL17" s="22"/>
      <c r="AM17" s="22"/>
    </row>
    <row r="18" customFormat="false" ht="23.85" hidden="false" customHeight="false" outlineLevel="0" collapsed="false">
      <c r="A18" s="24" t="s">
        <v>237</v>
      </c>
      <c r="B18" s="25" t="n">
        <v>17</v>
      </c>
      <c r="C18" s="26" t="n">
        <v>3</v>
      </c>
      <c r="D18" s="12" t="s">
        <v>143</v>
      </c>
      <c r="E18" s="34" t="s">
        <v>686</v>
      </c>
      <c r="F18" s="12" t="s">
        <v>525</v>
      </c>
      <c r="G18" s="14" t="s">
        <v>593</v>
      </c>
      <c r="H18" s="12" t="s">
        <v>677</v>
      </c>
      <c r="I18" s="12"/>
      <c r="J18" s="12" t="s">
        <v>486</v>
      </c>
      <c r="K18" s="12" t="s">
        <v>627</v>
      </c>
      <c r="L18" s="12" t="s">
        <v>687</v>
      </c>
      <c r="M18" s="12"/>
      <c r="N18" s="12"/>
      <c r="O18" s="12" t="s">
        <v>688</v>
      </c>
      <c r="P18" s="12" t="s">
        <v>689</v>
      </c>
      <c r="Q18" s="12" t="s">
        <v>690</v>
      </c>
      <c r="R18" s="12" t="s">
        <v>518</v>
      </c>
      <c r="S18" s="12" t="s">
        <v>691</v>
      </c>
      <c r="T18" s="12" t="s">
        <v>562</v>
      </c>
      <c r="U18" s="12" t="s">
        <v>494</v>
      </c>
      <c r="V18" s="12" t="s">
        <v>494</v>
      </c>
      <c r="W18" s="12" t="s">
        <v>692</v>
      </c>
      <c r="X18" s="12" t="s">
        <v>693</v>
      </c>
      <c r="Y18" s="12" t="s">
        <v>694</v>
      </c>
      <c r="Z18" s="12"/>
      <c r="AA18" s="12" t="s">
        <v>695</v>
      </c>
      <c r="AB18" s="12" t="s">
        <v>497</v>
      </c>
      <c r="AC18" s="14" t="s">
        <v>498</v>
      </c>
      <c r="AD18" s="14" t="s">
        <v>499</v>
      </c>
      <c r="AE18" s="12" t="s">
        <v>638</v>
      </c>
      <c r="AF18" s="27" t="s">
        <v>501</v>
      </c>
      <c r="AG18" s="28"/>
      <c r="AH18" s="27"/>
      <c r="AI18" s="27"/>
      <c r="AJ18" s="27"/>
      <c r="AK18" s="28" t="str">
        <f aca="false">IF(AG18="","",WORKDAY(AG18,5))</f>
        <v/>
      </c>
      <c r="AL18" s="27"/>
      <c r="AM18" s="27"/>
    </row>
    <row r="19" customFormat="false" ht="35.05" hidden="false" customHeight="false" outlineLevel="0" collapsed="false">
      <c r="A19" s="24" t="s">
        <v>237</v>
      </c>
      <c r="B19" s="25" t="n">
        <v>18</v>
      </c>
      <c r="C19" s="26" t="n">
        <v>4</v>
      </c>
      <c r="D19" s="12" t="s">
        <v>166</v>
      </c>
      <c r="E19" s="34" t="s">
        <v>696</v>
      </c>
      <c r="F19" s="12" t="s">
        <v>525</v>
      </c>
      <c r="G19" s="14" t="s">
        <v>697</v>
      </c>
      <c r="H19" s="12" t="s">
        <v>677</v>
      </c>
      <c r="I19" s="12"/>
      <c r="J19" s="12" t="s">
        <v>486</v>
      </c>
      <c r="K19" s="12" t="s">
        <v>627</v>
      </c>
      <c r="L19" s="12" t="s">
        <v>698</v>
      </c>
      <c r="M19" s="12"/>
      <c r="N19" s="12" t="s">
        <v>699</v>
      </c>
      <c r="O19" s="12" t="s">
        <v>700</v>
      </c>
      <c r="P19" s="12" t="s">
        <v>701</v>
      </c>
      <c r="Q19" s="12" t="s">
        <v>702</v>
      </c>
      <c r="R19" s="12" t="s">
        <v>703</v>
      </c>
      <c r="S19" s="12" t="s">
        <v>704</v>
      </c>
      <c r="T19" s="12" t="s">
        <v>705</v>
      </c>
      <c r="U19" s="12" t="s">
        <v>494</v>
      </c>
      <c r="V19" s="12" t="s">
        <v>494</v>
      </c>
      <c r="W19" s="12"/>
      <c r="X19" s="12" t="s">
        <v>706</v>
      </c>
      <c r="Y19" s="12" t="s">
        <v>707</v>
      </c>
      <c r="Z19" s="12" t="s">
        <v>708</v>
      </c>
      <c r="AA19" s="12" t="s">
        <v>709</v>
      </c>
      <c r="AB19" s="12" t="s">
        <v>123</v>
      </c>
      <c r="AC19" s="14" t="s">
        <v>498</v>
      </c>
      <c r="AD19" s="14" t="s">
        <v>499</v>
      </c>
      <c r="AE19" s="12" t="s">
        <v>638</v>
      </c>
      <c r="AF19" s="27" t="s">
        <v>501</v>
      </c>
      <c r="AG19" s="28"/>
      <c r="AH19" s="27"/>
      <c r="AI19" s="27"/>
      <c r="AJ19" s="27"/>
      <c r="AK19" s="28" t="str">
        <f aca="false">IF(AG19="","",WORKDAY(AG19,5))</f>
        <v/>
      </c>
      <c r="AL19" s="27"/>
      <c r="AM19" s="27"/>
    </row>
    <row r="20" customFormat="false" ht="35.05" hidden="false" customHeight="false" outlineLevel="0" collapsed="false">
      <c r="A20" s="24" t="s">
        <v>237</v>
      </c>
      <c r="B20" s="25" t="n">
        <v>19</v>
      </c>
      <c r="C20" s="26" t="n">
        <v>4</v>
      </c>
      <c r="D20" s="12" t="s">
        <v>166</v>
      </c>
      <c r="E20" s="34" t="s">
        <v>710</v>
      </c>
      <c r="F20" s="12" t="s">
        <v>525</v>
      </c>
      <c r="G20" s="14" t="s">
        <v>711</v>
      </c>
      <c r="H20" s="12" t="s">
        <v>712</v>
      </c>
      <c r="I20" s="12"/>
      <c r="J20" s="12" t="s">
        <v>486</v>
      </c>
      <c r="K20" s="12" t="s">
        <v>627</v>
      </c>
      <c r="L20" s="12" t="s">
        <v>713</v>
      </c>
      <c r="M20" s="12" t="s">
        <v>714</v>
      </c>
      <c r="N20" s="12" t="s">
        <v>715</v>
      </c>
      <c r="O20" s="12" t="s">
        <v>688</v>
      </c>
      <c r="P20" s="12" t="s">
        <v>716</v>
      </c>
      <c r="Q20" s="12" t="s">
        <v>717</v>
      </c>
      <c r="R20" s="12" t="s">
        <v>718</v>
      </c>
      <c r="S20" s="12" t="s">
        <v>719</v>
      </c>
      <c r="T20" s="12" t="s">
        <v>720</v>
      </c>
      <c r="U20" s="12" t="s">
        <v>494</v>
      </c>
      <c r="V20" s="12" t="s">
        <v>494</v>
      </c>
      <c r="W20" s="12"/>
      <c r="X20" s="12" t="s">
        <v>721</v>
      </c>
      <c r="Y20" s="12" t="s">
        <v>722</v>
      </c>
      <c r="Z20" s="12" t="s">
        <v>723</v>
      </c>
      <c r="AA20" s="12" t="s">
        <v>724</v>
      </c>
      <c r="AB20" s="12" t="s">
        <v>123</v>
      </c>
      <c r="AC20" s="14" t="s">
        <v>498</v>
      </c>
      <c r="AD20" s="14" t="s">
        <v>499</v>
      </c>
      <c r="AE20" s="12" t="s">
        <v>638</v>
      </c>
      <c r="AF20" s="27" t="s">
        <v>501</v>
      </c>
      <c r="AG20" s="28"/>
      <c r="AH20" s="27"/>
      <c r="AI20" s="27"/>
      <c r="AJ20" s="27"/>
      <c r="AK20" s="28" t="str">
        <f aca="false">IF(AG20="","",WORKDAY(AG20,5))</f>
        <v/>
      </c>
      <c r="AL20" s="27"/>
      <c r="AM20" s="27"/>
    </row>
    <row r="21" customFormat="false" ht="35.05" hidden="false" customHeight="false" outlineLevel="0" collapsed="false">
      <c r="A21" s="24" t="s">
        <v>237</v>
      </c>
      <c r="B21" s="25" t="n">
        <v>20</v>
      </c>
      <c r="C21" s="26" t="n">
        <v>3</v>
      </c>
      <c r="D21" s="12" t="s">
        <v>166</v>
      </c>
      <c r="E21" s="34" t="s">
        <v>725</v>
      </c>
      <c r="F21" s="12" t="s">
        <v>525</v>
      </c>
      <c r="G21" s="14" t="s">
        <v>726</v>
      </c>
      <c r="H21" s="12" t="s">
        <v>727</v>
      </c>
      <c r="I21" s="12"/>
      <c r="J21" s="12" t="s">
        <v>486</v>
      </c>
      <c r="K21" s="12" t="s">
        <v>627</v>
      </c>
      <c r="L21" s="12" t="s">
        <v>728</v>
      </c>
      <c r="M21" s="12"/>
      <c r="N21" s="12"/>
      <c r="O21" s="12" t="s">
        <v>655</v>
      </c>
      <c r="P21" s="12" t="s">
        <v>729</v>
      </c>
      <c r="Q21" s="12" t="s">
        <v>730</v>
      </c>
      <c r="R21" s="12" t="s">
        <v>518</v>
      </c>
      <c r="S21" s="12" t="s">
        <v>731</v>
      </c>
      <c r="T21" s="12" t="s">
        <v>562</v>
      </c>
      <c r="U21" s="12" t="s">
        <v>494</v>
      </c>
      <c r="V21" s="12" t="s">
        <v>494</v>
      </c>
      <c r="W21" s="12" t="s">
        <v>732</v>
      </c>
      <c r="X21" s="12" t="s">
        <v>733</v>
      </c>
      <c r="Y21" s="12" t="s">
        <v>734</v>
      </c>
      <c r="Z21" s="12"/>
      <c r="AA21" s="12" t="s">
        <v>695</v>
      </c>
      <c r="AB21" s="12" t="s">
        <v>497</v>
      </c>
      <c r="AC21" s="14" t="s">
        <v>498</v>
      </c>
      <c r="AD21" s="14" t="s">
        <v>499</v>
      </c>
      <c r="AE21" s="12" t="s">
        <v>638</v>
      </c>
      <c r="AF21" s="27" t="s">
        <v>501</v>
      </c>
      <c r="AG21" s="28"/>
      <c r="AH21" s="27"/>
      <c r="AI21" s="27"/>
      <c r="AJ21" s="27"/>
      <c r="AK21" s="28" t="str">
        <f aca="false">IF(AG21="","",WORKDAY(AG21,5))</f>
        <v/>
      </c>
      <c r="AL21" s="27"/>
      <c r="AM21" s="27"/>
    </row>
    <row r="22" customFormat="false" ht="46.25" hidden="false" customHeight="false" outlineLevel="0" collapsed="false">
      <c r="A22" s="24" t="s">
        <v>237</v>
      </c>
      <c r="B22" s="25" t="n">
        <v>21</v>
      </c>
      <c r="C22" s="26" t="n">
        <v>4</v>
      </c>
      <c r="D22" s="12" t="s">
        <v>229</v>
      </c>
      <c r="E22" s="12" t="s">
        <v>236</v>
      </c>
      <c r="F22" s="12" t="s">
        <v>735</v>
      </c>
      <c r="G22" s="14" t="s">
        <v>243</v>
      </c>
      <c r="H22" s="12" t="s">
        <v>736</v>
      </c>
      <c r="I22" s="12"/>
      <c r="J22" s="12" t="s">
        <v>486</v>
      </c>
      <c r="K22" s="12" t="s">
        <v>627</v>
      </c>
      <c r="L22" s="12" t="s">
        <v>737</v>
      </c>
      <c r="M22" s="12" t="s">
        <v>241</v>
      </c>
      <c r="N22" s="12" t="s">
        <v>242</v>
      </c>
      <c r="O22" s="12" t="s">
        <v>238</v>
      </c>
      <c r="P22" s="12" t="s">
        <v>239</v>
      </c>
      <c r="Q22" s="12" t="s">
        <v>738</v>
      </c>
      <c r="R22" s="12" t="s">
        <v>739</v>
      </c>
      <c r="S22" s="12" t="s">
        <v>740</v>
      </c>
      <c r="T22" s="12" t="s">
        <v>741</v>
      </c>
      <c r="U22" s="12" t="s">
        <v>494</v>
      </c>
      <c r="V22" s="12" t="s">
        <v>494</v>
      </c>
      <c r="W22" s="12"/>
      <c r="X22" s="12" t="s">
        <v>742</v>
      </c>
      <c r="Y22" s="12" t="s">
        <v>240</v>
      </c>
      <c r="Z22" s="12" t="s">
        <v>743</v>
      </c>
      <c r="AA22" s="12" t="s">
        <v>536</v>
      </c>
      <c r="AB22" s="12" t="s">
        <v>244</v>
      </c>
      <c r="AC22" s="14" t="s">
        <v>498</v>
      </c>
      <c r="AD22" s="14" t="s">
        <v>499</v>
      </c>
      <c r="AE22" s="12" t="s">
        <v>552</v>
      </c>
      <c r="AF22" s="27" t="s">
        <v>501</v>
      </c>
      <c r="AG22" s="28"/>
      <c r="AH22" s="27"/>
      <c r="AI22" s="27"/>
      <c r="AJ22" s="27"/>
      <c r="AK22" s="28" t="str">
        <f aca="false">IF(AG22="","",WORKDAY(AG22,5))</f>
        <v/>
      </c>
      <c r="AL22" s="27"/>
      <c r="AM22" s="27"/>
    </row>
    <row r="23" customFormat="false" ht="23.85" hidden="false" customHeight="false" outlineLevel="0" collapsed="false">
      <c r="A23" s="24" t="s">
        <v>237</v>
      </c>
      <c r="B23" s="25" t="n">
        <v>22</v>
      </c>
      <c r="C23" s="26" t="n">
        <v>4</v>
      </c>
      <c r="D23" s="12" t="s">
        <v>281</v>
      </c>
      <c r="E23" s="12" t="s">
        <v>744</v>
      </c>
      <c r="F23" s="12" t="s">
        <v>525</v>
      </c>
      <c r="G23" s="14" t="s">
        <v>745</v>
      </c>
      <c r="H23" s="12" t="s">
        <v>746</v>
      </c>
      <c r="I23" s="12"/>
      <c r="J23" s="12" t="s">
        <v>486</v>
      </c>
      <c r="K23" s="12" t="s">
        <v>627</v>
      </c>
      <c r="L23" s="12" t="s">
        <v>747</v>
      </c>
      <c r="M23" s="12" t="s">
        <v>748</v>
      </c>
      <c r="N23" s="12" t="s">
        <v>749</v>
      </c>
      <c r="O23" s="12" t="s">
        <v>126</v>
      </c>
      <c r="P23" s="12" t="s">
        <v>750</v>
      </c>
      <c r="Q23" s="12" t="s">
        <v>751</v>
      </c>
      <c r="R23" s="12" t="s">
        <v>518</v>
      </c>
      <c r="S23" s="12" t="s">
        <v>752</v>
      </c>
      <c r="T23" s="12" t="s">
        <v>753</v>
      </c>
      <c r="U23" s="12" t="s">
        <v>494</v>
      </c>
      <c r="V23" s="12" t="s">
        <v>494</v>
      </c>
      <c r="W23" s="12"/>
      <c r="X23" s="12" t="s">
        <v>754</v>
      </c>
      <c r="Y23" s="12"/>
      <c r="Z23" s="12"/>
      <c r="AA23" s="12" t="s">
        <v>755</v>
      </c>
      <c r="AB23" s="12" t="s">
        <v>204</v>
      </c>
      <c r="AC23" s="14" t="s">
        <v>498</v>
      </c>
      <c r="AD23" s="14" t="s">
        <v>499</v>
      </c>
      <c r="AE23" s="12" t="s">
        <v>500</v>
      </c>
      <c r="AF23" s="27" t="s">
        <v>501</v>
      </c>
      <c r="AG23" s="28"/>
      <c r="AH23" s="27"/>
      <c r="AI23" s="27"/>
      <c r="AJ23" s="27"/>
      <c r="AK23" s="28" t="str">
        <f aca="false">IF(AG23="","",WORKDAY(AG23,5))</f>
        <v/>
      </c>
      <c r="AL23" s="27"/>
      <c r="AM23" s="27"/>
    </row>
    <row r="24" customFormat="false" ht="35.05" hidden="false" customHeight="false" outlineLevel="0" collapsed="false">
      <c r="A24" s="24" t="s">
        <v>237</v>
      </c>
      <c r="B24" s="25" t="n">
        <v>23</v>
      </c>
      <c r="C24" s="26" t="n">
        <v>4</v>
      </c>
      <c r="D24" s="12" t="s">
        <v>281</v>
      </c>
      <c r="E24" s="34" t="s">
        <v>756</v>
      </c>
      <c r="F24" s="12" t="s">
        <v>525</v>
      </c>
      <c r="G24" s="14" t="s">
        <v>757</v>
      </c>
      <c r="H24" s="12" t="s">
        <v>758</v>
      </c>
      <c r="I24" s="12"/>
      <c r="J24" s="12" t="s">
        <v>486</v>
      </c>
      <c r="K24" s="12" t="s">
        <v>627</v>
      </c>
      <c r="L24" s="12" t="s">
        <v>759</v>
      </c>
      <c r="M24" s="12"/>
      <c r="N24" s="12"/>
      <c r="O24" s="12" t="s">
        <v>655</v>
      </c>
      <c r="P24" s="12" t="s">
        <v>760</v>
      </c>
      <c r="Q24" s="12" t="s">
        <v>761</v>
      </c>
      <c r="R24" s="12" t="s">
        <v>518</v>
      </c>
      <c r="S24" s="12" t="s">
        <v>762</v>
      </c>
      <c r="T24" s="12" t="s">
        <v>562</v>
      </c>
      <c r="U24" s="12" t="s">
        <v>494</v>
      </c>
      <c r="V24" s="12" t="s">
        <v>494</v>
      </c>
      <c r="W24" s="12" t="s">
        <v>763</v>
      </c>
      <c r="X24" s="12" t="s">
        <v>764</v>
      </c>
      <c r="Y24" s="12" t="s">
        <v>765</v>
      </c>
      <c r="Z24" s="12"/>
      <c r="AA24" s="12" t="s">
        <v>695</v>
      </c>
      <c r="AB24" s="12" t="s">
        <v>497</v>
      </c>
      <c r="AC24" s="14" t="s">
        <v>498</v>
      </c>
      <c r="AD24" s="14" t="s">
        <v>499</v>
      </c>
      <c r="AE24" s="12" t="s">
        <v>638</v>
      </c>
      <c r="AF24" s="27" t="s">
        <v>501</v>
      </c>
      <c r="AG24" s="28"/>
      <c r="AH24" s="27"/>
      <c r="AI24" s="27"/>
      <c r="AJ24" s="27"/>
      <c r="AK24" s="28" t="str">
        <f aca="false">IF(AG24="","",WORKDAY(AG24,5))</f>
        <v/>
      </c>
      <c r="AL24" s="27"/>
      <c r="AM24" s="27"/>
    </row>
    <row r="25" customFormat="false" ht="23.85" hidden="false" customHeight="false" outlineLevel="0" collapsed="false">
      <c r="A25" s="24" t="s">
        <v>237</v>
      </c>
      <c r="B25" s="25" t="n">
        <v>24</v>
      </c>
      <c r="C25" s="26" t="n">
        <v>3</v>
      </c>
      <c r="D25" s="12" t="s">
        <v>281</v>
      </c>
      <c r="E25" s="34" t="s">
        <v>766</v>
      </c>
      <c r="F25" s="12" t="s">
        <v>525</v>
      </c>
      <c r="G25" s="14" t="s">
        <v>593</v>
      </c>
      <c r="H25" s="12" t="s">
        <v>767</v>
      </c>
      <c r="I25" s="12"/>
      <c r="J25" s="12" t="s">
        <v>486</v>
      </c>
      <c r="K25" s="12" t="s">
        <v>627</v>
      </c>
      <c r="L25" s="12" t="s">
        <v>768</v>
      </c>
      <c r="M25" s="12" t="s">
        <v>769</v>
      </c>
      <c r="N25" s="12"/>
      <c r="O25" s="12" t="s">
        <v>688</v>
      </c>
      <c r="P25" s="12" t="s">
        <v>770</v>
      </c>
      <c r="Q25" s="12" t="s">
        <v>771</v>
      </c>
      <c r="R25" s="12" t="s">
        <v>518</v>
      </c>
      <c r="S25" s="12" t="s">
        <v>772</v>
      </c>
      <c r="T25" s="12" t="s">
        <v>773</v>
      </c>
      <c r="U25" s="12" t="s">
        <v>494</v>
      </c>
      <c r="V25" s="12" t="s">
        <v>494</v>
      </c>
      <c r="W25" s="12" t="s">
        <v>774</v>
      </c>
      <c r="X25" s="12" t="s">
        <v>775</v>
      </c>
      <c r="Y25" s="12" t="s">
        <v>776</v>
      </c>
      <c r="Z25" s="12" t="s">
        <v>777</v>
      </c>
      <c r="AA25" s="12" t="s">
        <v>695</v>
      </c>
      <c r="AB25" s="12" t="s">
        <v>497</v>
      </c>
      <c r="AC25" s="14" t="s">
        <v>498</v>
      </c>
      <c r="AD25" s="14" t="s">
        <v>499</v>
      </c>
      <c r="AE25" s="12" t="s">
        <v>638</v>
      </c>
      <c r="AF25" s="27" t="s">
        <v>501</v>
      </c>
      <c r="AG25" s="28"/>
      <c r="AH25" s="27"/>
      <c r="AI25" s="27"/>
      <c r="AJ25" s="27"/>
      <c r="AK25" s="28" t="str">
        <f aca="false">IF(AG25="","",WORKDAY(AG25,5))</f>
        <v/>
      </c>
      <c r="AL25" s="27"/>
      <c r="AM25" s="27"/>
    </row>
    <row r="26" customFormat="false" ht="35.05" hidden="false" customHeight="false" outlineLevel="0" collapsed="false">
      <c r="A26" s="24" t="s">
        <v>237</v>
      </c>
      <c r="B26" s="25" t="n">
        <v>25</v>
      </c>
      <c r="C26" s="26" t="n">
        <v>4</v>
      </c>
      <c r="D26" s="12" t="s">
        <v>307</v>
      </c>
      <c r="E26" s="12" t="s">
        <v>778</v>
      </c>
      <c r="F26" s="12" t="s">
        <v>483</v>
      </c>
      <c r="G26" s="14" t="s">
        <v>779</v>
      </c>
      <c r="H26" s="12" t="s">
        <v>780</v>
      </c>
      <c r="I26" s="12"/>
      <c r="J26" s="12" t="s">
        <v>486</v>
      </c>
      <c r="K26" s="12" t="s">
        <v>627</v>
      </c>
      <c r="L26" s="12" t="s">
        <v>781</v>
      </c>
      <c r="M26" s="12" t="s">
        <v>782</v>
      </c>
      <c r="N26" s="12"/>
      <c r="O26" s="12" t="s">
        <v>126</v>
      </c>
      <c r="P26" s="12" t="s">
        <v>783</v>
      </c>
      <c r="Q26" s="12" t="s">
        <v>784</v>
      </c>
      <c r="R26" s="12" t="s">
        <v>518</v>
      </c>
      <c r="S26" s="12" t="s">
        <v>492</v>
      </c>
      <c r="T26" s="12" t="s">
        <v>785</v>
      </c>
      <c r="U26" s="12" t="s">
        <v>494</v>
      </c>
      <c r="V26" s="12" t="s">
        <v>494</v>
      </c>
      <c r="W26" s="12"/>
      <c r="X26" s="12" t="s">
        <v>786</v>
      </c>
      <c r="Y26" s="12" t="s">
        <v>787</v>
      </c>
      <c r="Z26" s="12" t="s">
        <v>788</v>
      </c>
      <c r="AA26" s="12" t="s">
        <v>789</v>
      </c>
      <c r="AB26" s="12" t="s">
        <v>204</v>
      </c>
      <c r="AC26" s="14" t="s">
        <v>498</v>
      </c>
      <c r="AD26" s="14" t="s">
        <v>499</v>
      </c>
      <c r="AE26" s="12" t="s">
        <v>500</v>
      </c>
      <c r="AF26" s="27" t="s">
        <v>501</v>
      </c>
      <c r="AG26" s="28"/>
      <c r="AH26" s="27"/>
      <c r="AI26" s="27"/>
      <c r="AJ26" s="27"/>
      <c r="AK26" s="28" t="str">
        <f aca="false">IF(AG26="","",WORKDAY(AG26,5))</f>
        <v/>
      </c>
      <c r="AL26" s="27"/>
      <c r="AM26" s="27"/>
    </row>
    <row r="27" customFormat="false" ht="23.85" hidden="false" customHeight="false" outlineLevel="0" collapsed="false">
      <c r="A27" s="24" t="s">
        <v>237</v>
      </c>
      <c r="B27" s="25" t="n">
        <v>26</v>
      </c>
      <c r="C27" s="26" t="n">
        <v>3</v>
      </c>
      <c r="D27" s="12" t="s">
        <v>307</v>
      </c>
      <c r="E27" s="34" t="s">
        <v>790</v>
      </c>
      <c r="F27" s="12" t="s">
        <v>483</v>
      </c>
      <c r="G27" s="14" t="s">
        <v>593</v>
      </c>
      <c r="H27" s="12" t="s">
        <v>791</v>
      </c>
      <c r="I27" s="12"/>
      <c r="J27" s="12" t="s">
        <v>486</v>
      </c>
      <c r="K27" s="12" t="s">
        <v>627</v>
      </c>
      <c r="L27" s="12" t="s">
        <v>792</v>
      </c>
      <c r="M27" s="12"/>
      <c r="N27" s="12"/>
      <c r="O27" s="12" t="s">
        <v>655</v>
      </c>
      <c r="P27" s="12" t="s">
        <v>793</v>
      </c>
      <c r="Q27" s="12" t="s">
        <v>794</v>
      </c>
      <c r="R27" s="12" t="s">
        <v>518</v>
      </c>
      <c r="S27" s="12" t="s">
        <v>795</v>
      </c>
      <c r="T27" s="12" t="s">
        <v>796</v>
      </c>
      <c r="U27" s="12" t="s">
        <v>494</v>
      </c>
      <c r="V27" s="12" t="s">
        <v>494</v>
      </c>
      <c r="W27" s="12" t="s">
        <v>797</v>
      </c>
      <c r="X27" s="12" t="s">
        <v>798</v>
      </c>
      <c r="Y27" s="12" t="s">
        <v>799</v>
      </c>
      <c r="Z27" s="12" t="s">
        <v>800</v>
      </c>
      <c r="AA27" s="12" t="s">
        <v>801</v>
      </c>
      <c r="AB27" s="12" t="s">
        <v>497</v>
      </c>
      <c r="AC27" s="14" t="s">
        <v>498</v>
      </c>
      <c r="AD27" s="14" t="s">
        <v>499</v>
      </c>
      <c r="AE27" s="12" t="s">
        <v>638</v>
      </c>
      <c r="AF27" s="27" t="s">
        <v>501</v>
      </c>
      <c r="AG27" s="28"/>
      <c r="AH27" s="27"/>
      <c r="AI27" s="27"/>
      <c r="AJ27" s="27"/>
      <c r="AK27" s="28" t="str">
        <f aca="false">IF(AG27="","",WORKDAY(AG27,5))</f>
        <v/>
      </c>
      <c r="AL27" s="27"/>
      <c r="AM27" s="27"/>
    </row>
    <row r="28" customFormat="false" ht="23.85" hidden="false" customHeight="false" outlineLevel="0" collapsed="false">
      <c r="A28" s="24" t="s">
        <v>237</v>
      </c>
      <c r="B28" s="25" t="n">
        <v>27</v>
      </c>
      <c r="C28" s="26" t="n">
        <v>4</v>
      </c>
      <c r="D28" s="12" t="s">
        <v>307</v>
      </c>
      <c r="E28" s="34" t="s">
        <v>802</v>
      </c>
      <c r="F28" s="12" t="s">
        <v>525</v>
      </c>
      <c r="G28" s="14" t="s">
        <v>803</v>
      </c>
      <c r="H28" s="12" t="s">
        <v>804</v>
      </c>
      <c r="I28" s="12"/>
      <c r="J28" s="12" t="s">
        <v>486</v>
      </c>
      <c r="K28" s="12" t="s">
        <v>627</v>
      </c>
      <c r="L28" s="12" t="s">
        <v>805</v>
      </c>
      <c r="M28" s="12" t="s">
        <v>806</v>
      </c>
      <c r="N28" s="12" t="s">
        <v>807</v>
      </c>
      <c r="O28" s="12" t="s">
        <v>808</v>
      </c>
      <c r="P28" s="12" t="s">
        <v>809</v>
      </c>
      <c r="Q28" s="12" t="s">
        <v>810</v>
      </c>
      <c r="R28" s="12" t="s">
        <v>518</v>
      </c>
      <c r="S28" s="12" t="s">
        <v>811</v>
      </c>
      <c r="T28" s="12" t="s">
        <v>562</v>
      </c>
      <c r="U28" s="12" t="s">
        <v>494</v>
      </c>
      <c r="V28" s="12" t="s">
        <v>494</v>
      </c>
      <c r="W28" s="12"/>
      <c r="X28" s="12" t="s">
        <v>812</v>
      </c>
      <c r="Y28" s="12" t="s">
        <v>813</v>
      </c>
      <c r="Z28" s="12"/>
      <c r="AA28" s="12" t="s">
        <v>814</v>
      </c>
      <c r="AB28" s="12" t="s">
        <v>497</v>
      </c>
      <c r="AC28" s="14" t="s">
        <v>498</v>
      </c>
      <c r="AD28" s="14" t="s">
        <v>499</v>
      </c>
      <c r="AE28" s="12" t="s">
        <v>638</v>
      </c>
      <c r="AF28" s="27" t="s">
        <v>501</v>
      </c>
      <c r="AG28" s="28"/>
      <c r="AH28" s="27"/>
      <c r="AI28" s="27"/>
      <c r="AJ28" s="27"/>
      <c r="AK28" s="28" t="str">
        <f aca="false">IF(AG28="","",WORKDAY(AG28,5))</f>
        <v/>
      </c>
      <c r="AL28" s="27"/>
      <c r="AM28" s="27"/>
    </row>
    <row r="29" customFormat="false" ht="23.85" hidden="false" customHeight="false" outlineLevel="0" collapsed="false">
      <c r="A29" s="24" t="s">
        <v>237</v>
      </c>
      <c r="B29" s="25" t="n">
        <v>28</v>
      </c>
      <c r="C29" s="26" t="n">
        <v>3</v>
      </c>
      <c r="D29" s="12" t="s">
        <v>307</v>
      </c>
      <c r="E29" s="12" t="s">
        <v>815</v>
      </c>
      <c r="F29" s="12" t="s">
        <v>525</v>
      </c>
      <c r="G29" s="14" t="s">
        <v>593</v>
      </c>
      <c r="H29" s="12" t="s">
        <v>816</v>
      </c>
      <c r="I29" s="12"/>
      <c r="J29" s="12" t="s">
        <v>486</v>
      </c>
      <c r="K29" s="12" t="s">
        <v>627</v>
      </c>
      <c r="L29" s="12" t="s">
        <v>817</v>
      </c>
      <c r="M29" s="12"/>
      <c r="N29" s="12"/>
      <c r="O29" s="12" t="s">
        <v>655</v>
      </c>
      <c r="P29" s="12" t="s">
        <v>818</v>
      </c>
      <c r="Q29" s="12" t="s">
        <v>819</v>
      </c>
      <c r="R29" s="12" t="s">
        <v>518</v>
      </c>
      <c r="S29" s="12" t="s">
        <v>820</v>
      </c>
      <c r="T29" s="12" t="s">
        <v>821</v>
      </c>
      <c r="U29" s="12" t="s">
        <v>494</v>
      </c>
      <c r="V29" s="12" t="s">
        <v>494</v>
      </c>
      <c r="W29" s="12" t="s">
        <v>822</v>
      </c>
      <c r="X29" s="12" t="s">
        <v>823</v>
      </c>
      <c r="Y29" s="12" t="s">
        <v>824</v>
      </c>
      <c r="Z29" s="12"/>
      <c r="AA29" s="12" t="s">
        <v>695</v>
      </c>
      <c r="AB29" s="12" t="s">
        <v>497</v>
      </c>
      <c r="AC29" s="14" t="s">
        <v>498</v>
      </c>
      <c r="AD29" s="14" t="s">
        <v>499</v>
      </c>
      <c r="AE29" s="12" t="s">
        <v>500</v>
      </c>
      <c r="AF29" s="27" t="s">
        <v>501</v>
      </c>
      <c r="AG29" s="28"/>
      <c r="AH29" s="27"/>
      <c r="AI29" s="27"/>
      <c r="AJ29" s="27"/>
      <c r="AK29" s="28" t="str">
        <f aca="false">IF(AG29="","",WORKDAY(AG29,5))</f>
        <v/>
      </c>
      <c r="AL29" s="27"/>
      <c r="AM29" s="27"/>
    </row>
    <row r="30" customFormat="false" ht="35.05" hidden="false" customHeight="false" outlineLevel="0" collapsed="false">
      <c r="A30" s="24" t="s">
        <v>237</v>
      </c>
      <c r="B30" s="25" t="n">
        <v>29</v>
      </c>
      <c r="C30" s="26" t="n">
        <v>3</v>
      </c>
      <c r="D30" s="12" t="s">
        <v>307</v>
      </c>
      <c r="E30" s="12" t="s">
        <v>825</v>
      </c>
      <c r="F30" s="12" t="s">
        <v>525</v>
      </c>
      <c r="G30" s="14" t="s">
        <v>826</v>
      </c>
      <c r="H30" s="12" t="s">
        <v>827</v>
      </c>
      <c r="I30" s="12"/>
      <c r="J30" s="12" t="s">
        <v>486</v>
      </c>
      <c r="K30" s="12" t="s">
        <v>627</v>
      </c>
      <c r="L30" s="12" t="s">
        <v>828</v>
      </c>
      <c r="M30" s="12" t="s">
        <v>829</v>
      </c>
      <c r="N30" s="12" t="s">
        <v>830</v>
      </c>
      <c r="O30" s="12" t="s">
        <v>831</v>
      </c>
      <c r="P30" s="12" t="s">
        <v>832</v>
      </c>
      <c r="Q30" s="12" t="s">
        <v>833</v>
      </c>
      <c r="R30" s="12" t="s">
        <v>518</v>
      </c>
      <c r="S30" s="12" t="s">
        <v>834</v>
      </c>
      <c r="T30" s="12" t="s">
        <v>562</v>
      </c>
      <c r="U30" s="12" t="s">
        <v>494</v>
      </c>
      <c r="V30" s="12" t="s">
        <v>494</v>
      </c>
      <c r="W30" s="12" t="s">
        <v>835</v>
      </c>
      <c r="X30" s="12" t="s">
        <v>836</v>
      </c>
      <c r="Y30" s="12" t="s">
        <v>837</v>
      </c>
      <c r="Z30" s="12"/>
      <c r="AA30" s="12" t="s">
        <v>695</v>
      </c>
      <c r="AB30" s="12" t="s">
        <v>497</v>
      </c>
      <c r="AC30" s="14" t="s">
        <v>498</v>
      </c>
      <c r="AD30" s="14" t="s">
        <v>499</v>
      </c>
      <c r="AE30" s="12" t="s">
        <v>500</v>
      </c>
      <c r="AF30" s="27" t="s">
        <v>501</v>
      </c>
      <c r="AG30" s="28"/>
      <c r="AH30" s="27"/>
      <c r="AI30" s="27"/>
      <c r="AJ30" s="27"/>
      <c r="AK30" s="28" t="str">
        <f aca="false">IF(AG30="","",WORKDAY(AG30,5))</f>
        <v/>
      </c>
      <c r="AL30" s="27"/>
      <c r="AM30" s="27"/>
    </row>
    <row r="31" customFormat="false" ht="23.85" hidden="false" customHeight="false" outlineLevel="0" collapsed="false">
      <c r="A31" s="24" t="s">
        <v>237</v>
      </c>
      <c r="B31" s="25" t="n">
        <v>30</v>
      </c>
      <c r="C31" s="26" t="n">
        <v>3</v>
      </c>
      <c r="D31" s="12" t="s">
        <v>353</v>
      </c>
      <c r="E31" s="34" t="s">
        <v>838</v>
      </c>
      <c r="F31" s="12" t="s">
        <v>525</v>
      </c>
      <c r="G31" s="14" t="s">
        <v>593</v>
      </c>
      <c r="H31" s="12" t="s">
        <v>677</v>
      </c>
      <c r="I31" s="12"/>
      <c r="J31" s="12" t="s">
        <v>486</v>
      </c>
      <c r="K31" s="12" t="s">
        <v>627</v>
      </c>
      <c r="L31" s="12" t="s">
        <v>839</v>
      </c>
      <c r="M31" s="12"/>
      <c r="N31" s="12"/>
      <c r="O31" s="12" t="s">
        <v>688</v>
      </c>
      <c r="P31" s="12" t="s">
        <v>840</v>
      </c>
      <c r="Q31" s="12" t="s">
        <v>841</v>
      </c>
      <c r="R31" s="12" t="s">
        <v>518</v>
      </c>
      <c r="S31" s="12" t="s">
        <v>842</v>
      </c>
      <c r="T31" s="12" t="s">
        <v>562</v>
      </c>
      <c r="U31" s="12" t="s">
        <v>494</v>
      </c>
      <c r="V31" s="12" t="s">
        <v>494</v>
      </c>
      <c r="W31" s="12" t="s">
        <v>843</v>
      </c>
      <c r="X31" s="12" t="s">
        <v>844</v>
      </c>
      <c r="Y31" s="12" t="s">
        <v>845</v>
      </c>
      <c r="Z31" s="12" t="s">
        <v>846</v>
      </c>
      <c r="AA31" s="12" t="s">
        <v>695</v>
      </c>
      <c r="AB31" s="12" t="s">
        <v>497</v>
      </c>
      <c r="AC31" s="14" t="s">
        <v>498</v>
      </c>
      <c r="AD31" s="14" t="s">
        <v>499</v>
      </c>
      <c r="AE31" s="12" t="s">
        <v>638</v>
      </c>
      <c r="AF31" s="27" t="s">
        <v>501</v>
      </c>
      <c r="AG31" s="28"/>
      <c r="AH31" s="27"/>
      <c r="AI31" s="27"/>
      <c r="AJ31" s="27"/>
      <c r="AK31" s="28" t="str">
        <f aca="false">IF(AG31="","",WORKDAY(AG31,5))</f>
        <v/>
      </c>
      <c r="AL31" s="27"/>
      <c r="AM31" s="27"/>
    </row>
    <row r="32" customFormat="false" ht="23.85" hidden="false" customHeight="false" outlineLevel="0" collapsed="false">
      <c r="A32" s="24" t="s">
        <v>237</v>
      </c>
      <c r="B32" s="25" t="n">
        <v>31</v>
      </c>
      <c r="C32" s="26" t="n">
        <v>3</v>
      </c>
      <c r="D32" s="12" t="s">
        <v>353</v>
      </c>
      <c r="E32" s="12" t="s">
        <v>847</v>
      </c>
      <c r="F32" s="12" t="s">
        <v>525</v>
      </c>
      <c r="G32" s="14" t="s">
        <v>848</v>
      </c>
      <c r="H32" s="12" t="s">
        <v>849</v>
      </c>
      <c r="I32" s="12"/>
      <c r="J32" s="12" t="s">
        <v>486</v>
      </c>
      <c r="K32" s="12" t="s">
        <v>627</v>
      </c>
      <c r="L32" s="12" t="s">
        <v>850</v>
      </c>
      <c r="M32" s="12" t="s">
        <v>851</v>
      </c>
      <c r="N32" s="12"/>
      <c r="O32" s="12" t="s">
        <v>852</v>
      </c>
      <c r="P32" s="12" t="s">
        <v>853</v>
      </c>
      <c r="Q32" s="12" t="s">
        <v>854</v>
      </c>
      <c r="R32" s="12" t="s">
        <v>855</v>
      </c>
      <c r="S32" s="12" t="s">
        <v>856</v>
      </c>
      <c r="T32" s="12" t="s">
        <v>857</v>
      </c>
      <c r="U32" s="12" t="s">
        <v>494</v>
      </c>
      <c r="V32" s="12" t="s">
        <v>494</v>
      </c>
      <c r="W32" s="12"/>
      <c r="X32" s="12" t="s">
        <v>858</v>
      </c>
      <c r="Y32" s="12"/>
      <c r="Z32" s="12"/>
      <c r="AA32" s="12" t="s">
        <v>859</v>
      </c>
      <c r="AB32" s="12" t="s">
        <v>497</v>
      </c>
      <c r="AC32" s="14" t="s">
        <v>498</v>
      </c>
      <c r="AD32" s="14" t="s">
        <v>499</v>
      </c>
      <c r="AE32" s="12" t="s">
        <v>568</v>
      </c>
      <c r="AF32" s="27" t="s">
        <v>501</v>
      </c>
      <c r="AG32" s="28"/>
      <c r="AH32" s="27"/>
      <c r="AI32" s="27"/>
      <c r="AJ32" s="27"/>
      <c r="AK32" s="28" t="str">
        <f aca="false">IF(AG32="","",WORKDAY(AG32,5))</f>
        <v/>
      </c>
      <c r="AL32" s="27"/>
      <c r="AM32" s="27"/>
    </row>
    <row r="33" customFormat="false" ht="23.85" hidden="false" customHeight="false" outlineLevel="0" collapsed="false">
      <c r="A33" s="24" t="s">
        <v>237</v>
      </c>
      <c r="B33" s="25" t="n">
        <v>32</v>
      </c>
      <c r="C33" s="26" t="n">
        <v>4</v>
      </c>
      <c r="D33" s="12" t="s">
        <v>374</v>
      </c>
      <c r="E33" s="34" t="s">
        <v>860</v>
      </c>
      <c r="F33" s="12" t="s">
        <v>525</v>
      </c>
      <c r="G33" s="14" t="s">
        <v>861</v>
      </c>
      <c r="H33" s="12" t="s">
        <v>862</v>
      </c>
      <c r="I33" s="12"/>
      <c r="J33" s="12" t="s">
        <v>486</v>
      </c>
      <c r="K33" s="12" t="s">
        <v>627</v>
      </c>
      <c r="L33" s="12" t="s">
        <v>863</v>
      </c>
      <c r="M33" s="12" t="s">
        <v>864</v>
      </c>
      <c r="N33" s="12" t="s">
        <v>865</v>
      </c>
      <c r="O33" s="12" t="s">
        <v>655</v>
      </c>
      <c r="P33" s="12" t="s">
        <v>866</v>
      </c>
      <c r="Q33" s="12" t="s">
        <v>867</v>
      </c>
      <c r="R33" s="12" t="s">
        <v>518</v>
      </c>
      <c r="S33" s="12" t="s">
        <v>868</v>
      </c>
      <c r="T33" s="12" t="s">
        <v>562</v>
      </c>
      <c r="U33" s="12" t="s">
        <v>494</v>
      </c>
      <c r="V33" s="12" t="s">
        <v>494</v>
      </c>
      <c r="W33" s="12" t="s">
        <v>869</v>
      </c>
      <c r="X33" s="12" t="s">
        <v>870</v>
      </c>
      <c r="Y33" s="12" t="s">
        <v>871</v>
      </c>
      <c r="Z33" s="12"/>
      <c r="AA33" s="12" t="s">
        <v>872</v>
      </c>
      <c r="AB33" s="12" t="s">
        <v>130</v>
      </c>
      <c r="AC33" s="14" t="s">
        <v>498</v>
      </c>
      <c r="AD33" s="14" t="s">
        <v>499</v>
      </c>
      <c r="AE33" s="12" t="s">
        <v>638</v>
      </c>
      <c r="AF33" s="27" t="s">
        <v>501</v>
      </c>
      <c r="AG33" s="28"/>
      <c r="AH33" s="27"/>
      <c r="AI33" s="27"/>
      <c r="AJ33" s="27"/>
      <c r="AK33" s="28" t="str">
        <f aca="false">IF(AG33="","",WORKDAY(AG33,5))</f>
        <v/>
      </c>
      <c r="AL33" s="27"/>
      <c r="AM33" s="27"/>
    </row>
    <row r="34" customFormat="false" ht="35.05" hidden="false" customHeight="false" outlineLevel="0" collapsed="false">
      <c r="A34" s="24" t="s">
        <v>237</v>
      </c>
      <c r="B34" s="25" t="n">
        <v>33</v>
      </c>
      <c r="C34" s="26" t="n">
        <v>4</v>
      </c>
      <c r="D34" s="12" t="s">
        <v>374</v>
      </c>
      <c r="E34" s="34" t="s">
        <v>873</v>
      </c>
      <c r="F34" s="12" t="s">
        <v>525</v>
      </c>
      <c r="G34" s="14" t="s">
        <v>874</v>
      </c>
      <c r="H34" s="12" t="s">
        <v>875</v>
      </c>
      <c r="I34" s="12"/>
      <c r="J34" s="12" t="s">
        <v>486</v>
      </c>
      <c r="K34" s="12" t="s">
        <v>627</v>
      </c>
      <c r="L34" s="12" t="s">
        <v>876</v>
      </c>
      <c r="M34" s="12"/>
      <c r="N34" s="12"/>
      <c r="O34" s="12" t="s">
        <v>655</v>
      </c>
      <c r="P34" s="12" t="s">
        <v>877</v>
      </c>
      <c r="Q34" s="12" t="s">
        <v>878</v>
      </c>
      <c r="R34" s="12" t="s">
        <v>518</v>
      </c>
      <c r="S34" s="12" t="s">
        <v>879</v>
      </c>
      <c r="T34" s="12" t="s">
        <v>562</v>
      </c>
      <c r="U34" s="12" t="s">
        <v>494</v>
      </c>
      <c r="V34" s="12" t="s">
        <v>494</v>
      </c>
      <c r="W34" s="12" t="s">
        <v>880</v>
      </c>
      <c r="X34" s="12" t="s">
        <v>881</v>
      </c>
      <c r="Y34" s="12" t="s">
        <v>882</v>
      </c>
      <c r="Z34" s="12" t="s">
        <v>883</v>
      </c>
      <c r="AA34" s="12" t="s">
        <v>884</v>
      </c>
      <c r="AB34" s="12" t="s">
        <v>497</v>
      </c>
      <c r="AC34" s="14" t="s">
        <v>498</v>
      </c>
      <c r="AD34" s="14" t="s">
        <v>499</v>
      </c>
      <c r="AE34" s="12" t="s">
        <v>638</v>
      </c>
      <c r="AF34" s="27" t="s">
        <v>501</v>
      </c>
      <c r="AG34" s="28"/>
      <c r="AH34" s="27"/>
      <c r="AI34" s="27"/>
      <c r="AJ34" s="27"/>
      <c r="AK34" s="28" t="str">
        <f aca="false">IF(AG34="","",WORKDAY(AG34,5))</f>
        <v/>
      </c>
      <c r="AL34" s="27"/>
      <c r="AM34" s="27"/>
    </row>
    <row r="35" customFormat="false" ht="35.05" hidden="false" customHeight="false" outlineLevel="0" collapsed="false">
      <c r="A35" s="24" t="s">
        <v>237</v>
      </c>
      <c r="B35" s="25" t="n">
        <v>34</v>
      </c>
      <c r="C35" s="26" t="n">
        <v>3</v>
      </c>
      <c r="D35" s="12" t="s">
        <v>374</v>
      </c>
      <c r="E35" s="34" t="s">
        <v>885</v>
      </c>
      <c r="F35" s="12" t="s">
        <v>525</v>
      </c>
      <c r="G35" s="14" t="s">
        <v>593</v>
      </c>
      <c r="H35" s="12" t="s">
        <v>886</v>
      </c>
      <c r="I35" s="12"/>
      <c r="J35" s="12" t="s">
        <v>486</v>
      </c>
      <c r="K35" s="12" t="s">
        <v>627</v>
      </c>
      <c r="L35" s="12" t="s">
        <v>887</v>
      </c>
      <c r="M35" s="12"/>
      <c r="N35" s="12"/>
      <c r="O35" s="12" t="s">
        <v>888</v>
      </c>
      <c r="P35" s="12" t="s">
        <v>889</v>
      </c>
      <c r="Q35" s="12" t="s">
        <v>890</v>
      </c>
      <c r="R35" s="12" t="s">
        <v>518</v>
      </c>
      <c r="S35" s="12" t="s">
        <v>891</v>
      </c>
      <c r="T35" s="12" t="s">
        <v>562</v>
      </c>
      <c r="U35" s="12" t="s">
        <v>494</v>
      </c>
      <c r="V35" s="12" t="s">
        <v>494</v>
      </c>
      <c r="W35" s="12" t="s">
        <v>892</v>
      </c>
      <c r="X35" s="12" t="s">
        <v>893</v>
      </c>
      <c r="Y35" s="12" t="s">
        <v>894</v>
      </c>
      <c r="Z35" s="12" t="s">
        <v>895</v>
      </c>
      <c r="AA35" s="12" t="s">
        <v>695</v>
      </c>
      <c r="AB35" s="12" t="s">
        <v>497</v>
      </c>
      <c r="AC35" s="14" t="s">
        <v>498</v>
      </c>
      <c r="AD35" s="14" t="s">
        <v>499</v>
      </c>
      <c r="AE35" s="12" t="s">
        <v>638</v>
      </c>
      <c r="AF35" s="27" t="s">
        <v>501</v>
      </c>
      <c r="AG35" s="28"/>
      <c r="AH35" s="27"/>
      <c r="AI35" s="27"/>
      <c r="AJ35" s="27"/>
      <c r="AK35" s="28" t="str">
        <f aca="false">IF(AG35="","",WORKDAY(AG35,5))</f>
        <v/>
      </c>
      <c r="AL35" s="27"/>
      <c r="AM35" s="27"/>
    </row>
    <row r="36" customFormat="false" ht="35.05" hidden="false" customHeight="false" outlineLevel="0" collapsed="false">
      <c r="A36" s="24" t="s">
        <v>237</v>
      </c>
      <c r="B36" s="25" t="n">
        <v>35</v>
      </c>
      <c r="C36" s="26" t="n">
        <v>3</v>
      </c>
      <c r="D36" s="12" t="s">
        <v>374</v>
      </c>
      <c r="E36" s="34" t="s">
        <v>896</v>
      </c>
      <c r="F36" s="12" t="s">
        <v>525</v>
      </c>
      <c r="G36" s="14" t="s">
        <v>593</v>
      </c>
      <c r="H36" s="12" t="s">
        <v>862</v>
      </c>
      <c r="I36" s="12"/>
      <c r="J36" s="12" t="s">
        <v>486</v>
      </c>
      <c r="K36" s="12" t="s">
        <v>627</v>
      </c>
      <c r="L36" s="12" t="s">
        <v>897</v>
      </c>
      <c r="M36" s="12"/>
      <c r="N36" s="12" t="s">
        <v>898</v>
      </c>
      <c r="O36" s="12" t="s">
        <v>899</v>
      </c>
      <c r="P36" s="12" t="s">
        <v>900</v>
      </c>
      <c r="Q36" s="12" t="s">
        <v>901</v>
      </c>
      <c r="R36" s="12" t="s">
        <v>902</v>
      </c>
      <c r="S36" s="12" t="s">
        <v>903</v>
      </c>
      <c r="T36" s="12" t="s">
        <v>562</v>
      </c>
      <c r="U36" s="12" t="s">
        <v>494</v>
      </c>
      <c r="V36" s="12" t="s">
        <v>494</v>
      </c>
      <c r="W36" s="12"/>
      <c r="X36" s="12" t="s">
        <v>904</v>
      </c>
      <c r="Y36" s="12" t="s">
        <v>905</v>
      </c>
      <c r="Z36" s="12"/>
      <c r="AA36" s="12" t="s">
        <v>906</v>
      </c>
      <c r="AB36" s="12" t="s">
        <v>130</v>
      </c>
      <c r="AC36" s="14" t="s">
        <v>498</v>
      </c>
      <c r="AD36" s="14" t="s">
        <v>499</v>
      </c>
      <c r="AE36" s="12" t="s">
        <v>638</v>
      </c>
      <c r="AF36" s="27" t="s">
        <v>501</v>
      </c>
      <c r="AG36" s="28"/>
      <c r="AH36" s="27"/>
      <c r="AI36" s="27"/>
      <c r="AJ36" s="27"/>
      <c r="AK36" s="28" t="str">
        <f aca="false">IF(AG36="","",WORKDAY(AG36,5))</f>
        <v/>
      </c>
      <c r="AL36" s="27"/>
      <c r="AM36" s="27"/>
    </row>
    <row r="37" customFormat="false" ht="23.85" hidden="false" customHeight="false" outlineLevel="0" collapsed="false">
      <c r="A37" s="24" t="s">
        <v>237</v>
      </c>
      <c r="B37" s="25" t="n">
        <v>36</v>
      </c>
      <c r="C37" s="26" t="n">
        <v>4</v>
      </c>
      <c r="D37" s="12" t="s">
        <v>380</v>
      </c>
      <c r="E37" s="12" t="s">
        <v>907</v>
      </c>
      <c r="F37" s="12" t="s">
        <v>483</v>
      </c>
      <c r="G37" s="14" t="s">
        <v>908</v>
      </c>
      <c r="H37" s="12" t="s">
        <v>909</v>
      </c>
      <c r="I37" s="12"/>
      <c r="J37" s="12" t="s">
        <v>486</v>
      </c>
      <c r="K37" s="12" t="s">
        <v>627</v>
      </c>
      <c r="L37" s="12" t="s">
        <v>910</v>
      </c>
      <c r="M37" s="12"/>
      <c r="N37" s="12" t="s">
        <v>911</v>
      </c>
      <c r="O37" s="12" t="s">
        <v>126</v>
      </c>
      <c r="P37" s="12" t="s">
        <v>912</v>
      </c>
      <c r="Q37" s="12" t="s">
        <v>913</v>
      </c>
      <c r="R37" s="12" t="s">
        <v>518</v>
      </c>
      <c r="S37" s="12" t="s">
        <v>914</v>
      </c>
      <c r="T37" s="12" t="s">
        <v>915</v>
      </c>
      <c r="U37" s="12" t="s">
        <v>494</v>
      </c>
      <c r="V37" s="12" t="s">
        <v>494</v>
      </c>
      <c r="W37" s="12"/>
      <c r="X37" s="12" t="s">
        <v>916</v>
      </c>
      <c r="Y37" s="12" t="s">
        <v>917</v>
      </c>
      <c r="Z37" s="12"/>
      <c r="AA37" s="12" t="s">
        <v>918</v>
      </c>
      <c r="AB37" s="12" t="s">
        <v>130</v>
      </c>
      <c r="AC37" s="14" t="s">
        <v>498</v>
      </c>
      <c r="AD37" s="14" t="s">
        <v>499</v>
      </c>
      <c r="AE37" s="12" t="s">
        <v>500</v>
      </c>
      <c r="AF37" s="27" t="s">
        <v>501</v>
      </c>
      <c r="AG37" s="28"/>
      <c r="AH37" s="27"/>
      <c r="AI37" s="27"/>
      <c r="AJ37" s="27"/>
      <c r="AK37" s="28" t="str">
        <f aca="false">IF(AG37="","",WORKDAY(AG37,5))</f>
        <v/>
      </c>
      <c r="AL37" s="27"/>
      <c r="AM37" s="27"/>
    </row>
    <row r="38" customFormat="false" ht="35.05" hidden="false" customHeight="false" outlineLevel="0" collapsed="false">
      <c r="A38" s="24" t="s">
        <v>237</v>
      </c>
      <c r="B38" s="25" t="n">
        <v>37</v>
      </c>
      <c r="C38" s="26" t="n">
        <v>4</v>
      </c>
      <c r="D38" s="12" t="s">
        <v>405</v>
      </c>
      <c r="E38" s="34" t="s">
        <v>919</v>
      </c>
      <c r="F38" s="12" t="s">
        <v>525</v>
      </c>
      <c r="G38" s="14" t="s">
        <v>920</v>
      </c>
      <c r="H38" s="12" t="s">
        <v>921</v>
      </c>
      <c r="I38" s="12"/>
      <c r="J38" s="12" t="s">
        <v>486</v>
      </c>
      <c r="K38" s="12" t="s">
        <v>627</v>
      </c>
      <c r="L38" s="12" t="s">
        <v>922</v>
      </c>
      <c r="M38" s="12" t="s">
        <v>923</v>
      </c>
      <c r="N38" s="12" t="s">
        <v>924</v>
      </c>
      <c r="O38" s="12" t="s">
        <v>655</v>
      </c>
      <c r="P38" s="12" t="s">
        <v>925</v>
      </c>
      <c r="Q38" s="12" t="s">
        <v>926</v>
      </c>
      <c r="R38" s="12" t="s">
        <v>518</v>
      </c>
      <c r="S38" s="12" t="s">
        <v>927</v>
      </c>
      <c r="T38" s="12" t="s">
        <v>562</v>
      </c>
      <c r="U38" s="12" t="s">
        <v>494</v>
      </c>
      <c r="V38" s="12" t="s">
        <v>494</v>
      </c>
      <c r="W38" s="12" t="s">
        <v>928</v>
      </c>
      <c r="X38" s="12" t="s">
        <v>929</v>
      </c>
      <c r="Y38" s="12" t="s">
        <v>930</v>
      </c>
      <c r="Z38" s="12"/>
      <c r="AA38" s="12" t="s">
        <v>931</v>
      </c>
      <c r="AB38" s="12" t="s">
        <v>497</v>
      </c>
      <c r="AC38" s="14" t="s">
        <v>498</v>
      </c>
      <c r="AD38" s="14" t="s">
        <v>499</v>
      </c>
      <c r="AE38" s="12" t="s">
        <v>638</v>
      </c>
      <c r="AF38" s="27" t="s">
        <v>501</v>
      </c>
      <c r="AG38" s="28"/>
      <c r="AH38" s="27"/>
      <c r="AI38" s="27"/>
      <c r="AJ38" s="27"/>
      <c r="AK38" s="28" t="str">
        <f aca="false">IF(AG38="","",WORKDAY(AG38,5))</f>
        <v/>
      </c>
      <c r="AL38" s="27"/>
      <c r="AM38" s="27"/>
    </row>
    <row r="39" customFormat="false" ht="35.05" hidden="false" customHeight="false" outlineLevel="0" collapsed="false">
      <c r="A39" s="24" t="s">
        <v>237</v>
      </c>
      <c r="B39" s="25" t="n">
        <v>38</v>
      </c>
      <c r="C39" s="26" t="n">
        <v>3</v>
      </c>
      <c r="D39" s="12" t="s">
        <v>405</v>
      </c>
      <c r="E39" s="12" t="s">
        <v>932</v>
      </c>
      <c r="F39" s="12" t="s">
        <v>525</v>
      </c>
      <c r="G39" s="14" t="s">
        <v>933</v>
      </c>
      <c r="H39" s="12" t="s">
        <v>934</v>
      </c>
      <c r="I39" s="12"/>
      <c r="J39" s="12" t="s">
        <v>486</v>
      </c>
      <c r="K39" s="12" t="s">
        <v>627</v>
      </c>
      <c r="L39" s="12" t="s">
        <v>935</v>
      </c>
      <c r="M39" s="12"/>
      <c r="N39" s="12"/>
      <c r="O39" s="12" t="s">
        <v>936</v>
      </c>
      <c r="P39" s="12" t="s">
        <v>937</v>
      </c>
      <c r="Q39" s="12" t="s">
        <v>938</v>
      </c>
      <c r="R39" s="12" t="s">
        <v>518</v>
      </c>
      <c r="S39" s="12" t="s">
        <v>939</v>
      </c>
      <c r="T39" s="12" t="s">
        <v>940</v>
      </c>
      <c r="U39" s="12" t="s">
        <v>494</v>
      </c>
      <c r="V39" s="12" t="s">
        <v>494</v>
      </c>
      <c r="W39" s="12"/>
      <c r="X39" s="12" t="s">
        <v>941</v>
      </c>
      <c r="Y39" s="12"/>
      <c r="Z39" s="12"/>
      <c r="AA39" s="12" t="s">
        <v>942</v>
      </c>
      <c r="AB39" s="12" t="s">
        <v>943</v>
      </c>
      <c r="AC39" s="14" t="s">
        <v>498</v>
      </c>
      <c r="AD39" s="14" t="s">
        <v>499</v>
      </c>
      <c r="AE39" s="12" t="s">
        <v>500</v>
      </c>
      <c r="AF39" s="27" t="s">
        <v>501</v>
      </c>
      <c r="AG39" s="28"/>
      <c r="AH39" s="27"/>
      <c r="AI39" s="27"/>
      <c r="AJ39" s="27"/>
      <c r="AK39" s="28" t="str">
        <f aca="false">IF(AG39="","",WORKDAY(AG39,5))</f>
        <v/>
      </c>
      <c r="AL39" s="27"/>
      <c r="AM39" s="27"/>
    </row>
    <row r="40" customFormat="false" ht="35.05" hidden="false" customHeight="false" outlineLevel="0" collapsed="false">
      <c r="A40" s="24" t="s">
        <v>237</v>
      </c>
      <c r="B40" s="25" t="n">
        <v>39</v>
      </c>
      <c r="C40" s="26" t="n">
        <v>3</v>
      </c>
      <c r="D40" s="12" t="s">
        <v>405</v>
      </c>
      <c r="E40" s="34" t="s">
        <v>944</v>
      </c>
      <c r="F40" s="12" t="s">
        <v>525</v>
      </c>
      <c r="G40" s="14" t="s">
        <v>593</v>
      </c>
      <c r="H40" s="12" t="s">
        <v>945</v>
      </c>
      <c r="I40" s="12"/>
      <c r="J40" s="12" t="s">
        <v>486</v>
      </c>
      <c r="K40" s="12" t="s">
        <v>627</v>
      </c>
      <c r="L40" s="12" t="s">
        <v>946</v>
      </c>
      <c r="M40" s="12"/>
      <c r="N40" s="12"/>
      <c r="O40" s="12" t="s">
        <v>852</v>
      </c>
      <c r="P40" s="12" t="s">
        <v>947</v>
      </c>
      <c r="Q40" s="12" t="s">
        <v>948</v>
      </c>
      <c r="R40" s="12" t="s">
        <v>518</v>
      </c>
      <c r="S40" s="12" t="s">
        <v>949</v>
      </c>
      <c r="T40" s="12" t="s">
        <v>562</v>
      </c>
      <c r="U40" s="12" t="s">
        <v>494</v>
      </c>
      <c r="V40" s="12" t="s">
        <v>494</v>
      </c>
      <c r="W40" s="12" t="s">
        <v>950</v>
      </c>
      <c r="X40" s="12" t="s">
        <v>951</v>
      </c>
      <c r="Y40" s="12" t="s">
        <v>952</v>
      </c>
      <c r="Z40" s="12" t="s">
        <v>953</v>
      </c>
      <c r="AA40" s="12" t="s">
        <v>954</v>
      </c>
      <c r="AB40" s="12" t="s">
        <v>497</v>
      </c>
      <c r="AC40" s="14" t="s">
        <v>498</v>
      </c>
      <c r="AD40" s="14" t="s">
        <v>499</v>
      </c>
      <c r="AE40" s="12" t="s">
        <v>638</v>
      </c>
      <c r="AF40" s="27" t="s">
        <v>501</v>
      </c>
      <c r="AG40" s="28"/>
      <c r="AH40" s="27"/>
      <c r="AI40" s="27"/>
      <c r="AJ40" s="27"/>
      <c r="AK40" s="28" t="str">
        <f aca="false">IF(AG40="","",WORKDAY(AG40,5))</f>
        <v/>
      </c>
      <c r="AL40" s="27"/>
      <c r="AM40" s="27"/>
    </row>
    <row r="41" customFormat="false" ht="23.85" hidden="false" customHeight="false" outlineLevel="0" collapsed="false">
      <c r="A41" s="29" t="s">
        <v>376</v>
      </c>
      <c r="B41" s="30" t="n">
        <v>40</v>
      </c>
      <c r="C41" s="21" t="n">
        <v>4</v>
      </c>
      <c r="D41" s="8" t="s">
        <v>108</v>
      </c>
      <c r="E41" s="8" t="s">
        <v>955</v>
      </c>
      <c r="F41" s="8" t="s">
        <v>483</v>
      </c>
      <c r="G41" s="10" t="s">
        <v>956</v>
      </c>
      <c r="H41" s="8" t="s">
        <v>957</v>
      </c>
      <c r="I41" s="8"/>
      <c r="J41" s="8" t="s">
        <v>486</v>
      </c>
      <c r="K41" s="8" t="s">
        <v>487</v>
      </c>
      <c r="L41" s="8" t="s">
        <v>958</v>
      </c>
      <c r="M41" s="8"/>
      <c r="N41" s="8" t="s">
        <v>959</v>
      </c>
      <c r="O41" s="8" t="s">
        <v>126</v>
      </c>
      <c r="P41" s="8" t="s">
        <v>960</v>
      </c>
      <c r="Q41" s="8" t="s">
        <v>961</v>
      </c>
      <c r="R41" s="8" t="s">
        <v>518</v>
      </c>
      <c r="S41" s="8" t="s">
        <v>519</v>
      </c>
      <c r="T41" s="8" t="s">
        <v>562</v>
      </c>
      <c r="U41" s="8" t="s">
        <v>494</v>
      </c>
      <c r="V41" s="8" t="s">
        <v>494</v>
      </c>
      <c r="W41" s="8"/>
      <c r="X41" s="8" t="s">
        <v>962</v>
      </c>
      <c r="Y41" s="8" t="s">
        <v>963</v>
      </c>
      <c r="Z41" s="8"/>
      <c r="AA41" s="8" t="s">
        <v>964</v>
      </c>
      <c r="AB41" s="8" t="s">
        <v>965</v>
      </c>
      <c r="AC41" s="10" t="s">
        <v>498</v>
      </c>
      <c r="AD41" s="10" t="s">
        <v>499</v>
      </c>
      <c r="AE41" s="8" t="s">
        <v>500</v>
      </c>
      <c r="AF41" s="22" t="s">
        <v>501</v>
      </c>
      <c r="AG41" s="23"/>
      <c r="AH41" s="22"/>
      <c r="AI41" s="22"/>
      <c r="AJ41" s="22"/>
      <c r="AK41" s="23" t="str">
        <f aca="false">IF(AG41="","",WORKDAY(AG41,5))</f>
        <v/>
      </c>
      <c r="AL41" s="22"/>
      <c r="AM41" s="22"/>
    </row>
    <row r="42" customFormat="false" ht="35.05" hidden="false" customHeight="false" outlineLevel="0" collapsed="false">
      <c r="A42" s="31" t="s">
        <v>376</v>
      </c>
      <c r="B42" s="32" t="n">
        <v>41</v>
      </c>
      <c r="C42" s="26" t="n">
        <v>3</v>
      </c>
      <c r="D42" s="12" t="s">
        <v>108</v>
      </c>
      <c r="E42" s="12" t="s">
        <v>966</v>
      </c>
      <c r="F42" s="12" t="s">
        <v>483</v>
      </c>
      <c r="G42" s="14" t="s">
        <v>967</v>
      </c>
      <c r="H42" s="12" t="s">
        <v>968</v>
      </c>
      <c r="I42" s="12"/>
      <c r="J42" s="12" t="s">
        <v>486</v>
      </c>
      <c r="K42" s="12" t="s">
        <v>487</v>
      </c>
      <c r="L42" s="12" t="s">
        <v>969</v>
      </c>
      <c r="M42" s="12"/>
      <c r="N42" s="12" t="s">
        <v>970</v>
      </c>
      <c r="O42" s="12" t="s">
        <v>192</v>
      </c>
      <c r="P42" s="12" t="s">
        <v>971</v>
      </c>
      <c r="Q42" s="12" t="s">
        <v>972</v>
      </c>
      <c r="R42" s="12" t="s">
        <v>973</v>
      </c>
      <c r="S42" s="12" t="s">
        <v>974</v>
      </c>
      <c r="T42" s="12" t="s">
        <v>975</v>
      </c>
      <c r="U42" s="12" t="s">
        <v>494</v>
      </c>
      <c r="V42" s="12" t="s">
        <v>494</v>
      </c>
      <c r="W42" s="12"/>
      <c r="X42" s="12" t="s">
        <v>976</v>
      </c>
      <c r="Y42" s="12" t="s">
        <v>977</v>
      </c>
      <c r="Z42" s="12" t="s">
        <v>978</v>
      </c>
      <c r="AA42" s="12" t="s">
        <v>979</v>
      </c>
      <c r="AB42" s="12" t="s">
        <v>980</v>
      </c>
      <c r="AC42" s="14" t="s">
        <v>498</v>
      </c>
      <c r="AD42" s="14" t="s">
        <v>499</v>
      </c>
      <c r="AE42" s="12" t="s">
        <v>500</v>
      </c>
      <c r="AF42" s="27" t="s">
        <v>501</v>
      </c>
      <c r="AG42" s="28"/>
      <c r="AH42" s="27"/>
      <c r="AI42" s="27"/>
      <c r="AJ42" s="27"/>
      <c r="AK42" s="28" t="str">
        <f aca="false">IF(AG42="","",WORKDAY(AG42,5))</f>
        <v/>
      </c>
      <c r="AL42" s="27"/>
      <c r="AM42" s="27"/>
    </row>
    <row r="43" customFormat="false" ht="23.85" hidden="false" customHeight="false" outlineLevel="0" collapsed="false">
      <c r="A43" s="31" t="s">
        <v>376</v>
      </c>
      <c r="B43" s="32" t="n">
        <v>42</v>
      </c>
      <c r="C43" s="26" t="n">
        <v>3</v>
      </c>
      <c r="D43" s="12" t="s">
        <v>143</v>
      </c>
      <c r="E43" s="12" t="s">
        <v>981</v>
      </c>
      <c r="F43" s="12" t="s">
        <v>525</v>
      </c>
      <c r="G43" s="14" t="s">
        <v>982</v>
      </c>
      <c r="H43" s="12" t="s">
        <v>983</v>
      </c>
      <c r="I43" s="12"/>
      <c r="J43" s="12" t="s">
        <v>486</v>
      </c>
      <c r="K43" s="12" t="s">
        <v>487</v>
      </c>
      <c r="L43" s="12" t="s">
        <v>984</v>
      </c>
      <c r="M43" s="12" t="s">
        <v>985</v>
      </c>
      <c r="N43" s="12"/>
      <c r="O43" s="12" t="s">
        <v>192</v>
      </c>
      <c r="P43" s="12" t="s">
        <v>986</v>
      </c>
      <c r="Q43" s="12" t="s">
        <v>987</v>
      </c>
      <c r="R43" s="12" t="s">
        <v>491</v>
      </c>
      <c r="S43" s="12" t="s">
        <v>988</v>
      </c>
      <c r="T43" s="12" t="s">
        <v>562</v>
      </c>
      <c r="U43" s="12" t="s">
        <v>494</v>
      </c>
      <c r="V43" s="12" t="s">
        <v>494</v>
      </c>
      <c r="W43" s="12"/>
      <c r="X43" s="12" t="s">
        <v>989</v>
      </c>
      <c r="Y43" s="12" t="s">
        <v>990</v>
      </c>
      <c r="Z43" s="12"/>
      <c r="AA43" s="12" t="s">
        <v>991</v>
      </c>
      <c r="AB43" s="12" t="s">
        <v>123</v>
      </c>
      <c r="AC43" s="14" t="s">
        <v>498</v>
      </c>
      <c r="AD43" s="14" t="s">
        <v>499</v>
      </c>
      <c r="AE43" s="12" t="s">
        <v>500</v>
      </c>
      <c r="AF43" s="27" t="s">
        <v>501</v>
      </c>
      <c r="AG43" s="28"/>
      <c r="AH43" s="27"/>
      <c r="AI43" s="27"/>
      <c r="AJ43" s="27"/>
      <c r="AK43" s="28" t="str">
        <f aca="false">IF(AG43="","",WORKDAY(AG43,5))</f>
        <v/>
      </c>
      <c r="AL43" s="27"/>
      <c r="AM43" s="27"/>
    </row>
    <row r="44" customFormat="false" ht="23.85" hidden="false" customHeight="false" outlineLevel="0" collapsed="false">
      <c r="A44" s="31" t="s">
        <v>376</v>
      </c>
      <c r="B44" s="32" t="n">
        <v>43</v>
      </c>
      <c r="C44" s="26" t="n">
        <v>3</v>
      </c>
      <c r="D44" s="12" t="s">
        <v>353</v>
      </c>
      <c r="E44" s="12" t="s">
        <v>992</v>
      </c>
      <c r="F44" s="12" t="s">
        <v>483</v>
      </c>
      <c r="G44" s="14" t="s">
        <v>993</v>
      </c>
      <c r="H44" s="12" t="s">
        <v>994</v>
      </c>
      <c r="I44" s="12"/>
      <c r="J44" s="12" t="s">
        <v>486</v>
      </c>
      <c r="K44" s="12" t="s">
        <v>487</v>
      </c>
      <c r="L44" s="12" t="s">
        <v>995</v>
      </c>
      <c r="M44" s="12"/>
      <c r="N44" s="12"/>
      <c r="O44" s="12" t="s">
        <v>996</v>
      </c>
      <c r="P44" s="12" t="s">
        <v>997</v>
      </c>
      <c r="Q44" s="12" t="s">
        <v>998</v>
      </c>
      <c r="R44" s="12" t="s">
        <v>491</v>
      </c>
      <c r="S44" s="12" t="s">
        <v>999</v>
      </c>
      <c r="T44" s="12" t="s">
        <v>1000</v>
      </c>
      <c r="U44" s="12" t="s">
        <v>494</v>
      </c>
      <c r="V44" s="12" t="s">
        <v>494</v>
      </c>
      <c r="W44" s="12"/>
      <c r="X44" s="12" t="s">
        <v>1001</v>
      </c>
      <c r="Y44" s="12" t="s">
        <v>1002</v>
      </c>
      <c r="Z44" s="12"/>
      <c r="AA44" s="12" t="s">
        <v>1003</v>
      </c>
      <c r="AB44" s="12" t="s">
        <v>179</v>
      </c>
      <c r="AC44" s="14" t="s">
        <v>498</v>
      </c>
      <c r="AD44" s="14" t="s">
        <v>499</v>
      </c>
      <c r="AE44" s="12" t="s">
        <v>500</v>
      </c>
      <c r="AF44" s="27" t="s">
        <v>501</v>
      </c>
      <c r="AG44" s="28"/>
      <c r="AH44" s="27"/>
      <c r="AI44" s="27"/>
      <c r="AJ44" s="27"/>
      <c r="AK44" s="28" t="str">
        <f aca="false">IF(AG44="","",WORKDAY(AG44,5))</f>
        <v/>
      </c>
      <c r="AL44" s="27"/>
      <c r="AM44" s="27"/>
    </row>
    <row r="45" customFormat="false" ht="23.85" hidden="false" customHeight="false" outlineLevel="0" collapsed="false">
      <c r="A45" s="31" t="s">
        <v>376</v>
      </c>
      <c r="B45" s="32" t="n">
        <v>44</v>
      </c>
      <c r="C45" s="26" t="n">
        <v>4</v>
      </c>
      <c r="D45" s="12" t="s">
        <v>374</v>
      </c>
      <c r="E45" s="12" t="s">
        <v>375</v>
      </c>
      <c r="F45" s="12" t="s">
        <v>735</v>
      </c>
      <c r="G45" s="14" t="s">
        <v>379</v>
      </c>
      <c r="H45" s="12" t="s">
        <v>1004</v>
      </c>
      <c r="I45" s="12"/>
      <c r="J45" s="12" t="s">
        <v>486</v>
      </c>
      <c r="K45" s="12" t="s">
        <v>487</v>
      </c>
      <c r="L45" s="12" t="s">
        <v>1005</v>
      </c>
      <c r="M45" s="12"/>
      <c r="N45" s="12"/>
      <c r="O45" s="12" t="s">
        <v>192</v>
      </c>
      <c r="P45" s="12" t="s">
        <v>377</v>
      </c>
      <c r="Q45" s="12" t="s">
        <v>1006</v>
      </c>
      <c r="R45" s="12" t="s">
        <v>491</v>
      </c>
      <c r="S45" s="12" t="s">
        <v>1007</v>
      </c>
      <c r="T45" s="12" t="s">
        <v>1008</v>
      </c>
      <c r="U45" s="12" t="s">
        <v>494</v>
      </c>
      <c r="V45" s="12" t="s">
        <v>494</v>
      </c>
      <c r="W45" s="12"/>
      <c r="X45" s="12" t="s">
        <v>1009</v>
      </c>
      <c r="Y45" s="12" t="s">
        <v>378</v>
      </c>
      <c r="Z45" s="12"/>
      <c r="AA45" s="12" t="s">
        <v>1010</v>
      </c>
      <c r="AB45" s="12" t="s">
        <v>123</v>
      </c>
      <c r="AC45" s="14" t="s">
        <v>498</v>
      </c>
      <c r="AD45" s="14" t="s">
        <v>499</v>
      </c>
      <c r="AE45" s="12" t="s">
        <v>500</v>
      </c>
      <c r="AF45" s="27" t="s">
        <v>501</v>
      </c>
      <c r="AG45" s="28"/>
      <c r="AH45" s="27"/>
      <c r="AI45" s="27"/>
      <c r="AJ45" s="27"/>
      <c r="AK45" s="28" t="str">
        <f aca="false">IF(AG45="","",WORKDAY(AG45,5))</f>
        <v/>
      </c>
      <c r="AL45" s="27"/>
      <c r="AM45" s="27"/>
    </row>
    <row r="46" customFormat="false" ht="23.85" hidden="false" customHeight="false" outlineLevel="0" collapsed="false">
      <c r="A46" s="31" t="s">
        <v>376</v>
      </c>
      <c r="B46" s="32" t="n">
        <v>45</v>
      </c>
      <c r="C46" s="26" t="n">
        <v>3</v>
      </c>
      <c r="D46" s="12" t="s">
        <v>374</v>
      </c>
      <c r="E46" s="12" t="s">
        <v>1011</v>
      </c>
      <c r="F46" s="12" t="s">
        <v>483</v>
      </c>
      <c r="G46" s="14" t="s">
        <v>1012</v>
      </c>
      <c r="H46" s="12" t="s">
        <v>1013</v>
      </c>
      <c r="I46" s="12"/>
      <c r="J46" s="12" t="s">
        <v>486</v>
      </c>
      <c r="K46" s="12" t="s">
        <v>487</v>
      </c>
      <c r="L46" s="12" t="s">
        <v>1014</v>
      </c>
      <c r="M46" s="12"/>
      <c r="N46" s="12"/>
      <c r="O46" s="12" t="s">
        <v>126</v>
      </c>
      <c r="P46" s="12" t="s">
        <v>1015</v>
      </c>
      <c r="Q46" s="12" t="s">
        <v>1016</v>
      </c>
      <c r="R46" s="12" t="s">
        <v>491</v>
      </c>
      <c r="S46" s="12" t="s">
        <v>1017</v>
      </c>
      <c r="T46" s="12" t="s">
        <v>562</v>
      </c>
      <c r="U46" s="12" t="s">
        <v>494</v>
      </c>
      <c r="V46" s="12" t="s">
        <v>494</v>
      </c>
      <c r="W46" s="12"/>
      <c r="X46" s="12" t="s">
        <v>1018</v>
      </c>
      <c r="Y46" s="12" t="s">
        <v>1019</v>
      </c>
      <c r="Z46" s="12"/>
      <c r="AA46" s="12" t="s">
        <v>1020</v>
      </c>
      <c r="AB46" s="12" t="s">
        <v>123</v>
      </c>
      <c r="AC46" s="14" t="s">
        <v>498</v>
      </c>
      <c r="AD46" s="14" t="s">
        <v>499</v>
      </c>
      <c r="AE46" s="12" t="s">
        <v>500</v>
      </c>
      <c r="AF46" s="27" t="s">
        <v>501</v>
      </c>
      <c r="AG46" s="28"/>
      <c r="AH46" s="27"/>
      <c r="AI46" s="27"/>
      <c r="AJ46" s="27"/>
      <c r="AK46" s="28" t="str">
        <f aca="false">IF(AG46="","",WORKDAY(AG46,5))</f>
        <v/>
      </c>
      <c r="AL46" s="27"/>
      <c r="AM46" s="27"/>
    </row>
    <row r="47" customFormat="false" ht="23.85" hidden="false" customHeight="false" outlineLevel="0" collapsed="false">
      <c r="A47" s="31" t="s">
        <v>376</v>
      </c>
      <c r="B47" s="32" t="n">
        <v>46</v>
      </c>
      <c r="C47" s="26" t="n">
        <v>3</v>
      </c>
      <c r="D47" s="12" t="s">
        <v>380</v>
      </c>
      <c r="E47" s="12" t="s">
        <v>1021</v>
      </c>
      <c r="F47" s="12" t="s">
        <v>525</v>
      </c>
      <c r="G47" s="14" t="s">
        <v>593</v>
      </c>
      <c r="H47" s="12" t="s">
        <v>1022</v>
      </c>
      <c r="I47" s="12"/>
      <c r="J47" s="12" t="s">
        <v>486</v>
      </c>
      <c r="K47" s="12" t="s">
        <v>487</v>
      </c>
      <c r="L47" s="12" t="s">
        <v>1023</v>
      </c>
      <c r="M47" s="12"/>
      <c r="N47" s="12"/>
      <c r="O47" s="12" t="s">
        <v>1024</v>
      </c>
      <c r="P47" s="12" t="s">
        <v>1025</v>
      </c>
      <c r="Q47" s="12" t="s">
        <v>1026</v>
      </c>
      <c r="R47" s="12" t="s">
        <v>518</v>
      </c>
      <c r="S47" s="12" t="s">
        <v>1027</v>
      </c>
      <c r="T47" s="12" t="s">
        <v>1028</v>
      </c>
      <c r="U47" s="12" t="s">
        <v>494</v>
      </c>
      <c r="V47" s="12" t="s">
        <v>494</v>
      </c>
      <c r="W47" s="12" t="s">
        <v>1029</v>
      </c>
      <c r="X47" s="12" t="s">
        <v>1030</v>
      </c>
      <c r="Y47" s="12"/>
      <c r="Z47" s="12"/>
      <c r="AA47" s="12" t="s">
        <v>1031</v>
      </c>
      <c r="AB47" s="12" t="s">
        <v>130</v>
      </c>
      <c r="AC47" s="14" t="s">
        <v>498</v>
      </c>
      <c r="AD47" s="14" t="s">
        <v>499</v>
      </c>
      <c r="AE47" s="12" t="s">
        <v>568</v>
      </c>
      <c r="AF47" s="27" t="s">
        <v>501</v>
      </c>
      <c r="AG47" s="28"/>
      <c r="AH47" s="27"/>
      <c r="AI47" s="27"/>
      <c r="AJ47" s="27"/>
      <c r="AK47" s="28" t="str">
        <f aca="false">IF(AG47="","",WORKDAY(AG47,5))</f>
        <v/>
      </c>
      <c r="AL47" s="27"/>
      <c r="AM47" s="27"/>
    </row>
    <row r="48" customFormat="false" ht="35.05" hidden="false" customHeight="false" outlineLevel="0" collapsed="false">
      <c r="A48" s="31" t="s">
        <v>376</v>
      </c>
      <c r="B48" s="32" t="n">
        <v>47</v>
      </c>
      <c r="C48" s="26" t="n">
        <v>4</v>
      </c>
      <c r="D48" s="12" t="s">
        <v>405</v>
      </c>
      <c r="E48" s="12" t="s">
        <v>1032</v>
      </c>
      <c r="F48" s="12" t="s">
        <v>483</v>
      </c>
      <c r="G48" s="14" t="s">
        <v>1033</v>
      </c>
      <c r="H48" s="12" t="s">
        <v>1034</v>
      </c>
      <c r="I48" s="12"/>
      <c r="J48" s="12" t="s">
        <v>486</v>
      </c>
      <c r="K48" s="12" t="s">
        <v>487</v>
      </c>
      <c r="L48" s="12" t="s">
        <v>1035</v>
      </c>
      <c r="M48" s="12"/>
      <c r="N48" s="12"/>
      <c r="O48" s="12" t="s">
        <v>126</v>
      </c>
      <c r="P48" s="12" t="s">
        <v>1036</v>
      </c>
      <c r="Q48" s="12" t="s">
        <v>1037</v>
      </c>
      <c r="R48" s="12" t="s">
        <v>491</v>
      </c>
      <c r="S48" s="12" t="s">
        <v>1038</v>
      </c>
      <c r="T48" s="12" t="s">
        <v>1039</v>
      </c>
      <c r="U48" s="12" t="s">
        <v>494</v>
      </c>
      <c r="V48" s="12" t="s">
        <v>494</v>
      </c>
      <c r="W48" s="12"/>
      <c r="X48" s="12" t="s">
        <v>1040</v>
      </c>
      <c r="Y48" s="12" t="s">
        <v>1041</v>
      </c>
      <c r="Z48" s="12" t="s">
        <v>1042</v>
      </c>
      <c r="AA48" s="12" t="s">
        <v>1043</v>
      </c>
      <c r="AB48" s="12" t="s">
        <v>204</v>
      </c>
      <c r="AC48" s="14" t="s">
        <v>498</v>
      </c>
      <c r="AD48" s="14" t="s">
        <v>499</v>
      </c>
      <c r="AE48" s="12" t="s">
        <v>500</v>
      </c>
      <c r="AF48" s="27" t="s">
        <v>501</v>
      </c>
      <c r="AG48" s="28"/>
      <c r="AH48" s="27"/>
      <c r="AI48" s="27"/>
      <c r="AJ48" s="27"/>
      <c r="AK48" s="28" t="str">
        <f aca="false">IF(AG48="","",WORKDAY(AG48,5))</f>
        <v/>
      </c>
      <c r="AL48" s="27"/>
      <c r="AM48" s="27"/>
    </row>
    <row r="49" customFormat="false" ht="23.85" hidden="false" customHeight="false" outlineLevel="0" collapsed="false">
      <c r="A49" s="19" t="s">
        <v>174</v>
      </c>
      <c r="B49" s="20" t="n">
        <v>48</v>
      </c>
      <c r="C49" s="21" t="n">
        <v>4</v>
      </c>
      <c r="D49" s="8" t="s">
        <v>143</v>
      </c>
      <c r="E49" s="8" t="s">
        <v>1044</v>
      </c>
      <c r="F49" s="8" t="s">
        <v>483</v>
      </c>
      <c r="G49" s="10" t="s">
        <v>1045</v>
      </c>
      <c r="H49" s="8" t="s">
        <v>1046</v>
      </c>
      <c r="I49" s="8"/>
      <c r="J49" s="8" t="s">
        <v>486</v>
      </c>
      <c r="K49" s="8" t="s">
        <v>487</v>
      </c>
      <c r="L49" s="8" t="s">
        <v>1047</v>
      </c>
      <c r="M49" s="8"/>
      <c r="N49" s="8"/>
      <c r="O49" s="8" t="s">
        <v>126</v>
      </c>
      <c r="P49" s="8" t="s">
        <v>1048</v>
      </c>
      <c r="Q49" s="8" t="s">
        <v>1049</v>
      </c>
      <c r="R49" s="8" t="s">
        <v>491</v>
      </c>
      <c r="S49" s="8" t="s">
        <v>492</v>
      </c>
      <c r="T49" s="8" t="s">
        <v>1050</v>
      </c>
      <c r="U49" s="8" t="s">
        <v>494</v>
      </c>
      <c r="V49" s="8" t="s">
        <v>494</v>
      </c>
      <c r="W49" s="8"/>
      <c r="X49" s="8" t="s">
        <v>1051</v>
      </c>
      <c r="Y49" s="8" t="s">
        <v>1052</v>
      </c>
      <c r="Z49" s="8"/>
      <c r="AA49" s="8" t="s">
        <v>1053</v>
      </c>
      <c r="AB49" s="8" t="s">
        <v>1054</v>
      </c>
      <c r="AC49" s="10" t="s">
        <v>498</v>
      </c>
      <c r="AD49" s="10" t="s">
        <v>499</v>
      </c>
      <c r="AE49" s="8" t="s">
        <v>500</v>
      </c>
      <c r="AF49" s="22" t="s">
        <v>501</v>
      </c>
      <c r="AG49" s="23"/>
      <c r="AH49" s="22"/>
      <c r="AI49" s="22"/>
      <c r="AJ49" s="22"/>
      <c r="AK49" s="23" t="str">
        <f aca="false">IF(AG49="","",WORKDAY(AG49,5))</f>
        <v/>
      </c>
      <c r="AL49" s="22"/>
      <c r="AM49" s="22"/>
    </row>
    <row r="50" customFormat="false" ht="23.85" hidden="false" customHeight="false" outlineLevel="0" collapsed="false">
      <c r="A50" s="24" t="s">
        <v>174</v>
      </c>
      <c r="B50" s="25" t="n">
        <v>49</v>
      </c>
      <c r="C50" s="26" t="n">
        <v>4</v>
      </c>
      <c r="D50" s="12" t="s">
        <v>166</v>
      </c>
      <c r="E50" s="12" t="s">
        <v>173</v>
      </c>
      <c r="F50" s="12" t="s">
        <v>735</v>
      </c>
      <c r="G50" s="14" t="s">
        <v>178</v>
      </c>
      <c r="H50" s="12" t="s">
        <v>1046</v>
      </c>
      <c r="I50" s="12"/>
      <c r="J50" s="12" t="s">
        <v>486</v>
      </c>
      <c r="K50" s="12" t="s">
        <v>487</v>
      </c>
      <c r="L50" s="12" t="s">
        <v>1055</v>
      </c>
      <c r="M50" s="12"/>
      <c r="N50" s="12"/>
      <c r="O50" s="12" t="s">
        <v>175</v>
      </c>
      <c r="P50" s="12" t="s">
        <v>176</v>
      </c>
      <c r="Q50" s="12" t="s">
        <v>1056</v>
      </c>
      <c r="R50" s="12" t="s">
        <v>491</v>
      </c>
      <c r="S50" s="12" t="s">
        <v>1057</v>
      </c>
      <c r="T50" s="12" t="s">
        <v>1058</v>
      </c>
      <c r="U50" s="12" t="s">
        <v>494</v>
      </c>
      <c r="V50" s="12" t="s">
        <v>494</v>
      </c>
      <c r="W50" s="12"/>
      <c r="X50" s="12" t="s">
        <v>1059</v>
      </c>
      <c r="Y50" s="12" t="s">
        <v>177</v>
      </c>
      <c r="Z50" s="12"/>
      <c r="AA50" s="12" t="s">
        <v>1060</v>
      </c>
      <c r="AB50" s="12" t="s">
        <v>179</v>
      </c>
      <c r="AC50" s="14" t="s">
        <v>498</v>
      </c>
      <c r="AD50" s="14" t="s">
        <v>499</v>
      </c>
      <c r="AE50" s="12" t="s">
        <v>500</v>
      </c>
      <c r="AF50" s="27" t="s">
        <v>501</v>
      </c>
      <c r="AG50" s="28"/>
      <c r="AH50" s="27"/>
      <c r="AI50" s="27"/>
      <c r="AJ50" s="27"/>
      <c r="AK50" s="28" t="str">
        <f aca="false">IF(AG50="","",WORKDAY(AG50,5))</f>
        <v/>
      </c>
      <c r="AL50" s="27"/>
      <c r="AM50" s="27"/>
    </row>
    <row r="51" customFormat="false" ht="23.85" hidden="false" customHeight="false" outlineLevel="0" collapsed="false">
      <c r="A51" s="24" t="s">
        <v>174</v>
      </c>
      <c r="B51" s="25" t="n">
        <v>50</v>
      </c>
      <c r="C51" s="26" t="n">
        <v>4</v>
      </c>
      <c r="D51" s="12" t="s">
        <v>307</v>
      </c>
      <c r="E51" s="12" t="s">
        <v>1061</v>
      </c>
      <c r="F51" s="12" t="s">
        <v>483</v>
      </c>
      <c r="G51" s="14" t="s">
        <v>1062</v>
      </c>
      <c r="H51" s="12" t="s">
        <v>1046</v>
      </c>
      <c r="I51" s="12"/>
      <c r="J51" s="12" t="s">
        <v>486</v>
      </c>
      <c r="K51" s="12" t="s">
        <v>487</v>
      </c>
      <c r="L51" s="12" t="s">
        <v>1063</v>
      </c>
      <c r="M51" s="12" t="s">
        <v>1064</v>
      </c>
      <c r="N51" s="12" t="s">
        <v>1065</v>
      </c>
      <c r="O51" s="12" t="s">
        <v>395</v>
      </c>
      <c r="P51" s="12" t="s">
        <v>1066</v>
      </c>
      <c r="Q51" s="12" t="s">
        <v>1067</v>
      </c>
      <c r="R51" s="12" t="s">
        <v>491</v>
      </c>
      <c r="S51" s="12" t="s">
        <v>1068</v>
      </c>
      <c r="T51" s="12" t="s">
        <v>1069</v>
      </c>
      <c r="U51" s="12" t="s">
        <v>494</v>
      </c>
      <c r="V51" s="12" t="s">
        <v>494</v>
      </c>
      <c r="W51" s="12"/>
      <c r="X51" s="12" t="s">
        <v>1070</v>
      </c>
      <c r="Y51" s="12" t="s">
        <v>1071</v>
      </c>
      <c r="Z51" s="12"/>
      <c r="AA51" s="12" t="s">
        <v>1072</v>
      </c>
      <c r="AB51" s="12" t="s">
        <v>179</v>
      </c>
      <c r="AC51" s="14" t="s">
        <v>498</v>
      </c>
      <c r="AD51" s="14" t="s">
        <v>499</v>
      </c>
      <c r="AE51" s="12" t="s">
        <v>500</v>
      </c>
      <c r="AF51" s="27" t="s">
        <v>501</v>
      </c>
      <c r="AG51" s="28"/>
      <c r="AH51" s="27"/>
      <c r="AI51" s="27"/>
      <c r="AJ51" s="27"/>
      <c r="AK51" s="28" t="str">
        <f aca="false">IF(AG51="","",WORKDAY(AG51,5))</f>
        <v/>
      </c>
      <c r="AL51" s="27"/>
      <c r="AM51" s="27"/>
    </row>
    <row r="52" customFormat="false" ht="35.05" hidden="false" customHeight="false" outlineLevel="0" collapsed="false">
      <c r="A52" s="24" t="s">
        <v>174</v>
      </c>
      <c r="B52" s="25" t="n">
        <v>51</v>
      </c>
      <c r="C52" s="26" t="n">
        <v>5</v>
      </c>
      <c r="D52" s="12" t="s">
        <v>405</v>
      </c>
      <c r="E52" s="12" t="s">
        <v>1073</v>
      </c>
      <c r="F52" s="12" t="s">
        <v>483</v>
      </c>
      <c r="G52" s="14" t="s">
        <v>1074</v>
      </c>
      <c r="H52" s="12" t="s">
        <v>1075</v>
      </c>
      <c r="I52" s="12"/>
      <c r="J52" s="12" t="s">
        <v>486</v>
      </c>
      <c r="K52" s="12" t="s">
        <v>487</v>
      </c>
      <c r="L52" s="12" t="s">
        <v>1076</v>
      </c>
      <c r="M52" s="12"/>
      <c r="N52" s="12" t="s">
        <v>1077</v>
      </c>
      <c r="O52" s="12" t="s">
        <v>433</v>
      </c>
      <c r="P52" s="12" t="s">
        <v>1078</v>
      </c>
      <c r="Q52" s="12" t="s">
        <v>1079</v>
      </c>
      <c r="R52" s="12" t="s">
        <v>518</v>
      </c>
      <c r="S52" s="12" t="s">
        <v>1080</v>
      </c>
      <c r="T52" s="12" t="s">
        <v>1081</v>
      </c>
      <c r="U52" s="12" t="s">
        <v>494</v>
      </c>
      <c r="V52" s="12" t="s">
        <v>494</v>
      </c>
      <c r="W52" s="12"/>
      <c r="X52" s="12" t="s">
        <v>1082</v>
      </c>
      <c r="Y52" s="12" t="s">
        <v>1083</v>
      </c>
      <c r="Z52" s="12" t="s">
        <v>1084</v>
      </c>
      <c r="AA52" s="12" t="s">
        <v>1085</v>
      </c>
      <c r="AB52" s="12" t="s">
        <v>130</v>
      </c>
      <c r="AC52" s="14" t="s">
        <v>498</v>
      </c>
      <c r="AD52" s="14" t="s">
        <v>499</v>
      </c>
      <c r="AE52" s="12" t="s">
        <v>500</v>
      </c>
      <c r="AF52" s="27" t="s">
        <v>501</v>
      </c>
      <c r="AG52" s="28"/>
      <c r="AH52" s="27"/>
      <c r="AI52" s="27"/>
      <c r="AJ52" s="27"/>
      <c r="AK52" s="28" t="str">
        <f aca="false">IF(AG52="","",WORKDAY(AG52,5))</f>
        <v/>
      </c>
      <c r="AL52" s="27"/>
      <c r="AM52" s="27"/>
    </row>
    <row r="53" customFormat="false" ht="23.85" hidden="false" customHeight="false" outlineLevel="0" collapsed="false">
      <c r="A53" s="29" t="s">
        <v>118</v>
      </c>
      <c r="B53" s="30" t="n">
        <v>52</v>
      </c>
      <c r="C53" s="21" t="n">
        <v>4</v>
      </c>
      <c r="D53" s="8" t="s">
        <v>108</v>
      </c>
      <c r="E53" s="8" t="s">
        <v>117</v>
      </c>
      <c r="F53" s="8" t="s">
        <v>735</v>
      </c>
      <c r="G53" s="10" t="s">
        <v>122</v>
      </c>
      <c r="H53" s="8" t="s">
        <v>1086</v>
      </c>
      <c r="I53" s="8"/>
      <c r="J53" s="8" t="s">
        <v>486</v>
      </c>
      <c r="K53" s="8" t="s">
        <v>487</v>
      </c>
      <c r="L53" s="8" t="s">
        <v>1086</v>
      </c>
      <c r="M53" s="8"/>
      <c r="N53" s="8"/>
      <c r="O53" s="8" t="s">
        <v>119</v>
      </c>
      <c r="P53" s="8" t="s">
        <v>120</v>
      </c>
      <c r="Q53" s="8" t="s">
        <v>1087</v>
      </c>
      <c r="R53" s="8" t="s">
        <v>518</v>
      </c>
      <c r="S53" s="8" t="s">
        <v>519</v>
      </c>
      <c r="T53" s="8" t="s">
        <v>1088</v>
      </c>
      <c r="U53" s="8" t="s">
        <v>494</v>
      </c>
      <c r="V53" s="8" t="s">
        <v>494</v>
      </c>
      <c r="W53" s="8"/>
      <c r="X53" s="8" t="s">
        <v>1089</v>
      </c>
      <c r="Y53" s="8" t="s">
        <v>121</v>
      </c>
      <c r="Z53" s="8"/>
      <c r="AA53" s="8" t="s">
        <v>1090</v>
      </c>
      <c r="AB53" s="8" t="s">
        <v>123</v>
      </c>
      <c r="AC53" s="10" t="s">
        <v>498</v>
      </c>
      <c r="AD53" s="10" t="s">
        <v>499</v>
      </c>
      <c r="AE53" s="8" t="s">
        <v>500</v>
      </c>
      <c r="AF53" s="22" t="s">
        <v>501</v>
      </c>
      <c r="AG53" s="23"/>
      <c r="AH53" s="22"/>
      <c r="AI53" s="22"/>
      <c r="AJ53" s="22"/>
      <c r="AK53" s="23" t="str">
        <f aca="false">IF(AG53="","",WORKDAY(AG53,5))</f>
        <v/>
      </c>
      <c r="AL53" s="22"/>
      <c r="AM53" s="22"/>
    </row>
    <row r="54" customFormat="false" ht="23.85" hidden="false" customHeight="false" outlineLevel="0" collapsed="false">
      <c r="A54" s="31" t="s">
        <v>118</v>
      </c>
      <c r="B54" s="32" t="n">
        <v>53</v>
      </c>
      <c r="C54" s="26" t="n">
        <v>4</v>
      </c>
      <c r="D54" s="12" t="s">
        <v>108</v>
      </c>
      <c r="E54" s="12" t="s">
        <v>1091</v>
      </c>
      <c r="F54" s="12" t="s">
        <v>483</v>
      </c>
      <c r="G54" s="14" t="s">
        <v>1092</v>
      </c>
      <c r="H54" s="12" t="s">
        <v>1093</v>
      </c>
      <c r="I54" s="12"/>
      <c r="J54" s="12" t="s">
        <v>486</v>
      </c>
      <c r="K54" s="12" t="s">
        <v>487</v>
      </c>
      <c r="L54" s="12" t="s">
        <v>1094</v>
      </c>
      <c r="M54" s="12" t="s">
        <v>1095</v>
      </c>
      <c r="N54" s="12"/>
      <c r="O54" s="12" t="s">
        <v>126</v>
      </c>
      <c r="P54" s="12" t="s">
        <v>1096</v>
      </c>
      <c r="Q54" s="12" t="s">
        <v>1097</v>
      </c>
      <c r="R54" s="12" t="s">
        <v>491</v>
      </c>
      <c r="S54" s="12" t="s">
        <v>1098</v>
      </c>
      <c r="T54" s="12" t="s">
        <v>1099</v>
      </c>
      <c r="U54" s="12" t="s">
        <v>494</v>
      </c>
      <c r="V54" s="12" t="s">
        <v>494</v>
      </c>
      <c r="W54" s="12"/>
      <c r="X54" s="12" t="s">
        <v>1100</v>
      </c>
      <c r="Y54" s="12" t="s">
        <v>1101</v>
      </c>
      <c r="Z54" s="12"/>
      <c r="AA54" s="12" t="s">
        <v>1102</v>
      </c>
      <c r="AB54" s="12" t="s">
        <v>1103</v>
      </c>
      <c r="AC54" s="14" t="s">
        <v>498</v>
      </c>
      <c r="AD54" s="14" t="s">
        <v>499</v>
      </c>
      <c r="AE54" s="12" t="s">
        <v>500</v>
      </c>
      <c r="AF54" s="27" t="s">
        <v>501</v>
      </c>
      <c r="AG54" s="28"/>
      <c r="AH54" s="27"/>
      <c r="AI54" s="27"/>
      <c r="AJ54" s="27"/>
      <c r="AK54" s="28" t="str">
        <f aca="false">IF(AG54="","",WORKDAY(AG54,5))</f>
        <v/>
      </c>
      <c r="AL54" s="27"/>
      <c r="AM54" s="27"/>
    </row>
    <row r="55" customFormat="false" ht="23.85" hidden="false" customHeight="false" outlineLevel="0" collapsed="false">
      <c r="A55" s="31" t="s">
        <v>118</v>
      </c>
      <c r="B55" s="32" t="n">
        <v>54</v>
      </c>
      <c r="C55" s="26" t="n">
        <v>3</v>
      </c>
      <c r="D55" s="12" t="s">
        <v>108</v>
      </c>
      <c r="E55" s="12" t="s">
        <v>1104</v>
      </c>
      <c r="F55" s="12" t="s">
        <v>483</v>
      </c>
      <c r="G55" s="14" t="s">
        <v>1105</v>
      </c>
      <c r="H55" s="12" t="s">
        <v>1106</v>
      </c>
      <c r="I55" s="12"/>
      <c r="J55" s="12" t="s">
        <v>486</v>
      </c>
      <c r="K55" s="12" t="s">
        <v>487</v>
      </c>
      <c r="L55" s="12" t="s">
        <v>1107</v>
      </c>
      <c r="M55" s="12" t="s">
        <v>1108</v>
      </c>
      <c r="N55" s="12"/>
      <c r="O55" s="12" t="s">
        <v>126</v>
      </c>
      <c r="P55" s="12" t="s">
        <v>1109</v>
      </c>
      <c r="Q55" s="12" t="s">
        <v>1110</v>
      </c>
      <c r="R55" s="12" t="s">
        <v>491</v>
      </c>
      <c r="S55" s="12" t="s">
        <v>1111</v>
      </c>
      <c r="T55" s="12" t="s">
        <v>1112</v>
      </c>
      <c r="U55" s="12" t="s">
        <v>494</v>
      </c>
      <c r="V55" s="12" t="s">
        <v>494</v>
      </c>
      <c r="W55" s="12"/>
      <c r="X55" s="12" t="s">
        <v>1113</v>
      </c>
      <c r="Y55" s="12" t="s">
        <v>1114</v>
      </c>
      <c r="Z55" s="12"/>
      <c r="AA55" s="12" t="s">
        <v>1115</v>
      </c>
      <c r="AB55" s="12" t="s">
        <v>1116</v>
      </c>
      <c r="AC55" s="14" t="s">
        <v>498</v>
      </c>
      <c r="AD55" s="14" t="s">
        <v>499</v>
      </c>
      <c r="AE55" s="12" t="s">
        <v>500</v>
      </c>
      <c r="AF55" s="27" t="s">
        <v>501</v>
      </c>
      <c r="AG55" s="28"/>
      <c r="AH55" s="27"/>
      <c r="AI55" s="27"/>
      <c r="AJ55" s="27"/>
      <c r="AK55" s="28" t="str">
        <f aca="false">IF(AG55="","",WORKDAY(AG55,5))</f>
        <v/>
      </c>
      <c r="AL55" s="27"/>
      <c r="AM55" s="27"/>
    </row>
    <row r="56" customFormat="false" ht="35.05" hidden="false" customHeight="false" outlineLevel="0" collapsed="false">
      <c r="A56" s="31" t="s">
        <v>118</v>
      </c>
      <c r="B56" s="32" t="n">
        <v>55</v>
      </c>
      <c r="C56" s="26" t="n">
        <v>3</v>
      </c>
      <c r="D56" s="12" t="s">
        <v>281</v>
      </c>
      <c r="E56" s="12" t="s">
        <v>1117</v>
      </c>
      <c r="F56" s="12" t="s">
        <v>525</v>
      </c>
      <c r="G56" s="14" t="s">
        <v>1118</v>
      </c>
      <c r="H56" s="12" t="s">
        <v>1119</v>
      </c>
      <c r="I56" s="12"/>
      <c r="J56" s="12" t="s">
        <v>486</v>
      </c>
      <c r="K56" s="12" t="s">
        <v>487</v>
      </c>
      <c r="L56" s="12" t="s">
        <v>1120</v>
      </c>
      <c r="M56" s="12"/>
      <c r="N56" s="12"/>
      <c r="O56" s="12" t="s">
        <v>126</v>
      </c>
      <c r="P56" s="12" t="s">
        <v>1121</v>
      </c>
      <c r="Q56" s="12" t="s">
        <v>1122</v>
      </c>
      <c r="R56" s="12" t="s">
        <v>491</v>
      </c>
      <c r="S56" s="12" t="s">
        <v>1123</v>
      </c>
      <c r="T56" s="12" t="s">
        <v>562</v>
      </c>
      <c r="U56" s="12" t="s">
        <v>494</v>
      </c>
      <c r="V56" s="12" t="s">
        <v>494</v>
      </c>
      <c r="W56" s="12" t="s">
        <v>1124</v>
      </c>
      <c r="X56" s="12" t="s">
        <v>1125</v>
      </c>
      <c r="Y56" s="12" t="s">
        <v>1126</v>
      </c>
      <c r="Z56" s="12" t="s">
        <v>1127</v>
      </c>
      <c r="AA56" s="12" t="s">
        <v>1128</v>
      </c>
      <c r="AB56" s="12" t="s">
        <v>130</v>
      </c>
      <c r="AC56" s="14" t="s">
        <v>498</v>
      </c>
      <c r="AD56" s="14" t="s">
        <v>499</v>
      </c>
      <c r="AE56" s="12" t="s">
        <v>500</v>
      </c>
      <c r="AF56" s="27" t="s">
        <v>501</v>
      </c>
      <c r="AG56" s="28"/>
      <c r="AH56" s="27"/>
      <c r="AI56" s="27"/>
      <c r="AJ56" s="27"/>
      <c r="AK56" s="28" t="str">
        <f aca="false">IF(AG56="","",WORKDAY(AG56,5))</f>
        <v/>
      </c>
      <c r="AL56" s="27"/>
      <c r="AM56" s="27"/>
    </row>
    <row r="57" customFormat="false" ht="23.85" hidden="false" customHeight="false" outlineLevel="0" collapsed="false">
      <c r="A57" s="31" t="s">
        <v>118</v>
      </c>
      <c r="B57" s="32" t="n">
        <v>56</v>
      </c>
      <c r="C57" s="26" t="n">
        <v>3</v>
      </c>
      <c r="D57" s="12" t="s">
        <v>353</v>
      </c>
      <c r="E57" s="12" t="s">
        <v>1129</v>
      </c>
      <c r="F57" s="12" t="s">
        <v>483</v>
      </c>
      <c r="G57" s="14" t="s">
        <v>1130</v>
      </c>
      <c r="H57" s="12" t="s">
        <v>1131</v>
      </c>
      <c r="I57" s="12"/>
      <c r="J57" s="12" t="s">
        <v>486</v>
      </c>
      <c r="K57" s="12" t="s">
        <v>487</v>
      </c>
      <c r="L57" s="12" t="s">
        <v>1132</v>
      </c>
      <c r="M57" s="12"/>
      <c r="N57" s="12" t="s">
        <v>1133</v>
      </c>
      <c r="O57" s="12" t="s">
        <v>119</v>
      </c>
      <c r="P57" s="12" t="s">
        <v>1134</v>
      </c>
      <c r="Q57" s="12" t="s">
        <v>1135</v>
      </c>
      <c r="R57" s="12" t="s">
        <v>518</v>
      </c>
      <c r="S57" s="12" t="s">
        <v>1136</v>
      </c>
      <c r="T57" s="12" t="s">
        <v>1137</v>
      </c>
      <c r="U57" s="12" t="s">
        <v>494</v>
      </c>
      <c r="V57" s="12" t="s">
        <v>494</v>
      </c>
      <c r="W57" s="12"/>
      <c r="X57" s="12" t="s">
        <v>1138</v>
      </c>
      <c r="Y57" s="12"/>
      <c r="Z57" s="12"/>
      <c r="AA57" s="12" t="s">
        <v>1139</v>
      </c>
      <c r="AB57" s="12" t="s">
        <v>123</v>
      </c>
      <c r="AC57" s="14" t="s">
        <v>498</v>
      </c>
      <c r="AD57" s="14" t="s">
        <v>499</v>
      </c>
      <c r="AE57" s="12" t="s">
        <v>602</v>
      </c>
      <c r="AF57" s="27" t="s">
        <v>501</v>
      </c>
      <c r="AG57" s="28"/>
      <c r="AH57" s="27"/>
      <c r="AI57" s="27"/>
      <c r="AJ57" s="27"/>
      <c r="AK57" s="28" t="str">
        <f aca="false">IF(AG57="","",WORKDAY(AG57,5))</f>
        <v/>
      </c>
      <c r="AL57" s="27"/>
      <c r="AM57" s="27"/>
    </row>
    <row r="58" customFormat="false" ht="35.05" hidden="false" customHeight="false" outlineLevel="0" collapsed="false">
      <c r="A58" s="31" t="s">
        <v>118</v>
      </c>
      <c r="B58" s="32" t="n">
        <v>57</v>
      </c>
      <c r="C58" s="26" t="n">
        <v>4</v>
      </c>
      <c r="D58" s="12" t="s">
        <v>374</v>
      </c>
      <c r="E58" s="12" t="s">
        <v>1140</v>
      </c>
      <c r="F58" s="12" t="s">
        <v>483</v>
      </c>
      <c r="G58" s="14" t="s">
        <v>1141</v>
      </c>
      <c r="H58" s="12" t="s">
        <v>1142</v>
      </c>
      <c r="I58" s="12"/>
      <c r="J58" s="12" t="s">
        <v>486</v>
      </c>
      <c r="K58" s="12" t="s">
        <v>487</v>
      </c>
      <c r="L58" s="12" t="s">
        <v>1143</v>
      </c>
      <c r="M58" s="12"/>
      <c r="N58" s="12"/>
      <c r="O58" s="12" t="s">
        <v>126</v>
      </c>
      <c r="P58" s="12" t="s">
        <v>1144</v>
      </c>
      <c r="Q58" s="12" t="s">
        <v>1145</v>
      </c>
      <c r="R58" s="12" t="s">
        <v>518</v>
      </c>
      <c r="S58" s="12" t="s">
        <v>1146</v>
      </c>
      <c r="T58" s="12" t="s">
        <v>1147</v>
      </c>
      <c r="U58" s="12" t="s">
        <v>494</v>
      </c>
      <c r="V58" s="12" t="s">
        <v>494</v>
      </c>
      <c r="W58" s="12"/>
      <c r="X58" s="12" t="s">
        <v>1148</v>
      </c>
      <c r="Y58" s="12" t="s">
        <v>1149</v>
      </c>
      <c r="Z58" s="12" t="s">
        <v>1150</v>
      </c>
      <c r="AA58" s="12" t="s">
        <v>601</v>
      </c>
      <c r="AB58" s="12" t="s">
        <v>123</v>
      </c>
      <c r="AC58" s="14" t="s">
        <v>498</v>
      </c>
      <c r="AD58" s="14" t="s">
        <v>499</v>
      </c>
      <c r="AE58" s="12" t="s">
        <v>500</v>
      </c>
      <c r="AF58" s="27" t="s">
        <v>501</v>
      </c>
      <c r="AG58" s="28"/>
      <c r="AH58" s="27"/>
      <c r="AI58" s="27"/>
      <c r="AJ58" s="27"/>
      <c r="AK58" s="28" t="str">
        <f aca="false">IF(AG58="","",WORKDAY(AG58,5))</f>
        <v/>
      </c>
      <c r="AL58" s="27"/>
      <c r="AM58" s="27"/>
    </row>
    <row r="59" customFormat="false" ht="35.05" hidden="false" customHeight="false" outlineLevel="0" collapsed="false">
      <c r="A59" s="31" t="s">
        <v>118</v>
      </c>
      <c r="B59" s="32" t="n">
        <v>58</v>
      </c>
      <c r="C59" s="26" t="n">
        <v>4</v>
      </c>
      <c r="D59" s="12" t="s">
        <v>380</v>
      </c>
      <c r="E59" s="12" t="s">
        <v>1151</v>
      </c>
      <c r="F59" s="12" t="s">
        <v>483</v>
      </c>
      <c r="G59" s="14" t="s">
        <v>1152</v>
      </c>
      <c r="H59" s="12" t="s">
        <v>1153</v>
      </c>
      <c r="I59" s="12"/>
      <c r="J59" s="12" t="s">
        <v>486</v>
      </c>
      <c r="K59" s="12" t="s">
        <v>487</v>
      </c>
      <c r="L59" s="12" t="s">
        <v>1154</v>
      </c>
      <c r="M59" s="12"/>
      <c r="N59" s="12" t="s">
        <v>1155</v>
      </c>
      <c r="O59" s="12" t="s">
        <v>126</v>
      </c>
      <c r="P59" s="12" t="s">
        <v>1156</v>
      </c>
      <c r="Q59" s="12" t="s">
        <v>1157</v>
      </c>
      <c r="R59" s="12" t="s">
        <v>491</v>
      </c>
      <c r="S59" s="12" t="s">
        <v>1158</v>
      </c>
      <c r="T59" s="12" t="s">
        <v>1159</v>
      </c>
      <c r="U59" s="12" t="s">
        <v>494</v>
      </c>
      <c r="V59" s="12" t="s">
        <v>494</v>
      </c>
      <c r="W59" s="12"/>
      <c r="X59" s="12" t="s">
        <v>1160</v>
      </c>
      <c r="Y59" s="12" t="s">
        <v>1161</v>
      </c>
      <c r="Z59" s="12"/>
      <c r="AA59" s="12" t="s">
        <v>1162</v>
      </c>
      <c r="AB59" s="12" t="s">
        <v>204</v>
      </c>
      <c r="AC59" s="14" t="s">
        <v>498</v>
      </c>
      <c r="AD59" s="14" t="s">
        <v>499</v>
      </c>
      <c r="AE59" s="12" t="s">
        <v>500</v>
      </c>
      <c r="AF59" s="27" t="s">
        <v>501</v>
      </c>
      <c r="AG59" s="28"/>
      <c r="AH59" s="27"/>
      <c r="AI59" s="27"/>
      <c r="AJ59" s="27"/>
      <c r="AK59" s="28" t="str">
        <f aca="false">IF(AG59="","",WORKDAY(AG59,5))</f>
        <v/>
      </c>
      <c r="AL59" s="27"/>
      <c r="AM59" s="27"/>
    </row>
    <row r="60" customFormat="false" ht="23.85" hidden="false" customHeight="false" outlineLevel="0" collapsed="false">
      <c r="A60" s="31" t="s">
        <v>118</v>
      </c>
      <c r="B60" s="32" t="n">
        <v>59</v>
      </c>
      <c r="C60" s="26" t="n">
        <v>4</v>
      </c>
      <c r="D60" s="12" t="s">
        <v>380</v>
      </c>
      <c r="E60" s="12" t="s">
        <v>1163</v>
      </c>
      <c r="F60" s="12" t="s">
        <v>483</v>
      </c>
      <c r="G60" s="14" t="s">
        <v>1164</v>
      </c>
      <c r="H60" s="12" t="s">
        <v>1165</v>
      </c>
      <c r="I60" s="12"/>
      <c r="J60" s="12" t="s">
        <v>486</v>
      </c>
      <c r="K60" s="12" t="s">
        <v>487</v>
      </c>
      <c r="L60" s="12" t="s">
        <v>1166</v>
      </c>
      <c r="M60" s="12" t="s">
        <v>1167</v>
      </c>
      <c r="N60" s="12"/>
      <c r="O60" s="12" t="s">
        <v>126</v>
      </c>
      <c r="P60" s="12" t="s">
        <v>1168</v>
      </c>
      <c r="Q60" s="12" t="s">
        <v>1169</v>
      </c>
      <c r="R60" s="12" t="s">
        <v>491</v>
      </c>
      <c r="S60" s="12" t="s">
        <v>1170</v>
      </c>
      <c r="T60" s="12" t="s">
        <v>1171</v>
      </c>
      <c r="U60" s="12" t="s">
        <v>494</v>
      </c>
      <c r="V60" s="12" t="s">
        <v>494</v>
      </c>
      <c r="W60" s="12"/>
      <c r="X60" s="12" t="s">
        <v>1172</v>
      </c>
      <c r="Y60" s="12" t="s">
        <v>1173</v>
      </c>
      <c r="Z60" s="12"/>
      <c r="AA60" s="12" t="s">
        <v>1174</v>
      </c>
      <c r="AB60" s="12" t="s">
        <v>123</v>
      </c>
      <c r="AC60" s="14" t="s">
        <v>498</v>
      </c>
      <c r="AD60" s="14" t="s">
        <v>499</v>
      </c>
      <c r="AE60" s="12" t="s">
        <v>500</v>
      </c>
      <c r="AF60" s="27" t="s">
        <v>501</v>
      </c>
      <c r="AG60" s="28"/>
      <c r="AH60" s="27"/>
      <c r="AI60" s="27"/>
      <c r="AJ60" s="27"/>
      <c r="AK60" s="28" t="str">
        <f aca="false">IF(AG60="","",WORKDAY(AG60,5))</f>
        <v/>
      </c>
      <c r="AL60" s="27"/>
      <c r="AM60" s="27"/>
    </row>
    <row r="61" customFormat="false" ht="35.05" hidden="false" customHeight="false" outlineLevel="0" collapsed="false">
      <c r="A61" s="31" t="s">
        <v>118</v>
      </c>
      <c r="B61" s="32" t="n">
        <v>60</v>
      </c>
      <c r="C61" s="26" t="n">
        <v>3</v>
      </c>
      <c r="D61" s="12" t="s">
        <v>380</v>
      </c>
      <c r="E61" s="12" t="s">
        <v>1175</v>
      </c>
      <c r="F61" s="12" t="s">
        <v>483</v>
      </c>
      <c r="G61" s="14" t="s">
        <v>1176</v>
      </c>
      <c r="H61" s="12" t="s">
        <v>1177</v>
      </c>
      <c r="I61" s="12"/>
      <c r="J61" s="12" t="s">
        <v>486</v>
      </c>
      <c r="K61" s="12" t="s">
        <v>487</v>
      </c>
      <c r="L61" s="12" t="s">
        <v>1178</v>
      </c>
      <c r="M61" s="12"/>
      <c r="N61" s="12"/>
      <c r="O61" s="12" t="s">
        <v>1179</v>
      </c>
      <c r="P61" s="12" t="s">
        <v>1180</v>
      </c>
      <c r="Q61" s="12" t="s">
        <v>1181</v>
      </c>
      <c r="R61" s="12" t="s">
        <v>491</v>
      </c>
      <c r="S61" s="12" t="s">
        <v>1182</v>
      </c>
      <c r="T61" s="12" t="s">
        <v>1183</v>
      </c>
      <c r="U61" s="12" t="s">
        <v>494</v>
      </c>
      <c r="V61" s="12" t="s">
        <v>494</v>
      </c>
      <c r="W61" s="12"/>
      <c r="X61" s="12" t="s">
        <v>1184</v>
      </c>
      <c r="Y61" s="12" t="s">
        <v>1185</v>
      </c>
      <c r="Z61" s="12" t="s">
        <v>1186</v>
      </c>
      <c r="AA61" s="12" t="s">
        <v>1187</v>
      </c>
      <c r="AB61" s="12" t="s">
        <v>179</v>
      </c>
      <c r="AC61" s="14" t="s">
        <v>498</v>
      </c>
      <c r="AD61" s="14" t="s">
        <v>499</v>
      </c>
      <c r="AE61" s="12" t="s">
        <v>602</v>
      </c>
      <c r="AF61" s="27" t="s">
        <v>501</v>
      </c>
      <c r="AG61" s="28"/>
      <c r="AH61" s="27"/>
      <c r="AI61" s="27"/>
      <c r="AJ61" s="27"/>
      <c r="AK61" s="28" t="str">
        <f aca="false">IF(AG61="","",WORKDAY(AG61,5))</f>
        <v/>
      </c>
      <c r="AL61" s="27"/>
      <c r="AM61" s="27"/>
    </row>
    <row r="62" customFormat="false" ht="23.85" hidden="false" customHeight="false" outlineLevel="0" collapsed="false">
      <c r="A62" s="31" t="s">
        <v>118</v>
      </c>
      <c r="B62" s="32" t="n">
        <v>61</v>
      </c>
      <c r="C62" s="26" t="n">
        <v>4</v>
      </c>
      <c r="D62" s="12" t="s">
        <v>405</v>
      </c>
      <c r="E62" s="12" t="s">
        <v>1188</v>
      </c>
      <c r="F62" s="12" t="s">
        <v>483</v>
      </c>
      <c r="G62" s="14" t="s">
        <v>1189</v>
      </c>
      <c r="H62" s="12" t="s">
        <v>1190</v>
      </c>
      <c r="I62" s="12"/>
      <c r="J62" s="12" t="s">
        <v>486</v>
      </c>
      <c r="K62" s="12" t="s">
        <v>487</v>
      </c>
      <c r="L62" s="12" t="s">
        <v>1191</v>
      </c>
      <c r="M62" s="12" t="s">
        <v>1192</v>
      </c>
      <c r="N62" s="12"/>
      <c r="O62" s="12" t="s">
        <v>192</v>
      </c>
      <c r="P62" s="12" t="s">
        <v>1193</v>
      </c>
      <c r="Q62" s="12" t="s">
        <v>1194</v>
      </c>
      <c r="R62" s="12" t="s">
        <v>491</v>
      </c>
      <c r="S62" s="12" t="s">
        <v>1195</v>
      </c>
      <c r="T62" s="12" t="s">
        <v>1196</v>
      </c>
      <c r="U62" s="12" t="s">
        <v>494</v>
      </c>
      <c r="V62" s="12" t="s">
        <v>494</v>
      </c>
      <c r="W62" s="12"/>
      <c r="X62" s="12" t="s">
        <v>1197</v>
      </c>
      <c r="Y62" s="12" t="s">
        <v>1198</v>
      </c>
      <c r="Z62" s="12"/>
      <c r="AA62" s="12" t="s">
        <v>1199</v>
      </c>
      <c r="AB62" s="12" t="s">
        <v>123</v>
      </c>
      <c r="AC62" s="14" t="s">
        <v>498</v>
      </c>
      <c r="AD62" s="14" t="s">
        <v>499</v>
      </c>
      <c r="AE62" s="12" t="s">
        <v>500</v>
      </c>
      <c r="AF62" s="27" t="s">
        <v>501</v>
      </c>
      <c r="AG62" s="28"/>
      <c r="AH62" s="27"/>
      <c r="AI62" s="27"/>
      <c r="AJ62" s="27"/>
      <c r="AK62" s="28" t="str">
        <f aca="false">IF(AG62="","",WORKDAY(AG62,5))</f>
        <v/>
      </c>
      <c r="AL62" s="27"/>
      <c r="AM62" s="27"/>
    </row>
    <row r="63" customFormat="false" ht="23.85" hidden="false" customHeight="false" outlineLevel="0" collapsed="false">
      <c r="A63" s="31" t="s">
        <v>118</v>
      </c>
      <c r="B63" s="32" t="n">
        <v>62</v>
      </c>
      <c r="C63" s="26" t="n">
        <v>3</v>
      </c>
      <c r="D63" s="12" t="s">
        <v>405</v>
      </c>
      <c r="E63" s="12" t="s">
        <v>1200</v>
      </c>
      <c r="F63" s="12" t="s">
        <v>525</v>
      </c>
      <c r="G63" s="14" t="s">
        <v>593</v>
      </c>
      <c r="H63" s="12" t="s">
        <v>1201</v>
      </c>
      <c r="I63" s="12"/>
      <c r="J63" s="12" t="s">
        <v>486</v>
      </c>
      <c r="K63" s="12" t="s">
        <v>487</v>
      </c>
      <c r="L63" s="12" t="s">
        <v>1202</v>
      </c>
      <c r="M63" s="12" t="s">
        <v>1203</v>
      </c>
      <c r="N63" s="12" t="s">
        <v>1204</v>
      </c>
      <c r="O63" s="12" t="s">
        <v>1205</v>
      </c>
      <c r="P63" s="12" t="s">
        <v>1206</v>
      </c>
      <c r="Q63" s="12" t="s">
        <v>1207</v>
      </c>
      <c r="R63" s="12" t="s">
        <v>518</v>
      </c>
      <c r="S63" s="12" t="s">
        <v>1195</v>
      </c>
      <c r="T63" s="12" t="s">
        <v>1208</v>
      </c>
      <c r="U63" s="12" t="s">
        <v>1209</v>
      </c>
      <c r="V63" s="12" t="s">
        <v>494</v>
      </c>
      <c r="W63" s="12"/>
      <c r="X63" s="12" t="s">
        <v>1210</v>
      </c>
      <c r="Y63" s="12" t="s">
        <v>1211</v>
      </c>
      <c r="Z63" s="12"/>
      <c r="AA63" s="12" t="s">
        <v>1212</v>
      </c>
      <c r="AB63" s="12" t="s">
        <v>1213</v>
      </c>
      <c r="AC63" s="14" t="s">
        <v>498</v>
      </c>
      <c r="AD63" s="14" t="s">
        <v>499</v>
      </c>
      <c r="AE63" s="12" t="s">
        <v>568</v>
      </c>
      <c r="AF63" s="27" t="s">
        <v>501</v>
      </c>
      <c r="AG63" s="28"/>
      <c r="AH63" s="27"/>
      <c r="AI63" s="27"/>
      <c r="AJ63" s="27"/>
      <c r="AK63" s="28" t="str">
        <f aca="false">IF(AG63="","",WORKDAY(AG63,5))</f>
        <v/>
      </c>
      <c r="AL63" s="27"/>
      <c r="AM63" s="27"/>
    </row>
    <row r="64" customFormat="false" ht="23.85" hidden="false" customHeight="false" outlineLevel="0" collapsed="false">
      <c r="A64" s="19" t="s">
        <v>125</v>
      </c>
      <c r="B64" s="20" t="n">
        <v>63</v>
      </c>
      <c r="C64" s="21" t="n">
        <v>3</v>
      </c>
      <c r="D64" s="8" t="s">
        <v>99</v>
      </c>
      <c r="E64" s="8" t="s">
        <v>1214</v>
      </c>
      <c r="F64" s="8" t="s">
        <v>525</v>
      </c>
      <c r="G64" s="10" t="s">
        <v>1215</v>
      </c>
      <c r="H64" s="8"/>
      <c r="I64" s="8"/>
      <c r="J64" s="8" t="s">
        <v>486</v>
      </c>
      <c r="K64" s="8" t="s">
        <v>487</v>
      </c>
      <c r="L64" s="8"/>
      <c r="M64" s="8"/>
      <c r="N64" s="8"/>
      <c r="O64" s="8" t="s">
        <v>1216</v>
      </c>
      <c r="P64" s="8" t="s">
        <v>1217</v>
      </c>
      <c r="Q64" s="8" t="s">
        <v>1218</v>
      </c>
      <c r="R64" s="8" t="s">
        <v>1219</v>
      </c>
      <c r="S64" s="8" t="s">
        <v>1220</v>
      </c>
      <c r="T64" s="8" t="s">
        <v>1221</v>
      </c>
      <c r="U64" s="8" t="s">
        <v>494</v>
      </c>
      <c r="V64" s="8" t="s">
        <v>494</v>
      </c>
      <c r="W64" s="8"/>
      <c r="X64" s="8" t="s">
        <v>1222</v>
      </c>
      <c r="Y64" s="8" t="s">
        <v>1223</v>
      </c>
      <c r="Z64" s="8" t="s">
        <v>1224</v>
      </c>
      <c r="AA64" s="8" t="s">
        <v>1225</v>
      </c>
      <c r="AB64" s="8" t="s">
        <v>1226</v>
      </c>
      <c r="AC64" s="10" t="s">
        <v>498</v>
      </c>
      <c r="AD64" s="10" t="s">
        <v>499</v>
      </c>
      <c r="AE64" s="8" t="s">
        <v>568</v>
      </c>
      <c r="AF64" s="22" t="s">
        <v>501</v>
      </c>
      <c r="AG64" s="23"/>
      <c r="AH64" s="22"/>
      <c r="AI64" s="22"/>
      <c r="AJ64" s="22"/>
      <c r="AK64" s="23" t="str">
        <f aca="false">IF(AG64="","",WORKDAY(AG64,5))</f>
        <v/>
      </c>
      <c r="AL64" s="22"/>
      <c r="AM64" s="22"/>
    </row>
    <row r="65" customFormat="false" ht="23.85" hidden="false" customHeight="false" outlineLevel="0" collapsed="false">
      <c r="A65" s="24" t="s">
        <v>125</v>
      </c>
      <c r="B65" s="25" t="n">
        <v>64</v>
      </c>
      <c r="C65" s="26" t="n">
        <v>4</v>
      </c>
      <c r="D65" s="12" t="s">
        <v>108</v>
      </c>
      <c r="E65" s="12" t="s">
        <v>124</v>
      </c>
      <c r="F65" s="12" t="s">
        <v>735</v>
      </c>
      <c r="G65" s="14" t="s">
        <v>129</v>
      </c>
      <c r="H65" s="12" t="s">
        <v>1227</v>
      </c>
      <c r="I65" s="12"/>
      <c r="J65" s="12" t="s">
        <v>486</v>
      </c>
      <c r="K65" s="12" t="s">
        <v>487</v>
      </c>
      <c r="L65" s="12" t="s">
        <v>1228</v>
      </c>
      <c r="M65" s="12"/>
      <c r="N65" s="12"/>
      <c r="O65" s="12" t="s">
        <v>126</v>
      </c>
      <c r="P65" s="12" t="s">
        <v>127</v>
      </c>
      <c r="Q65" s="12" t="s">
        <v>1229</v>
      </c>
      <c r="R65" s="12" t="s">
        <v>491</v>
      </c>
      <c r="S65" s="12" t="s">
        <v>1230</v>
      </c>
      <c r="T65" s="12" t="s">
        <v>1231</v>
      </c>
      <c r="U65" s="12" t="s">
        <v>494</v>
      </c>
      <c r="V65" s="12" t="s">
        <v>494</v>
      </c>
      <c r="W65" s="12"/>
      <c r="X65" s="12" t="s">
        <v>1232</v>
      </c>
      <c r="Y65" s="12" t="s">
        <v>128</v>
      </c>
      <c r="Z65" s="12"/>
      <c r="AA65" s="12" t="s">
        <v>1233</v>
      </c>
      <c r="AB65" s="12" t="s">
        <v>130</v>
      </c>
      <c r="AC65" s="14" t="s">
        <v>498</v>
      </c>
      <c r="AD65" s="14" t="s">
        <v>499</v>
      </c>
      <c r="AE65" s="12" t="s">
        <v>500</v>
      </c>
      <c r="AF65" s="27" t="s">
        <v>501</v>
      </c>
      <c r="AG65" s="28"/>
      <c r="AH65" s="27"/>
      <c r="AI65" s="27"/>
      <c r="AJ65" s="27"/>
      <c r="AK65" s="28" t="str">
        <f aca="false">IF(AG65="","",WORKDAY(AG65,5))</f>
        <v/>
      </c>
      <c r="AL65" s="27"/>
      <c r="AM65" s="27"/>
    </row>
    <row r="66" customFormat="false" ht="35.05" hidden="false" customHeight="false" outlineLevel="0" collapsed="false">
      <c r="A66" s="24" t="s">
        <v>125</v>
      </c>
      <c r="B66" s="25" t="n">
        <v>65</v>
      </c>
      <c r="C66" s="26" t="n">
        <v>3</v>
      </c>
      <c r="D66" s="12" t="s">
        <v>108</v>
      </c>
      <c r="E66" s="12" t="s">
        <v>131</v>
      </c>
      <c r="F66" s="12" t="s">
        <v>735</v>
      </c>
      <c r="G66" s="14" t="s">
        <v>136</v>
      </c>
      <c r="H66" s="12" t="s">
        <v>1234</v>
      </c>
      <c r="I66" s="12"/>
      <c r="J66" s="12" t="s">
        <v>486</v>
      </c>
      <c r="K66" s="12" t="s">
        <v>487</v>
      </c>
      <c r="L66" s="12" t="s">
        <v>1235</v>
      </c>
      <c r="M66" s="12" t="s">
        <v>135</v>
      </c>
      <c r="N66" s="12"/>
      <c r="O66" s="12" t="s">
        <v>132</v>
      </c>
      <c r="P66" s="12" t="s">
        <v>133</v>
      </c>
      <c r="Q66" s="12" t="s">
        <v>1229</v>
      </c>
      <c r="R66" s="12" t="s">
        <v>491</v>
      </c>
      <c r="S66" s="12" t="s">
        <v>1236</v>
      </c>
      <c r="T66" s="12" t="s">
        <v>1237</v>
      </c>
      <c r="U66" s="12" t="s">
        <v>494</v>
      </c>
      <c r="V66" s="12" t="s">
        <v>1238</v>
      </c>
      <c r="W66" s="12"/>
      <c r="X66" s="12" t="s">
        <v>1239</v>
      </c>
      <c r="Y66" s="12" t="s">
        <v>134</v>
      </c>
      <c r="Z66" s="12" t="s">
        <v>1240</v>
      </c>
      <c r="AA66" s="12" t="s">
        <v>1241</v>
      </c>
      <c r="AB66" s="12" t="s">
        <v>123</v>
      </c>
      <c r="AC66" s="14" t="s">
        <v>498</v>
      </c>
      <c r="AD66" s="14" t="s">
        <v>499</v>
      </c>
      <c r="AE66" s="12" t="s">
        <v>568</v>
      </c>
      <c r="AF66" s="27" t="s">
        <v>501</v>
      </c>
      <c r="AG66" s="28"/>
      <c r="AH66" s="27"/>
      <c r="AI66" s="27"/>
      <c r="AJ66" s="27"/>
      <c r="AK66" s="28" t="str">
        <f aca="false">IF(AG66="","",WORKDAY(AG66,5))</f>
        <v/>
      </c>
      <c r="AL66" s="27"/>
      <c r="AM66" s="27"/>
    </row>
    <row r="67" customFormat="false" ht="23.85" hidden="false" customHeight="false" outlineLevel="0" collapsed="false">
      <c r="A67" s="24" t="s">
        <v>125</v>
      </c>
      <c r="B67" s="25" t="n">
        <v>66</v>
      </c>
      <c r="C67" s="26" t="n">
        <v>4</v>
      </c>
      <c r="D67" s="12" t="s">
        <v>108</v>
      </c>
      <c r="E67" s="12" t="s">
        <v>1242</v>
      </c>
      <c r="F67" s="12" t="s">
        <v>483</v>
      </c>
      <c r="G67" s="14" t="s">
        <v>1243</v>
      </c>
      <c r="H67" s="12" t="s">
        <v>1244</v>
      </c>
      <c r="I67" s="12"/>
      <c r="J67" s="12" t="s">
        <v>486</v>
      </c>
      <c r="K67" s="12" t="s">
        <v>487</v>
      </c>
      <c r="L67" s="12" t="s">
        <v>1245</v>
      </c>
      <c r="M67" s="12"/>
      <c r="N67" s="12"/>
      <c r="O67" s="12" t="s">
        <v>126</v>
      </c>
      <c r="P67" s="12" t="s">
        <v>1246</v>
      </c>
      <c r="Q67" s="12" t="s">
        <v>1247</v>
      </c>
      <c r="R67" s="12" t="s">
        <v>491</v>
      </c>
      <c r="S67" s="12" t="s">
        <v>1248</v>
      </c>
      <c r="T67" s="12" t="s">
        <v>562</v>
      </c>
      <c r="U67" s="12" t="s">
        <v>494</v>
      </c>
      <c r="V67" s="12" t="s">
        <v>494</v>
      </c>
      <c r="W67" s="12"/>
      <c r="X67" s="12" t="s">
        <v>1249</v>
      </c>
      <c r="Y67" s="12" t="s">
        <v>1250</v>
      </c>
      <c r="Z67" s="12"/>
      <c r="AA67" s="12" t="s">
        <v>1251</v>
      </c>
      <c r="AB67" s="12" t="s">
        <v>123</v>
      </c>
      <c r="AC67" s="14" t="s">
        <v>498</v>
      </c>
      <c r="AD67" s="14" t="s">
        <v>499</v>
      </c>
      <c r="AE67" s="12" t="s">
        <v>500</v>
      </c>
      <c r="AF67" s="27" t="s">
        <v>501</v>
      </c>
      <c r="AG67" s="28"/>
      <c r="AH67" s="27"/>
      <c r="AI67" s="27"/>
      <c r="AJ67" s="27"/>
      <c r="AK67" s="28" t="str">
        <f aca="false">IF(AG67="","",WORKDAY(AG67,5))</f>
        <v/>
      </c>
      <c r="AL67" s="27"/>
      <c r="AM67" s="27"/>
    </row>
    <row r="68" customFormat="false" ht="23.85" hidden="false" customHeight="false" outlineLevel="0" collapsed="false">
      <c r="A68" s="24" t="s">
        <v>125</v>
      </c>
      <c r="B68" s="25" t="n">
        <v>67</v>
      </c>
      <c r="C68" s="26" t="n">
        <v>4</v>
      </c>
      <c r="D68" s="12" t="s">
        <v>108</v>
      </c>
      <c r="E68" s="12" t="s">
        <v>1252</v>
      </c>
      <c r="F68" s="12" t="s">
        <v>483</v>
      </c>
      <c r="G68" s="14" t="s">
        <v>1253</v>
      </c>
      <c r="H68" s="12" t="s">
        <v>1254</v>
      </c>
      <c r="I68" s="12"/>
      <c r="J68" s="12" t="s">
        <v>486</v>
      </c>
      <c r="K68" s="12" t="s">
        <v>487</v>
      </c>
      <c r="L68" s="12" t="s">
        <v>1255</v>
      </c>
      <c r="M68" s="12" t="s">
        <v>1256</v>
      </c>
      <c r="N68" s="12" t="s">
        <v>1257</v>
      </c>
      <c r="O68" s="12" t="s">
        <v>192</v>
      </c>
      <c r="P68" s="12" t="s">
        <v>1258</v>
      </c>
      <c r="Q68" s="12" t="s">
        <v>1259</v>
      </c>
      <c r="R68" s="12" t="s">
        <v>518</v>
      </c>
      <c r="S68" s="12" t="s">
        <v>1195</v>
      </c>
      <c r="T68" s="12" t="s">
        <v>562</v>
      </c>
      <c r="U68" s="12" t="s">
        <v>494</v>
      </c>
      <c r="V68" s="12" t="s">
        <v>494</v>
      </c>
      <c r="W68" s="12"/>
      <c r="X68" s="12" t="s">
        <v>1260</v>
      </c>
      <c r="Y68" s="12" t="s">
        <v>1261</v>
      </c>
      <c r="Z68" s="12"/>
      <c r="AA68" s="12" t="s">
        <v>1262</v>
      </c>
      <c r="AB68" s="12" t="s">
        <v>204</v>
      </c>
      <c r="AC68" s="14" t="s">
        <v>498</v>
      </c>
      <c r="AD68" s="14" t="s">
        <v>499</v>
      </c>
      <c r="AE68" s="12" t="s">
        <v>500</v>
      </c>
      <c r="AF68" s="27" t="s">
        <v>501</v>
      </c>
      <c r="AG68" s="28"/>
      <c r="AH68" s="27"/>
      <c r="AI68" s="27"/>
      <c r="AJ68" s="27"/>
      <c r="AK68" s="28" t="str">
        <f aca="false">IF(AG68="","",WORKDAY(AG68,5))</f>
        <v/>
      </c>
      <c r="AL68" s="27"/>
      <c r="AM68" s="27"/>
    </row>
    <row r="69" customFormat="false" ht="23.85" hidden="false" customHeight="false" outlineLevel="0" collapsed="false">
      <c r="A69" s="24" t="s">
        <v>125</v>
      </c>
      <c r="B69" s="25" t="n">
        <v>68</v>
      </c>
      <c r="C69" s="26" t="n">
        <v>3</v>
      </c>
      <c r="D69" s="12" t="s">
        <v>108</v>
      </c>
      <c r="E69" s="12" t="s">
        <v>1263</v>
      </c>
      <c r="F69" s="12" t="s">
        <v>525</v>
      </c>
      <c r="G69" s="14" t="s">
        <v>1264</v>
      </c>
      <c r="H69" s="12" t="s">
        <v>1265</v>
      </c>
      <c r="I69" s="12"/>
      <c r="J69" s="12" t="s">
        <v>486</v>
      </c>
      <c r="K69" s="12" t="s">
        <v>487</v>
      </c>
      <c r="L69" s="12" t="s">
        <v>1266</v>
      </c>
      <c r="M69" s="12" t="s">
        <v>1267</v>
      </c>
      <c r="N69" s="12" t="s">
        <v>1268</v>
      </c>
      <c r="O69" s="12" t="s">
        <v>1269</v>
      </c>
      <c r="P69" s="12" t="s">
        <v>1270</v>
      </c>
      <c r="Q69" s="12" t="s">
        <v>1271</v>
      </c>
      <c r="R69" s="12" t="s">
        <v>518</v>
      </c>
      <c r="S69" s="12" t="s">
        <v>1272</v>
      </c>
      <c r="T69" s="12" t="s">
        <v>1273</v>
      </c>
      <c r="U69" s="12" t="s">
        <v>494</v>
      </c>
      <c r="V69" s="12" t="s">
        <v>494</v>
      </c>
      <c r="W69" s="12" t="s">
        <v>1274</v>
      </c>
      <c r="X69" s="12" t="s">
        <v>1275</v>
      </c>
      <c r="Y69" s="12"/>
      <c r="Z69" s="12"/>
      <c r="AA69" s="12" t="s">
        <v>1276</v>
      </c>
      <c r="AB69" s="12" t="s">
        <v>1277</v>
      </c>
      <c r="AC69" s="14" t="s">
        <v>498</v>
      </c>
      <c r="AD69" s="14" t="s">
        <v>499</v>
      </c>
      <c r="AE69" s="12" t="s">
        <v>568</v>
      </c>
      <c r="AF69" s="27" t="s">
        <v>501</v>
      </c>
      <c r="AG69" s="28"/>
      <c r="AH69" s="27"/>
      <c r="AI69" s="27"/>
      <c r="AJ69" s="27"/>
      <c r="AK69" s="28" t="str">
        <f aca="false">IF(AG69="","",WORKDAY(AG69,5))</f>
        <v/>
      </c>
      <c r="AL69" s="27"/>
      <c r="AM69" s="27"/>
    </row>
    <row r="70" customFormat="false" ht="23.85" hidden="false" customHeight="false" outlineLevel="0" collapsed="false">
      <c r="A70" s="24" t="s">
        <v>125</v>
      </c>
      <c r="B70" s="25" t="n">
        <v>69</v>
      </c>
      <c r="C70" s="26" t="n">
        <v>3</v>
      </c>
      <c r="D70" s="12" t="s">
        <v>108</v>
      </c>
      <c r="E70" s="12" t="s">
        <v>1278</v>
      </c>
      <c r="F70" s="12" t="s">
        <v>525</v>
      </c>
      <c r="G70" s="14" t="s">
        <v>1279</v>
      </c>
      <c r="H70" s="12" t="s">
        <v>1280</v>
      </c>
      <c r="I70" s="12"/>
      <c r="J70" s="12" t="s">
        <v>486</v>
      </c>
      <c r="K70" s="12" t="s">
        <v>487</v>
      </c>
      <c r="L70" s="12" t="s">
        <v>1281</v>
      </c>
      <c r="M70" s="12" t="s">
        <v>1282</v>
      </c>
      <c r="N70" s="12" t="s">
        <v>1283</v>
      </c>
      <c r="O70" s="12" t="s">
        <v>192</v>
      </c>
      <c r="P70" s="12" t="s">
        <v>1284</v>
      </c>
      <c r="Q70" s="12" t="s">
        <v>961</v>
      </c>
      <c r="R70" s="12" t="s">
        <v>518</v>
      </c>
      <c r="S70" s="12" t="s">
        <v>1195</v>
      </c>
      <c r="T70" s="12" t="s">
        <v>562</v>
      </c>
      <c r="U70" s="12" t="s">
        <v>494</v>
      </c>
      <c r="V70" s="12" t="s">
        <v>494</v>
      </c>
      <c r="W70" s="12"/>
      <c r="X70" s="12" t="s">
        <v>1285</v>
      </c>
      <c r="Y70" s="12" t="s">
        <v>1286</v>
      </c>
      <c r="Z70" s="12"/>
      <c r="AA70" s="12" t="s">
        <v>1287</v>
      </c>
      <c r="AB70" s="12" t="s">
        <v>204</v>
      </c>
      <c r="AC70" s="14" t="s">
        <v>498</v>
      </c>
      <c r="AD70" s="14" t="s">
        <v>499</v>
      </c>
      <c r="AE70" s="12" t="s">
        <v>602</v>
      </c>
      <c r="AF70" s="27" t="s">
        <v>501</v>
      </c>
      <c r="AG70" s="28"/>
      <c r="AH70" s="27"/>
      <c r="AI70" s="27"/>
      <c r="AJ70" s="27"/>
      <c r="AK70" s="28" t="str">
        <f aca="false">IF(AG70="","",WORKDAY(AG70,5))</f>
        <v/>
      </c>
      <c r="AL70" s="27"/>
      <c r="AM70" s="27"/>
    </row>
    <row r="71" customFormat="false" ht="35.05" hidden="false" customHeight="false" outlineLevel="0" collapsed="false">
      <c r="A71" s="24" t="s">
        <v>125</v>
      </c>
      <c r="B71" s="25" t="n">
        <v>70</v>
      </c>
      <c r="C71" s="26" t="n">
        <v>4</v>
      </c>
      <c r="D71" s="12" t="s">
        <v>143</v>
      </c>
      <c r="E71" s="12" t="s">
        <v>144</v>
      </c>
      <c r="F71" s="12" t="s">
        <v>735</v>
      </c>
      <c r="G71" s="14" t="s">
        <v>150</v>
      </c>
      <c r="H71" s="12" t="s">
        <v>1288</v>
      </c>
      <c r="I71" s="12"/>
      <c r="J71" s="12" t="s">
        <v>486</v>
      </c>
      <c r="K71" s="12" t="s">
        <v>487</v>
      </c>
      <c r="L71" s="12" t="s">
        <v>1289</v>
      </c>
      <c r="M71" s="12" t="s">
        <v>148</v>
      </c>
      <c r="N71" s="12" t="s">
        <v>149</v>
      </c>
      <c r="O71" s="12" t="s">
        <v>145</v>
      </c>
      <c r="P71" s="12" t="s">
        <v>146</v>
      </c>
      <c r="Q71" s="12" t="s">
        <v>1290</v>
      </c>
      <c r="R71" s="12" t="s">
        <v>491</v>
      </c>
      <c r="S71" s="12" t="s">
        <v>1291</v>
      </c>
      <c r="T71" s="12" t="s">
        <v>1292</v>
      </c>
      <c r="U71" s="12" t="s">
        <v>494</v>
      </c>
      <c r="V71" s="12" t="s">
        <v>1238</v>
      </c>
      <c r="W71" s="12"/>
      <c r="X71" s="12" t="s">
        <v>1293</v>
      </c>
      <c r="Y71" s="12" t="s">
        <v>147</v>
      </c>
      <c r="Z71" s="12"/>
      <c r="AA71" s="12" t="s">
        <v>1294</v>
      </c>
      <c r="AB71" s="12" t="s">
        <v>151</v>
      </c>
      <c r="AC71" s="14" t="s">
        <v>498</v>
      </c>
      <c r="AD71" s="14" t="s">
        <v>499</v>
      </c>
      <c r="AE71" s="12" t="s">
        <v>602</v>
      </c>
      <c r="AF71" s="27" t="s">
        <v>501</v>
      </c>
      <c r="AG71" s="28"/>
      <c r="AH71" s="27"/>
      <c r="AI71" s="27"/>
      <c r="AJ71" s="27"/>
      <c r="AK71" s="28" t="str">
        <f aca="false">IF(AG71="","",WORKDAY(AG71,5))</f>
        <v/>
      </c>
      <c r="AL71" s="27"/>
      <c r="AM71" s="27"/>
    </row>
    <row r="72" customFormat="false" ht="23.85" hidden="false" customHeight="false" outlineLevel="0" collapsed="false">
      <c r="A72" s="24" t="s">
        <v>125</v>
      </c>
      <c r="B72" s="25" t="n">
        <v>71</v>
      </c>
      <c r="C72" s="26" t="n">
        <v>4</v>
      </c>
      <c r="D72" s="12" t="s">
        <v>143</v>
      </c>
      <c r="E72" s="12" t="s">
        <v>152</v>
      </c>
      <c r="F72" s="12" t="s">
        <v>735</v>
      </c>
      <c r="G72" s="14" t="s">
        <v>156</v>
      </c>
      <c r="H72" s="12" t="s">
        <v>1295</v>
      </c>
      <c r="I72" s="12"/>
      <c r="J72" s="12" t="s">
        <v>486</v>
      </c>
      <c r="K72" s="12" t="s">
        <v>487</v>
      </c>
      <c r="L72" s="12" t="s">
        <v>1296</v>
      </c>
      <c r="M72" s="12"/>
      <c r="N72" s="12" t="s">
        <v>155</v>
      </c>
      <c r="O72" s="12" t="s">
        <v>126</v>
      </c>
      <c r="P72" s="12" t="s">
        <v>153</v>
      </c>
      <c r="Q72" s="12" t="s">
        <v>1297</v>
      </c>
      <c r="R72" s="12" t="s">
        <v>491</v>
      </c>
      <c r="S72" s="12" t="s">
        <v>1298</v>
      </c>
      <c r="T72" s="12" t="s">
        <v>1299</v>
      </c>
      <c r="U72" s="12" t="s">
        <v>494</v>
      </c>
      <c r="V72" s="12" t="s">
        <v>494</v>
      </c>
      <c r="W72" s="12"/>
      <c r="X72" s="12" t="s">
        <v>1300</v>
      </c>
      <c r="Y72" s="12" t="s">
        <v>154</v>
      </c>
      <c r="Z72" s="12" t="s">
        <v>1301</v>
      </c>
      <c r="AA72" s="12" t="s">
        <v>1302</v>
      </c>
      <c r="AB72" s="12" t="s">
        <v>123</v>
      </c>
      <c r="AC72" s="14" t="s">
        <v>498</v>
      </c>
      <c r="AD72" s="14" t="s">
        <v>499</v>
      </c>
      <c r="AE72" s="12" t="s">
        <v>500</v>
      </c>
      <c r="AF72" s="27" t="s">
        <v>501</v>
      </c>
      <c r="AG72" s="28"/>
      <c r="AH72" s="27"/>
      <c r="AI72" s="27"/>
      <c r="AJ72" s="27"/>
      <c r="AK72" s="28" t="str">
        <f aca="false">IF(AG72="","",WORKDAY(AG72,5))</f>
        <v/>
      </c>
      <c r="AL72" s="27"/>
      <c r="AM72" s="27"/>
    </row>
    <row r="73" customFormat="false" ht="35.05" hidden="false" customHeight="false" outlineLevel="0" collapsed="false">
      <c r="A73" s="24" t="s">
        <v>125</v>
      </c>
      <c r="B73" s="25" t="n">
        <v>72</v>
      </c>
      <c r="C73" s="26" t="n">
        <v>3</v>
      </c>
      <c r="D73" s="12" t="s">
        <v>143</v>
      </c>
      <c r="E73" s="12" t="s">
        <v>1303</v>
      </c>
      <c r="F73" s="12" t="s">
        <v>483</v>
      </c>
      <c r="G73" s="14" t="s">
        <v>1304</v>
      </c>
      <c r="H73" s="12" t="s">
        <v>1305</v>
      </c>
      <c r="I73" s="12"/>
      <c r="J73" s="12" t="s">
        <v>486</v>
      </c>
      <c r="K73" s="12" t="s">
        <v>487</v>
      </c>
      <c r="L73" s="12" t="s">
        <v>1306</v>
      </c>
      <c r="M73" s="12"/>
      <c r="N73" s="12"/>
      <c r="O73" s="12" t="s">
        <v>126</v>
      </c>
      <c r="P73" s="12" t="s">
        <v>1307</v>
      </c>
      <c r="Q73" s="12" t="s">
        <v>1308</v>
      </c>
      <c r="R73" s="12" t="s">
        <v>491</v>
      </c>
      <c r="S73" s="12" t="s">
        <v>492</v>
      </c>
      <c r="T73" s="12" t="s">
        <v>1309</v>
      </c>
      <c r="U73" s="12" t="s">
        <v>494</v>
      </c>
      <c r="V73" s="12" t="s">
        <v>494</v>
      </c>
      <c r="W73" s="12" t="s">
        <v>1310</v>
      </c>
      <c r="X73" s="12" t="s">
        <v>1311</v>
      </c>
      <c r="Y73" s="12"/>
      <c r="Z73" s="12"/>
      <c r="AA73" s="12" t="s">
        <v>1312</v>
      </c>
      <c r="AB73" s="12" t="s">
        <v>130</v>
      </c>
      <c r="AC73" s="14" t="s">
        <v>498</v>
      </c>
      <c r="AD73" s="14" t="s">
        <v>499</v>
      </c>
      <c r="AE73" s="12" t="s">
        <v>500</v>
      </c>
      <c r="AF73" s="27" t="s">
        <v>501</v>
      </c>
      <c r="AG73" s="28"/>
      <c r="AH73" s="27"/>
      <c r="AI73" s="27"/>
      <c r="AJ73" s="27"/>
      <c r="AK73" s="28" t="str">
        <f aca="false">IF(AG73="","",WORKDAY(AG73,5))</f>
        <v/>
      </c>
      <c r="AL73" s="27"/>
      <c r="AM73" s="27"/>
    </row>
    <row r="74" customFormat="false" ht="35.05" hidden="false" customHeight="false" outlineLevel="0" collapsed="false">
      <c r="A74" s="24" t="s">
        <v>125</v>
      </c>
      <c r="B74" s="25" t="n">
        <v>73</v>
      </c>
      <c r="C74" s="26" t="n">
        <v>3</v>
      </c>
      <c r="D74" s="12" t="s">
        <v>143</v>
      </c>
      <c r="E74" s="12" t="s">
        <v>1313</v>
      </c>
      <c r="F74" s="12" t="s">
        <v>525</v>
      </c>
      <c r="G74" s="14" t="s">
        <v>1314</v>
      </c>
      <c r="H74" s="12" t="s">
        <v>1315</v>
      </c>
      <c r="I74" s="12"/>
      <c r="J74" s="12" t="s">
        <v>486</v>
      </c>
      <c r="K74" s="12" t="s">
        <v>487</v>
      </c>
      <c r="L74" s="12" t="s">
        <v>1316</v>
      </c>
      <c r="M74" s="12"/>
      <c r="N74" s="12"/>
      <c r="O74" s="12" t="s">
        <v>126</v>
      </c>
      <c r="P74" s="12" t="s">
        <v>1317</v>
      </c>
      <c r="Q74" s="12" t="s">
        <v>1318</v>
      </c>
      <c r="R74" s="12" t="s">
        <v>491</v>
      </c>
      <c r="S74" s="12" t="s">
        <v>1319</v>
      </c>
      <c r="T74" s="12" t="s">
        <v>1320</v>
      </c>
      <c r="U74" s="12" t="s">
        <v>494</v>
      </c>
      <c r="V74" s="12" t="s">
        <v>494</v>
      </c>
      <c r="W74" s="12"/>
      <c r="X74" s="12" t="s">
        <v>1321</v>
      </c>
      <c r="Y74" s="12"/>
      <c r="Z74" s="12"/>
      <c r="AA74" s="12" t="s">
        <v>1322</v>
      </c>
      <c r="AB74" s="12" t="s">
        <v>1323</v>
      </c>
      <c r="AC74" s="14" t="s">
        <v>498</v>
      </c>
      <c r="AD74" s="14" t="s">
        <v>499</v>
      </c>
      <c r="AE74" s="12" t="s">
        <v>500</v>
      </c>
      <c r="AF74" s="27" t="s">
        <v>501</v>
      </c>
      <c r="AG74" s="28"/>
      <c r="AH74" s="27"/>
      <c r="AI74" s="27"/>
      <c r="AJ74" s="27"/>
      <c r="AK74" s="28" t="str">
        <f aca="false">IF(AG74="","",WORKDAY(AG74,5))</f>
        <v/>
      </c>
      <c r="AL74" s="27"/>
      <c r="AM74" s="27"/>
    </row>
    <row r="75" customFormat="false" ht="23.85" hidden="false" customHeight="false" outlineLevel="0" collapsed="false">
      <c r="A75" s="24" t="s">
        <v>125</v>
      </c>
      <c r="B75" s="25" t="n">
        <v>74</v>
      </c>
      <c r="C75" s="26" t="n">
        <v>4</v>
      </c>
      <c r="D75" s="12" t="s">
        <v>166</v>
      </c>
      <c r="E75" s="12" t="s">
        <v>180</v>
      </c>
      <c r="F75" s="12" t="s">
        <v>735</v>
      </c>
      <c r="G75" s="14" t="s">
        <v>184</v>
      </c>
      <c r="H75" s="12" t="s">
        <v>1324</v>
      </c>
      <c r="I75" s="12"/>
      <c r="J75" s="12" t="s">
        <v>486</v>
      </c>
      <c r="K75" s="12" t="s">
        <v>487</v>
      </c>
      <c r="L75" s="12" t="s">
        <v>1325</v>
      </c>
      <c r="M75" s="12"/>
      <c r="N75" s="12" t="s">
        <v>183</v>
      </c>
      <c r="O75" s="12" t="s">
        <v>175</v>
      </c>
      <c r="P75" s="12" t="s">
        <v>181</v>
      </c>
      <c r="Q75" s="12" t="s">
        <v>532</v>
      </c>
      <c r="R75" s="12" t="s">
        <v>491</v>
      </c>
      <c r="S75" s="12" t="s">
        <v>1326</v>
      </c>
      <c r="T75" s="12" t="s">
        <v>1327</v>
      </c>
      <c r="U75" s="12" t="s">
        <v>494</v>
      </c>
      <c r="V75" s="12" t="s">
        <v>494</v>
      </c>
      <c r="W75" s="12"/>
      <c r="X75" s="12" t="s">
        <v>1328</v>
      </c>
      <c r="Y75" s="12" t="s">
        <v>182</v>
      </c>
      <c r="Z75" s="12" t="s">
        <v>1329</v>
      </c>
      <c r="AA75" s="12" t="s">
        <v>1003</v>
      </c>
      <c r="AB75" s="12" t="s">
        <v>179</v>
      </c>
      <c r="AC75" s="14" t="s">
        <v>498</v>
      </c>
      <c r="AD75" s="14" t="s">
        <v>499</v>
      </c>
      <c r="AE75" s="12" t="s">
        <v>500</v>
      </c>
      <c r="AF75" s="27" t="s">
        <v>501</v>
      </c>
      <c r="AG75" s="28"/>
      <c r="AH75" s="27"/>
      <c r="AI75" s="27"/>
      <c r="AJ75" s="27"/>
      <c r="AK75" s="28" t="str">
        <f aca="false">IF(AG75="","",WORKDAY(AG75,5))</f>
        <v/>
      </c>
      <c r="AL75" s="27"/>
      <c r="AM75" s="27"/>
    </row>
    <row r="76" customFormat="false" ht="35.05" hidden="false" customHeight="false" outlineLevel="0" collapsed="false">
      <c r="A76" s="24" t="s">
        <v>125</v>
      </c>
      <c r="B76" s="25" t="n">
        <v>75</v>
      </c>
      <c r="C76" s="26" t="n">
        <v>4</v>
      </c>
      <c r="D76" s="12" t="s">
        <v>166</v>
      </c>
      <c r="E76" s="12" t="s">
        <v>185</v>
      </c>
      <c r="F76" s="12" t="s">
        <v>735</v>
      </c>
      <c r="G76" s="14" t="s">
        <v>189</v>
      </c>
      <c r="H76" s="12" t="s">
        <v>1330</v>
      </c>
      <c r="I76" s="12"/>
      <c r="J76" s="12" t="s">
        <v>486</v>
      </c>
      <c r="K76" s="12" t="s">
        <v>487</v>
      </c>
      <c r="L76" s="12" t="s">
        <v>1331</v>
      </c>
      <c r="M76" s="12" t="s">
        <v>188</v>
      </c>
      <c r="N76" s="12"/>
      <c r="O76" s="12" t="s">
        <v>126</v>
      </c>
      <c r="P76" s="12" t="s">
        <v>186</v>
      </c>
      <c r="Q76" s="12" t="s">
        <v>1332</v>
      </c>
      <c r="R76" s="12" t="s">
        <v>491</v>
      </c>
      <c r="S76" s="12" t="s">
        <v>1333</v>
      </c>
      <c r="T76" s="12" t="s">
        <v>1334</v>
      </c>
      <c r="U76" s="12" t="s">
        <v>494</v>
      </c>
      <c r="V76" s="12" t="s">
        <v>494</v>
      </c>
      <c r="W76" s="12"/>
      <c r="X76" s="12" t="s">
        <v>1335</v>
      </c>
      <c r="Y76" s="12" t="s">
        <v>187</v>
      </c>
      <c r="Z76" s="12"/>
      <c r="AA76" s="12" t="s">
        <v>1336</v>
      </c>
      <c r="AB76" s="12" t="s">
        <v>190</v>
      </c>
      <c r="AC76" s="14" t="s">
        <v>498</v>
      </c>
      <c r="AD76" s="14" t="s">
        <v>499</v>
      </c>
      <c r="AE76" s="12" t="s">
        <v>500</v>
      </c>
      <c r="AF76" s="27" t="s">
        <v>501</v>
      </c>
      <c r="AG76" s="28"/>
      <c r="AH76" s="27"/>
      <c r="AI76" s="27"/>
      <c r="AJ76" s="27"/>
      <c r="AK76" s="28" t="str">
        <f aca="false">IF(AG76="","",WORKDAY(AG76,5))</f>
        <v/>
      </c>
      <c r="AL76" s="27"/>
      <c r="AM76" s="27"/>
    </row>
    <row r="77" customFormat="false" ht="23.85" hidden="false" customHeight="false" outlineLevel="0" collapsed="false">
      <c r="A77" s="24" t="s">
        <v>125</v>
      </c>
      <c r="B77" s="25" t="n">
        <v>76</v>
      </c>
      <c r="C77" s="26" t="n">
        <v>4</v>
      </c>
      <c r="D77" s="12" t="s">
        <v>166</v>
      </c>
      <c r="E77" s="12" t="s">
        <v>191</v>
      </c>
      <c r="F77" s="12" t="s">
        <v>735</v>
      </c>
      <c r="G77" s="14" t="s">
        <v>197</v>
      </c>
      <c r="H77" s="12" t="s">
        <v>1337</v>
      </c>
      <c r="I77" s="12"/>
      <c r="J77" s="12" t="s">
        <v>486</v>
      </c>
      <c r="K77" s="12" t="s">
        <v>487</v>
      </c>
      <c r="L77" s="12" t="s">
        <v>1338</v>
      </c>
      <c r="M77" s="12" t="s">
        <v>195</v>
      </c>
      <c r="N77" s="12" t="s">
        <v>196</v>
      </c>
      <c r="O77" s="12" t="s">
        <v>192</v>
      </c>
      <c r="P77" s="12" t="s">
        <v>193</v>
      </c>
      <c r="Q77" s="12" t="s">
        <v>1339</v>
      </c>
      <c r="R77" s="12" t="s">
        <v>491</v>
      </c>
      <c r="S77" s="12" t="s">
        <v>1340</v>
      </c>
      <c r="T77" s="12" t="s">
        <v>1341</v>
      </c>
      <c r="U77" s="12" t="s">
        <v>494</v>
      </c>
      <c r="V77" s="12" t="s">
        <v>494</v>
      </c>
      <c r="W77" s="12"/>
      <c r="X77" s="12" t="s">
        <v>1342</v>
      </c>
      <c r="Y77" s="12" t="s">
        <v>194</v>
      </c>
      <c r="Z77" s="12"/>
      <c r="AA77" s="12" t="s">
        <v>1343</v>
      </c>
      <c r="AB77" s="12" t="s">
        <v>123</v>
      </c>
      <c r="AC77" s="14" t="s">
        <v>498</v>
      </c>
      <c r="AD77" s="14" t="s">
        <v>499</v>
      </c>
      <c r="AE77" s="12" t="s">
        <v>500</v>
      </c>
      <c r="AF77" s="27" t="s">
        <v>501</v>
      </c>
      <c r="AG77" s="28"/>
      <c r="AH77" s="27"/>
      <c r="AI77" s="27"/>
      <c r="AJ77" s="27"/>
      <c r="AK77" s="28" t="str">
        <f aca="false">IF(AG77="","",WORKDAY(AG77,5))</f>
        <v/>
      </c>
      <c r="AL77" s="27"/>
      <c r="AM77" s="27"/>
    </row>
    <row r="78" customFormat="false" ht="23.85" hidden="false" customHeight="false" outlineLevel="0" collapsed="false">
      <c r="A78" s="24" t="s">
        <v>125</v>
      </c>
      <c r="B78" s="25" t="n">
        <v>77</v>
      </c>
      <c r="C78" s="26" t="n">
        <v>4</v>
      </c>
      <c r="D78" s="12" t="s">
        <v>166</v>
      </c>
      <c r="E78" s="12" t="s">
        <v>198</v>
      </c>
      <c r="F78" s="12" t="s">
        <v>735</v>
      </c>
      <c r="G78" s="14" t="s">
        <v>203</v>
      </c>
      <c r="H78" s="12" t="s">
        <v>1344</v>
      </c>
      <c r="I78" s="12"/>
      <c r="J78" s="12" t="s">
        <v>486</v>
      </c>
      <c r="K78" s="12" t="s">
        <v>487</v>
      </c>
      <c r="L78" s="12" t="s">
        <v>1345</v>
      </c>
      <c r="M78" s="12" t="s">
        <v>201</v>
      </c>
      <c r="N78" s="12" t="s">
        <v>202</v>
      </c>
      <c r="O78" s="12" t="s">
        <v>126</v>
      </c>
      <c r="P78" s="12" t="s">
        <v>199</v>
      </c>
      <c r="Q78" s="12" t="s">
        <v>1346</v>
      </c>
      <c r="R78" s="12" t="s">
        <v>1347</v>
      </c>
      <c r="S78" s="12" t="s">
        <v>1348</v>
      </c>
      <c r="T78" s="12" t="s">
        <v>1349</v>
      </c>
      <c r="U78" s="12" t="s">
        <v>494</v>
      </c>
      <c r="V78" s="12" t="s">
        <v>494</v>
      </c>
      <c r="W78" s="12"/>
      <c r="X78" s="12" t="s">
        <v>1350</v>
      </c>
      <c r="Y78" s="12" t="s">
        <v>200</v>
      </c>
      <c r="Z78" s="12" t="s">
        <v>1351</v>
      </c>
      <c r="AA78" s="12" t="s">
        <v>1352</v>
      </c>
      <c r="AB78" s="12" t="s">
        <v>204</v>
      </c>
      <c r="AC78" s="14" t="s">
        <v>498</v>
      </c>
      <c r="AD78" s="14" t="s">
        <v>499</v>
      </c>
      <c r="AE78" s="12" t="s">
        <v>500</v>
      </c>
      <c r="AF78" s="27" t="s">
        <v>501</v>
      </c>
      <c r="AG78" s="28"/>
      <c r="AH78" s="27"/>
      <c r="AI78" s="27"/>
      <c r="AJ78" s="27"/>
      <c r="AK78" s="28" t="str">
        <f aca="false">IF(AG78="","",WORKDAY(AG78,5))</f>
        <v/>
      </c>
      <c r="AL78" s="27"/>
      <c r="AM78" s="27"/>
    </row>
    <row r="79" customFormat="false" ht="35.05" hidden="false" customHeight="false" outlineLevel="0" collapsed="false">
      <c r="A79" s="24" t="s">
        <v>125</v>
      </c>
      <c r="B79" s="25" t="n">
        <v>78</v>
      </c>
      <c r="C79" s="26" t="n">
        <v>4</v>
      </c>
      <c r="D79" s="12" t="s">
        <v>166</v>
      </c>
      <c r="E79" s="12" t="s">
        <v>205</v>
      </c>
      <c r="F79" s="12" t="s">
        <v>735</v>
      </c>
      <c r="G79" s="14" t="s">
        <v>210</v>
      </c>
      <c r="H79" s="12" t="s">
        <v>1344</v>
      </c>
      <c r="I79" s="12"/>
      <c r="J79" s="12" t="s">
        <v>486</v>
      </c>
      <c r="K79" s="12" t="s">
        <v>487</v>
      </c>
      <c r="L79" s="12" t="s">
        <v>1344</v>
      </c>
      <c r="M79" s="12" t="s">
        <v>208</v>
      </c>
      <c r="N79" s="12" t="s">
        <v>209</v>
      </c>
      <c r="O79" s="12" t="s">
        <v>126</v>
      </c>
      <c r="P79" s="12" t="s">
        <v>206</v>
      </c>
      <c r="Q79" s="12" t="s">
        <v>1346</v>
      </c>
      <c r="R79" s="12" t="s">
        <v>491</v>
      </c>
      <c r="S79" s="12" t="s">
        <v>1353</v>
      </c>
      <c r="T79" s="12" t="s">
        <v>1354</v>
      </c>
      <c r="U79" s="12" t="s">
        <v>494</v>
      </c>
      <c r="V79" s="12" t="s">
        <v>494</v>
      </c>
      <c r="W79" s="12"/>
      <c r="X79" s="12" t="s">
        <v>1355</v>
      </c>
      <c r="Y79" s="12" t="s">
        <v>207</v>
      </c>
      <c r="Z79" s="12" t="s">
        <v>1356</v>
      </c>
      <c r="AA79" s="12" t="s">
        <v>1357</v>
      </c>
      <c r="AB79" s="12" t="s">
        <v>123</v>
      </c>
      <c r="AC79" s="14" t="s">
        <v>498</v>
      </c>
      <c r="AD79" s="14" t="s">
        <v>499</v>
      </c>
      <c r="AE79" s="12" t="s">
        <v>500</v>
      </c>
      <c r="AF79" s="27" t="s">
        <v>501</v>
      </c>
      <c r="AG79" s="28"/>
      <c r="AH79" s="27"/>
      <c r="AI79" s="27"/>
      <c r="AJ79" s="27"/>
      <c r="AK79" s="28" t="str">
        <f aca="false">IF(AG79="","",WORKDAY(AG79,5))</f>
        <v/>
      </c>
      <c r="AL79" s="27"/>
      <c r="AM79" s="27"/>
    </row>
    <row r="80" customFormat="false" ht="35.05" hidden="false" customHeight="false" outlineLevel="0" collapsed="false">
      <c r="A80" s="24" t="s">
        <v>125</v>
      </c>
      <c r="B80" s="25" t="n">
        <v>79</v>
      </c>
      <c r="C80" s="26" t="n">
        <v>4</v>
      </c>
      <c r="D80" s="12" t="s">
        <v>166</v>
      </c>
      <c r="E80" s="12" t="s">
        <v>211</v>
      </c>
      <c r="F80" s="12" t="s">
        <v>735</v>
      </c>
      <c r="G80" s="14" t="s">
        <v>215</v>
      </c>
      <c r="H80" s="12" t="s">
        <v>1358</v>
      </c>
      <c r="I80" s="12"/>
      <c r="J80" s="12" t="s">
        <v>486</v>
      </c>
      <c r="K80" s="12" t="s">
        <v>487</v>
      </c>
      <c r="L80" s="12" t="s">
        <v>1359</v>
      </c>
      <c r="M80" s="12" t="s">
        <v>213</v>
      </c>
      <c r="N80" s="12" t="s">
        <v>214</v>
      </c>
      <c r="O80" s="12" t="s">
        <v>126</v>
      </c>
      <c r="P80" s="12" t="s">
        <v>212</v>
      </c>
      <c r="Q80" s="12" t="s">
        <v>1346</v>
      </c>
      <c r="R80" s="12" t="s">
        <v>491</v>
      </c>
      <c r="S80" s="12" t="s">
        <v>1360</v>
      </c>
      <c r="T80" s="12" t="s">
        <v>1361</v>
      </c>
      <c r="U80" s="12" t="s">
        <v>494</v>
      </c>
      <c r="V80" s="12" t="s">
        <v>494</v>
      </c>
      <c r="W80" s="12"/>
      <c r="X80" s="12" t="s">
        <v>1362</v>
      </c>
      <c r="Y80" s="12"/>
      <c r="Z80" s="12"/>
      <c r="AA80" s="12" t="s">
        <v>1363</v>
      </c>
      <c r="AB80" s="12" t="s">
        <v>216</v>
      </c>
      <c r="AC80" s="14" t="s">
        <v>498</v>
      </c>
      <c r="AD80" s="14" t="s">
        <v>499</v>
      </c>
      <c r="AE80" s="12" t="s">
        <v>500</v>
      </c>
      <c r="AF80" s="27" t="s">
        <v>501</v>
      </c>
      <c r="AG80" s="28"/>
      <c r="AH80" s="27"/>
      <c r="AI80" s="27"/>
      <c r="AJ80" s="27"/>
      <c r="AK80" s="28" t="str">
        <f aca="false">IF(AG80="","",WORKDAY(AG80,5))</f>
        <v/>
      </c>
      <c r="AL80" s="27"/>
      <c r="AM80" s="27"/>
    </row>
    <row r="81" customFormat="false" ht="23.85" hidden="false" customHeight="false" outlineLevel="0" collapsed="false">
      <c r="A81" s="24" t="s">
        <v>125</v>
      </c>
      <c r="B81" s="25" t="n">
        <v>80</v>
      </c>
      <c r="C81" s="26" t="n">
        <v>4</v>
      </c>
      <c r="D81" s="12" t="s">
        <v>166</v>
      </c>
      <c r="E81" s="12" t="s">
        <v>1364</v>
      </c>
      <c r="F81" s="12" t="s">
        <v>483</v>
      </c>
      <c r="G81" s="14" t="s">
        <v>1365</v>
      </c>
      <c r="H81" s="12" t="s">
        <v>1366</v>
      </c>
      <c r="I81" s="12"/>
      <c r="J81" s="12" t="s">
        <v>486</v>
      </c>
      <c r="K81" s="12" t="s">
        <v>487</v>
      </c>
      <c r="L81" s="12" t="s">
        <v>1367</v>
      </c>
      <c r="M81" s="12" t="s">
        <v>1368</v>
      </c>
      <c r="N81" s="12" t="s">
        <v>1369</v>
      </c>
      <c r="O81" s="12" t="s">
        <v>1370</v>
      </c>
      <c r="P81" s="12" t="s">
        <v>1371</v>
      </c>
      <c r="Q81" s="12" t="s">
        <v>1372</v>
      </c>
      <c r="R81" s="12" t="s">
        <v>518</v>
      </c>
      <c r="S81" s="12" t="s">
        <v>1373</v>
      </c>
      <c r="T81" s="12" t="s">
        <v>1374</v>
      </c>
      <c r="U81" s="12" t="s">
        <v>494</v>
      </c>
      <c r="V81" s="12" t="s">
        <v>494</v>
      </c>
      <c r="W81" s="12"/>
      <c r="X81" s="12" t="s">
        <v>1375</v>
      </c>
      <c r="Y81" s="12" t="s">
        <v>1376</v>
      </c>
      <c r="Z81" s="12"/>
      <c r="AA81" s="12" t="s">
        <v>1377</v>
      </c>
      <c r="AB81" s="12" t="s">
        <v>123</v>
      </c>
      <c r="AC81" s="14" t="s">
        <v>498</v>
      </c>
      <c r="AD81" s="14" t="s">
        <v>499</v>
      </c>
      <c r="AE81" s="12" t="s">
        <v>602</v>
      </c>
      <c r="AF81" s="27" t="s">
        <v>501</v>
      </c>
      <c r="AG81" s="28"/>
      <c r="AH81" s="27"/>
      <c r="AI81" s="27"/>
      <c r="AJ81" s="27"/>
      <c r="AK81" s="28" t="str">
        <f aca="false">IF(AG81="","",WORKDAY(AG81,5))</f>
        <v/>
      </c>
      <c r="AL81" s="27"/>
      <c r="AM81" s="27"/>
    </row>
    <row r="82" customFormat="false" ht="23.85" hidden="false" customHeight="false" outlineLevel="0" collapsed="false">
      <c r="A82" s="24" t="s">
        <v>125</v>
      </c>
      <c r="B82" s="25" t="n">
        <v>81</v>
      </c>
      <c r="C82" s="26" t="n">
        <v>4</v>
      </c>
      <c r="D82" s="12" t="s">
        <v>166</v>
      </c>
      <c r="E82" s="12" t="s">
        <v>1378</v>
      </c>
      <c r="F82" s="12" t="s">
        <v>483</v>
      </c>
      <c r="G82" s="14" t="s">
        <v>1379</v>
      </c>
      <c r="H82" s="12" t="s">
        <v>1380</v>
      </c>
      <c r="I82" s="12"/>
      <c r="J82" s="12" t="s">
        <v>486</v>
      </c>
      <c r="K82" s="12" t="s">
        <v>487</v>
      </c>
      <c r="L82" s="12" t="s">
        <v>1381</v>
      </c>
      <c r="M82" s="12" t="s">
        <v>1382</v>
      </c>
      <c r="N82" s="12" t="s">
        <v>1383</v>
      </c>
      <c r="O82" s="12" t="s">
        <v>1384</v>
      </c>
      <c r="P82" s="12" t="s">
        <v>1385</v>
      </c>
      <c r="Q82" s="12" t="s">
        <v>1386</v>
      </c>
      <c r="R82" s="12" t="s">
        <v>518</v>
      </c>
      <c r="S82" s="12" t="s">
        <v>1340</v>
      </c>
      <c r="T82" s="12" t="s">
        <v>562</v>
      </c>
      <c r="U82" s="12" t="s">
        <v>494</v>
      </c>
      <c r="V82" s="12" t="s">
        <v>494</v>
      </c>
      <c r="W82" s="12"/>
      <c r="X82" s="12" t="s">
        <v>1387</v>
      </c>
      <c r="Y82" s="12" t="s">
        <v>1388</v>
      </c>
      <c r="Z82" s="12"/>
      <c r="AA82" s="12" t="s">
        <v>1389</v>
      </c>
      <c r="AB82" s="12" t="s">
        <v>130</v>
      </c>
      <c r="AC82" s="14" t="s">
        <v>498</v>
      </c>
      <c r="AD82" s="14" t="s">
        <v>499</v>
      </c>
      <c r="AE82" s="12" t="s">
        <v>500</v>
      </c>
      <c r="AF82" s="27" t="s">
        <v>501</v>
      </c>
      <c r="AG82" s="28"/>
      <c r="AH82" s="27"/>
      <c r="AI82" s="27"/>
      <c r="AJ82" s="27"/>
      <c r="AK82" s="28" t="str">
        <f aca="false">IF(AG82="","",WORKDAY(AG82,5))</f>
        <v/>
      </c>
      <c r="AL82" s="27"/>
      <c r="AM82" s="27"/>
    </row>
    <row r="83" customFormat="false" ht="23.85" hidden="false" customHeight="false" outlineLevel="0" collapsed="false">
      <c r="A83" s="24" t="s">
        <v>125</v>
      </c>
      <c r="B83" s="25" t="n">
        <v>82</v>
      </c>
      <c r="C83" s="26" t="n">
        <v>3</v>
      </c>
      <c r="D83" s="12" t="s">
        <v>166</v>
      </c>
      <c r="E83" s="12" t="s">
        <v>1390</v>
      </c>
      <c r="F83" s="12" t="s">
        <v>483</v>
      </c>
      <c r="G83" s="14" t="s">
        <v>1391</v>
      </c>
      <c r="H83" s="12" t="s">
        <v>1392</v>
      </c>
      <c r="I83" s="12"/>
      <c r="J83" s="12" t="s">
        <v>486</v>
      </c>
      <c r="K83" s="12" t="s">
        <v>487</v>
      </c>
      <c r="L83" s="12" t="s">
        <v>1393</v>
      </c>
      <c r="M83" s="12"/>
      <c r="N83" s="12"/>
      <c r="O83" s="12" t="s">
        <v>1394</v>
      </c>
      <c r="P83" s="12" t="s">
        <v>1395</v>
      </c>
      <c r="Q83" s="12" t="s">
        <v>1396</v>
      </c>
      <c r="R83" s="12" t="s">
        <v>518</v>
      </c>
      <c r="S83" s="12" t="s">
        <v>1397</v>
      </c>
      <c r="T83" s="12" t="s">
        <v>1398</v>
      </c>
      <c r="U83" s="12" t="s">
        <v>494</v>
      </c>
      <c r="V83" s="12" t="s">
        <v>494</v>
      </c>
      <c r="W83" s="12"/>
      <c r="X83" s="12" t="s">
        <v>1399</v>
      </c>
      <c r="Y83" s="12"/>
      <c r="Z83" s="12"/>
      <c r="AA83" s="12" t="s">
        <v>1400</v>
      </c>
      <c r="AB83" s="12" t="s">
        <v>1401</v>
      </c>
      <c r="AC83" s="14" t="s">
        <v>498</v>
      </c>
      <c r="AD83" s="14" t="s">
        <v>499</v>
      </c>
      <c r="AE83" s="12" t="s">
        <v>500</v>
      </c>
      <c r="AF83" s="27" t="s">
        <v>501</v>
      </c>
      <c r="AG83" s="28"/>
      <c r="AH83" s="27"/>
      <c r="AI83" s="27"/>
      <c r="AJ83" s="27"/>
      <c r="AK83" s="28" t="str">
        <f aca="false">IF(AG83="","",WORKDAY(AG83,5))</f>
        <v/>
      </c>
      <c r="AL83" s="27"/>
      <c r="AM83" s="27"/>
    </row>
    <row r="84" customFormat="false" ht="35.05" hidden="false" customHeight="false" outlineLevel="0" collapsed="false">
      <c r="A84" s="24" t="s">
        <v>125</v>
      </c>
      <c r="B84" s="25" t="n">
        <v>83</v>
      </c>
      <c r="C84" s="26" t="n">
        <v>3</v>
      </c>
      <c r="D84" s="12" t="s">
        <v>166</v>
      </c>
      <c r="E84" s="12" t="s">
        <v>1402</v>
      </c>
      <c r="F84" s="12" t="s">
        <v>483</v>
      </c>
      <c r="G84" s="14" t="s">
        <v>1403</v>
      </c>
      <c r="H84" s="12" t="s">
        <v>1404</v>
      </c>
      <c r="I84" s="12"/>
      <c r="J84" s="12" t="s">
        <v>486</v>
      </c>
      <c r="K84" s="12" t="s">
        <v>487</v>
      </c>
      <c r="L84" s="12" t="s">
        <v>1405</v>
      </c>
      <c r="M84" s="12"/>
      <c r="N84" s="12"/>
      <c r="O84" s="12" t="s">
        <v>126</v>
      </c>
      <c r="P84" s="12" t="s">
        <v>1406</v>
      </c>
      <c r="Q84" s="12" t="s">
        <v>1407</v>
      </c>
      <c r="R84" s="12" t="s">
        <v>518</v>
      </c>
      <c r="S84" s="12" t="s">
        <v>1408</v>
      </c>
      <c r="T84" s="12" t="s">
        <v>1409</v>
      </c>
      <c r="U84" s="12" t="s">
        <v>494</v>
      </c>
      <c r="V84" s="12" t="s">
        <v>494</v>
      </c>
      <c r="W84" s="12"/>
      <c r="X84" s="12" t="s">
        <v>1410</v>
      </c>
      <c r="Y84" s="12" t="s">
        <v>1411</v>
      </c>
      <c r="Z84" s="12"/>
      <c r="AA84" s="12" t="s">
        <v>1412</v>
      </c>
      <c r="AB84" s="12" t="s">
        <v>1413</v>
      </c>
      <c r="AC84" s="14" t="s">
        <v>498</v>
      </c>
      <c r="AD84" s="14" t="s">
        <v>499</v>
      </c>
      <c r="AE84" s="12" t="s">
        <v>602</v>
      </c>
      <c r="AF84" s="27" t="s">
        <v>501</v>
      </c>
      <c r="AG84" s="28"/>
      <c r="AH84" s="27"/>
      <c r="AI84" s="27"/>
      <c r="AJ84" s="27"/>
      <c r="AK84" s="28" t="str">
        <f aca="false">IF(AG84="","",WORKDAY(AG84,5))</f>
        <v/>
      </c>
      <c r="AL84" s="27"/>
      <c r="AM84" s="27"/>
    </row>
    <row r="85" customFormat="false" ht="35.05" hidden="false" customHeight="false" outlineLevel="0" collapsed="false">
      <c r="A85" s="24" t="s">
        <v>125</v>
      </c>
      <c r="B85" s="25" t="n">
        <v>84</v>
      </c>
      <c r="C85" s="26" t="n">
        <v>3</v>
      </c>
      <c r="D85" s="12" t="s">
        <v>229</v>
      </c>
      <c r="E85" s="12" t="s">
        <v>251</v>
      </c>
      <c r="F85" s="12" t="s">
        <v>735</v>
      </c>
      <c r="G85" s="14" t="s">
        <v>593</v>
      </c>
      <c r="H85" s="12" t="s">
        <v>1414</v>
      </c>
      <c r="I85" s="12"/>
      <c r="J85" s="12" t="s">
        <v>486</v>
      </c>
      <c r="K85" s="12" t="s">
        <v>487</v>
      </c>
      <c r="L85" s="12" t="s">
        <v>1415</v>
      </c>
      <c r="M85" s="12"/>
      <c r="N85" s="12"/>
      <c r="O85" s="12" t="s">
        <v>252</v>
      </c>
      <c r="P85" s="12" t="s">
        <v>253</v>
      </c>
      <c r="Q85" s="12" t="s">
        <v>1416</v>
      </c>
      <c r="R85" s="12" t="s">
        <v>518</v>
      </c>
      <c r="S85" s="12" t="s">
        <v>1417</v>
      </c>
      <c r="T85" s="12" t="s">
        <v>547</v>
      </c>
      <c r="U85" s="12" t="s">
        <v>494</v>
      </c>
      <c r="V85" s="12" t="s">
        <v>494</v>
      </c>
      <c r="W85" s="12"/>
      <c r="X85" s="12" t="s">
        <v>1418</v>
      </c>
      <c r="Y85" s="12"/>
      <c r="Z85" s="12" t="s">
        <v>1419</v>
      </c>
      <c r="AA85" s="12" t="s">
        <v>1420</v>
      </c>
      <c r="AB85" s="12" t="s">
        <v>123</v>
      </c>
      <c r="AC85" s="14" t="s">
        <v>498</v>
      </c>
      <c r="AD85" s="14" t="s">
        <v>499</v>
      </c>
      <c r="AE85" s="12" t="s">
        <v>552</v>
      </c>
      <c r="AF85" s="27" t="s">
        <v>501</v>
      </c>
      <c r="AG85" s="28"/>
      <c r="AH85" s="27"/>
      <c r="AI85" s="27"/>
      <c r="AJ85" s="27"/>
      <c r="AK85" s="28" t="str">
        <f aca="false">IF(AG85="","",WORKDAY(AG85,5))</f>
        <v/>
      </c>
      <c r="AL85" s="27"/>
      <c r="AM85" s="27"/>
    </row>
    <row r="86" customFormat="false" ht="23.85" hidden="false" customHeight="false" outlineLevel="0" collapsed="false">
      <c r="A86" s="24" t="s">
        <v>125</v>
      </c>
      <c r="B86" s="25" t="n">
        <v>85</v>
      </c>
      <c r="C86" s="26" t="n">
        <v>4</v>
      </c>
      <c r="D86" s="12" t="s">
        <v>281</v>
      </c>
      <c r="E86" s="12" t="s">
        <v>288</v>
      </c>
      <c r="F86" s="12" t="s">
        <v>735</v>
      </c>
      <c r="G86" s="14" t="s">
        <v>293</v>
      </c>
      <c r="H86" s="12" t="s">
        <v>1421</v>
      </c>
      <c r="I86" s="12"/>
      <c r="J86" s="12" t="s">
        <v>486</v>
      </c>
      <c r="K86" s="12" t="s">
        <v>487</v>
      </c>
      <c r="L86" s="12" t="s">
        <v>1422</v>
      </c>
      <c r="M86" s="12" t="s">
        <v>292</v>
      </c>
      <c r="N86" s="12"/>
      <c r="O86" s="12" t="s">
        <v>289</v>
      </c>
      <c r="P86" s="12" t="s">
        <v>290</v>
      </c>
      <c r="Q86" s="12" t="s">
        <v>1423</v>
      </c>
      <c r="R86" s="12" t="s">
        <v>491</v>
      </c>
      <c r="S86" s="12" t="s">
        <v>1424</v>
      </c>
      <c r="T86" s="12" t="s">
        <v>1425</v>
      </c>
      <c r="U86" s="12" t="s">
        <v>494</v>
      </c>
      <c r="V86" s="12" t="s">
        <v>494</v>
      </c>
      <c r="W86" s="12"/>
      <c r="X86" s="12" t="s">
        <v>1426</v>
      </c>
      <c r="Y86" s="12" t="s">
        <v>291</v>
      </c>
      <c r="Z86" s="12"/>
      <c r="AA86" s="12" t="s">
        <v>1427</v>
      </c>
      <c r="AB86" s="12" t="s">
        <v>123</v>
      </c>
      <c r="AC86" s="14" t="s">
        <v>498</v>
      </c>
      <c r="AD86" s="14" t="s">
        <v>499</v>
      </c>
      <c r="AE86" s="12" t="s">
        <v>602</v>
      </c>
      <c r="AF86" s="27" t="s">
        <v>501</v>
      </c>
      <c r="AG86" s="28"/>
      <c r="AH86" s="27"/>
      <c r="AI86" s="27"/>
      <c r="AJ86" s="27"/>
      <c r="AK86" s="28" t="str">
        <f aca="false">IF(AG86="","",WORKDAY(AG86,5))</f>
        <v/>
      </c>
      <c r="AL86" s="27"/>
      <c r="AM86" s="27"/>
    </row>
    <row r="87" customFormat="false" ht="23.85" hidden="false" customHeight="false" outlineLevel="0" collapsed="false">
      <c r="A87" s="24" t="s">
        <v>125</v>
      </c>
      <c r="B87" s="25" t="n">
        <v>86</v>
      </c>
      <c r="C87" s="26" t="n">
        <v>3</v>
      </c>
      <c r="D87" s="12" t="s">
        <v>281</v>
      </c>
      <c r="E87" s="12" t="s">
        <v>301</v>
      </c>
      <c r="F87" s="12" t="s">
        <v>735</v>
      </c>
      <c r="G87" s="14" t="s">
        <v>306</v>
      </c>
      <c r="H87" s="12" t="s">
        <v>1428</v>
      </c>
      <c r="I87" s="12"/>
      <c r="J87" s="12" t="s">
        <v>486</v>
      </c>
      <c r="K87" s="12" t="s">
        <v>487</v>
      </c>
      <c r="L87" s="12" t="s">
        <v>1429</v>
      </c>
      <c r="M87" s="12" t="s">
        <v>304</v>
      </c>
      <c r="N87" s="12" t="s">
        <v>305</v>
      </c>
      <c r="O87" s="12" t="s">
        <v>192</v>
      </c>
      <c r="P87" s="12" t="s">
        <v>302</v>
      </c>
      <c r="Q87" s="12" t="s">
        <v>1423</v>
      </c>
      <c r="R87" s="12" t="s">
        <v>518</v>
      </c>
      <c r="S87" s="12" t="s">
        <v>1430</v>
      </c>
      <c r="T87" s="12" t="s">
        <v>562</v>
      </c>
      <c r="U87" s="12" t="s">
        <v>494</v>
      </c>
      <c r="V87" s="12" t="s">
        <v>494</v>
      </c>
      <c r="W87" s="12"/>
      <c r="X87" s="12" t="s">
        <v>1431</v>
      </c>
      <c r="Y87" s="12" t="s">
        <v>303</v>
      </c>
      <c r="Z87" s="12"/>
      <c r="AA87" s="12" t="s">
        <v>1432</v>
      </c>
      <c r="AB87" s="12" t="s">
        <v>123</v>
      </c>
      <c r="AC87" s="14" t="s">
        <v>498</v>
      </c>
      <c r="AD87" s="14" t="s">
        <v>499</v>
      </c>
      <c r="AE87" s="12" t="s">
        <v>602</v>
      </c>
      <c r="AF87" s="27" t="s">
        <v>501</v>
      </c>
      <c r="AG87" s="28"/>
      <c r="AH87" s="27"/>
      <c r="AI87" s="27"/>
      <c r="AJ87" s="27"/>
      <c r="AK87" s="28" t="str">
        <f aca="false">IF(AG87="","",WORKDAY(AG87,5))</f>
        <v/>
      </c>
      <c r="AL87" s="27"/>
      <c r="AM87" s="27"/>
    </row>
    <row r="88" customFormat="false" ht="23.85" hidden="false" customHeight="false" outlineLevel="0" collapsed="false">
      <c r="A88" s="24" t="s">
        <v>125</v>
      </c>
      <c r="B88" s="25" t="n">
        <v>87</v>
      </c>
      <c r="C88" s="26" t="n">
        <v>3</v>
      </c>
      <c r="D88" s="12" t="s">
        <v>281</v>
      </c>
      <c r="E88" s="12" t="s">
        <v>1433</v>
      </c>
      <c r="F88" s="12" t="s">
        <v>483</v>
      </c>
      <c r="G88" s="14" t="s">
        <v>1434</v>
      </c>
      <c r="H88" s="12" t="s">
        <v>1435</v>
      </c>
      <c r="I88" s="12"/>
      <c r="J88" s="12" t="s">
        <v>486</v>
      </c>
      <c r="K88" s="12" t="s">
        <v>487</v>
      </c>
      <c r="L88" s="12" t="s">
        <v>1436</v>
      </c>
      <c r="M88" s="12" t="s">
        <v>1437</v>
      </c>
      <c r="N88" s="12"/>
      <c r="O88" s="12" t="s">
        <v>126</v>
      </c>
      <c r="P88" s="12" t="s">
        <v>1438</v>
      </c>
      <c r="Q88" s="12" t="s">
        <v>1439</v>
      </c>
      <c r="R88" s="12" t="s">
        <v>491</v>
      </c>
      <c r="S88" s="12" t="s">
        <v>1440</v>
      </c>
      <c r="T88" s="12" t="s">
        <v>562</v>
      </c>
      <c r="U88" s="12" t="s">
        <v>494</v>
      </c>
      <c r="V88" s="12" t="s">
        <v>494</v>
      </c>
      <c r="W88" s="12"/>
      <c r="X88" s="12" t="s">
        <v>1441</v>
      </c>
      <c r="Y88" s="12" t="s">
        <v>1442</v>
      </c>
      <c r="Z88" s="12"/>
      <c r="AA88" s="12" t="s">
        <v>1443</v>
      </c>
      <c r="AB88" s="12" t="s">
        <v>1444</v>
      </c>
      <c r="AC88" s="14" t="s">
        <v>498</v>
      </c>
      <c r="AD88" s="14" t="s">
        <v>499</v>
      </c>
      <c r="AE88" s="12" t="s">
        <v>500</v>
      </c>
      <c r="AF88" s="27" t="s">
        <v>501</v>
      </c>
      <c r="AG88" s="28"/>
      <c r="AH88" s="27"/>
      <c r="AI88" s="27"/>
      <c r="AJ88" s="27"/>
      <c r="AK88" s="28" t="str">
        <f aca="false">IF(AG88="","",WORKDAY(AG88,5))</f>
        <v/>
      </c>
      <c r="AL88" s="27"/>
      <c r="AM88" s="27"/>
    </row>
    <row r="89" customFormat="false" ht="23.85" hidden="false" customHeight="false" outlineLevel="0" collapsed="false">
      <c r="A89" s="24" t="s">
        <v>125</v>
      </c>
      <c r="B89" s="25" t="n">
        <v>88</v>
      </c>
      <c r="C89" s="26" t="n">
        <v>3</v>
      </c>
      <c r="D89" s="12" t="s">
        <v>281</v>
      </c>
      <c r="E89" s="12" t="s">
        <v>1445</v>
      </c>
      <c r="F89" s="12" t="s">
        <v>483</v>
      </c>
      <c r="G89" s="14" t="s">
        <v>1446</v>
      </c>
      <c r="H89" s="12" t="s">
        <v>1447</v>
      </c>
      <c r="I89" s="12"/>
      <c r="J89" s="12" t="s">
        <v>486</v>
      </c>
      <c r="K89" s="12" t="s">
        <v>487</v>
      </c>
      <c r="L89" s="12" t="s">
        <v>1448</v>
      </c>
      <c r="M89" s="12" t="s">
        <v>1449</v>
      </c>
      <c r="N89" s="12"/>
      <c r="O89" s="12" t="s">
        <v>395</v>
      </c>
      <c r="P89" s="12" t="s">
        <v>1450</v>
      </c>
      <c r="Q89" s="12" t="s">
        <v>1451</v>
      </c>
      <c r="R89" s="12" t="s">
        <v>491</v>
      </c>
      <c r="S89" s="12" t="s">
        <v>1452</v>
      </c>
      <c r="T89" s="12" t="s">
        <v>1453</v>
      </c>
      <c r="U89" s="12" t="s">
        <v>494</v>
      </c>
      <c r="V89" s="12" t="s">
        <v>494</v>
      </c>
      <c r="W89" s="12"/>
      <c r="X89" s="12" t="s">
        <v>1454</v>
      </c>
      <c r="Y89" s="12" t="s">
        <v>1455</v>
      </c>
      <c r="Z89" s="12"/>
      <c r="AA89" s="12" t="s">
        <v>1456</v>
      </c>
      <c r="AB89" s="12" t="s">
        <v>179</v>
      </c>
      <c r="AC89" s="14" t="s">
        <v>498</v>
      </c>
      <c r="AD89" s="14" t="s">
        <v>499</v>
      </c>
      <c r="AE89" s="12" t="s">
        <v>500</v>
      </c>
      <c r="AF89" s="27" t="s">
        <v>501</v>
      </c>
      <c r="AG89" s="28"/>
      <c r="AH89" s="27"/>
      <c r="AI89" s="27"/>
      <c r="AJ89" s="27"/>
      <c r="AK89" s="28" t="str">
        <f aca="false">IF(AG89="","",WORKDAY(AG89,5))</f>
        <v/>
      </c>
      <c r="AL89" s="27"/>
      <c r="AM89" s="27"/>
    </row>
    <row r="90" customFormat="false" ht="23.85" hidden="false" customHeight="false" outlineLevel="0" collapsed="false">
      <c r="A90" s="24" t="s">
        <v>125</v>
      </c>
      <c r="B90" s="25" t="n">
        <v>89</v>
      </c>
      <c r="C90" s="26" t="n">
        <v>3</v>
      </c>
      <c r="D90" s="12" t="s">
        <v>281</v>
      </c>
      <c r="E90" s="12" t="s">
        <v>1457</v>
      </c>
      <c r="F90" s="12" t="s">
        <v>525</v>
      </c>
      <c r="G90" s="14" t="s">
        <v>1458</v>
      </c>
      <c r="H90" s="12" t="s">
        <v>1459</v>
      </c>
      <c r="I90" s="12"/>
      <c r="J90" s="12" t="s">
        <v>486</v>
      </c>
      <c r="K90" s="12" t="s">
        <v>487</v>
      </c>
      <c r="L90" s="12" t="s">
        <v>1460</v>
      </c>
      <c r="M90" s="12" t="s">
        <v>1461</v>
      </c>
      <c r="N90" s="12" t="s">
        <v>1462</v>
      </c>
      <c r="O90" s="12" t="s">
        <v>126</v>
      </c>
      <c r="P90" s="12" t="s">
        <v>1463</v>
      </c>
      <c r="Q90" s="12" t="s">
        <v>1464</v>
      </c>
      <c r="R90" s="12" t="s">
        <v>518</v>
      </c>
      <c r="S90" s="12" t="s">
        <v>1465</v>
      </c>
      <c r="T90" s="12" t="s">
        <v>562</v>
      </c>
      <c r="U90" s="12" t="s">
        <v>494</v>
      </c>
      <c r="V90" s="12" t="s">
        <v>494</v>
      </c>
      <c r="W90" s="12"/>
      <c r="X90" s="12" t="s">
        <v>1466</v>
      </c>
      <c r="Y90" s="12"/>
      <c r="Z90" s="12"/>
      <c r="AA90" s="12" t="s">
        <v>1467</v>
      </c>
      <c r="AB90" s="12" t="s">
        <v>123</v>
      </c>
      <c r="AC90" s="14" t="s">
        <v>498</v>
      </c>
      <c r="AD90" s="14" t="s">
        <v>499</v>
      </c>
      <c r="AE90" s="12" t="s">
        <v>500</v>
      </c>
      <c r="AF90" s="27" t="s">
        <v>501</v>
      </c>
      <c r="AG90" s="28"/>
      <c r="AH90" s="27"/>
      <c r="AI90" s="27"/>
      <c r="AJ90" s="27"/>
      <c r="AK90" s="28" t="str">
        <f aca="false">IF(AG90="","",WORKDAY(AG90,5))</f>
        <v/>
      </c>
      <c r="AL90" s="27"/>
      <c r="AM90" s="27"/>
    </row>
    <row r="91" customFormat="false" ht="35.05" hidden="false" customHeight="false" outlineLevel="0" collapsed="false">
      <c r="A91" s="24" t="s">
        <v>125</v>
      </c>
      <c r="B91" s="25" t="n">
        <v>90</v>
      </c>
      <c r="C91" s="26" t="n">
        <v>3</v>
      </c>
      <c r="D91" s="12" t="s">
        <v>307</v>
      </c>
      <c r="E91" s="12" t="s">
        <v>324</v>
      </c>
      <c r="F91" s="12" t="s">
        <v>735</v>
      </c>
      <c r="G91" s="14" t="s">
        <v>328</v>
      </c>
      <c r="H91" s="12" t="s">
        <v>1468</v>
      </c>
      <c r="I91" s="12"/>
      <c r="J91" s="12" t="s">
        <v>486</v>
      </c>
      <c r="K91" s="12" t="s">
        <v>487</v>
      </c>
      <c r="L91" s="12" t="s">
        <v>1469</v>
      </c>
      <c r="M91" s="12"/>
      <c r="N91" s="12"/>
      <c r="O91" s="12" t="s">
        <v>325</v>
      </c>
      <c r="P91" s="12" t="s">
        <v>326</v>
      </c>
      <c r="Q91" s="12" t="s">
        <v>1470</v>
      </c>
      <c r="R91" s="12" t="s">
        <v>491</v>
      </c>
      <c r="S91" s="12" t="s">
        <v>1471</v>
      </c>
      <c r="T91" s="12" t="s">
        <v>1472</v>
      </c>
      <c r="U91" s="12" t="s">
        <v>494</v>
      </c>
      <c r="V91" s="12" t="s">
        <v>494</v>
      </c>
      <c r="W91" s="12"/>
      <c r="X91" s="12" t="s">
        <v>1473</v>
      </c>
      <c r="Y91" s="12" t="s">
        <v>327</v>
      </c>
      <c r="Z91" s="12"/>
      <c r="AA91" s="12" t="s">
        <v>1474</v>
      </c>
      <c r="AB91" s="12" t="s">
        <v>179</v>
      </c>
      <c r="AC91" s="14" t="s">
        <v>498</v>
      </c>
      <c r="AD91" s="14" t="s">
        <v>499</v>
      </c>
      <c r="AE91" s="12" t="s">
        <v>602</v>
      </c>
      <c r="AF91" s="27" t="s">
        <v>501</v>
      </c>
      <c r="AG91" s="28"/>
      <c r="AH91" s="27"/>
      <c r="AI91" s="27"/>
      <c r="AJ91" s="27"/>
      <c r="AK91" s="28" t="str">
        <f aca="false">IF(AG91="","",WORKDAY(AG91,5))</f>
        <v/>
      </c>
      <c r="AL91" s="27"/>
      <c r="AM91" s="27"/>
    </row>
    <row r="92" customFormat="false" ht="23.85" hidden="false" customHeight="false" outlineLevel="0" collapsed="false">
      <c r="A92" s="24" t="s">
        <v>125</v>
      </c>
      <c r="B92" s="25" t="n">
        <v>91</v>
      </c>
      <c r="C92" s="26" t="n">
        <v>3</v>
      </c>
      <c r="D92" s="12" t="s">
        <v>307</v>
      </c>
      <c r="E92" s="12" t="s">
        <v>329</v>
      </c>
      <c r="F92" s="12" t="s">
        <v>735</v>
      </c>
      <c r="G92" s="14" t="s">
        <v>332</v>
      </c>
      <c r="H92" s="12" t="s">
        <v>125</v>
      </c>
      <c r="I92" s="12"/>
      <c r="J92" s="12" t="s">
        <v>486</v>
      </c>
      <c r="K92" s="12" t="s">
        <v>487</v>
      </c>
      <c r="L92" s="12"/>
      <c r="M92" s="12"/>
      <c r="N92" s="12"/>
      <c r="O92" s="12" t="s">
        <v>330</v>
      </c>
      <c r="P92" s="12" t="s">
        <v>331</v>
      </c>
      <c r="Q92" s="12" t="s">
        <v>1475</v>
      </c>
      <c r="R92" s="12" t="s">
        <v>518</v>
      </c>
      <c r="S92" s="12" t="s">
        <v>1476</v>
      </c>
      <c r="T92" s="12" t="s">
        <v>562</v>
      </c>
      <c r="U92" s="12" t="s">
        <v>494</v>
      </c>
      <c r="V92" s="12" t="s">
        <v>494</v>
      </c>
      <c r="W92" s="12"/>
      <c r="X92" s="12" t="s">
        <v>1477</v>
      </c>
      <c r="Y92" s="12"/>
      <c r="Z92" s="12"/>
      <c r="AA92" s="12" t="s">
        <v>1478</v>
      </c>
      <c r="AB92" s="12" t="s">
        <v>333</v>
      </c>
      <c r="AC92" s="14" t="s">
        <v>498</v>
      </c>
      <c r="AD92" s="14" t="s">
        <v>499</v>
      </c>
      <c r="AE92" s="12" t="s">
        <v>568</v>
      </c>
      <c r="AF92" s="27" t="s">
        <v>501</v>
      </c>
      <c r="AG92" s="28"/>
      <c r="AH92" s="27"/>
      <c r="AI92" s="27"/>
      <c r="AJ92" s="27"/>
      <c r="AK92" s="28" t="str">
        <f aca="false">IF(AG92="","",WORKDAY(AG92,5))</f>
        <v/>
      </c>
      <c r="AL92" s="27"/>
      <c r="AM92" s="27"/>
    </row>
    <row r="93" customFormat="false" ht="23.85" hidden="false" customHeight="false" outlineLevel="0" collapsed="false">
      <c r="A93" s="24" t="s">
        <v>125</v>
      </c>
      <c r="B93" s="25" t="n">
        <v>92</v>
      </c>
      <c r="C93" s="26" t="n">
        <v>4</v>
      </c>
      <c r="D93" s="12" t="s">
        <v>307</v>
      </c>
      <c r="E93" s="12" t="s">
        <v>1479</v>
      </c>
      <c r="F93" s="12" t="s">
        <v>483</v>
      </c>
      <c r="G93" s="14" t="s">
        <v>1480</v>
      </c>
      <c r="H93" s="12" t="s">
        <v>1481</v>
      </c>
      <c r="I93" s="12"/>
      <c r="J93" s="12" t="s">
        <v>486</v>
      </c>
      <c r="K93" s="12" t="s">
        <v>487</v>
      </c>
      <c r="L93" s="12" t="s">
        <v>1482</v>
      </c>
      <c r="M93" s="12" t="s">
        <v>1483</v>
      </c>
      <c r="N93" s="12" t="s">
        <v>1484</v>
      </c>
      <c r="O93" s="12" t="s">
        <v>192</v>
      </c>
      <c r="P93" s="12" t="s">
        <v>1485</v>
      </c>
      <c r="Q93" s="12" t="s">
        <v>1486</v>
      </c>
      <c r="R93" s="12" t="s">
        <v>518</v>
      </c>
      <c r="S93" s="12" t="s">
        <v>1487</v>
      </c>
      <c r="T93" s="12" t="s">
        <v>562</v>
      </c>
      <c r="U93" s="12" t="s">
        <v>494</v>
      </c>
      <c r="V93" s="12" t="s">
        <v>494</v>
      </c>
      <c r="W93" s="12"/>
      <c r="X93" s="12" t="s">
        <v>1488</v>
      </c>
      <c r="Y93" s="12" t="s">
        <v>1489</v>
      </c>
      <c r="Z93" s="12"/>
      <c r="AA93" s="12" t="s">
        <v>1490</v>
      </c>
      <c r="AB93" s="12" t="s">
        <v>204</v>
      </c>
      <c r="AC93" s="14" t="s">
        <v>498</v>
      </c>
      <c r="AD93" s="14" t="s">
        <v>499</v>
      </c>
      <c r="AE93" s="12" t="s">
        <v>500</v>
      </c>
      <c r="AF93" s="27" t="s">
        <v>501</v>
      </c>
      <c r="AG93" s="28"/>
      <c r="AH93" s="27"/>
      <c r="AI93" s="27"/>
      <c r="AJ93" s="27"/>
      <c r="AK93" s="28" t="str">
        <f aca="false">IF(AG93="","",WORKDAY(AG93,5))</f>
        <v/>
      </c>
      <c r="AL93" s="27"/>
      <c r="AM93" s="27"/>
    </row>
    <row r="94" customFormat="false" ht="23.85" hidden="false" customHeight="false" outlineLevel="0" collapsed="false">
      <c r="A94" s="24" t="s">
        <v>125</v>
      </c>
      <c r="B94" s="25" t="n">
        <v>93</v>
      </c>
      <c r="C94" s="26" t="n">
        <v>4</v>
      </c>
      <c r="D94" s="12" t="s">
        <v>307</v>
      </c>
      <c r="E94" s="12" t="s">
        <v>1491</v>
      </c>
      <c r="F94" s="12" t="s">
        <v>483</v>
      </c>
      <c r="G94" s="14" t="s">
        <v>1492</v>
      </c>
      <c r="H94" s="12" t="s">
        <v>1493</v>
      </c>
      <c r="I94" s="12"/>
      <c r="J94" s="12" t="s">
        <v>486</v>
      </c>
      <c r="K94" s="12" t="s">
        <v>487</v>
      </c>
      <c r="L94" s="12" t="s">
        <v>1494</v>
      </c>
      <c r="M94" s="12" t="s">
        <v>1495</v>
      </c>
      <c r="N94" s="12" t="s">
        <v>1496</v>
      </c>
      <c r="O94" s="12" t="s">
        <v>126</v>
      </c>
      <c r="P94" s="12" t="s">
        <v>1497</v>
      </c>
      <c r="Q94" s="12" t="s">
        <v>1498</v>
      </c>
      <c r="R94" s="12" t="s">
        <v>491</v>
      </c>
      <c r="S94" s="12" t="s">
        <v>1499</v>
      </c>
      <c r="T94" s="12" t="s">
        <v>1500</v>
      </c>
      <c r="U94" s="12" t="s">
        <v>494</v>
      </c>
      <c r="V94" s="12" t="s">
        <v>494</v>
      </c>
      <c r="W94" s="12"/>
      <c r="X94" s="12" t="s">
        <v>1501</v>
      </c>
      <c r="Y94" s="12"/>
      <c r="Z94" s="12"/>
      <c r="AA94" s="12" t="s">
        <v>1502</v>
      </c>
      <c r="AB94" s="12" t="s">
        <v>204</v>
      </c>
      <c r="AC94" s="14" t="s">
        <v>498</v>
      </c>
      <c r="AD94" s="14" t="s">
        <v>499</v>
      </c>
      <c r="AE94" s="12" t="s">
        <v>500</v>
      </c>
      <c r="AF94" s="27" t="s">
        <v>501</v>
      </c>
      <c r="AG94" s="28"/>
      <c r="AH94" s="27"/>
      <c r="AI94" s="27"/>
      <c r="AJ94" s="27"/>
      <c r="AK94" s="28" t="str">
        <f aca="false">IF(AG94="","",WORKDAY(AG94,5))</f>
        <v/>
      </c>
      <c r="AL94" s="27"/>
      <c r="AM94" s="27"/>
    </row>
    <row r="95" customFormat="false" ht="23.85" hidden="false" customHeight="false" outlineLevel="0" collapsed="false">
      <c r="A95" s="24" t="s">
        <v>125</v>
      </c>
      <c r="B95" s="25" t="n">
        <v>94</v>
      </c>
      <c r="C95" s="26" t="n">
        <v>4</v>
      </c>
      <c r="D95" s="12" t="s">
        <v>307</v>
      </c>
      <c r="E95" s="12" t="s">
        <v>1503</v>
      </c>
      <c r="F95" s="12" t="s">
        <v>483</v>
      </c>
      <c r="G95" s="14" t="s">
        <v>1504</v>
      </c>
      <c r="H95" s="12" t="s">
        <v>1505</v>
      </c>
      <c r="I95" s="12"/>
      <c r="J95" s="12" t="s">
        <v>486</v>
      </c>
      <c r="K95" s="12" t="s">
        <v>487</v>
      </c>
      <c r="L95" s="12" t="s">
        <v>1506</v>
      </c>
      <c r="M95" s="12" t="s">
        <v>1507</v>
      </c>
      <c r="N95" s="12"/>
      <c r="O95" s="12" t="s">
        <v>126</v>
      </c>
      <c r="P95" s="12" t="s">
        <v>1508</v>
      </c>
      <c r="Q95" s="12" t="s">
        <v>1509</v>
      </c>
      <c r="R95" s="12" t="s">
        <v>518</v>
      </c>
      <c r="S95" s="12" t="s">
        <v>519</v>
      </c>
      <c r="T95" s="12" t="s">
        <v>857</v>
      </c>
      <c r="U95" s="12" t="s">
        <v>494</v>
      </c>
      <c r="V95" s="12" t="s">
        <v>494</v>
      </c>
      <c r="W95" s="12"/>
      <c r="X95" s="12" t="s">
        <v>1510</v>
      </c>
      <c r="Y95" s="12" t="s">
        <v>1511</v>
      </c>
      <c r="Z95" s="12"/>
      <c r="AA95" s="12" t="s">
        <v>1512</v>
      </c>
      <c r="AB95" s="12" t="s">
        <v>204</v>
      </c>
      <c r="AC95" s="14" t="s">
        <v>498</v>
      </c>
      <c r="AD95" s="14" t="s">
        <v>499</v>
      </c>
      <c r="AE95" s="12" t="s">
        <v>602</v>
      </c>
      <c r="AF95" s="27" t="s">
        <v>501</v>
      </c>
      <c r="AG95" s="28"/>
      <c r="AH95" s="27"/>
      <c r="AI95" s="27"/>
      <c r="AJ95" s="27"/>
      <c r="AK95" s="28" t="str">
        <f aca="false">IF(AG95="","",WORKDAY(AG95,5))</f>
        <v/>
      </c>
      <c r="AL95" s="27"/>
      <c r="AM95" s="27"/>
    </row>
    <row r="96" customFormat="false" ht="23.85" hidden="false" customHeight="false" outlineLevel="0" collapsed="false">
      <c r="A96" s="24" t="s">
        <v>125</v>
      </c>
      <c r="B96" s="25" t="n">
        <v>95</v>
      </c>
      <c r="C96" s="26" t="n">
        <v>3</v>
      </c>
      <c r="D96" s="12" t="s">
        <v>307</v>
      </c>
      <c r="E96" s="12" t="s">
        <v>1513</v>
      </c>
      <c r="F96" s="12" t="s">
        <v>483</v>
      </c>
      <c r="G96" s="14" t="s">
        <v>1514</v>
      </c>
      <c r="H96" s="12" t="s">
        <v>1515</v>
      </c>
      <c r="I96" s="12"/>
      <c r="J96" s="12" t="s">
        <v>486</v>
      </c>
      <c r="K96" s="12" t="s">
        <v>487</v>
      </c>
      <c r="L96" s="12" t="s">
        <v>1516</v>
      </c>
      <c r="M96" s="12"/>
      <c r="N96" s="12"/>
      <c r="O96" s="12" t="s">
        <v>1517</v>
      </c>
      <c r="P96" s="12" t="s">
        <v>1518</v>
      </c>
      <c r="Q96" s="12" t="s">
        <v>1519</v>
      </c>
      <c r="R96" s="12" t="s">
        <v>518</v>
      </c>
      <c r="S96" s="12" t="s">
        <v>1520</v>
      </c>
      <c r="T96" s="12" t="s">
        <v>1521</v>
      </c>
      <c r="U96" s="12" t="s">
        <v>494</v>
      </c>
      <c r="V96" s="12" t="s">
        <v>494</v>
      </c>
      <c r="W96" s="12"/>
      <c r="X96" s="12" t="s">
        <v>1522</v>
      </c>
      <c r="Y96" s="12" t="s">
        <v>1523</v>
      </c>
      <c r="Z96" s="12"/>
      <c r="AA96" s="12" t="s">
        <v>1524</v>
      </c>
      <c r="AB96" s="12" t="s">
        <v>130</v>
      </c>
      <c r="AC96" s="14" t="s">
        <v>498</v>
      </c>
      <c r="AD96" s="14" t="s">
        <v>499</v>
      </c>
      <c r="AE96" s="12" t="s">
        <v>500</v>
      </c>
      <c r="AF96" s="27" t="s">
        <v>501</v>
      </c>
      <c r="AG96" s="28"/>
      <c r="AH96" s="27"/>
      <c r="AI96" s="27"/>
      <c r="AJ96" s="27"/>
      <c r="AK96" s="28" t="str">
        <f aca="false">IF(AG96="","",WORKDAY(AG96,5))</f>
        <v/>
      </c>
      <c r="AL96" s="27"/>
      <c r="AM96" s="27"/>
    </row>
    <row r="97" customFormat="false" ht="23.85" hidden="false" customHeight="false" outlineLevel="0" collapsed="false">
      <c r="A97" s="24" t="s">
        <v>125</v>
      </c>
      <c r="B97" s="25" t="n">
        <v>96</v>
      </c>
      <c r="C97" s="26" t="n">
        <v>5</v>
      </c>
      <c r="D97" s="12" t="s">
        <v>353</v>
      </c>
      <c r="E97" s="12" t="s">
        <v>354</v>
      </c>
      <c r="F97" s="12" t="s">
        <v>735</v>
      </c>
      <c r="G97" s="14" t="s">
        <v>360</v>
      </c>
      <c r="H97" s="12" t="s">
        <v>1525</v>
      </c>
      <c r="I97" s="12" t="s">
        <v>101</v>
      </c>
      <c r="J97" s="12" t="s">
        <v>486</v>
      </c>
      <c r="K97" s="12" t="s">
        <v>487</v>
      </c>
      <c r="L97" s="12" t="s">
        <v>1526</v>
      </c>
      <c r="M97" s="12" t="s">
        <v>358</v>
      </c>
      <c r="N97" s="12" t="s">
        <v>359</v>
      </c>
      <c r="O97" s="12" t="s">
        <v>355</v>
      </c>
      <c r="P97" s="12" t="s">
        <v>356</v>
      </c>
      <c r="Q97" s="12" t="s">
        <v>1527</v>
      </c>
      <c r="R97" s="12" t="s">
        <v>518</v>
      </c>
      <c r="S97" s="12" t="s">
        <v>1528</v>
      </c>
      <c r="T97" s="12" t="s">
        <v>1529</v>
      </c>
      <c r="U97" s="12" t="s">
        <v>494</v>
      </c>
      <c r="V97" s="12" t="s">
        <v>494</v>
      </c>
      <c r="W97" s="12"/>
      <c r="X97" s="12" t="s">
        <v>1530</v>
      </c>
      <c r="Y97" s="12" t="s">
        <v>357</v>
      </c>
      <c r="Z97" s="12"/>
      <c r="AA97" s="12" t="s">
        <v>1531</v>
      </c>
      <c r="AB97" s="12" t="s">
        <v>204</v>
      </c>
      <c r="AC97" s="14" t="s">
        <v>498</v>
      </c>
      <c r="AD97" s="14" t="s">
        <v>499</v>
      </c>
      <c r="AE97" s="12" t="s">
        <v>568</v>
      </c>
      <c r="AF97" s="27" t="s">
        <v>501</v>
      </c>
      <c r="AG97" s="28"/>
      <c r="AH97" s="27"/>
      <c r="AI97" s="27"/>
      <c r="AJ97" s="27"/>
      <c r="AK97" s="28" t="str">
        <f aca="false">IF(AG97="","",WORKDAY(AG97,5))</f>
        <v/>
      </c>
      <c r="AL97" s="27"/>
      <c r="AM97" s="27"/>
    </row>
    <row r="98" customFormat="false" ht="23.85" hidden="false" customHeight="false" outlineLevel="0" collapsed="false">
      <c r="A98" s="24" t="s">
        <v>125</v>
      </c>
      <c r="B98" s="25" t="n">
        <v>97</v>
      </c>
      <c r="C98" s="26" t="n">
        <v>4</v>
      </c>
      <c r="D98" s="12" t="s">
        <v>353</v>
      </c>
      <c r="E98" s="12" t="s">
        <v>1532</v>
      </c>
      <c r="F98" s="12" t="s">
        <v>483</v>
      </c>
      <c r="G98" s="14" t="s">
        <v>1533</v>
      </c>
      <c r="H98" s="12" t="s">
        <v>1534</v>
      </c>
      <c r="I98" s="12"/>
      <c r="J98" s="12" t="s">
        <v>486</v>
      </c>
      <c r="K98" s="12" t="s">
        <v>487</v>
      </c>
      <c r="L98" s="12" t="s">
        <v>1535</v>
      </c>
      <c r="M98" s="12" t="s">
        <v>1536</v>
      </c>
      <c r="N98" s="12" t="s">
        <v>1537</v>
      </c>
      <c r="O98" s="12" t="s">
        <v>1538</v>
      </c>
      <c r="P98" s="12" t="s">
        <v>1539</v>
      </c>
      <c r="Q98" s="12" t="s">
        <v>1540</v>
      </c>
      <c r="R98" s="12" t="s">
        <v>518</v>
      </c>
      <c r="S98" s="12" t="s">
        <v>1195</v>
      </c>
      <c r="T98" s="12" t="s">
        <v>1541</v>
      </c>
      <c r="U98" s="12" t="s">
        <v>494</v>
      </c>
      <c r="V98" s="12" t="s">
        <v>494</v>
      </c>
      <c r="W98" s="12"/>
      <c r="X98" s="12" t="s">
        <v>1542</v>
      </c>
      <c r="Y98" s="12" t="s">
        <v>1543</v>
      </c>
      <c r="Z98" s="12"/>
      <c r="AA98" s="12" t="s">
        <v>1544</v>
      </c>
      <c r="AB98" s="12" t="s">
        <v>204</v>
      </c>
      <c r="AC98" s="14" t="s">
        <v>498</v>
      </c>
      <c r="AD98" s="14" t="s">
        <v>499</v>
      </c>
      <c r="AE98" s="12" t="s">
        <v>602</v>
      </c>
      <c r="AF98" s="27" t="s">
        <v>501</v>
      </c>
      <c r="AG98" s="28"/>
      <c r="AH98" s="27"/>
      <c r="AI98" s="27"/>
      <c r="AJ98" s="27"/>
      <c r="AK98" s="28" t="str">
        <f aca="false">IF(AG98="","",WORKDAY(AG98,5))</f>
        <v/>
      </c>
      <c r="AL98" s="27"/>
      <c r="AM98" s="27"/>
    </row>
    <row r="99" customFormat="false" ht="23.85" hidden="false" customHeight="false" outlineLevel="0" collapsed="false">
      <c r="A99" s="24" t="s">
        <v>125</v>
      </c>
      <c r="B99" s="25" t="n">
        <v>98</v>
      </c>
      <c r="C99" s="26" t="n">
        <v>4</v>
      </c>
      <c r="D99" s="12" t="s">
        <v>353</v>
      </c>
      <c r="E99" s="12" t="s">
        <v>1545</v>
      </c>
      <c r="F99" s="12" t="s">
        <v>483</v>
      </c>
      <c r="G99" s="14" t="s">
        <v>1546</v>
      </c>
      <c r="H99" s="12" t="s">
        <v>1547</v>
      </c>
      <c r="I99" s="12"/>
      <c r="J99" s="12" t="s">
        <v>486</v>
      </c>
      <c r="K99" s="12" t="s">
        <v>487</v>
      </c>
      <c r="L99" s="12" t="s">
        <v>1548</v>
      </c>
      <c r="M99" s="12" t="s">
        <v>1549</v>
      </c>
      <c r="N99" s="12" t="s">
        <v>1550</v>
      </c>
      <c r="O99" s="12" t="s">
        <v>126</v>
      </c>
      <c r="P99" s="12" t="s">
        <v>1551</v>
      </c>
      <c r="Q99" s="12" t="s">
        <v>1552</v>
      </c>
      <c r="R99" s="12" t="s">
        <v>518</v>
      </c>
      <c r="S99" s="12" t="s">
        <v>519</v>
      </c>
      <c r="T99" s="12" t="s">
        <v>562</v>
      </c>
      <c r="U99" s="12" t="s">
        <v>494</v>
      </c>
      <c r="V99" s="12" t="s">
        <v>494</v>
      </c>
      <c r="W99" s="12"/>
      <c r="X99" s="12" t="s">
        <v>1553</v>
      </c>
      <c r="Y99" s="12"/>
      <c r="Z99" s="12"/>
      <c r="AA99" s="12" t="s">
        <v>1554</v>
      </c>
      <c r="AB99" s="12" t="s">
        <v>130</v>
      </c>
      <c r="AC99" s="14" t="s">
        <v>498</v>
      </c>
      <c r="AD99" s="14" t="s">
        <v>499</v>
      </c>
      <c r="AE99" s="12" t="s">
        <v>500</v>
      </c>
      <c r="AF99" s="27" t="s">
        <v>501</v>
      </c>
      <c r="AG99" s="28"/>
      <c r="AH99" s="27"/>
      <c r="AI99" s="27"/>
      <c r="AJ99" s="27"/>
      <c r="AK99" s="28" t="str">
        <f aca="false">IF(AG99="","",WORKDAY(AG99,5))</f>
        <v/>
      </c>
      <c r="AL99" s="27"/>
      <c r="AM99" s="27"/>
    </row>
    <row r="100" customFormat="false" ht="23.85" hidden="false" customHeight="false" outlineLevel="0" collapsed="false">
      <c r="A100" s="24" t="s">
        <v>125</v>
      </c>
      <c r="B100" s="25" t="n">
        <v>99</v>
      </c>
      <c r="C100" s="26" t="n">
        <v>4</v>
      </c>
      <c r="D100" s="12" t="s">
        <v>353</v>
      </c>
      <c r="E100" s="12" t="s">
        <v>1555</v>
      </c>
      <c r="F100" s="12" t="s">
        <v>483</v>
      </c>
      <c r="G100" s="14" t="s">
        <v>1556</v>
      </c>
      <c r="H100" s="12" t="s">
        <v>1557</v>
      </c>
      <c r="I100" s="12"/>
      <c r="J100" s="12" t="s">
        <v>486</v>
      </c>
      <c r="K100" s="12" t="s">
        <v>487</v>
      </c>
      <c r="L100" s="12" t="s">
        <v>1558</v>
      </c>
      <c r="M100" s="12" t="s">
        <v>1559</v>
      </c>
      <c r="N100" s="12" t="s">
        <v>1560</v>
      </c>
      <c r="O100" s="12" t="s">
        <v>1561</v>
      </c>
      <c r="P100" s="12" t="s">
        <v>1562</v>
      </c>
      <c r="Q100" s="12" t="s">
        <v>1540</v>
      </c>
      <c r="R100" s="12" t="s">
        <v>518</v>
      </c>
      <c r="S100" s="12" t="s">
        <v>1563</v>
      </c>
      <c r="T100" s="12" t="s">
        <v>1564</v>
      </c>
      <c r="U100" s="12" t="s">
        <v>494</v>
      </c>
      <c r="V100" s="12" t="s">
        <v>494</v>
      </c>
      <c r="W100" s="12"/>
      <c r="X100" s="12" t="s">
        <v>1565</v>
      </c>
      <c r="Y100" s="12" t="s">
        <v>1566</v>
      </c>
      <c r="Z100" s="12"/>
      <c r="AA100" s="12" t="s">
        <v>1567</v>
      </c>
      <c r="AB100" s="12" t="s">
        <v>204</v>
      </c>
      <c r="AC100" s="14" t="s">
        <v>498</v>
      </c>
      <c r="AD100" s="14" t="s">
        <v>499</v>
      </c>
      <c r="AE100" s="12" t="s">
        <v>602</v>
      </c>
      <c r="AF100" s="27" t="s">
        <v>501</v>
      </c>
      <c r="AG100" s="28"/>
      <c r="AH100" s="27"/>
      <c r="AI100" s="27"/>
      <c r="AJ100" s="27"/>
      <c r="AK100" s="28" t="str">
        <f aca="false">IF(AG100="","",WORKDAY(AG100,5))</f>
        <v/>
      </c>
      <c r="AL100" s="27"/>
      <c r="AM100" s="27"/>
    </row>
    <row r="101" customFormat="false" ht="23.85" hidden="false" customHeight="false" outlineLevel="0" collapsed="false">
      <c r="A101" s="24" t="s">
        <v>125</v>
      </c>
      <c r="B101" s="25" t="n">
        <v>100</v>
      </c>
      <c r="C101" s="26" t="n">
        <v>4</v>
      </c>
      <c r="D101" s="12" t="s">
        <v>353</v>
      </c>
      <c r="E101" s="12" t="s">
        <v>1568</v>
      </c>
      <c r="F101" s="12" t="s">
        <v>483</v>
      </c>
      <c r="G101" s="14" t="s">
        <v>1569</v>
      </c>
      <c r="H101" s="12" t="s">
        <v>1570</v>
      </c>
      <c r="I101" s="12"/>
      <c r="J101" s="12" t="s">
        <v>486</v>
      </c>
      <c r="K101" s="12" t="s">
        <v>487</v>
      </c>
      <c r="L101" s="12" t="s">
        <v>1571</v>
      </c>
      <c r="M101" s="12" t="s">
        <v>1572</v>
      </c>
      <c r="N101" s="12" t="s">
        <v>1573</v>
      </c>
      <c r="O101" s="12" t="s">
        <v>1574</v>
      </c>
      <c r="P101" s="12" t="s">
        <v>1575</v>
      </c>
      <c r="Q101" s="12" t="s">
        <v>1540</v>
      </c>
      <c r="R101" s="12" t="s">
        <v>518</v>
      </c>
      <c r="S101" s="12" t="s">
        <v>1576</v>
      </c>
      <c r="T101" s="12" t="s">
        <v>1577</v>
      </c>
      <c r="U101" s="12" t="s">
        <v>494</v>
      </c>
      <c r="V101" s="12" t="s">
        <v>494</v>
      </c>
      <c r="W101" s="12"/>
      <c r="X101" s="12" t="s">
        <v>1578</v>
      </c>
      <c r="Y101" s="12"/>
      <c r="Z101" s="12"/>
      <c r="AA101" s="12" t="s">
        <v>591</v>
      </c>
      <c r="AB101" s="12" t="s">
        <v>204</v>
      </c>
      <c r="AC101" s="14" t="s">
        <v>498</v>
      </c>
      <c r="AD101" s="14" t="s">
        <v>499</v>
      </c>
      <c r="AE101" s="12" t="s">
        <v>602</v>
      </c>
      <c r="AF101" s="27" t="s">
        <v>501</v>
      </c>
      <c r="AG101" s="28"/>
      <c r="AH101" s="27"/>
      <c r="AI101" s="27"/>
      <c r="AJ101" s="27"/>
      <c r="AK101" s="28" t="str">
        <f aca="false">IF(AG101="","",WORKDAY(AG101,5))</f>
        <v/>
      </c>
      <c r="AL101" s="27"/>
      <c r="AM101" s="27"/>
    </row>
    <row r="102" customFormat="false" ht="23.85" hidden="false" customHeight="false" outlineLevel="0" collapsed="false">
      <c r="A102" s="24" t="s">
        <v>125</v>
      </c>
      <c r="B102" s="25" t="n">
        <v>101</v>
      </c>
      <c r="C102" s="26" t="n">
        <v>4</v>
      </c>
      <c r="D102" s="12" t="s">
        <v>353</v>
      </c>
      <c r="E102" s="12" t="s">
        <v>1579</v>
      </c>
      <c r="F102" s="12" t="s">
        <v>483</v>
      </c>
      <c r="G102" s="14" t="s">
        <v>1580</v>
      </c>
      <c r="H102" s="12" t="s">
        <v>1581</v>
      </c>
      <c r="I102" s="12"/>
      <c r="J102" s="12" t="s">
        <v>486</v>
      </c>
      <c r="K102" s="12" t="s">
        <v>487</v>
      </c>
      <c r="L102" s="12" t="s">
        <v>1582</v>
      </c>
      <c r="M102" s="12"/>
      <c r="N102" s="12"/>
      <c r="O102" s="12" t="s">
        <v>126</v>
      </c>
      <c r="P102" s="12" t="s">
        <v>1583</v>
      </c>
      <c r="Q102" s="12" t="s">
        <v>1584</v>
      </c>
      <c r="R102" s="12" t="s">
        <v>491</v>
      </c>
      <c r="S102" s="12" t="s">
        <v>1585</v>
      </c>
      <c r="T102" s="12" t="s">
        <v>1586</v>
      </c>
      <c r="U102" s="12" t="s">
        <v>494</v>
      </c>
      <c r="V102" s="12" t="s">
        <v>494</v>
      </c>
      <c r="W102" s="12"/>
      <c r="X102" s="12" t="s">
        <v>1587</v>
      </c>
      <c r="Y102" s="12" t="s">
        <v>1588</v>
      </c>
      <c r="Z102" s="12"/>
      <c r="AA102" s="12" t="s">
        <v>1589</v>
      </c>
      <c r="AB102" s="12" t="s">
        <v>1590</v>
      </c>
      <c r="AC102" s="14" t="s">
        <v>498</v>
      </c>
      <c r="AD102" s="14" t="s">
        <v>499</v>
      </c>
      <c r="AE102" s="12" t="s">
        <v>500</v>
      </c>
      <c r="AF102" s="27" t="s">
        <v>501</v>
      </c>
      <c r="AG102" s="28"/>
      <c r="AH102" s="27"/>
      <c r="AI102" s="27"/>
      <c r="AJ102" s="27"/>
      <c r="AK102" s="28" t="str">
        <f aca="false">IF(AG102="","",WORKDAY(AG102,5))</f>
        <v/>
      </c>
      <c r="AL102" s="27"/>
      <c r="AM102" s="27"/>
    </row>
    <row r="103" customFormat="false" ht="23.85" hidden="false" customHeight="false" outlineLevel="0" collapsed="false">
      <c r="A103" s="24" t="s">
        <v>125</v>
      </c>
      <c r="B103" s="25" t="n">
        <v>102</v>
      </c>
      <c r="C103" s="26" t="n">
        <v>3</v>
      </c>
      <c r="D103" s="12" t="s">
        <v>353</v>
      </c>
      <c r="E103" s="12" t="s">
        <v>1591</v>
      </c>
      <c r="F103" s="12" t="s">
        <v>483</v>
      </c>
      <c r="G103" s="14" t="s">
        <v>1592</v>
      </c>
      <c r="H103" s="12" t="s">
        <v>1593</v>
      </c>
      <c r="I103" s="12"/>
      <c r="J103" s="12" t="s">
        <v>486</v>
      </c>
      <c r="K103" s="12" t="s">
        <v>487</v>
      </c>
      <c r="L103" s="12" t="s">
        <v>1594</v>
      </c>
      <c r="M103" s="12" t="s">
        <v>1595</v>
      </c>
      <c r="N103" s="12" t="s">
        <v>1596</v>
      </c>
      <c r="O103" s="12" t="s">
        <v>1597</v>
      </c>
      <c r="P103" s="12" t="s">
        <v>1598</v>
      </c>
      <c r="Q103" s="12" t="s">
        <v>1599</v>
      </c>
      <c r="R103" s="12" t="s">
        <v>518</v>
      </c>
      <c r="S103" s="12" t="s">
        <v>1600</v>
      </c>
      <c r="T103" s="12" t="s">
        <v>1601</v>
      </c>
      <c r="U103" s="12" t="s">
        <v>494</v>
      </c>
      <c r="V103" s="12" t="s">
        <v>494</v>
      </c>
      <c r="W103" s="12"/>
      <c r="X103" s="12" t="s">
        <v>1602</v>
      </c>
      <c r="Y103" s="12"/>
      <c r="Z103" s="12"/>
      <c r="AA103" s="12" t="s">
        <v>591</v>
      </c>
      <c r="AB103" s="12" t="s">
        <v>204</v>
      </c>
      <c r="AC103" s="14" t="s">
        <v>498</v>
      </c>
      <c r="AD103" s="14" t="s">
        <v>499</v>
      </c>
      <c r="AE103" s="12" t="s">
        <v>568</v>
      </c>
      <c r="AF103" s="27" t="s">
        <v>501</v>
      </c>
      <c r="AG103" s="28"/>
      <c r="AH103" s="27"/>
      <c r="AI103" s="27"/>
      <c r="AJ103" s="27"/>
      <c r="AK103" s="28" t="str">
        <f aca="false">IF(AG103="","",WORKDAY(AG103,5))</f>
        <v/>
      </c>
      <c r="AL103" s="27"/>
      <c r="AM103" s="27"/>
    </row>
    <row r="104" customFormat="false" ht="23.85" hidden="false" customHeight="false" outlineLevel="0" collapsed="false">
      <c r="A104" s="24" t="s">
        <v>125</v>
      </c>
      <c r="B104" s="25" t="n">
        <v>103</v>
      </c>
      <c r="C104" s="26" t="n">
        <v>3</v>
      </c>
      <c r="D104" s="12" t="s">
        <v>353</v>
      </c>
      <c r="E104" s="12" t="s">
        <v>1603</v>
      </c>
      <c r="F104" s="12" t="s">
        <v>525</v>
      </c>
      <c r="G104" s="14" t="s">
        <v>1604</v>
      </c>
      <c r="H104" s="12" t="s">
        <v>1605</v>
      </c>
      <c r="I104" s="12"/>
      <c r="J104" s="12" t="s">
        <v>486</v>
      </c>
      <c r="K104" s="12" t="s">
        <v>487</v>
      </c>
      <c r="L104" s="12" t="s">
        <v>1606</v>
      </c>
      <c r="M104" s="12" t="s">
        <v>1607</v>
      </c>
      <c r="N104" s="12" t="s">
        <v>1608</v>
      </c>
      <c r="O104" s="12" t="s">
        <v>126</v>
      </c>
      <c r="P104" s="12" t="s">
        <v>1609</v>
      </c>
      <c r="Q104" s="12" t="s">
        <v>1610</v>
      </c>
      <c r="R104" s="12" t="s">
        <v>1611</v>
      </c>
      <c r="S104" s="12" t="s">
        <v>1612</v>
      </c>
      <c r="T104" s="12" t="s">
        <v>1613</v>
      </c>
      <c r="U104" s="12" t="s">
        <v>494</v>
      </c>
      <c r="V104" s="12" t="s">
        <v>494</v>
      </c>
      <c r="W104" s="12"/>
      <c r="X104" s="12" t="s">
        <v>1614</v>
      </c>
      <c r="Y104" s="12" t="s">
        <v>1615</v>
      </c>
      <c r="Z104" s="12"/>
      <c r="AA104" s="12" t="s">
        <v>1616</v>
      </c>
      <c r="AB104" s="12" t="s">
        <v>204</v>
      </c>
      <c r="AC104" s="14" t="s">
        <v>498</v>
      </c>
      <c r="AD104" s="14" t="s">
        <v>499</v>
      </c>
      <c r="AE104" s="12" t="s">
        <v>500</v>
      </c>
      <c r="AF104" s="27" t="s">
        <v>501</v>
      </c>
      <c r="AG104" s="28"/>
      <c r="AH104" s="27"/>
      <c r="AI104" s="27"/>
      <c r="AJ104" s="27"/>
      <c r="AK104" s="28" t="str">
        <f aca="false">IF(AG104="","",WORKDAY(AG104,5))</f>
        <v/>
      </c>
      <c r="AL104" s="27"/>
      <c r="AM104" s="27"/>
    </row>
    <row r="105" customFormat="false" ht="23.85" hidden="false" customHeight="false" outlineLevel="0" collapsed="false">
      <c r="A105" s="24" t="s">
        <v>125</v>
      </c>
      <c r="B105" s="25" t="n">
        <v>104</v>
      </c>
      <c r="C105" s="26" t="n">
        <v>3</v>
      </c>
      <c r="D105" s="12" t="s">
        <v>353</v>
      </c>
      <c r="E105" s="12" t="s">
        <v>1617</v>
      </c>
      <c r="F105" s="12" t="s">
        <v>525</v>
      </c>
      <c r="G105" s="14" t="s">
        <v>593</v>
      </c>
      <c r="H105" s="12" t="s">
        <v>1618</v>
      </c>
      <c r="I105" s="12"/>
      <c r="J105" s="12" t="s">
        <v>486</v>
      </c>
      <c r="K105" s="12" t="s">
        <v>487</v>
      </c>
      <c r="L105" s="12" t="s">
        <v>1619</v>
      </c>
      <c r="M105" s="12" t="s">
        <v>1620</v>
      </c>
      <c r="N105" s="12"/>
      <c r="O105" s="12" t="s">
        <v>192</v>
      </c>
      <c r="P105" s="12" t="s">
        <v>1621</v>
      </c>
      <c r="Q105" s="12" t="s">
        <v>1622</v>
      </c>
      <c r="R105" s="12" t="s">
        <v>518</v>
      </c>
      <c r="S105" s="12" t="s">
        <v>1576</v>
      </c>
      <c r="T105" s="12" t="s">
        <v>562</v>
      </c>
      <c r="U105" s="12" t="s">
        <v>494</v>
      </c>
      <c r="V105" s="12" t="s">
        <v>494</v>
      </c>
      <c r="W105" s="12" t="s">
        <v>1623</v>
      </c>
      <c r="X105" s="12" t="s">
        <v>1624</v>
      </c>
      <c r="Y105" s="12"/>
      <c r="Z105" s="12"/>
      <c r="AA105" s="12" t="s">
        <v>1625</v>
      </c>
      <c r="AB105" s="12" t="s">
        <v>130</v>
      </c>
      <c r="AC105" s="14" t="s">
        <v>498</v>
      </c>
      <c r="AD105" s="14" t="s">
        <v>499</v>
      </c>
      <c r="AE105" s="12" t="s">
        <v>500</v>
      </c>
      <c r="AF105" s="27" t="s">
        <v>501</v>
      </c>
      <c r="AG105" s="28"/>
      <c r="AH105" s="27"/>
      <c r="AI105" s="27"/>
      <c r="AJ105" s="27"/>
      <c r="AK105" s="28" t="str">
        <f aca="false">IF(AG105="","",WORKDAY(AG105,5))</f>
        <v/>
      </c>
      <c r="AL105" s="27"/>
      <c r="AM105" s="27"/>
    </row>
    <row r="106" customFormat="false" ht="35.05" hidden="false" customHeight="false" outlineLevel="0" collapsed="false">
      <c r="A106" s="24" t="s">
        <v>125</v>
      </c>
      <c r="B106" s="25" t="n">
        <v>105</v>
      </c>
      <c r="C106" s="26" t="n">
        <v>4</v>
      </c>
      <c r="D106" s="12" t="s">
        <v>374</v>
      </c>
      <c r="E106" s="12" t="s">
        <v>1626</v>
      </c>
      <c r="F106" s="12" t="s">
        <v>483</v>
      </c>
      <c r="G106" s="14" t="s">
        <v>1627</v>
      </c>
      <c r="H106" s="12" t="s">
        <v>1628</v>
      </c>
      <c r="I106" s="12"/>
      <c r="J106" s="12" t="s">
        <v>486</v>
      </c>
      <c r="K106" s="12" t="s">
        <v>487</v>
      </c>
      <c r="L106" s="12" t="s">
        <v>1628</v>
      </c>
      <c r="M106" s="12"/>
      <c r="N106" s="12"/>
      <c r="O106" s="12" t="s">
        <v>1629</v>
      </c>
      <c r="P106" s="12" t="s">
        <v>1630</v>
      </c>
      <c r="Q106" s="12" t="s">
        <v>1631</v>
      </c>
      <c r="R106" s="12" t="s">
        <v>518</v>
      </c>
      <c r="S106" s="12" t="s">
        <v>1632</v>
      </c>
      <c r="T106" s="12" t="s">
        <v>1633</v>
      </c>
      <c r="U106" s="12" t="s">
        <v>494</v>
      </c>
      <c r="V106" s="12" t="s">
        <v>494</v>
      </c>
      <c r="W106" s="12"/>
      <c r="X106" s="12" t="s">
        <v>1634</v>
      </c>
      <c r="Y106" s="12" t="s">
        <v>1635</v>
      </c>
      <c r="Z106" s="12" t="s">
        <v>1636</v>
      </c>
      <c r="AA106" s="12" t="s">
        <v>1637</v>
      </c>
      <c r="AB106" s="12" t="s">
        <v>123</v>
      </c>
      <c r="AC106" s="14" t="s">
        <v>498</v>
      </c>
      <c r="AD106" s="14" t="s">
        <v>499</v>
      </c>
      <c r="AE106" s="12" t="s">
        <v>500</v>
      </c>
      <c r="AF106" s="27" t="s">
        <v>501</v>
      </c>
      <c r="AG106" s="28"/>
      <c r="AH106" s="27"/>
      <c r="AI106" s="27"/>
      <c r="AJ106" s="27"/>
      <c r="AK106" s="28" t="str">
        <f aca="false">IF(AG106="","",WORKDAY(AG106,5))</f>
        <v/>
      </c>
      <c r="AL106" s="27"/>
      <c r="AM106" s="27"/>
    </row>
    <row r="107" customFormat="false" ht="23.85" hidden="false" customHeight="false" outlineLevel="0" collapsed="false">
      <c r="A107" s="24" t="s">
        <v>125</v>
      </c>
      <c r="B107" s="25" t="n">
        <v>106</v>
      </c>
      <c r="C107" s="26" t="n">
        <v>4</v>
      </c>
      <c r="D107" s="12" t="s">
        <v>374</v>
      </c>
      <c r="E107" s="12" t="s">
        <v>1638</v>
      </c>
      <c r="F107" s="12" t="s">
        <v>483</v>
      </c>
      <c r="G107" s="14" t="s">
        <v>1639</v>
      </c>
      <c r="H107" s="12" t="s">
        <v>1640</v>
      </c>
      <c r="I107" s="12"/>
      <c r="J107" s="12" t="s">
        <v>486</v>
      </c>
      <c r="K107" s="12" t="s">
        <v>487</v>
      </c>
      <c r="L107" s="12" t="s">
        <v>1641</v>
      </c>
      <c r="M107" s="12" t="s">
        <v>1642</v>
      </c>
      <c r="N107" s="12" t="s">
        <v>1643</v>
      </c>
      <c r="O107" s="12" t="s">
        <v>126</v>
      </c>
      <c r="P107" s="12" t="s">
        <v>1644</v>
      </c>
      <c r="Q107" s="12" t="s">
        <v>1645</v>
      </c>
      <c r="R107" s="12" t="s">
        <v>518</v>
      </c>
      <c r="S107" s="12" t="s">
        <v>1353</v>
      </c>
      <c r="T107" s="12" t="s">
        <v>1646</v>
      </c>
      <c r="U107" s="12" t="s">
        <v>494</v>
      </c>
      <c r="V107" s="12" t="s">
        <v>494</v>
      </c>
      <c r="W107" s="12"/>
      <c r="X107" s="12" t="s">
        <v>1647</v>
      </c>
      <c r="Y107" s="12" t="s">
        <v>1648</v>
      </c>
      <c r="Z107" s="12"/>
      <c r="AA107" s="12" t="s">
        <v>1649</v>
      </c>
      <c r="AB107" s="12" t="s">
        <v>123</v>
      </c>
      <c r="AC107" s="14" t="s">
        <v>498</v>
      </c>
      <c r="AD107" s="14" t="s">
        <v>499</v>
      </c>
      <c r="AE107" s="12" t="s">
        <v>500</v>
      </c>
      <c r="AF107" s="27" t="s">
        <v>501</v>
      </c>
      <c r="AG107" s="28"/>
      <c r="AH107" s="27"/>
      <c r="AI107" s="27"/>
      <c r="AJ107" s="27"/>
      <c r="AK107" s="28" t="str">
        <f aca="false">IF(AG107="","",WORKDAY(AG107,5))</f>
        <v/>
      </c>
      <c r="AL107" s="27"/>
      <c r="AM107" s="27"/>
    </row>
    <row r="108" customFormat="false" ht="35.05" hidden="false" customHeight="false" outlineLevel="0" collapsed="false">
      <c r="A108" s="24" t="s">
        <v>125</v>
      </c>
      <c r="B108" s="25" t="n">
        <v>107</v>
      </c>
      <c r="C108" s="26" t="n">
        <v>4</v>
      </c>
      <c r="D108" s="12" t="s">
        <v>374</v>
      </c>
      <c r="E108" s="12" t="s">
        <v>1650</v>
      </c>
      <c r="F108" s="12" t="s">
        <v>483</v>
      </c>
      <c r="G108" s="14" t="s">
        <v>1651</v>
      </c>
      <c r="H108" s="12" t="s">
        <v>1493</v>
      </c>
      <c r="I108" s="12"/>
      <c r="J108" s="12" t="s">
        <v>486</v>
      </c>
      <c r="K108" s="12" t="s">
        <v>487</v>
      </c>
      <c r="L108" s="12" t="s">
        <v>1652</v>
      </c>
      <c r="M108" s="12"/>
      <c r="N108" s="12"/>
      <c r="O108" s="12" t="s">
        <v>126</v>
      </c>
      <c r="P108" s="12" t="s">
        <v>1653</v>
      </c>
      <c r="Q108" s="12" t="s">
        <v>1145</v>
      </c>
      <c r="R108" s="12" t="s">
        <v>518</v>
      </c>
      <c r="S108" s="12" t="s">
        <v>1654</v>
      </c>
      <c r="T108" s="12" t="s">
        <v>1655</v>
      </c>
      <c r="U108" s="12" t="s">
        <v>494</v>
      </c>
      <c r="V108" s="12" t="s">
        <v>494</v>
      </c>
      <c r="W108" s="12"/>
      <c r="X108" s="12" t="s">
        <v>1656</v>
      </c>
      <c r="Y108" s="12" t="s">
        <v>1657</v>
      </c>
      <c r="Z108" s="12"/>
      <c r="AA108" s="12" t="s">
        <v>1658</v>
      </c>
      <c r="AB108" s="12" t="s">
        <v>1659</v>
      </c>
      <c r="AC108" s="14" t="s">
        <v>498</v>
      </c>
      <c r="AD108" s="14" t="s">
        <v>499</v>
      </c>
      <c r="AE108" s="12" t="s">
        <v>500</v>
      </c>
      <c r="AF108" s="27" t="s">
        <v>501</v>
      </c>
      <c r="AG108" s="28"/>
      <c r="AH108" s="27"/>
      <c r="AI108" s="27"/>
      <c r="AJ108" s="27"/>
      <c r="AK108" s="28" t="str">
        <f aca="false">IF(AG108="","",WORKDAY(AG108,5))</f>
        <v/>
      </c>
      <c r="AL108" s="27"/>
      <c r="AM108" s="27"/>
    </row>
    <row r="109" customFormat="false" ht="35.05" hidden="false" customHeight="false" outlineLevel="0" collapsed="false">
      <c r="A109" s="24" t="s">
        <v>125</v>
      </c>
      <c r="B109" s="25" t="n">
        <v>108</v>
      </c>
      <c r="C109" s="26" t="n">
        <v>3</v>
      </c>
      <c r="D109" s="12" t="s">
        <v>374</v>
      </c>
      <c r="E109" s="12" t="s">
        <v>1660</v>
      </c>
      <c r="F109" s="12" t="s">
        <v>483</v>
      </c>
      <c r="G109" s="14" t="s">
        <v>1661</v>
      </c>
      <c r="H109" s="12" t="s">
        <v>1662</v>
      </c>
      <c r="I109" s="12"/>
      <c r="J109" s="12" t="s">
        <v>486</v>
      </c>
      <c r="K109" s="12" t="s">
        <v>487</v>
      </c>
      <c r="L109" s="12" t="s">
        <v>1663</v>
      </c>
      <c r="M109" s="12" t="s">
        <v>1664</v>
      </c>
      <c r="N109" s="12"/>
      <c r="O109" s="12" t="s">
        <v>1665</v>
      </c>
      <c r="P109" s="12" t="s">
        <v>1666</v>
      </c>
      <c r="Q109" s="12" t="s">
        <v>1667</v>
      </c>
      <c r="R109" s="12" t="s">
        <v>491</v>
      </c>
      <c r="S109" s="12" t="s">
        <v>1668</v>
      </c>
      <c r="T109" s="12" t="s">
        <v>1669</v>
      </c>
      <c r="U109" s="12" t="s">
        <v>494</v>
      </c>
      <c r="V109" s="12" t="s">
        <v>494</v>
      </c>
      <c r="W109" s="12"/>
      <c r="X109" s="12" t="s">
        <v>1670</v>
      </c>
      <c r="Y109" s="12" t="s">
        <v>1671</v>
      </c>
      <c r="Z109" s="12"/>
      <c r="AA109" s="12" t="s">
        <v>1672</v>
      </c>
      <c r="AB109" s="12" t="s">
        <v>1673</v>
      </c>
      <c r="AC109" s="14" t="s">
        <v>498</v>
      </c>
      <c r="AD109" s="14" t="s">
        <v>499</v>
      </c>
      <c r="AE109" s="12" t="s">
        <v>500</v>
      </c>
      <c r="AF109" s="27" t="s">
        <v>501</v>
      </c>
      <c r="AG109" s="28"/>
      <c r="AH109" s="27"/>
      <c r="AI109" s="27"/>
      <c r="AJ109" s="27"/>
      <c r="AK109" s="28" t="str">
        <f aca="false">IF(AG109="","",WORKDAY(AG109,5))</f>
        <v/>
      </c>
      <c r="AL109" s="27"/>
      <c r="AM109" s="27"/>
    </row>
    <row r="110" customFormat="false" ht="23.85" hidden="false" customHeight="false" outlineLevel="0" collapsed="false">
      <c r="A110" s="24" t="s">
        <v>125</v>
      </c>
      <c r="B110" s="25" t="n">
        <v>109</v>
      </c>
      <c r="C110" s="26" t="n">
        <v>3</v>
      </c>
      <c r="D110" s="12" t="s">
        <v>374</v>
      </c>
      <c r="E110" s="12" t="s">
        <v>1674</v>
      </c>
      <c r="F110" s="12" t="s">
        <v>483</v>
      </c>
      <c r="G110" s="14" t="s">
        <v>1675</v>
      </c>
      <c r="H110" s="12" t="s">
        <v>1676</v>
      </c>
      <c r="I110" s="12"/>
      <c r="J110" s="12" t="s">
        <v>486</v>
      </c>
      <c r="K110" s="12" t="s">
        <v>487</v>
      </c>
      <c r="L110" s="12" t="s">
        <v>1677</v>
      </c>
      <c r="M110" s="12"/>
      <c r="N110" s="12"/>
      <c r="O110" s="12" t="s">
        <v>192</v>
      </c>
      <c r="P110" s="12" t="s">
        <v>1678</v>
      </c>
      <c r="Q110" s="12" t="s">
        <v>1679</v>
      </c>
      <c r="R110" s="12" t="s">
        <v>518</v>
      </c>
      <c r="S110" s="12" t="s">
        <v>1195</v>
      </c>
      <c r="T110" s="12" t="s">
        <v>562</v>
      </c>
      <c r="U110" s="12" t="s">
        <v>494</v>
      </c>
      <c r="V110" s="12" t="s">
        <v>494</v>
      </c>
      <c r="W110" s="12"/>
      <c r="X110" s="12" t="s">
        <v>1680</v>
      </c>
      <c r="Y110" s="12" t="s">
        <v>1681</v>
      </c>
      <c r="Z110" s="12"/>
      <c r="AA110" s="12" t="s">
        <v>1682</v>
      </c>
      <c r="AB110" s="12" t="s">
        <v>1683</v>
      </c>
      <c r="AC110" s="14" t="s">
        <v>498</v>
      </c>
      <c r="AD110" s="14" t="s">
        <v>499</v>
      </c>
      <c r="AE110" s="12" t="s">
        <v>602</v>
      </c>
      <c r="AF110" s="27" t="s">
        <v>501</v>
      </c>
      <c r="AG110" s="28"/>
      <c r="AH110" s="27"/>
      <c r="AI110" s="27"/>
      <c r="AJ110" s="27"/>
      <c r="AK110" s="28" t="str">
        <f aca="false">IF(AG110="","",WORKDAY(AG110,5))</f>
        <v/>
      </c>
      <c r="AL110" s="27"/>
      <c r="AM110" s="27"/>
    </row>
    <row r="111" customFormat="false" ht="35.05" hidden="false" customHeight="false" outlineLevel="0" collapsed="false">
      <c r="A111" s="24" t="s">
        <v>125</v>
      </c>
      <c r="B111" s="25" t="n">
        <v>110</v>
      </c>
      <c r="C111" s="26" t="n">
        <v>4</v>
      </c>
      <c r="D111" s="12" t="s">
        <v>374</v>
      </c>
      <c r="E111" s="12" t="s">
        <v>1684</v>
      </c>
      <c r="F111" s="12" t="s">
        <v>525</v>
      </c>
      <c r="G111" s="14" t="s">
        <v>1685</v>
      </c>
      <c r="H111" s="12" t="s">
        <v>1686</v>
      </c>
      <c r="I111" s="12"/>
      <c r="J111" s="12" t="s">
        <v>486</v>
      </c>
      <c r="K111" s="12" t="s">
        <v>487</v>
      </c>
      <c r="L111" s="12" t="s">
        <v>1687</v>
      </c>
      <c r="M111" s="12"/>
      <c r="N111" s="12" t="s">
        <v>1688</v>
      </c>
      <c r="O111" s="12" t="s">
        <v>1689</v>
      </c>
      <c r="P111" s="12" t="s">
        <v>1690</v>
      </c>
      <c r="Q111" s="12" t="s">
        <v>1631</v>
      </c>
      <c r="R111" s="12" t="s">
        <v>518</v>
      </c>
      <c r="S111" s="12" t="s">
        <v>1691</v>
      </c>
      <c r="T111" s="12" t="s">
        <v>1692</v>
      </c>
      <c r="U111" s="12" t="s">
        <v>494</v>
      </c>
      <c r="V111" s="12" t="s">
        <v>494</v>
      </c>
      <c r="W111" s="12"/>
      <c r="X111" s="12" t="s">
        <v>1693</v>
      </c>
      <c r="Y111" s="12" t="s">
        <v>1694</v>
      </c>
      <c r="Z111" s="12"/>
      <c r="AA111" s="12" t="s">
        <v>536</v>
      </c>
      <c r="AB111" s="12" t="s">
        <v>123</v>
      </c>
      <c r="AC111" s="14" t="s">
        <v>498</v>
      </c>
      <c r="AD111" s="14" t="s">
        <v>499</v>
      </c>
      <c r="AE111" s="12" t="s">
        <v>500</v>
      </c>
      <c r="AF111" s="27" t="s">
        <v>501</v>
      </c>
      <c r="AG111" s="28"/>
      <c r="AH111" s="27"/>
      <c r="AI111" s="27"/>
      <c r="AJ111" s="27"/>
      <c r="AK111" s="28" t="str">
        <f aca="false">IF(AG111="","",WORKDAY(AG111,5))</f>
        <v/>
      </c>
      <c r="AL111" s="27"/>
      <c r="AM111" s="27"/>
    </row>
    <row r="112" customFormat="false" ht="23.85" hidden="false" customHeight="false" outlineLevel="0" collapsed="false">
      <c r="A112" s="24" t="s">
        <v>125</v>
      </c>
      <c r="B112" s="25" t="n">
        <v>111</v>
      </c>
      <c r="C112" s="26" t="n">
        <v>4</v>
      </c>
      <c r="D112" s="12" t="s">
        <v>374</v>
      </c>
      <c r="E112" s="12" t="s">
        <v>1695</v>
      </c>
      <c r="F112" s="12" t="s">
        <v>525</v>
      </c>
      <c r="G112" s="14" t="s">
        <v>1696</v>
      </c>
      <c r="H112" s="12" t="s">
        <v>1697</v>
      </c>
      <c r="I112" s="12"/>
      <c r="J112" s="12" t="s">
        <v>486</v>
      </c>
      <c r="K112" s="12" t="s">
        <v>487</v>
      </c>
      <c r="L112" s="12" t="s">
        <v>1698</v>
      </c>
      <c r="M112" s="12"/>
      <c r="N112" s="12"/>
      <c r="O112" s="12" t="s">
        <v>1699</v>
      </c>
      <c r="P112" s="12" t="s">
        <v>1700</v>
      </c>
      <c r="Q112" s="12" t="s">
        <v>1701</v>
      </c>
      <c r="R112" s="12" t="s">
        <v>518</v>
      </c>
      <c r="S112" s="12" t="s">
        <v>1702</v>
      </c>
      <c r="T112" s="12" t="s">
        <v>1703</v>
      </c>
      <c r="U112" s="12" t="s">
        <v>494</v>
      </c>
      <c r="V112" s="12" t="s">
        <v>494</v>
      </c>
      <c r="W112" s="12"/>
      <c r="X112" s="12" t="s">
        <v>1704</v>
      </c>
      <c r="Y112" s="12" t="s">
        <v>1705</v>
      </c>
      <c r="Z112" s="12"/>
      <c r="AA112" s="12" t="s">
        <v>1706</v>
      </c>
      <c r="AB112" s="12" t="s">
        <v>123</v>
      </c>
      <c r="AC112" s="14" t="s">
        <v>498</v>
      </c>
      <c r="AD112" s="14" t="s">
        <v>499</v>
      </c>
      <c r="AE112" s="12" t="s">
        <v>568</v>
      </c>
      <c r="AF112" s="27" t="s">
        <v>501</v>
      </c>
      <c r="AG112" s="28"/>
      <c r="AH112" s="27"/>
      <c r="AI112" s="27"/>
      <c r="AJ112" s="27"/>
      <c r="AK112" s="28" t="str">
        <f aca="false">IF(AG112="","",WORKDAY(AG112,5))</f>
        <v/>
      </c>
      <c r="AL112" s="27"/>
      <c r="AM112" s="27"/>
    </row>
    <row r="113" customFormat="false" ht="35.05" hidden="false" customHeight="false" outlineLevel="0" collapsed="false">
      <c r="A113" s="24" t="s">
        <v>125</v>
      </c>
      <c r="B113" s="25" t="n">
        <v>112</v>
      </c>
      <c r="C113" s="26" t="n">
        <v>3</v>
      </c>
      <c r="D113" s="12" t="s">
        <v>374</v>
      </c>
      <c r="E113" s="12" t="s">
        <v>1707</v>
      </c>
      <c r="F113" s="12" t="s">
        <v>525</v>
      </c>
      <c r="G113" s="14" t="s">
        <v>593</v>
      </c>
      <c r="H113" s="12" t="s">
        <v>1708</v>
      </c>
      <c r="I113" s="12"/>
      <c r="J113" s="12" t="s">
        <v>486</v>
      </c>
      <c r="K113" s="12" t="s">
        <v>487</v>
      </c>
      <c r="L113" s="12" t="s">
        <v>1709</v>
      </c>
      <c r="M113" s="12" t="s">
        <v>1710</v>
      </c>
      <c r="N113" s="12"/>
      <c r="O113" s="12" t="s">
        <v>1711</v>
      </c>
      <c r="P113" s="12" t="s">
        <v>1712</v>
      </c>
      <c r="Q113" s="12" t="s">
        <v>1701</v>
      </c>
      <c r="R113" s="12" t="s">
        <v>518</v>
      </c>
      <c r="S113" s="12" t="s">
        <v>1713</v>
      </c>
      <c r="T113" s="12" t="s">
        <v>1714</v>
      </c>
      <c r="U113" s="12" t="s">
        <v>1715</v>
      </c>
      <c r="V113" s="12" t="s">
        <v>494</v>
      </c>
      <c r="W113" s="12"/>
      <c r="X113" s="12" t="s">
        <v>1716</v>
      </c>
      <c r="Y113" s="12" t="s">
        <v>1717</v>
      </c>
      <c r="Z113" s="12" t="s">
        <v>1718</v>
      </c>
      <c r="AA113" s="12" t="s">
        <v>1719</v>
      </c>
      <c r="AB113" s="12" t="s">
        <v>123</v>
      </c>
      <c r="AC113" s="14" t="s">
        <v>498</v>
      </c>
      <c r="AD113" s="14" t="s">
        <v>499</v>
      </c>
      <c r="AE113" s="12" t="s">
        <v>568</v>
      </c>
      <c r="AF113" s="27" t="s">
        <v>501</v>
      </c>
      <c r="AG113" s="28"/>
      <c r="AH113" s="27"/>
      <c r="AI113" s="27"/>
      <c r="AJ113" s="27"/>
      <c r="AK113" s="28" t="str">
        <f aca="false">IF(AG113="","",WORKDAY(AG113,5))</f>
        <v/>
      </c>
      <c r="AL113" s="27"/>
      <c r="AM113" s="27"/>
    </row>
    <row r="114" customFormat="false" ht="35.05" hidden="false" customHeight="false" outlineLevel="0" collapsed="false">
      <c r="A114" s="24" t="s">
        <v>125</v>
      </c>
      <c r="B114" s="25" t="n">
        <v>113</v>
      </c>
      <c r="C114" s="26" t="n">
        <v>3</v>
      </c>
      <c r="D114" s="12" t="s">
        <v>374</v>
      </c>
      <c r="E114" s="12" t="s">
        <v>1720</v>
      </c>
      <c r="F114" s="12" t="s">
        <v>525</v>
      </c>
      <c r="G114" s="14" t="s">
        <v>1721</v>
      </c>
      <c r="H114" s="12" t="s">
        <v>1722</v>
      </c>
      <c r="I114" s="12"/>
      <c r="J114" s="12" t="s">
        <v>486</v>
      </c>
      <c r="K114" s="12" t="s">
        <v>487</v>
      </c>
      <c r="L114" s="12" t="s">
        <v>1723</v>
      </c>
      <c r="M114" s="12"/>
      <c r="N114" s="12"/>
      <c r="O114" s="12" t="s">
        <v>1724</v>
      </c>
      <c r="P114" s="12" t="s">
        <v>1725</v>
      </c>
      <c r="Q114" s="12" t="s">
        <v>1726</v>
      </c>
      <c r="R114" s="12" t="s">
        <v>518</v>
      </c>
      <c r="S114" s="12" t="s">
        <v>1195</v>
      </c>
      <c r="T114" s="12" t="s">
        <v>562</v>
      </c>
      <c r="U114" s="12" t="s">
        <v>494</v>
      </c>
      <c r="V114" s="12" t="s">
        <v>494</v>
      </c>
      <c r="W114" s="12"/>
      <c r="X114" s="12" t="s">
        <v>1727</v>
      </c>
      <c r="Y114" s="12" t="s">
        <v>1728</v>
      </c>
      <c r="Z114" s="12"/>
      <c r="AA114" s="12" t="s">
        <v>1729</v>
      </c>
      <c r="AB114" s="12" t="s">
        <v>1730</v>
      </c>
      <c r="AC114" s="14" t="s">
        <v>498</v>
      </c>
      <c r="AD114" s="14" t="s">
        <v>499</v>
      </c>
      <c r="AE114" s="12" t="s">
        <v>568</v>
      </c>
      <c r="AF114" s="27" t="s">
        <v>501</v>
      </c>
      <c r="AG114" s="28"/>
      <c r="AH114" s="27"/>
      <c r="AI114" s="27"/>
      <c r="AJ114" s="27"/>
      <c r="AK114" s="28" t="str">
        <f aca="false">IF(AG114="","",WORKDAY(AG114,5))</f>
        <v/>
      </c>
      <c r="AL114" s="27"/>
      <c r="AM114" s="27"/>
    </row>
    <row r="115" customFormat="false" ht="23.85" hidden="false" customHeight="false" outlineLevel="0" collapsed="false">
      <c r="A115" s="24" t="s">
        <v>125</v>
      </c>
      <c r="B115" s="25" t="n">
        <v>114</v>
      </c>
      <c r="C115" s="26" t="n">
        <v>3</v>
      </c>
      <c r="D115" s="12" t="s">
        <v>374</v>
      </c>
      <c r="E115" s="12" t="s">
        <v>1731</v>
      </c>
      <c r="F115" s="12" t="s">
        <v>525</v>
      </c>
      <c r="G115" s="14" t="s">
        <v>1732</v>
      </c>
      <c r="H115" s="12" t="s">
        <v>1733</v>
      </c>
      <c r="I115" s="12"/>
      <c r="J115" s="12" t="s">
        <v>486</v>
      </c>
      <c r="K115" s="12" t="s">
        <v>487</v>
      </c>
      <c r="L115" s="12" t="s">
        <v>1734</v>
      </c>
      <c r="M115" s="12" t="s">
        <v>1735</v>
      </c>
      <c r="N115" s="12" t="s">
        <v>1736</v>
      </c>
      <c r="O115" s="12" t="s">
        <v>192</v>
      </c>
      <c r="P115" s="12" t="s">
        <v>1737</v>
      </c>
      <c r="Q115" s="12" t="s">
        <v>1667</v>
      </c>
      <c r="R115" s="12" t="s">
        <v>518</v>
      </c>
      <c r="S115" s="12" t="s">
        <v>1195</v>
      </c>
      <c r="T115" s="12" t="s">
        <v>562</v>
      </c>
      <c r="U115" s="12" t="s">
        <v>494</v>
      </c>
      <c r="V115" s="12" t="s">
        <v>494</v>
      </c>
      <c r="W115" s="12"/>
      <c r="X115" s="12" t="s">
        <v>1738</v>
      </c>
      <c r="Y115" s="12" t="s">
        <v>1739</v>
      </c>
      <c r="Z115" s="12"/>
      <c r="AA115" s="12" t="s">
        <v>1740</v>
      </c>
      <c r="AB115" s="12" t="s">
        <v>1741</v>
      </c>
      <c r="AC115" s="14" t="s">
        <v>498</v>
      </c>
      <c r="AD115" s="14" t="s">
        <v>499</v>
      </c>
      <c r="AE115" s="12" t="s">
        <v>500</v>
      </c>
      <c r="AF115" s="27" t="s">
        <v>501</v>
      </c>
      <c r="AG115" s="28"/>
      <c r="AH115" s="27"/>
      <c r="AI115" s="27"/>
      <c r="AJ115" s="27"/>
      <c r="AK115" s="28" t="str">
        <f aca="false">IF(AG115="","",WORKDAY(AG115,5))</f>
        <v/>
      </c>
      <c r="AL115" s="27"/>
      <c r="AM115" s="27"/>
    </row>
    <row r="116" customFormat="false" ht="35.05" hidden="false" customHeight="false" outlineLevel="0" collapsed="false">
      <c r="A116" s="24" t="s">
        <v>125</v>
      </c>
      <c r="B116" s="25" t="n">
        <v>115</v>
      </c>
      <c r="C116" s="26" t="n">
        <v>3</v>
      </c>
      <c r="D116" s="12" t="s">
        <v>374</v>
      </c>
      <c r="E116" s="12" t="s">
        <v>1742</v>
      </c>
      <c r="F116" s="12" t="s">
        <v>525</v>
      </c>
      <c r="G116" s="14" t="s">
        <v>1743</v>
      </c>
      <c r="H116" s="12" t="s">
        <v>1744</v>
      </c>
      <c r="I116" s="12"/>
      <c r="J116" s="12" t="s">
        <v>486</v>
      </c>
      <c r="K116" s="12" t="s">
        <v>487</v>
      </c>
      <c r="L116" s="12" t="s">
        <v>1745</v>
      </c>
      <c r="M116" s="12" t="s">
        <v>1746</v>
      </c>
      <c r="N116" s="12" t="s">
        <v>1747</v>
      </c>
      <c r="O116" s="12" t="s">
        <v>1748</v>
      </c>
      <c r="P116" s="12" t="s">
        <v>1749</v>
      </c>
      <c r="Q116" s="12" t="s">
        <v>1750</v>
      </c>
      <c r="R116" s="12" t="s">
        <v>518</v>
      </c>
      <c r="S116" s="12" t="s">
        <v>1751</v>
      </c>
      <c r="T116" s="12" t="s">
        <v>1752</v>
      </c>
      <c r="U116" s="12" t="s">
        <v>494</v>
      </c>
      <c r="V116" s="12" t="s">
        <v>494</v>
      </c>
      <c r="W116" s="12"/>
      <c r="X116" s="12" t="s">
        <v>1753</v>
      </c>
      <c r="Y116" s="12" t="s">
        <v>1754</v>
      </c>
      <c r="Z116" s="12"/>
      <c r="AA116" s="12" t="s">
        <v>1755</v>
      </c>
      <c r="AB116" s="12" t="s">
        <v>1756</v>
      </c>
      <c r="AC116" s="14" t="s">
        <v>498</v>
      </c>
      <c r="AD116" s="14" t="s">
        <v>499</v>
      </c>
      <c r="AE116" s="12" t="s">
        <v>500</v>
      </c>
      <c r="AF116" s="27" t="s">
        <v>501</v>
      </c>
      <c r="AG116" s="28"/>
      <c r="AH116" s="27"/>
      <c r="AI116" s="27"/>
      <c r="AJ116" s="27"/>
      <c r="AK116" s="28" t="str">
        <f aca="false">IF(AG116="","",WORKDAY(AG116,5))</f>
        <v/>
      </c>
      <c r="AL116" s="27"/>
      <c r="AM116" s="27"/>
    </row>
    <row r="117" customFormat="false" ht="35.05" hidden="false" customHeight="false" outlineLevel="0" collapsed="false">
      <c r="A117" s="24" t="s">
        <v>125</v>
      </c>
      <c r="B117" s="25" t="n">
        <v>116</v>
      </c>
      <c r="C117" s="26" t="n">
        <v>4</v>
      </c>
      <c r="D117" s="12" t="s">
        <v>380</v>
      </c>
      <c r="E117" s="12" t="s">
        <v>381</v>
      </c>
      <c r="F117" s="12" t="s">
        <v>735</v>
      </c>
      <c r="G117" s="14" t="s">
        <v>386</v>
      </c>
      <c r="H117" s="12" t="s">
        <v>1757</v>
      </c>
      <c r="I117" s="12"/>
      <c r="J117" s="12" t="s">
        <v>486</v>
      </c>
      <c r="K117" s="12" t="s">
        <v>487</v>
      </c>
      <c r="L117" s="12" t="s">
        <v>1758</v>
      </c>
      <c r="M117" s="12" t="s">
        <v>384</v>
      </c>
      <c r="N117" s="12" t="s">
        <v>385</v>
      </c>
      <c r="O117" s="12" t="s">
        <v>175</v>
      </c>
      <c r="P117" s="12" t="s">
        <v>382</v>
      </c>
      <c r="Q117" s="12" t="s">
        <v>1759</v>
      </c>
      <c r="R117" s="12" t="s">
        <v>491</v>
      </c>
      <c r="S117" s="12" t="s">
        <v>492</v>
      </c>
      <c r="T117" s="12" t="s">
        <v>1760</v>
      </c>
      <c r="U117" s="12" t="s">
        <v>494</v>
      </c>
      <c r="V117" s="12" t="s">
        <v>494</v>
      </c>
      <c r="W117" s="12"/>
      <c r="X117" s="12" t="s">
        <v>1761</v>
      </c>
      <c r="Y117" s="12" t="s">
        <v>383</v>
      </c>
      <c r="Z117" s="12" t="s">
        <v>1762</v>
      </c>
      <c r="AA117" s="12" t="s">
        <v>1763</v>
      </c>
      <c r="AB117" s="12" t="s">
        <v>179</v>
      </c>
      <c r="AC117" s="14" t="s">
        <v>498</v>
      </c>
      <c r="AD117" s="14" t="s">
        <v>499</v>
      </c>
      <c r="AE117" s="12" t="s">
        <v>500</v>
      </c>
      <c r="AF117" s="27" t="s">
        <v>501</v>
      </c>
      <c r="AG117" s="28"/>
      <c r="AH117" s="27"/>
      <c r="AI117" s="27"/>
      <c r="AJ117" s="27"/>
      <c r="AK117" s="28" t="str">
        <f aca="false">IF(AG117="","",WORKDAY(AG117,5))</f>
        <v/>
      </c>
      <c r="AL117" s="27"/>
      <c r="AM117" s="27"/>
    </row>
    <row r="118" customFormat="false" ht="35.05" hidden="false" customHeight="false" outlineLevel="0" collapsed="false">
      <c r="A118" s="24" t="s">
        <v>125</v>
      </c>
      <c r="B118" s="25" t="n">
        <v>117</v>
      </c>
      <c r="C118" s="26" t="n">
        <v>4</v>
      </c>
      <c r="D118" s="12" t="s">
        <v>380</v>
      </c>
      <c r="E118" s="12" t="s">
        <v>387</v>
      </c>
      <c r="F118" s="12" t="s">
        <v>735</v>
      </c>
      <c r="G118" s="14" t="s">
        <v>392</v>
      </c>
      <c r="H118" s="12" t="s">
        <v>1764</v>
      </c>
      <c r="I118" s="12"/>
      <c r="J118" s="12" t="s">
        <v>486</v>
      </c>
      <c r="K118" s="12" t="s">
        <v>487</v>
      </c>
      <c r="L118" s="12" t="s">
        <v>1765</v>
      </c>
      <c r="M118" s="12" t="s">
        <v>390</v>
      </c>
      <c r="N118" s="12" t="s">
        <v>391</v>
      </c>
      <c r="O118" s="12" t="s">
        <v>126</v>
      </c>
      <c r="P118" s="12" t="s">
        <v>388</v>
      </c>
      <c r="Q118" s="12" t="s">
        <v>1766</v>
      </c>
      <c r="R118" s="12" t="s">
        <v>491</v>
      </c>
      <c r="S118" s="12" t="s">
        <v>1767</v>
      </c>
      <c r="T118" s="12" t="s">
        <v>1768</v>
      </c>
      <c r="U118" s="12" t="s">
        <v>494</v>
      </c>
      <c r="V118" s="12" t="s">
        <v>494</v>
      </c>
      <c r="W118" s="12"/>
      <c r="X118" s="12" t="s">
        <v>1769</v>
      </c>
      <c r="Y118" s="12" t="s">
        <v>389</v>
      </c>
      <c r="Z118" s="12"/>
      <c r="AA118" s="12" t="s">
        <v>1770</v>
      </c>
      <c r="AB118" s="12" t="s">
        <v>393</v>
      </c>
      <c r="AC118" s="14" t="s">
        <v>498</v>
      </c>
      <c r="AD118" s="14" t="s">
        <v>499</v>
      </c>
      <c r="AE118" s="12" t="s">
        <v>500</v>
      </c>
      <c r="AF118" s="27" t="s">
        <v>501</v>
      </c>
      <c r="AG118" s="28"/>
      <c r="AH118" s="27"/>
      <c r="AI118" s="27"/>
      <c r="AJ118" s="27"/>
      <c r="AK118" s="28" t="str">
        <f aca="false">IF(AG118="","",WORKDAY(AG118,5))</f>
        <v/>
      </c>
      <c r="AL118" s="27"/>
      <c r="AM118" s="27"/>
    </row>
    <row r="119" customFormat="false" ht="35.05" hidden="false" customHeight="false" outlineLevel="0" collapsed="false">
      <c r="A119" s="24" t="s">
        <v>125</v>
      </c>
      <c r="B119" s="25" t="n">
        <v>118</v>
      </c>
      <c r="C119" s="26" t="n">
        <v>4</v>
      </c>
      <c r="D119" s="12" t="s">
        <v>380</v>
      </c>
      <c r="E119" s="12" t="s">
        <v>1771</v>
      </c>
      <c r="F119" s="12" t="s">
        <v>483</v>
      </c>
      <c r="G119" s="14" t="s">
        <v>1772</v>
      </c>
      <c r="H119" s="12" t="s">
        <v>1773</v>
      </c>
      <c r="I119" s="12"/>
      <c r="J119" s="12" t="s">
        <v>486</v>
      </c>
      <c r="K119" s="12" t="s">
        <v>487</v>
      </c>
      <c r="L119" s="12" t="s">
        <v>1774</v>
      </c>
      <c r="M119" s="12" t="s">
        <v>1775</v>
      </c>
      <c r="N119" s="12"/>
      <c r="O119" s="12" t="s">
        <v>126</v>
      </c>
      <c r="P119" s="12" t="s">
        <v>1776</v>
      </c>
      <c r="Q119" s="12" t="s">
        <v>1777</v>
      </c>
      <c r="R119" s="12" t="s">
        <v>491</v>
      </c>
      <c r="S119" s="12" t="s">
        <v>1778</v>
      </c>
      <c r="T119" s="12" t="s">
        <v>1779</v>
      </c>
      <c r="U119" s="12" t="s">
        <v>494</v>
      </c>
      <c r="V119" s="12" t="s">
        <v>494</v>
      </c>
      <c r="W119" s="12"/>
      <c r="X119" s="12" t="s">
        <v>1780</v>
      </c>
      <c r="Y119" s="12" t="s">
        <v>1781</v>
      </c>
      <c r="Z119" s="12"/>
      <c r="AA119" s="12" t="s">
        <v>1782</v>
      </c>
      <c r="AB119" s="12" t="s">
        <v>204</v>
      </c>
      <c r="AC119" s="14" t="s">
        <v>498</v>
      </c>
      <c r="AD119" s="14" t="s">
        <v>499</v>
      </c>
      <c r="AE119" s="12" t="s">
        <v>500</v>
      </c>
      <c r="AF119" s="27" t="s">
        <v>501</v>
      </c>
      <c r="AG119" s="28"/>
      <c r="AH119" s="27"/>
      <c r="AI119" s="27"/>
      <c r="AJ119" s="27"/>
      <c r="AK119" s="28" t="str">
        <f aca="false">IF(AG119="","",WORKDAY(AG119,5))</f>
        <v/>
      </c>
      <c r="AL119" s="27"/>
      <c r="AM119" s="27"/>
    </row>
    <row r="120" customFormat="false" ht="35.05" hidden="false" customHeight="false" outlineLevel="0" collapsed="false">
      <c r="A120" s="24" t="s">
        <v>125</v>
      </c>
      <c r="B120" s="25" t="n">
        <v>119</v>
      </c>
      <c r="C120" s="26" t="n">
        <v>4</v>
      </c>
      <c r="D120" s="12" t="s">
        <v>380</v>
      </c>
      <c r="E120" s="12" t="s">
        <v>1783</v>
      </c>
      <c r="F120" s="12" t="s">
        <v>483</v>
      </c>
      <c r="G120" s="14" t="s">
        <v>1784</v>
      </c>
      <c r="H120" s="12" t="s">
        <v>1785</v>
      </c>
      <c r="I120" s="12"/>
      <c r="J120" s="12" t="s">
        <v>486</v>
      </c>
      <c r="K120" s="12" t="s">
        <v>487</v>
      </c>
      <c r="L120" s="12" t="s">
        <v>1786</v>
      </c>
      <c r="M120" s="12" t="s">
        <v>1787</v>
      </c>
      <c r="N120" s="12" t="s">
        <v>1788</v>
      </c>
      <c r="O120" s="12" t="s">
        <v>126</v>
      </c>
      <c r="P120" s="12" t="s">
        <v>1789</v>
      </c>
      <c r="Q120" s="12" t="s">
        <v>1790</v>
      </c>
      <c r="R120" s="12" t="s">
        <v>518</v>
      </c>
      <c r="S120" s="12" t="s">
        <v>1791</v>
      </c>
      <c r="T120" s="12" t="s">
        <v>1792</v>
      </c>
      <c r="U120" s="12" t="s">
        <v>494</v>
      </c>
      <c r="V120" s="12" t="s">
        <v>494</v>
      </c>
      <c r="W120" s="12"/>
      <c r="X120" s="12" t="s">
        <v>1793</v>
      </c>
      <c r="Y120" s="12"/>
      <c r="Z120" s="12" t="s">
        <v>1794</v>
      </c>
      <c r="AA120" s="12" t="s">
        <v>1616</v>
      </c>
      <c r="AB120" s="12" t="s">
        <v>204</v>
      </c>
      <c r="AC120" s="14" t="s">
        <v>498</v>
      </c>
      <c r="AD120" s="14" t="s">
        <v>499</v>
      </c>
      <c r="AE120" s="12" t="s">
        <v>500</v>
      </c>
      <c r="AF120" s="27" t="s">
        <v>501</v>
      </c>
      <c r="AG120" s="28"/>
      <c r="AH120" s="27"/>
      <c r="AI120" s="27"/>
      <c r="AJ120" s="27"/>
      <c r="AK120" s="28" t="str">
        <f aca="false">IF(AG120="","",WORKDAY(AG120,5))</f>
        <v/>
      </c>
      <c r="AL120" s="27"/>
      <c r="AM120" s="27"/>
    </row>
    <row r="121" customFormat="false" ht="23.85" hidden="false" customHeight="false" outlineLevel="0" collapsed="false">
      <c r="A121" s="24" t="s">
        <v>125</v>
      </c>
      <c r="B121" s="25" t="n">
        <v>120</v>
      </c>
      <c r="C121" s="26" t="n">
        <v>3</v>
      </c>
      <c r="D121" s="12" t="s">
        <v>380</v>
      </c>
      <c r="E121" s="12" t="s">
        <v>1795</v>
      </c>
      <c r="F121" s="12" t="s">
        <v>483</v>
      </c>
      <c r="G121" s="14" t="s">
        <v>1796</v>
      </c>
      <c r="H121" s="12" t="s">
        <v>1797</v>
      </c>
      <c r="I121" s="12"/>
      <c r="J121" s="12" t="s">
        <v>486</v>
      </c>
      <c r="K121" s="12" t="s">
        <v>487</v>
      </c>
      <c r="L121" s="12" t="s">
        <v>1798</v>
      </c>
      <c r="M121" s="12"/>
      <c r="N121" s="12"/>
      <c r="O121" s="12" t="s">
        <v>126</v>
      </c>
      <c r="P121" s="12" t="s">
        <v>1799</v>
      </c>
      <c r="Q121" s="12" t="s">
        <v>1169</v>
      </c>
      <c r="R121" s="12" t="s">
        <v>491</v>
      </c>
      <c r="S121" s="12" t="s">
        <v>1800</v>
      </c>
      <c r="T121" s="12" t="s">
        <v>1801</v>
      </c>
      <c r="U121" s="12" t="s">
        <v>494</v>
      </c>
      <c r="V121" s="12" t="s">
        <v>494</v>
      </c>
      <c r="W121" s="12"/>
      <c r="X121" s="12" t="s">
        <v>1802</v>
      </c>
      <c r="Y121" s="12" t="s">
        <v>1803</v>
      </c>
      <c r="Z121" s="12"/>
      <c r="AA121" s="12" t="s">
        <v>1804</v>
      </c>
      <c r="AB121" s="12" t="s">
        <v>123</v>
      </c>
      <c r="AC121" s="14" t="s">
        <v>498</v>
      </c>
      <c r="AD121" s="14" t="s">
        <v>499</v>
      </c>
      <c r="AE121" s="12" t="s">
        <v>500</v>
      </c>
      <c r="AF121" s="27" t="s">
        <v>501</v>
      </c>
      <c r="AG121" s="28"/>
      <c r="AH121" s="27"/>
      <c r="AI121" s="27"/>
      <c r="AJ121" s="27"/>
      <c r="AK121" s="28" t="str">
        <f aca="false">IF(AG121="","",WORKDAY(AG121,5))</f>
        <v/>
      </c>
      <c r="AL121" s="27"/>
      <c r="AM121" s="27"/>
    </row>
    <row r="122" customFormat="false" ht="35.05" hidden="false" customHeight="false" outlineLevel="0" collapsed="false">
      <c r="A122" s="24" t="s">
        <v>125</v>
      </c>
      <c r="B122" s="25" t="n">
        <v>121</v>
      </c>
      <c r="C122" s="26" t="n">
        <v>5</v>
      </c>
      <c r="D122" s="12" t="s">
        <v>405</v>
      </c>
      <c r="E122" s="12" t="s">
        <v>406</v>
      </c>
      <c r="F122" s="12" t="s">
        <v>735</v>
      </c>
      <c r="G122" s="14" t="s">
        <v>412</v>
      </c>
      <c r="H122" s="12" t="s">
        <v>1628</v>
      </c>
      <c r="I122" s="12"/>
      <c r="J122" s="12" t="s">
        <v>486</v>
      </c>
      <c r="K122" s="12" t="s">
        <v>487</v>
      </c>
      <c r="L122" s="12" t="s">
        <v>1805</v>
      </c>
      <c r="M122" s="12" t="s">
        <v>410</v>
      </c>
      <c r="N122" s="12" t="s">
        <v>411</v>
      </c>
      <c r="O122" s="12" t="s">
        <v>407</v>
      </c>
      <c r="P122" s="12" t="s">
        <v>408</v>
      </c>
      <c r="Q122" s="12" t="s">
        <v>1806</v>
      </c>
      <c r="R122" s="12" t="s">
        <v>491</v>
      </c>
      <c r="S122" s="12" t="s">
        <v>1807</v>
      </c>
      <c r="T122" s="12" t="s">
        <v>1808</v>
      </c>
      <c r="U122" s="12" t="s">
        <v>494</v>
      </c>
      <c r="V122" s="12" t="s">
        <v>494</v>
      </c>
      <c r="W122" s="12"/>
      <c r="X122" s="12" t="s">
        <v>1809</v>
      </c>
      <c r="Y122" s="12" t="s">
        <v>409</v>
      </c>
      <c r="Z122" s="12" t="s">
        <v>1810</v>
      </c>
      <c r="AA122" s="12" t="s">
        <v>1782</v>
      </c>
      <c r="AB122" s="12" t="s">
        <v>204</v>
      </c>
      <c r="AC122" s="14" t="s">
        <v>498</v>
      </c>
      <c r="AD122" s="14" t="s">
        <v>499</v>
      </c>
      <c r="AE122" s="12" t="s">
        <v>500</v>
      </c>
      <c r="AF122" s="27" t="s">
        <v>501</v>
      </c>
      <c r="AG122" s="28"/>
      <c r="AH122" s="27"/>
      <c r="AI122" s="27"/>
      <c r="AJ122" s="27"/>
      <c r="AK122" s="28" t="str">
        <f aca="false">IF(AG122="","",WORKDAY(AG122,5))</f>
        <v/>
      </c>
      <c r="AL122" s="27"/>
      <c r="AM122" s="27"/>
    </row>
    <row r="123" customFormat="false" ht="23.85" hidden="false" customHeight="false" outlineLevel="0" collapsed="false">
      <c r="A123" s="24" t="s">
        <v>125</v>
      </c>
      <c r="B123" s="25" t="n">
        <v>122</v>
      </c>
      <c r="C123" s="26" t="n">
        <v>4</v>
      </c>
      <c r="D123" s="12" t="s">
        <v>405</v>
      </c>
      <c r="E123" s="12" t="s">
        <v>432</v>
      </c>
      <c r="F123" s="12" t="s">
        <v>735</v>
      </c>
      <c r="G123" s="14" t="s">
        <v>436</v>
      </c>
      <c r="H123" s="12" t="s">
        <v>1811</v>
      </c>
      <c r="I123" s="12"/>
      <c r="J123" s="12" t="s">
        <v>486</v>
      </c>
      <c r="K123" s="12" t="s">
        <v>487</v>
      </c>
      <c r="L123" s="12" t="s">
        <v>1812</v>
      </c>
      <c r="M123" s="12"/>
      <c r="N123" s="12"/>
      <c r="O123" s="12" t="s">
        <v>433</v>
      </c>
      <c r="P123" s="12" t="s">
        <v>434</v>
      </c>
      <c r="Q123" s="12" t="s">
        <v>1813</v>
      </c>
      <c r="R123" s="12" t="s">
        <v>491</v>
      </c>
      <c r="S123" s="12" t="s">
        <v>1195</v>
      </c>
      <c r="T123" s="12" t="s">
        <v>1814</v>
      </c>
      <c r="U123" s="12" t="s">
        <v>494</v>
      </c>
      <c r="V123" s="12" t="s">
        <v>494</v>
      </c>
      <c r="W123" s="12"/>
      <c r="X123" s="12" t="s">
        <v>1815</v>
      </c>
      <c r="Y123" s="12" t="s">
        <v>435</v>
      </c>
      <c r="Z123" s="12"/>
      <c r="AA123" s="12" t="s">
        <v>1816</v>
      </c>
      <c r="AB123" s="12" t="s">
        <v>437</v>
      </c>
      <c r="AC123" s="14" t="s">
        <v>498</v>
      </c>
      <c r="AD123" s="14" t="s">
        <v>499</v>
      </c>
      <c r="AE123" s="12" t="s">
        <v>500</v>
      </c>
      <c r="AF123" s="27" t="s">
        <v>501</v>
      </c>
      <c r="AG123" s="28"/>
      <c r="AH123" s="27"/>
      <c r="AI123" s="27"/>
      <c r="AJ123" s="27"/>
      <c r="AK123" s="28" t="str">
        <f aca="false">IF(AG123="","",WORKDAY(AG123,5))</f>
        <v/>
      </c>
      <c r="AL123" s="27"/>
      <c r="AM123" s="27"/>
    </row>
    <row r="124" customFormat="false" ht="35.05" hidden="false" customHeight="false" outlineLevel="0" collapsed="false">
      <c r="A124" s="24" t="s">
        <v>125</v>
      </c>
      <c r="B124" s="25" t="n">
        <v>123</v>
      </c>
      <c r="C124" s="26" t="n">
        <v>4</v>
      </c>
      <c r="D124" s="12" t="s">
        <v>405</v>
      </c>
      <c r="E124" s="12" t="s">
        <v>438</v>
      </c>
      <c r="F124" s="12" t="s">
        <v>735</v>
      </c>
      <c r="G124" s="14" t="s">
        <v>442</v>
      </c>
      <c r="H124" s="12" t="s">
        <v>1817</v>
      </c>
      <c r="I124" s="12"/>
      <c r="J124" s="12" t="s">
        <v>486</v>
      </c>
      <c r="K124" s="12" t="s">
        <v>487</v>
      </c>
      <c r="L124" s="12" t="s">
        <v>1818</v>
      </c>
      <c r="M124" s="12" t="s">
        <v>441</v>
      </c>
      <c r="N124" s="12"/>
      <c r="O124" s="12" t="s">
        <v>126</v>
      </c>
      <c r="P124" s="12" t="s">
        <v>439</v>
      </c>
      <c r="Q124" s="12" t="s">
        <v>508</v>
      </c>
      <c r="R124" s="12" t="s">
        <v>491</v>
      </c>
      <c r="S124" s="12" t="s">
        <v>1819</v>
      </c>
      <c r="T124" s="12" t="s">
        <v>1820</v>
      </c>
      <c r="U124" s="12" t="s">
        <v>494</v>
      </c>
      <c r="V124" s="12" t="s">
        <v>494</v>
      </c>
      <c r="W124" s="12"/>
      <c r="X124" s="12" t="s">
        <v>1821</v>
      </c>
      <c r="Y124" s="12" t="s">
        <v>440</v>
      </c>
      <c r="Z124" s="12" t="s">
        <v>1822</v>
      </c>
      <c r="AA124" s="12" t="s">
        <v>1823</v>
      </c>
      <c r="AB124" s="12" t="s">
        <v>443</v>
      </c>
      <c r="AC124" s="14" t="s">
        <v>498</v>
      </c>
      <c r="AD124" s="14" t="s">
        <v>499</v>
      </c>
      <c r="AE124" s="12" t="s">
        <v>500</v>
      </c>
      <c r="AF124" s="27" t="s">
        <v>501</v>
      </c>
      <c r="AG124" s="28"/>
      <c r="AH124" s="27"/>
      <c r="AI124" s="27"/>
      <c r="AJ124" s="27"/>
      <c r="AK124" s="28" t="str">
        <f aca="false">IF(AG124="","",WORKDAY(AG124,5))</f>
        <v/>
      </c>
      <c r="AL124" s="27"/>
      <c r="AM124" s="27"/>
    </row>
    <row r="125" customFormat="false" ht="23.85" hidden="false" customHeight="false" outlineLevel="0" collapsed="false">
      <c r="A125" s="24" t="s">
        <v>125</v>
      </c>
      <c r="B125" s="25" t="n">
        <v>124</v>
      </c>
      <c r="C125" s="26" t="n">
        <v>4</v>
      </c>
      <c r="D125" s="12" t="s">
        <v>405</v>
      </c>
      <c r="E125" s="12" t="s">
        <v>1824</v>
      </c>
      <c r="F125" s="12" t="s">
        <v>483</v>
      </c>
      <c r="G125" s="14" t="s">
        <v>1825</v>
      </c>
      <c r="H125" s="12" t="s">
        <v>1826</v>
      </c>
      <c r="I125" s="12"/>
      <c r="J125" s="12" t="s">
        <v>486</v>
      </c>
      <c r="K125" s="12" t="s">
        <v>487</v>
      </c>
      <c r="L125" s="12" t="s">
        <v>1827</v>
      </c>
      <c r="M125" s="12"/>
      <c r="N125" s="12"/>
      <c r="O125" s="12" t="s">
        <v>119</v>
      </c>
      <c r="P125" s="12" t="s">
        <v>1828</v>
      </c>
      <c r="Q125" s="12" t="s">
        <v>1829</v>
      </c>
      <c r="R125" s="12" t="s">
        <v>518</v>
      </c>
      <c r="S125" s="12" t="s">
        <v>1195</v>
      </c>
      <c r="T125" s="12" t="s">
        <v>1830</v>
      </c>
      <c r="U125" s="12" t="s">
        <v>494</v>
      </c>
      <c r="V125" s="12" t="s">
        <v>494</v>
      </c>
      <c r="W125" s="12"/>
      <c r="X125" s="12" t="s">
        <v>1831</v>
      </c>
      <c r="Y125" s="12" t="s">
        <v>1832</v>
      </c>
      <c r="Z125" s="12"/>
      <c r="AA125" s="12" t="s">
        <v>1833</v>
      </c>
      <c r="AB125" s="12" t="s">
        <v>123</v>
      </c>
      <c r="AC125" s="14" t="s">
        <v>498</v>
      </c>
      <c r="AD125" s="14" t="s">
        <v>499</v>
      </c>
      <c r="AE125" s="12" t="s">
        <v>602</v>
      </c>
      <c r="AF125" s="27" t="s">
        <v>501</v>
      </c>
      <c r="AG125" s="28"/>
      <c r="AH125" s="27"/>
      <c r="AI125" s="27"/>
      <c r="AJ125" s="27"/>
      <c r="AK125" s="28" t="str">
        <f aca="false">IF(AG125="","",WORKDAY(AG125,5))</f>
        <v/>
      </c>
      <c r="AL125" s="27"/>
      <c r="AM125" s="27"/>
    </row>
    <row r="126" customFormat="false" ht="23.85" hidden="false" customHeight="false" outlineLevel="0" collapsed="false">
      <c r="A126" s="24" t="s">
        <v>125</v>
      </c>
      <c r="B126" s="25" t="n">
        <v>125</v>
      </c>
      <c r="C126" s="26" t="n">
        <v>4</v>
      </c>
      <c r="D126" s="12" t="s">
        <v>405</v>
      </c>
      <c r="E126" s="12" t="s">
        <v>1834</v>
      </c>
      <c r="F126" s="12" t="s">
        <v>483</v>
      </c>
      <c r="G126" s="14" t="s">
        <v>1835</v>
      </c>
      <c r="H126" s="12" t="s">
        <v>1836</v>
      </c>
      <c r="I126" s="12"/>
      <c r="J126" s="12" t="s">
        <v>486</v>
      </c>
      <c r="K126" s="12" t="s">
        <v>487</v>
      </c>
      <c r="L126" s="12" t="s">
        <v>1837</v>
      </c>
      <c r="M126" s="12" t="s">
        <v>1838</v>
      </c>
      <c r="N126" s="12" t="s">
        <v>1839</v>
      </c>
      <c r="O126" s="12" t="s">
        <v>1394</v>
      </c>
      <c r="P126" s="12" t="s">
        <v>1840</v>
      </c>
      <c r="Q126" s="12" t="s">
        <v>1841</v>
      </c>
      <c r="R126" s="12" t="s">
        <v>518</v>
      </c>
      <c r="S126" s="12" t="s">
        <v>1842</v>
      </c>
      <c r="T126" s="12" t="s">
        <v>562</v>
      </c>
      <c r="U126" s="12" t="s">
        <v>494</v>
      </c>
      <c r="V126" s="12" t="s">
        <v>494</v>
      </c>
      <c r="W126" s="12"/>
      <c r="X126" s="12" t="s">
        <v>1843</v>
      </c>
      <c r="Y126" s="12" t="s">
        <v>1566</v>
      </c>
      <c r="Z126" s="12"/>
      <c r="AA126" s="12" t="s">
        <v>1844</v>
      </c>
      <c r="AB126" s="12" t="s">
        <v>123</v>
      </c>
      <c r="AC126" s="14" t="s">
        <v>498</v>
      </c>
      <c r="AD126" s="14" t="s">
        <v>499</v>
      </c>
      <c r="AE126" s="12" t="s">
        <v>602</v>
      </c>
      <c r="AF126" s="27" t="s">
        <v>501</v>
      </c>
      <c r="AG126" s="28"/>
      <c r="AH126" s="27"/>
      <c r="AI126" s="27"/>
      <c r="AJ126" s="27"/>
      <c r="AK126" s="28" t="str">
        <f aca="false">IF(AG126="","",WORKDAY(AG126,5))</f>
        <v/>
      </c>
      <c r="AL126" s="27"/>
      <c r="AM126" s="27"/>
    </row>
    <row r="127" customFormat="false" ht="23.85" hidden="false" customHeight="false" outlineLevel="0" collapsed="false">
      <c r="A127" s="24" t="s">
        <v>125</v>
      </c>
      <c r="B127" s="25" t="n">
        <v>126</v>
      </c>
      <c r="C127" s="26" t="n">
        <v>4</v>
      </c>
      <c r="D127" s="12" t="s">
        <v>405</v>
      </c>
      <c r="E127" s="12" t="s">
        <v>1845</v>
      </c>
      <c r="F127" s="12" t="s">
        <v>483</v>
      </c>
      <c r="G127" s="14" t="s">
        <v>1846</v>
      </c>
      <c r="H127" s="12" t="s">
        <v>1847</v>
      </c>
      <c r="I127" s="12"/>
      <c r="J127" s="12" t="s">
        <v>486</v>
      </c>
      <c r="K127" s="12" t="s">
        <v>487</v>
      </c>
      <c r="L127" s="12" t="s">
        <v>1848</v>
      </c>
      <c r="M127" s="12"/>
      <c r="N127" s="12"/>
      <c r="O127" s="12" t="s">
        <v>1849</v>
      </c>
      <c r="P127" s="12" t="s">
        <v>1850</v>
      </c>
      <c r="Q127" s="12" t="s">
        <v>1841</v>
      </c>
      <c r="R127" s="12" t="s">
        <v>518</v>
      </c>
      <c r="S127" s="12" t="s">
        <v>1851</v>
      </c>
      <c r="T127" s="12" t="s">
        <v>562</v>
      </c>
      <c r="U127" s="12" t="s">
        <v>494</v>
      </c>
      <c r="V127" s="12" t="s">
        <v>494</v>
      </c>
      <c r="W127" s="12"/>
      <c r="X127" s="12" t="s">
        <v>1852</v>
      </c>
      <c r="Y127" s="12" t="s">
        <v>303</v>
      </c>
      <c r="Z127" s="12"/>
      <c r="AA127" s="12" t="s">
        <v>1853</v>
      </c>
      <c r="AB127" s="12" t="s">
        <v>204</v>
      </c>
      <c r="AC127" s="14" t="s">
        <v>498</v>
      </c>
      <c r="AD127" s="14" t="s">
        <v>499</v>
      </c>
      <c r="AE127" s="12" t="s">
        <v>602</v>
      </c>
      <c r="AF127" s="27" t="s">
        <v>501</v>
      </c>
      <c r="AG127" s="28"/>
      <c r="AH127" s="27"/>
      <c r="AI127" s="27"/>
      <c r="AJ127" s="27"/>
      <c r="AK127" s="28" t="str">
        <f aca="false">IF(AG127="","",WORKDAY(AG127,5))</f>
        <v/>
      </c>
      <c r="AL127" s="27"/>
      <c r="AM127" s="27"/>
    </row>
    <row r="128" customFormat="false" ht="23.85" hidden="false" customHeight="false" outlineLevel="0" collapsed="false">
      <c r="A128" s="24" t="s">
        <v>125</v>
      </c>
      <c r="B128" s="25" t="n">
        <v>127</v>
      </c>
      <c r="C128" s="26" t="n">
        <v>4</v>
      </c>
      <c r="D128" s="12" t="s">
        <v>405</v>
      </c>
      <c r="E128" s="12" t="s">
        <v>1854</v>
      </c>
      <c r="F128" s="12" t="s">
        <v>525</v>
      </c>
      <c r="G128" s="14" t="s">
        <v>1855</v>
      </c>
      <c r="H128" s="12" t="s">
        <v>1856</v>
      </c>
      <c r="I128" s="12"/>
      <c r="J128" s="12" t="s">
        <v>486</v>
      </c>
      <c r="K128" s="12" t="s">
        <v>487</v>
      </c>
      <c r="L128" s="12" t="s">
        <v>1857</v>
      </c>
      <c r="M128" s="12"/>
      <c r="N128" s="12"/>
      <c r="O128" s="12" t="s">
        <v>1858</v>
      </c>
      <c r="P128" s="12" t="s">
        <v>1859</v>
      </c>
      <c r="Q128" s="12" t="s">
        <v>1860</v>
      </c>
      <c r="R128" s="12" t="s">
        <v>518</v>
      </c>
      <c r="S128" s="12" t="s">
        <v>1195</v>
      </c>
      <c r="T128" s="12" t="s">
        <v>562</v>
      </c>
      <c r="U128" s="12" t="s">
        <v>494</v>
      </c>
      <c r="V128" s="12" t="s">
        <v>494</v>
      </c>
      <c r="W128" s="12"/>
      <c r="X128" s="12" t="s">
        <v>1861</v>
      </c>
      <c r="Y128" s="12" t="s">
        <v>1862</v>
      </c>
      <c r="Z128" s="12"/>
      <c r="AA128" s="12" t="s">
        <v>1804</v>
      </c>
      <c r="AB128" s="12" t="s">
        <v>123</v>
      </c>
      <c r="AC128" s="14" t="s">
        <v>498</v>
      </c>
      <c r="AD128" s="14" t="s">
        <v>499</v>
      </c>
      <c r="AE128" s="12" t="s">
        <v>500</v>
      </c>
      <c r="AF128" s="27" t="s">
        <v>501</v>
      </c>
      <c r="AG128" s="28"/>
      <c r="AH128" s="27"/>
      <c r="AI128" s="27"/>
      <c r="AJ128" s="27"/>
      <c r="AK128" s="28" t="str">
        <f aca="false">IF(AG128="","",WORKDAY(AG128,5))</f>
        <v/>
      </c>
      <c r="AL128" s="27"/>
      <c r="AM128" s="27"/>
    </row>
    <row r="129" customFormat="false" ht="35.05" hidden="false" customHeight="false" outlineLevel="0" collapsed="false">
      <c r="A129" s="24" t="s">
        <v>125</v>
      </c>
      <c r="B129" s="25" t="n">
        <v>128</v>
      </c>
      <c r="C129" s="26" t="n">
        <v>4</v>
      </c>
      <c r="D129" s="12" t="s">
        <v>405</v>
      </c>
      <c r="E129" s="12" t="s">
        <v>1863</v>
      </c>
      <c r="F129" s="12" t="s">
        <v>525</v>
      </c>
      <c r="G129" s="14" t="s">
        <v>1864</v>
      </c>
      <c r="H129" s="12" t="s">
        <v>1865</v>
      </c>
      <c r="I129" s="12"/>
      <c r="J129" s="12" t="s">
        <v>486</v>
      </c>
      <c r="K129" s="12" t="s">
        <v>487</v>
      </c>
      <c r="L129" s="12" t="s">
        <v>1764</v>
      </c>
      <c r="M129" s="12"/>
      <c r="N129" s="12"/>
      <c r="O129" s="12" t="s">
        <v>1866</v>
      </c>
      <c r="P129" s="12" t="s">
        <v>1867</v>
      </c>
      <c r="Q129" s="12" t="s">
        <v>508</v>
      </c>
      <c r="R129" s="12" t="s">
        <v>518</v>
      </c>
      <c r="S129" s="12" t="s">
        <v>1868</v>
      </c>
      <c r="T129" s="12" t="s">
        <v>1869</v>
      </c>
      <c r="U129" s="12" t="s">
        <v>494</v>
      </c>
      <c r="V129" s="12" t="s">
        <v>494</v>
      </c>
      <c r="W129" s="12"/>
      <c r="X129" s="12" t="s">
        <v>1870</v>
      </c>
      <c r="Y129" s="12" t="s">
        <v>1871</v>
      </c>
      <c r="Z129" s="12"/>
      <c r="AA129" s="12" t="s">
        <v>1872</v>
      </c>
      <c r="AB129" s="12" t="s">
        <v>123</v>
      </c>
      <c r="AC129" s="14" t="s">
        <v>498</v>
      </c>
      <c r="AD129" s="14" t="s">
        <v>499</v>
      </c>
      <c r="AE129" s="12" t="s">
        <v>568</v>
      </c>
      <c r="AF129" s="27" t="s">
        <v>501</v>
      </c>
      <c r="AG129" s="28"/>
      <c r="AH129" s="27"/>
      <c r="AI129" s="27"/>
      <c r="AJ129" s="27"/>
      <c r="AK129" s="28" t="str">
        <f aca="false">IF(AG129="","",WORKDAY(AG129,5))</f>
        <v/>
      </c>
      <c r="AL129" s="27"/>
      <c r="AM129" s="27"/>
    </row>
    <row r="130" customFormat="false" ht="23.85" hidden="false" customHeight="false" outlineLevel="0" collapsed="false">
      <c r="A130" s="29" t="s">
        <v>1873</v>
      </c>
      <c r="B130" s="30" t="n">
        <v>129</v>
      </c>
      <c r="C130" s="21" t="n">
        <v>4</v>
      </c>
      <c r="D130" s="8" t="s">
        <v>143</v>
      </c>
      <c r="E130" s="8" t="s">
        <v>1874</v>
      </c>
      <c r="F130" s="8" t="s">
        <v>483</v>
      </c>
      <c r="G130" s="10" t="s">
        <v>1875</v>
      </c>
      <c r="H130" s="8" t="s">
        <v>1876</v>
      </c>
      <c r="I130" s="8"/>
      <c r="J130" s="8" t="s">
        <v>486</v>
      </c>
      <c r="K130" s="8" t="s">
        <v>627</v>
      </c>
      <c r="L130" s="8" t="s">
        <v>1877</v>
      </c>
      <c r="M130" s="8"/>
      <c r="N130" s="8"/>
      <c r="O130" s="8" t="s">
        <v>395</v>
      </c>
      <c r="P130" s="8" t="s">
        <v>1878</v>
      </c>
      <c r="Q130" s="8" t="s">
        <v>1879</v>
      </c>
      <c r="R130" s="8" t="s">
        <v>491</v>
      </c>
      <c r="S130" s="8" t="s">
        <v>1880</v>
      </c>
      <c r="T130" s="8" t="s">
        <v>1349</v>
      </c>
      <c r="U130" s="8" t="s">
        <v>494</v>
      </c>
      <c r="V130" s="8" t="s">
        <v>494</v>
      </c>
      <c r="W130" s="8"/>
      <c r="X130" s="8" t="s">
        <v>1881</v>
      </c>
      <c r="Y130" s="8" t="s">
        <v>1882</v>
      </c>
      <c r="Z130" s="8"/>
      <c r="AA130" s="8" t="s">
        <v>1883</v>
      </c>
      <c r="AB130" s="8" t="s">
        <v>179</v>
      </c>
      <c r="AC130" s="10" t="s">
        <v>498</v>
      </c>
      <c r="AD130" s="10" t="s">
        <v>499</v>
      </c>
      <c r="AE130" s="8" t="s">
        <v>500</v>
      </c>
      <c r="AF130" s="22" t="s">
        <v>501</v>
      </c>
      <c r="AG130" s="23"/>
      <c r="AH130" s="22"/>
      <c r="AI130" s="22"/>
      <c r="AJ130" s="22"/>
      <c r="AK130" s="23" t="str">
        <f aca="false">IF(AG130="","",WORKDAY(AG130,5))</f>
        <v/>
      </c>
      <c r="AL130" s="22"/>
      <c r="AM130" s="22"/>
    </row>
    <row r="131" customFormat="false" ht="23.85" hidden="false" customHeight="false" outlineLevel="0" collapsed="false">
      <c r="A131" s="31" t="s">
        <v>1873</v>
      </c>
      <c r="B131" s="32" t="n">
        <v>130</v>
      </c>
      <c r="C131" s="26" t="n">
        <v>3</v>
      </c>
      <c r="D131" s="12" t="s">
        <v>143</v>
      </c>
      <c r="E131" s="12" t="s">
        <v>1884</v>
      </c>
      <c r="F131" s="12" t="s">
        <v>483</v>
      </c>
      <c r="G131" s="14" t="s">
        <v>1885</v>
      </c>
      <c r="H131" s="12" t="s">
        <v>1886</v>
      </c>
      <c r="I131" s="12"/>
      <c r="J131" s="12" t="s">
        <v>486</v>
      </c>
      <c r="K131" s="12" t="s">
        <v>627</v>
      </c>
      <c r="L131" s="12" t="s">
        <v>1887</v>
      </c>
      <c r="M131" s="12" t="s">
        <v>1888</v>
      </c>
      <c r="N131" s="12"/>
      <c r="O131" s="12" t="s">
        <v>126</v>
      </c>
      <c r="P131" s="12" t="s">
        <v>1889</v>
      </c>
      <c r="Q131" s="12" t="s">
        <v>1890</v>
      </c>
      <c r="R131" s="12" t="s">
        <v>491</v>
      </c>
      <c r="S131" s="12" t="s">
        <v>1891</v>
      </c>
      <c r="T131" s="12" t="s">
        <v>562</v>
      </c>
      <c r="U131" s="12" t="s">
        <v>494</v>
      </c>
      <c r="V131" s="12" t="s">
        <v>494</v>
      </c>
      <c r="W131" s="12"/>
      <c r="X131" s="12" t="s">
        <v>1892</v>
      </c>
      <c r="Y131" s="12" t="s">
        <v>1893</v>
      </c>
      <c r="Z131" s="12"/>
      <c r="AA131" s="12" t="s">
        <v>1894</v>
      </c>
      <c r="AB131" s="12" t="s">
        <v>123</v>
      </c>
      <c r="AC131" s="14" t="s">
        <v>498</v>
      </c>
      <c r="AD131" s="14" t="s">
        <v>499</v>
      </c>
      <c r="AE131" s="12" t="s">
        <v>500</v>
      </c>
      <c r="AF131" s="27" t="s">
        <v>501</v>
      </c>
      <c r="AG131" s="28"/>
      <c r="AH131" s="27"/>
      <c r="AI131" s="27"/>
      <c r="AJ131" s="27"/>
      <c r="AK131" s="28" t="str">
        <f aca="false">IF(AG131="","",WORKDAY(AG131,5))</f>
        <v/>
      </c>
      <c r="AL131" s="27"/>
      <c r="AM131" s="27"/>
    </row>
    <row r="132" customFormat="false" ht="23.85" hidden="false" customHeight="false" outlineLevel="0" collapsed="false">
      <c r="A132" s="31" t="s">
        <v>1873</v>
      </c>
      <c r="B132" s="32" t="n">
        <v>131</v>
      </c>
      <c r="C132" s="26" t="n">
        <v>4</v>
      </c>
      <c r="D132" s="12" t="s">
        <v>143</v>
      </c>
      <c r="E132" s="34" t="s">
        <v>1895</v>
      </c>
      <c r="F132" s="12" t="s">
        <v>525</v>
      </c>
      <c r="G132" s="14" t="s">
        <v>1896</v>
      </c>
      <c r="H132" s="12" t="s">
        <v>1897</v>
      </c>
      <c r="I132" s="12"/>
      <c r="J132" s="12" t="s">
        <v>486</v>
      </c>
      <c r="K132" s="12" t="s">
        <v>627</v>
      </c>
      <c r="L132" s="12" t="s">
        <v>1898</v>
      </c>
      <c r="M132" s="12" t="s">
        <v>1899</v>
      </c>
      <c r="N132" s="12" t="s">
        <v>1900</v>
      </c>
      <c r="O132" s="12" t="s">
        <v>1901</v>
      </c>
      <c r="P132" s="12" t="s">
        <v>1902</v>
      </c>
      <c r="Q132" s="12" t="s">
        <v>1903</v>
      </c>
      <c r="R132" s="12" t="s">
        <v>518</v>
      </c>
      <c r="S132" s="12" t="s">
        <v>1904</v>
      </c>
      <c r="T132" s="12" t="s">
        <v>562</v>
      </c>
      <c r="U132" s="12" t="s">
        <v>494</v>
      </c>
      <c r="V132" s="12" t="s">
        <v>494</v>
      </c>
      <c r="W132" s="12"/>
      <c r="X132" s="12" t="s">
        <v>1905</v>
      </c>
      <c r="Y132" s="12" t="s">
        <v>1906</v>
      </c>
      <c r="Z132" s="12"/>
      <c r="AA132" s="12" t="s">
        <v>1907</v>
      </c>
      <c r="AB132" s="12" t="s">
        <v>179</v>
      </c>
      <c r="AC132" s="14" t="s">
        <v>498</v>
      </c>
      <c r="AD132" s="14" t="s">
        <v>499</v>
      </c>
      <c r="AE132" s="12" t="s">
        <v>638</v>
      </c>
      <c r="AF132" s="27" t="s">
        <v>501</v>
      </c>
      <c r="AG132" s="28"/>
      <c r="AH132" s="27"/>
      <c r="AI132" s="27"/>
      <c r="AJ132" s="27"/>
      <c r="AK132" s="28" t="str">
        <f aca="false">IF(AG132="","",WORKDAY(AG132,5))</f>
        <v/>
      </c>
      <c r="AL132" s="27"/>
      <c r="AM132" s="27"/>
    </row>
    <row r="133" customFormat="false" ht="23.85" hidden="false" customHeight="false" outlineLevel="0" collapsed="false">
      <c r="A133" s="31" t="s">
        <v>1873</v>
      </c>
      <c r="B133" s="32" t="n">
        <v>132</v>
      </c>
      <c r="C133" s="26" t="n">
        <v>3</v>
      </c>
      <c r="D133" s="12" t="s">
        <v>143</v>
      </c>
      <c r="E133" s="34" t="s">
        <v>1908</v>
      </c>
      <c r="F133" s="12" t="s">
        <v>525</v>
      </c>
      <c r="G133" s="14" t="s">
        <v>1909</v>
      </c>
      <c r="H133" s="12" t="s">
        <v>1910</v>
      </c>
      <c r="I133" s="12"/>
      <c r="J133" s="12" t="s">
        <v>486</v>
      </c>
      <c r="K133" s="12" t="s">
        <v>627</v>
      </c>
      <c r="L133" s="12" t="s">
        <v>1911</v>
      </c>
      <c r="M133" s="12" t="s">
        <v>1912</v>
      </c>
      <c r="N133" s="12"/>
      <c r="O133" s="12" t="s">
        <v>126</v>
      </c>
      <c r="P133" s="12" t="s">
        <v>1913</v>
      </c>
      <c r="Q133" s="12" t="s">
        <v>1914</v>
      </c>
      <c r="R133" s="12" t="s">
        <v>491</v>
      </c>
      <c r="S133" s="12" t="s">
        <v>1915</v>
      </c>
      <c r="T133" s="12" t="s">
        <v>562</v>
      </c>
      <c r="U133" s="12" t="s">
        <v>494</v>
      </c>
      <c r="V133" s="12" t="s">
        <v>494</v>
      </c>
      <c r="W133" s="12"/>
      <c r="X133" s="12" t="s">
        <v>1916</v>
      </c>
      <c r="Y133" s="12" t="s">
        <v>1917</v>
      </c>
      <c r="Z133" s="12"/>
      <c r="AA133" s="12" t="s">
        <v>1918</v>
      </c>
      <c r="AB133" s="12" t="s">
        <v>204</v>
      </c>
      <c r="AC133" s="14" t="s">
        <v>498</v>
      </c>
      <c r="AD133" s="14" t="s">
        <v>499</v>
      </c>
      <c r="AE133" s="12" t="s">
        <v>638</v>
      </c>
      <c r="AF133" s="27" t="s">
        <v>501</v>
      </c>
      <c r="AG133" s="28"/>
      <c r="AH133" s="27"/>
      <c r="AI133" s="27"/>
      <c r="AJ133" s="27"/>
      <c r="AK133" s="28" t="str">
        <f aca="false">IF(AG133="","",WORKDAY(AG133,5))</f>
        <v/>
      </c>
      <c r="AL133" s="27"/>
      <c r="AM133" s="27"/>
    </row>
    <row r="134" customFormat="false" ht="35.05" hidden="false" customHeight="false" outlineLevel="0" collapsed="false">
      <c r="A134" s="19" t="s">
        <v>1919</v>
      </c>
      <c r="B134" s="20" t="n">
        <v>133</v>
      </c>
      <c r="C134" s="21" t="n">
        <v>3</v>
      </c>
      <c r="D134" s="8" t="s">
        <v>143</v>
      </c>
      <c r="E134" s="33" t="s">
        <v>1920</v>
      </c>
      <c r="F134" s="8" t="s">
        <v>525</v>
      </c>
      <c r="G134" s="10" t="s">
        <v>1921</v>
      </c>
      <c r="H134" s="8" t="s">
        <v>1922</v>
      </c>
      <c r="I134" s="8"/>
      <c r="J134" s="8" t="s">
        <v>486</v>
      </c>
      <c r="K134" s="8" t="s">
        <v>627</v>
      </c>
      <c r="L134" s="8" t="s">
        <v>1923</v>
      </c>
      <c r="M134" s="8"/>
      <c r="N134" s="8"/>
      <c r="O134" s="8" t="s">
        <v>126</v>
      </c>
      <c r="P134" s="8" t="s">
        <v>1924</v>
      </c>
      <c r="Q134" s="8" t="s">
        <v>1925</v>
      </c>
      <c r="R134" s="8" t="s">
        <v>518</v>
      </c>
      <c r="S134" s="8" t="s">
        <v>1926</v>
      </c>
      <c r="T134" s="8" t="s">
        <v>562</v>
      </c>
      <c r="U134" s="8" t="s">
        <v>494</v>
      </c>
      <c r="V134" s="8" t="s">
        <v>494</v>
      </c>
      <c r="W134" s="8"/>
      <c r="X134" s="8" t="s">
        <v>1927</v>
      </c>
      <c r="Y134" s="8" t="s">
        <v>1928</v>
      </c>
      <c r="Z134" s="8" t="s">
        <v>1929</v>
      </c>
      <c r="AA134" s="8" t="s">
        <v>1930</v>
      </c>
      <c r="AB134" s="8" t="s">
        <v>179</v>
      </c>
      <c r="AC134" s="10" t="s">
        <v>498</v>
      </c>
      <c r="AD134" s="10" t="s">
        <v>499</v>
      </c>
      <c r="AE134" s="8" t="s">
        <v>638</v>
      </c>
      <c r="AF134" s="22" t="s">
        <v>501</v>
      </c>
      <c r="AG134" s="23"/>
      <c r="AH134" s="22"/>
      <c r="AI134" s="22"/>
      <c r="AJ134" s="22"/>
      <c r="AK134" s="23" t="str">
        <f aca="false">IF(AG134="","",WORKDAY(AG134,5))</f>
        <v/>
      </c>
      <c r="AL134" s="22"/>
      <c r="AM134" s="22"/>
    </row>
    <row r="135" customFormat="false" ht="23.85" hidden="false" customHeight="false" outlineLevel="0" collapsed="false">
      <c r="A135" s="24" t="s">
        <v>1919</v>
      </c>
      <c r="B135" s="25" t="n">
        <v>134</v>
      </c>
      <c r="C135" s="26" t="n">
        <v>4</v>
      </c>
      <c r="D135" s="12" t="s">
        <v>281</v>
      </c>
      <c r="E135" s="12" t="s">
        <v>1931</v>
      </c>
      <c r="F135" s="12" t="s">
        <v>483</v>
      </c>
      <c r="G135" s="14" t="s">
        <v>1932</v>
      </c>
      <c r="H135" s="12" t="s">
        <v>1933</v>
      </c>
      <c r="I135" s="12"/>
      <c r="J135" s="12" t="s">
        <v>486</v>
      </c>
      <c r="K135" s="12" t="s">
        <v>627</v>
      </c>
      <c r="L135" s="12" t="s">
        <v>1934</v>
      </c>
      <c r="M135" s="12"/>
      <c r="N135" s="12"/>
      <c r="O135" s="12" t="s">
        <v>126</v>
      </c>
      <c r="P135" s="12" t="s">
        <v>1935</v>
      </c>
      <c r="Q135" s="12" t="s">
        <v>751</v>
      </c>
      <c r="R135" s="12" t="s">
        <v>518</v>
      </c>
      <c r="S135" s="12" t="s">
        <v>1936</v>
      </c>
      <c r="T135" s="12" t="s">
        <v>1937</v>
      </c>
      <c r="U135" s="12" t="s">
        <v>494</v>
      </c>
      <c r="V135" s="12" t="s">
        <v>494</v>
      </c>
      <c r="W135" s="12"/>
      <c r="X135" s="12" t="s">
        <v>1938</v>
      </c>
      <c r="Y135" s="12" t="s">
        <v>1939</v>
      </c>
      <c r="Z135" s="12"/>
      <c r="AA135" s="12" t="s">
        <v>1940</v>
      </c>
      <c r="AB135" s="12" t="s">
        <v>204</v>
      </c>
      <c r="AC135" s="14" t="s">
        <v>498</v>
      </c>
      <c r="AD135" s="14" t="s">
        <v>499</v>
      </c>
      <c r="AE135" s="12" t="s">
        <v>500</v>
      </c>
      <c r="AF135" s="27" t="s">
        <v>501</v>
      </c>
      <c r="AG135" s="28"/>
      <c r="AH135" s="27"/>
      <c r="AI135" s="27"/>
      <c r="AJ135" s="27"/>
      <c r="AK135" s="28" t="str">
        <f aca="false">IF(AG135="","",WORKDAY(AG135,5))</f>
        <v/>
      </c>
      <c r="AL135" s="27"/>
      <c r="AM135" s="27"/>
    </row>
    <row r="136" customFormat="false" ht="35.05" hidden="false" customHeight="false" outlineLevel="0" collapsed="false">
      <c r="A136" s="24" t="s">
        <v>1919</v>
      </c>
      <c r="B136" s="25" t="n">
        <v>135</v>
      </c>
      <c r="C136" s="26" t="n">
        <v>3</v>
      </c>
      <c r="D136" s="12" t="s">
        <v>281</v>
      </c>
      <c r="E136" s="34" t="s">
        <v>1941</v>
      </c>
      <c r="F136" s="12" t="s">
        <v>525</v>
      </c>
      <c r="G136" s="14" t="s">
        <v>1942</v>
      </c>
      <c r="H136" s="12" t="s">
        <v>1933</v>
      </c>
      <c r="I136" s="12"/>
      <c r="J136" s="12" t="s">
        <v>486</v>
      </c>
      <c r="K136" s="12" t="s">
        <v>627</v>
      </c>
      <c r="L136" s="12" t="s">
        <v>1943</v>
      </c>
      <c r="M136" s="12" t="s">
        <v>1944</v>
      </c>
      <c r="N136" s="12" t="s">
        <v>1945</v>
      </c>
      <c r="O136" s="12" t="s">
        <v>688</v>
      </c>
      <c r="P136" s="12" t="s">
        <v>1946</v>
      </c>
      <c r="Q136" s="12" t="s">
        <v>1947</v>
      </c>
      <c r="R136" s="12" t="s">
        <v>518</v>
      </c>
      <c r="S136" s="12" t="s">
        <v>1948</v>
      </c>
      <c r="T136" s="12" t="s">
        <v>562</v>
      </c>
      <c r="U136" s="12" t="s">
        <v>494</v>
      </c>
      <c r="V136" s="12" t="s">
        <v>494</v>
      </c>
      <c r="W136" s="12"/>
      <c r="X136" s="12" t="s">
        <v>1949</v>
      </c>
      <c r="Y136" s="12" t="s">
        <v>1950</v>
      </c>
      <c r="Z136" s="12"/>
      <c r="AA136" s="12" t="s">
        <v>1951</v>
      </c>
      <c r="AB136" s="12" t="s">
        <v>497</v>
      </c>
      <c r="AC136" s="14" t="s">
        <v>498</v>
      </c>
      <c r="AD136" s="14" t="s">
        <v>499</v>
      </c>
      <c r="AE136" s="12" t="s">
        <v>638</v>
      </c>
      <c r="AF136" s="27" t="s">
        <v>501</v>
      </c>
      <c r="AG136" s="28"/>
      <c r="AH136" s="27"/>
      <c r="AI136" s="27"/>
      <c r="AJ136" s="27"/>
      <c r="AK136" s="28" t="str">
        <f aca="false">IF(AG136="","",WORKDAY(AG136,5))</f>
        <v/>
      </c>
      <c r="AL136" s="27"/>
      <c r="AM136" s="27"/>
    </row>
    <row r="137" customFormat="false" ht="35.05" hidden="false" customHeight="false" outlineLevel="0" collapsed="false">
      <c r="A137" s="29" t="s">
        <v>1952</v>
      </c>
      <c r="B137" s="30" t="n">
        <v>136</v>
      </c>
      <c r="C137" s="21" t="n">
        <v>4</v>
      </c>
      <c r="D137" s="8" t="s">
        <v>143</v>
      </c>
      <c r="E137" s="8" t="s">
        <v>1953</v>
      </c>
      <c r="F137" s="8" t="s">
        <v>483</v>
      </c>
      <c r="G137" s="10" t="s">
        <v>1954</v>
      </c>
      <c r="H137" s="8" t="s">
        <v>1955</v>
      </c>
      <c r="I137" s="8"/>
      <c r="J137" s="8" t="s">
        <v>486</v>
      </c>
      <c r="K137" s="8" t="s">
        <v>487</v>
      </c>
      <c r="L137" s="8" t="s">
        <v>1956</v>
      </c>
      <c r="M137" s="8"/>
      <c r="N137" s="8"/>
      <c r="O137" s="8" t="s">
        <v>1957</v>
      </c>
      <c r="P137" s="8" t="s">
        <v>1958</v>
      </c>
      <c r="Q137" s="8" t="s">
        <v>1959</v>
      </c>
      <c r="R137" s="8" t="s">
        <v>518</v>
      </c>
      <c r="S137" s="8" t="s">
        <v>1960</v>
      </c>
      <c r="T137" s="8" t="s">
        <v>1961</v>
      </c>
      <c r="U137" s="8" t="s">
        <v>494</v>
      </c>
      <c r="V137" s="8" t="s">
        <v>494</v>
      </c>
      <c r="W137" s="8"/>
      <c r="X137" s="8" t="s">
        <v>1962</v>
      </c>
      <c r="Y137" s="8" t="s">
        <v>1963</v>
      </c>
      <c r="Z137" s="8"/>
      <c r="AA137" s="8" t="s">
        <v>1964</v>
      </c>
      <c r="AB137" s="8" t="s">
        <v>1965</v>
      </c>
      <c r="AC137" s="10" t="s">
        <v>498</v>
      </c>
      <c r="AD137" s="10" t="s">
        <v>499</v>
      </c>
      <c r="AE137" s="8" t="s">
        <v>500</v>
      </c>
      <c r="AF137" s="22" t="s">
        <v>501</v>
      </c>
      <c r="AG137" s="23"/>
      <c r="AH137" s="22"/>
      <c r="AI137" s="22"/>
      <c r="AJ137" s="22"/>
      <c r="AK137" s="23" t="str">
        <f aca="false">IF(AG137="","",WORKDAY(AG137,5))</f>
        <v/>
      </c>
      <c r="AL137" s="22"/>
      <c r="AM137" s="22"/>
    </row>
    <row r="138" customFormat="false" ht="23.85" hidden="false" customHeight="false" outlineLevel="0" collapsed="false">
      <c r="A138" s="31" t="s">
        <v>1952</v>
      </c>
      <c r="B138" s="32" t="n">
        <v>137</v>
      </c>
      <c r="C138" s="26" t="n">
        <v>3</v>
      </c>
      <c r="D138" s="12" t="s">
        <v>281</v>
      </c>
      <c r="E138" s="12" t="s">
        <v>1966</v>
      </c>
      <c r="F138" s="12" t="s">
        <v>483</v>
      </c>
      <c r="G138" s="14" t="s">
        <v>1967</v>
      </c>
      <c r="H138" s="12" t="s">
        <v>1968</v>
      </c>
      <c r="I138" s="12"/>
      <c r="J138" s="12" t="s">
        <v>486</v>
      </c>
      <c r="K138" s="12" t="s">
        <v>487</v>
      </c>
      <c r="L138" s="12" t="s">
        <v>1969</v>
      </c>
      <c r="M138" s="12" t="s">
        <v>1970</v>
      </c>
      <c r="N138" s="12"/>
      <c r="O138" s="12" t="s">
        <v>1971</v>
      </c>
      <c r="P138" s="12" t="s">
        <v>1972</v>
      </c>
      <c r="Q138" s="12" t="s">
        <v>1973</v>
      </c>
      <c r="R138" s="12" t="s">
        <v>491</v>
      </c>
      <c r="S138" s="12" t="s">
        <v>1974</v>
      </c>
      <c r="T138" s="12" t="s">
        <v>1975</v>
      </c>
      <c r="U138" s="12" t="s">
        <v>494</v>
      </c>
      <c r="V138" s="12" t="s">
        <v>494</v>
      </c>
      <c r="W138" s="12"/>
      <c r="X138" s="12" t="s">
        <v>1976</v>
      </c>
      <c r="Y138" s="12" t="s">
        <v>1977</v>
      </c>
      <c r="Z138" s="12" t="s">
        <v>1978</v>
      </c>
      <c r="AA138" s="12" t="s">
        <v>1979</v>
      </c>
      <c r="AB138" s="12" t="s">
        <v>179</v>
      </c>
      <c r="AC138" s="14" t="s">
        <v>498</v>
      </c>
      <c r="AD138" s="14" t="s">
        <v>499</v>
      </c>
      <c r="AE138" s="12" t="s">
        <v>500</v>
      </c>
      <c r="AF138" s="27" t="s">
        <v>501</v>
      </c>
      <c r="AG138" s="28"/>
      <c r="AH138" s="27"/>
      <c r="AI138" s="27"/>
      <c r="AJ138" s="27"/>
      <c r="AK138" s="28" t="str">
        <f aca="false">IF(AG138="","",WORKDAY(AG138,5))</f>
        <v/>
      </c>
      <c r="AL138" s="27"/>
      <c r="AM138" s="27"/>
    </row>
    <row r="139" customFormat="false" ht="46.25" hidden="false" customHeight="false" outlineLevel="0" collapsed="false">
      <c r="A139" s="19" t="s">
        <v>138</v>
      </c>
      <c r="B139" s="20" t="n">
        <v>138</v>
      </c>
      <c r="C139" s="21" t="n">
        <v>3</v>
      </c>
      <c r="D139" s="8" t="s">
        <v>108</v>
      </c>
      <c r="E139" s="8" t="s">
        <v>137</v>
      </c>
      <c r="F139" s="8" t="s">
        <v>735</v>
      </c>
      <c r="G139" s="10" t="s">
        <v>142</v>
      </c>
      <c r="H139" s="8" t="s">
        <v>1980</v>
      </c>
      <c r="I139" s="8"/>
      <c r="J139" s="8" t="s">
        <v>486</v>
      </c>
      <c r="K139" s="8" t="s">
        <v>1981</v>
      </c>
      <c r="L139" s="8" t="s">
        <v>1982</v>
      </c>
      <c r="M139" s="8" t="s">
        <v>141</v>
      </c>
      <c r="N139" s="8"/>
      <c r="O139" s="8" t="s">
        <v>126</v>
      </c>
      <c r="P139" s="8" t="s">
        <v>139</v>
      </c>
      <c r="Q139" s="8" t="s">
        <v>1983</v>
      </c>
      <c r="R139" s="8" t="s">
        <v>491</v>
      </c>
      <c r="S139" s="8" t="s">
        <v>1984</v>
      </c>
      <c r="T139" s="8" t="s">
        <v>1985</v>
      </c>
      <c r="U139" s="8" t="s">
        <v>494</v>
      </c>
      <c r="V139" s="8" t="s">
        <v>494</v>
      </c>
      <c r="W139" s="8"/>
      <c r="X139" s="8" t="s">
        <v>1986</v>
      </c>
      <c r="Y139" s="8" t="s">
        <v>140</v>
      </c>
      <c r="Z139" s="8" t="s">
        <v>1987</v>
      </c>
      <c r="AA139" s="8" t="s">
        <v>1988</v>
      </c>
      <c r="AB139" s="8" t="s">
        <v>123</v>
      </c>
      <c r="AC139" s="10" t="s">
        <v>498</v>
      </c>
      <c r="AD139" s="10" t="s">
        <v>499</v>
      </c>
      <c r="AE139" s="8" t="s">
        <v>500</v>
      </c>
      <c r="AF139" s="22" t="s">
        <v>501</v>
      </c>
      <c r="AG139" s="23"/>
      <c r="AH139" s="22"/>
      <c r="AI139" s="22"/>
      <c r="AJ139" s="22"/>
      <c r="AK139" s="23" t="str">
        <f aca="false">IF(AG139="","",WORKDAY(AG139,5))</f>
        <v/>
      </c>
      <c r="AL139" s="22"/>
      <c r="AM139" s="22"/>
    </row>
    <row r="140" customFormat="false" ht="23.85" hidden="false" customHeight="false" outlineLevel="0" collapsed="false">
      <c r="A140" s="24" t="s">
        <v>138</v>
      </c>
      <c r="B140" s="25" t="n">
        <v>139</v>
      </c>
      <c r="C140" s="26" t="n">
        <v>3</v>
      </c>
      <c r="D140" s="12" t="s">
        <v>108</v>
      </c>
      <c r="E140" s="12" t="s">
        <v>1989</v>
      </c>
      <c r="F140" s="12" t="s">
        <v>525</v>
      </c>
      <c r="G140" s="14" t="s">
        <v>1990</v>
      </c>
      <c r="H140" s="12" t="s">
        <v>1991</v>
      </c>
      <c r="I140" s="12"/>
      <c r="J140" s="12" t="s">
        <v>486</v>
      </c>
      <c r="K140" s="12" t="s">
        <v>1981</v>
      </c>
      <c r="L140" s="12" t="s">
        <v>1992</v>
      </c>
      <c r="M140" s="12"/>
      <c r="N140" s="12"/>
      <c r="O140" s="12" t="s">
        <v>126</v>
      </c>
      <c r="P140" s="12" t="s">
        <v>1993</v>
      </c>
      <c r="Q140" s="12" t="s">
        <v>1994</v>
      </c>
      <c r="R140" s="12" t="s">
        <v>518</v>
      </c>
      <c r="S140" s="12" t="s">
        <v>1995</v>
      </c>
      <c r="T140" s="12" t="s">
        <v>562</v>
      </c>
      <c r="U140" s="12" t="s">
        <v>494</v>
      </c>
      <c r="V140" s="12" t="s">
        <v>494</v>
      </c>
      <c r="W140" s="12"/>
      <c r="X140" s="12" t="s">
        <v>1996</v>
      </c>
      <c r="Y140" s="12" t="s">
        <v>1997</v>
      </c>
      <c r="Z140" s="12"/>
      <c r="AA140" s="12" t="s">
        <v>1998</v>
      </c>
      <c r="AB140" s="12" t="s">
        <v>204</v>
      </c>
      <c r="AC140" s="14" t="s">
        <v>498</v>
      </c>
      <c r="AD140" s="14" t="s">
        <v>499</v>
      </c>
      <c r="AE140" s="12" t="s">
        <v>500</v>
      </c>
      <c r="AF140" s="27" t="s">
        <v>501</v>
      </c>
      <c r="AG140" s="28"/>
      <c r="AH140" s="27"/>
      <c r="AI140" s="27"/>
      <c r="AJ140" s="27"/>
      <c r="AK140" s="28" t="str">
        <f aca="false">IF(AG140="","",WORKDAY(AG140,5))</f>
        <v/>
      </c>
      <c r="AL140" s="27"/>
      <c r="AM140" s="27"/>
    </row>
    <row r="141" customFormat="false" ht="23.85" hidden="false" customHeight="false" outlineLevel="0" collapsed="false">
      <c r="A141" s="24" t="s">
        <v>138</v>
      </c>
      <c r="B141" s="25" t="n">
        <v>140</v>
      </c>
      <c r="C141" s="26" t="n">
        <v>3</v>
      </c>
      <c r="D141" s="12" t="s">
        <v>108</v>
      </c>
      <c r="E141" s="12" t="s">
        <v>1999</v>
      </c>
      <c r="F141" s="12" t="s">
        <v>525</v>
      </c>
      <c r="G141" s="14" t="s">
        <v>2000</v>
      </c>
      <c r="H141" s="12" t="s">
        <v>2001</v>
      </c>
      <c r="I141" s="12"/>
      <c r="J141" s="12" t="s">
        <v>486</v>
      </c>
      <c r="K141" s="12" t="s">
        <v>1981</v>
      </c>
      <c r="L141" s="12" t="s">
        <v>2002</v>
      </c>
      <c r="M141" s="12"/>
      <c r="N141" s="12"/>
      <c r="O141" s="12" t="s">
        <v>126</v>
      </c>
      <c r="P141" s="12" t="s">
        <v>2003</v>
      </c>
      <c r="Q141" s="12" t="s">
        <v>2004</v>
      </c>
      <c r="R141" s="12" t="s">
        <v>2005</v>
      </c>
      <c r="S141" s="12" t="s">
        <v>2006</v>
      </c>
      <c r="T141" s="12" t="s">
        <v>562</v>
      </c>
      <c r="U141" s="12" t="s">
        <v>494</v>
      </c>
      <c r="V141" s="12" t="s">
        <v>494</v>
      </c>
      <c r="W141" s="12"/>
      <c r="X141" s="12" t="s">
        <v>2007</v>
      </c>
      <c r="Y141" s="12" t="s">
        <v>2008</v>
      </c>
      <c r="Z141" s="12" t="s">
        <v>2009</v>
      </c>
      <c r="AA141" s="12" t="s">
        <v>2010</v>
      </c>
      <c r="AB141" s="12" t="s">
        <v>123</v>
      </c>
      <c r="AC141" s="14" t="s">
        <v>498</v>
      </c>
      <c r="AD141" s="14" t="s">
        <v>499</v>
      </c>
      <c r="AE141" s="12" t="s">
        <v>500</v>
      </c>
      <c r="AF141" s="27" t="s">
        <v>501</v>
      </c>
      <c r="AG141" s="28"/>
      <c r="AH141" s="27"/>
      <c r="AI141" s="27"/>
      <c r="AJ141" s="27"/>
      <c r="AK141" s="28" t="str">
        <f aca="false">IF(AG141="","",WORKDAY(AG141,5))</f>
        <v/>
      </c>
      <c r="AL141" s="27"/>
      <c r="AM141" s="27"/>
    </row>
    <row r="142" customFormat="false" ht="23.85" hidden="false" customHeight="false" outlineLevel="0" collapsed="false">
      <c r="A142" s="24" t="s">
        <v>138</v>
      </c>
      <c r="B142" s="25" t="n">
        <v>141</v>
      </c>
      <c r="C142" s="26" t="n">
        <v>3</v>
      </c>
      <c r="D142" s="12" t="s">
        <v>143</v>
      </c>
      <c r="E142" s="12" t="s">
        <v>2011</v>
      </c>
      <c r="F142" s="12" t="s">
        <v>525</v>
      </c>
      <c r="G142" s="14" t="s">
        <v>2012</v>
      </c>
      <c r="H142" s="12" t="s">
        <v>2013</v>
      </c>
      <c r="I142" s="12"/>
      <c r="J142" s="12" t="s">
        <v>486</v>
      </c>
      <c r="K142" s="12" t="s">
        <v>1981</v>
      </c>
      <c r="L142" s="12" t="s">
        <v>2014</v>
      </c>
      <c r="M142" s="12"/>
      <c r="N142" s="12"/>
      <c r="O142" s="12" t="s">
        <v>192</v>
      </c>
      <c r="P142" s="12" t="s">
        <v>2015</v>
      </c>
      <c r="Q142" s="12" t="s">
        <v>2016</v>
      </c>
      <c r="R142" s="12" t="s">
        <v>491</v>
      </c>
      <c r="S142" s="12" t="s">
        <v>492</v>
      </c>
      <c r="T142" s="12" t="s">
        <v>562</v>
      </c>
      <c r="U142" s="12" t="s">
        <v>494</v>
      </c>
      <c r="V142" s="12" t="s">
        <v>494</v>
      </c>
      <c r="W142" s="12"/>
      <c r="X142" s="12" t="s">
        <v>2017</v>
      </c>
      <c r="Y142" s="12"/>
      <c r="Z142" s="12"/>
      <c r="AA142" s="12" t="s">
        <v>2018</v>
      </c>
      <c r="AB142" s="12" t="s">
        <v>123</v>
      </c>
      <c r="AC142" s="14" t="s">
        <v>498</v>
      </c>
      <c r="AD142" s="14" t="s">
        <v>499</v>
      </c>
      <c r="AE142" s="12" t="s">
        <v>500</v>
      </c>
      <c r="AF142" s="27" t="s">
        <v>501</v>
      </c>
      <c r="AG142" s="28"/>
      <c r="AH142" s="27"/>
      <c r="AI142" s="27"/>
      <c r="AJ142" s="27"/>
      <c r="AK142" s="28" t="str">
        <f aca="false">IF(AG142="","",WORKDAY(AG142,5))</f>
        <v/>
      </c>
      <c r="AL142" s="27"/>
      <c r="AM142" s="27"/>
    </row>
    <row r="143" customFormat="false" ht="23.85" hidden="false" customHeight="false" outlineLevel="0" collapsed="false">
      <c r="A143" s="24" t="s">
        <v>138</v>
      </c>
      <c r="B143" s="25" t="n">
        <v>142</v>
      </c>
      <c r="C143" s="26" t="n">
        <v>4</v>
      </c>
      <c r="D143" s="12" t="s">
        <v>166</v>
      </c>
      <c r="E143" s="12" t="s">
        <v>2019</v>
      </c>
      <c r="F143" s="12" t="s">
        <v>483</v>
      </c>
      <c r="G143" s="14" t="s">
        <v>2020</v>
      </c>
      <c r="H143" s="12" t="s">
        <v>2021</v>
      </c>
      <c r="I143" s="12"/>
      <c r="J143" s="12" t="s">
        <v>486</v>
      </c>
      <c r="K143" s="12" t="s">
        <v>1981</v>
      </c>
      <c r="L143" s="12" t="s">
        <v>2022</v>
      </c>
      <c r="M143" s="12" t="s">
        <v>2023</v>
      </c>
      <c r="N143" s="12"/>
      <c r="O143" s="12" t="s">
        <v>126</v>
      </c>
      <c r="P143" s="12" t="s">
        <v>2024</v>
      </c>
      <c r="Q143" s="12" t="s">
        <v>1346</v>
      </c>
      <c r="R143" s="12" t="s">
        <v>1347</v>
      </c>
      <c r="S143" s="12" t="s">
        <v>2025</v>
      </c>
      <c r="T143" s="12" t="s">
        <v>2026</v>
      </c>
      <c r="U143" s="12" t="s">
        <v>494</v>
      </c>
      <c r="V143" s="12" t="s">
        <v>494</v>
      </c>
      <c r="W143" s="12"/>
      <c r="X143" s="12" t="s">
        <v>2027</v>
      </c>
      <c r="Y143" s="12" t="s">
        <v>2028</v>
      </c>
      <c r="Z143" s="12"/>
      <c r="AA143" s="12" t="s">
        <v>2029</v>
      </c>
      <c r="AB143" s="12" t="s">
        <v>123</v>
      </c>
      <c r="AC143" s="14" t="s">
        <v>498</v>
      </c>
      <c r="AD143" s="14" t="s">
        <v>499</v>
      </c>
      <c r="AE143" s="12" t="s">
        <v>500</v>
      </c>
      <c r="AF143" s="27" t="s">
        <v>501</v>
      </c>
      <c r="AG143" s="28"/>
      <c r="AH143" s="27"/>
      <c r="AI143" s="27"/>
      <c r="AJ143" s="27"/>
      <c r="AK143" s="28" t="str">
        <f aca="false">IF(AG143="","",WORKDAY(AG143,5))</f>
        <v/>
      </c>
      <c r="AL143" s="27"/>
      <c r="AM143" s="27"/>
    </row>
    <row r="144" customFormat="false" ht="23.85" hidden="false" customHeight="false" outlineLevel="0" collapsed="false">
      <c r="A144" s="24" t="s">
        <v>138</v>
      </c>
      <c r="B144" s="25" t="n">
        <v>143</v>
      </c>
      <c r="C144" s="26" t="n">
        <v>3</v>
      </c>
      <c r="D144" s="12" t="s">
        <v>166</v>
      </c>
      <c r="E144" s="12" t="s">
        <v>2030</v>
      </c>
      <c r="F144" s="12" t="s">
        <v>525</v>
      </c>
      <c r="G144" s="14" t="s">
        <v>2031</v>
      </c>
      <c r="H144" s="12" t="s">
        <v>2032</v>
      </c>
      <c r="I144" s="12"/>
      <c r="J144" s="12" t="s">
        <v>486</v>
      </c>
      <c r="K144" s="12" t="s">
        <v>1981</v>
      </c>
      <c r="L144" s="12" t="s">
        <v>2033</v>
      </c>
      <c r="M144" s="12" t="s">
        <v>2034</v>
      </c>
      <c r="N144" s="12" t="s">
        <v>2035</v>
      </c>
      <c r="O144" s="12" t="s">
        <v>2036</v>
      </c>
      <c r="P144" s="12" t="s">
        <v>2037</v>
      </c>
      <c r="Q144" s="12" t="s">
        <v>2038</v>
      </c>
      <c r="R144" s="12" t="s">
        <v>518</v>
      </c>
      <c r="S144" s="12" t="s">
        <v>2039</v>
      </c>
      <c r="T144" s="12" t="s">
        <v>562</v>
      </c>
      <c r="U144" s="12" t="s">
        <v>494</v>
      </c>
      <c r="V144" s="12" t="s">
        <v>494</v>
      </c>
      <c r="W144" s="12"/>
      <c r="X144" s="12" t="s">
        <v>2040</v>
      </c>
      <c r="Y144" s="12"/>
      <c r="Z144" s="12"/>
      <c r="AA144" s="12" t="s">
        <v>2041</v>
      </c>
      <c r="AB144" s="12" t="s">
        <v>179</v>
      </c>
      <c r="AC144" s="14" t="s">
        <v>498</v>
      </c>
      <c r="AD144" s="14" t="s">
        <v>499</v>
      </c>
      <c r="AE144" s="12" t="s">
        <v>500</v>
      </c>
      <c r="AF144" s="27" t="s">
        <v>501</v>
      </c>
      <c r="AG144" s="28"/>
      <c r="AH144" s="27"/>
      <c r="AI144" s="27"/>
      <c r="AJ144" s="27"/>
      <c r="AK144" s="28" t="str">
        <f aca="false">IF(AG144="","",WORKDAY(AG144,5))</f>
        <v/>
      </c>
      <c r="AL144" s="27"/>
      <c r="AM144" s="27"/>
    </row>
    <row r="145" customFormat="false" ht="35.05" hidden="false" customHeight="false" outlineLevel="0" collapsed="false">
      <c r="A145" s="24" t="s">
        <v>138</v>
      </c>
      <c r="B145" s="25" t="n">
        <v>144</v>
      </c>
      <c r="C145" s="26" t="n">
        <v>3</v>
      </c>
      <c r="D145" s="12" t="s">
        <v>281</v>
      </c>
      <c r="E145" s="12" t="s">
        <v>2042</v>
      </c>
      <c r="F145" s="12" t="s">
        <v>525</v>
      </c>
      <c r="G145" s="14" t="s">
        <v>2043</v>
      </c>
      <c r="H145" s="12" t="s">
        <v>2044</v>
      </c>
      <c r="I145" s="12"/>
      <c r="J145" s="12" t="s">
        <v>486</v>
      </c>
      <c r="K145" s="12" t="s">
        <v>1981</v>
      </c>
      <c r="L145" s="12" t="s">
        <v>2045</v>
      </c>
      <c r="M145" s="12" t="s">
        <v>2046</v>
      </c>
      <c r="N145" s="12"/>
      <c r="O145" s="12" t="s">
        <v>126</v>
      </c>
      <c r="P145" s="12" t="s">
        <v>2047</v>
      </c>
      <c r="Q145" s="12" t="s">
        <v>2048</v>
      </c>
      <c r="R145" s="12" t="s">
        <v>491</v>
      </c>
      <c r="S145" s="12" t="s">
        <v>2049</v>
      </c>
      <c r="T145" s="12" t="s">
        <v>562</v>
      </c>
      <c r="U145" s="12" t="s">
        <v>494</v>
      </c>
      <c r="V145" s="12" t="s">
        <v>494</v>
      </c>
      <c r="W145" s="12"/>
      <c r="X145" s="12" t="s">
        <v>2050</v>
      </c>
      <c r="Y145" s="12" t="s">
        <v>2051</v>
      </c>
      <c r="Z145" s="12"/>
      <c r="AA145" s="12" t="s">
        <v>2052</v>
      </c>
      <c r="AB145" s="12" t="s">
        <v>130</v>
      </c>
      <c r="AC145" s="14" t="s">
        <v>498</v>
      </c>
      <c r="AD145" s="14" t="s">
        <v>499</v>
      </c>
      <c r="AE145" s="12" t="s">
        <v>500</v>
      </c>
      <c r="AF145" s="27" t="s">
        <v>501</v>
      </c>
      <c r="AG145" s="28"/>
      <c r="AH145" s="27"/>
      <c r="AI145" s="27"/>
      <c r="AJ145" s="27"/>
      <c r="AK145" s="28" t="str">
        <f aca="false">IF(AG145="","",WORKDAY(AG145,5))</f>
        <v/>
      </c>
      <c r="AL145" s="27"/>
      <c r="AM145" s="27"/>
    </row>
    <row r="146" customFormat="false" ht="23.85" hidden="false" customHeight="false" outlineLevel="0" collapsed="false">
      <c r="A146" s="24" t="s">
        <v>138</v>
      </c>
      <c r="B146" s="25" t="n">
        <v>145</v>
      </c>
      <c r="C146" s="26" t="n">
        <v>3</v>
      </c>
      <c r="D146" s="12" t="s">
        <v>281</v>
      </c>
      <c r="E146" s="12" t="s">
        <v>2053</v>
      </c>
      <c r="F146" s="12" t="s">
        <v>525</v>
      </c>
      <c r="G146" s="14" t="s">
        <v>2054</v>
      </c>
      <c r="H146" s="12" t="s">
        <v>2055</v>
      </c>
      <c r="I146" s="12"/>
      <c r="J146" s="12" t="s">
        <v>486</v>
      </c>
      <c r="K146" s="12" t="s">
        <v>1981</v>
      </c>
      <c r="L146" s="12" t="s">
        <v>2056</v>
      </c>
      <c r="M146" s="12"/>
      <c r="N146" s="12"/>
      <c r="O146" s="12" t="s">
        <v>192</v>
      </c>
      <c r="P146" s="12" t="s">
        <v>2057</v>
      </c>
      <c r="Q146" s="12" t="s">
        <v>2058</v>
      </c>
      <c r="R146" s="12" t="s">
        <v>518</v>
      </c>
      <c r="S146" s="12" t="s">
        <v>492</v>
      </c>
      <c r="T146" s="12" t="s">
        <v>562</v>
      </c>
      <c r="U146" s="12" t="s">
        <v>494</v>
      </c>
      <c r="V146" s="12" t="s">
        <v>494</v>
      </c>
      <c r="W146" s="12"/>
      <c r="X146" s="12" t="s">
        <v>2059</v>
      </c>
      <c r="Y146" s="12" t="s">
        <v>2060</v>
      </c>
      <c r="Z146" s="12"/>
      <c r="AA146" s="12" t="s">
        <v>2061</v>
      </c>
      <c r="AB146" s="12" t="s">
        <v>123</v>
      </c>
      <c r="AC146" s="14" t="s">
        <v>498</v>
      </c>
      <c r="AD146" s="14" t="s">
        <v>499</v>
      </c>
      <c r="AE146" s="12" t="s">
        <v>500</v>
      </c>
      <c r="AF146" s="27" t="s">
        <v>501</v>
      </c>
      <c r="AG146" s="28"/>
      <c r="AH146" s="27"/>
      <c r="AI146" s="27"/>
      <c r="AJ146" s="27"/>
      <c r="AK146" s="28" t="str">
        <f aca="false">IF(AG146="","",WORKDAY(AG146,5))</f>
        <v/>
      </c>
      <c r="AL146" s="27"/>
      <c r="AM146" s="27"/>
    </row>
    <row r="147" customFormat="false" ht="35.05" hidden="false" customHeight="false" outlineLevel="0" collapsed="false">
      <c r="A147" s="24" t="s">
        <v>138</v>
      </c>
      <c r="B147" s="25" t="n">
        <v>146</v>
      </c>
      <c r="C147" s="26" t="n">
        <v>4</v>
      </c>
      <c r="D147" s="12" t="s">
        <v>307</v>
      </c>
      <c r="E147" s="12" t="s">
        <v>314</v>
      </c>
      <c r="F147" s="12" t="s">
        <v>735</v>
      </c>
      <c r="G147" s="14" t="s">
        <v>318</v>
      </c>
      <c r="H147" s="12" t="s">
        <v>2062</v>
      </c>
      <c r="I147" s="12"/>
      <c r="J147" s="12" t="s">
        <v>486</v>
      </c>
      <c r="K147" s="12" t="s">
        <v>1981</v>
      </c>
      <c r="L147" s="12" t="s">
        <v>2063</v>
      </c>
      <c r="M147" s="12" t="s">
        <v>317</v>
      </c>
      <c r="N147" s="12"/>
      <c r="O147" s="12" t="s">
        <v>175</v>
      </c>
      <c r="P147" s="12" t="s">
        <v>315</v>
      </c>
      <c r="Q147" s="12" t="s">
        <v>2064</v>
      </c>
      <c r="R147" s="12" t="s">
        <v>491</v>
      </c>
      <c r="S147" s="12" t="s">
        <v>2065</v>
      </c>
      <c r="T147" s="12" t="s">
        <v>2066</v>
      </c>
      <c r="U147" s="12" t="s">
        <v>494</v>
      </c>
      <c r="V147" s="12" t="s">
        <v>494</v>
      </c>
      <c r="W147" s="12"/>
      <c r="X147" s="12" t="s">
        <v>2067</v>
      </c>
      <c r="Y147" s="12" t="s">
        <v>316</v>
      </c>
      <c r="Z147" s="12"/>
      <c r="AA147" s="12" t="s">
        <v>2068</v>
      </c>
      <c r="AB147" s="12" t="s">
        <v>179</v>
      </c>
      <c r="AC147" s="14" t="s">
        <v>498</v>
      </c>
      <c r="AD147" s="14" t="s">
        <v>499</v>
      </c>
      <c r="AE147" s="12" t="s">
        <v>500</v>
      </c>
      <c r="AF147" s="27" t="s">
        <v>501</v>
      </c>
      <c r="AG147" s="28"/>
      <c r="AH147" s="27"/>
      <c r="AI147" s="27"/>
      <c r="AJ147" s="27"/>
      <c r="AK147" s="28" t="str">
        <f aca="false">IF(AG147="","",WORKDAY(AG147,5))</f>
        <v/>
      </c>
      <c r="AL147" s="27"/>
      <c r="AM147" s="27"/>
    </row>
    <row r="148" customFormat="false" ht="23.85" hidden="false" customHeight="false" outlineLevel="0" collapsed="false">
      <c r="A148" s="24" t="s">
        <v>138</v>
      </c>
      <c r="B148" s="25" t="n">
        <v>147</v>
      </c>
      <c r="C148" s="26" t="n">
        <v>4</v>
      </c>
      <c r="D148" s="12" t="s">
        <v>307</v>
      </c>
      <c r="E148" s="12" t="s">
        <v>2069</v>
      </c>
      <c r="F148" s="12" t="s">
        <v>483</v>
      </c>
      <c r="G148" s="14" t="s">
        <v>2070</v>
      </c>
      <c r="H148" s="12" t="s">
        <v>2071</v>
      </c>
      <c r="I148" s="12"/>
      <c r="J148" s="12" t="s">
        <v>486</v>
      </c>
      <c r="K148" s="12" t="s">
        <v>1981</v>
      </c>
      <c r="L148" s="12" t="s">
        <v>2072</v>
      </c>
      <c r="M148" s="12"/>
      <c r="N148" s="12"/>
      <c r="O148" s="12" t="s">
        <v>192</v>
      </c>
      <c r="P148" s="12" t="s">
        <v>2073</v>
      </c>
      <c r="Q148" s="12" t="s">
        <v>2074</v>
      </c>
      <c r="R148" s="12" t="s">
        <v>491</v>
      </c>
      <c r="S148" s="12" t="s">
        <v>492</v>
      </c>
      <c r="T148" s="12" t="s">
        <v>2075</v>
      </c>
      <c r="U148" s="12" t="s">
        <v>494</v>
      </c>
      <c r="V148" s="12" t="s">
        <v>494</v>
      </c>
      <c r="W148" s="12"/>
      <c r="X148" s="12" t="s">
        <v>2076</v>
      </c>
      <c r="Y148" s="12" t="s">
        <v>2077</v>
      </c>
      <c r="Z148" s="12"/>
      <c r="AA148" s="12" t="s">
        <v>2078</v>
      </c>
      <c r="AB148" s="12" t="s">
        <v>130</v>
      </c>
      <c r="AC148" s="14" t="s">
        <v>498</v>
      </c>
      <c r="AD148" s="14" t="s">
        <v>499</v>
      </c>
      <c r="AE148" s="12" t="s">
        <v>500</v>
      </c>
      <c r="AF148" s="27" t="s">
        <v>501</v>
      </c>
      <c r="AG148" s="28"/>
      <c r="AH148" s="27"/>
      <c r="AI148" s="27"/>
      <c r="AJ148" s="27"/>
      <c r="AK148" s="28" t="str">
        <f aca="false">IF(AG148="","",WORKDAY(AG148,5))</f>
        <v/>
      </c>
      <c r="AL148" s="27"/>
      <c r="AM148" s="27"/>
    </row>
    <row r="149" customFormat="false" ht="23.85" hidden="false" customHeight="false" outlineLevel="0" collapsed="false">
      <c r="A149" s="24" t="s">
        <v>138</v>
      </c>
      <c r="B149" s="25" t="n">
        <v>148</v>
      </c>
      <c r="C149" s="26" t="n">
        <v>3</v>
      </c>
      <c r="D149" s="12" t="s">
        <v>307</v>
      </c>
      <c r="E149" s="12" t="s">
        <v>2079</v>
      </c>
      <c r="F149" s="12" t="s">
        <v>483</v>
      </c>
      <c r="G149" s="14" t="s">
        <v>2080</v>
      </c>
      <c r="H149" s="12" t="s">
        <v>2081</v>
      </c>
      <c r="I149" s="12"/>
      <c r="J149" s="12" t="s">
        <v>486</v>
      </c>
      <c r="K149" s="12" t="s">
        <v>1981</v>
      </c>
      <c r="L149" s="12" t="s">
        <v>2082</v>
      </c>
      <c r="M149" s="12" t="s">
        <v>2083</v>
      </c>
      <c r="N149" s="12"/>
      <c r="O149" s="12" t="s">
        <v>126</v>
      </c>
      <c r="P149" s="12" t="s">
        <v>2084</v>
      </c>
      <c r="Q149" s="12" t="s">
        <v>2085</v>
      </c>
      <c r="R149" s="12" t="s">
        <v>2005</v>
      </c>
      <c r="S149" s="12" t="s">
        <v>2086</v>
      </c>
      <c r="T149" s="12" t="s">
        <v>1349</v>
      </c>
      <c r="U149" s="12" t="s">
        <v>494</v>
      </c>
      <c r="V149" s="12" t="s">
        <v>494</v>
      </c>
      <c r="W149" s="12"/>
      <c r="X149" s="12" t="s">
        <v>2087</v>
      </c>
      <c r="Y149" s="12" t="s">
        <v>2088</v>
      </c>
      <c r="Z149" s="12" t="s">
        <v>2089</v>
      </c>
      <c r="AA149" s="12" t="s">
        <v>611</v>
      </c>
      <c r="AB149" s="12" t="s">
        <v>204</v>
      </c>
      <c r="AC149" s="14" t="s">
        <v>498</v>
      </c>
      <c r="AD149" s="14" t="s">
        <v>499</v>
      </c>
      <c r="AE149" s="12" t="s">
        <v>500</v>
      </c>
      <c r="AF149" s="27" t="s">
        <v>501</v>
      </c>
      <c r="AG149" s="28"/>
      <c r="AH149" s="27"/>
      <c r="AI149" s="27"/>
      <c r="AJ149" s="27"/>
      <c r="AK149" s="28" t="str">
        <f aca="false">IF(AG149="","",WORKDAY(AG149,5))</f>
        <v/>
      </c>
      <c r="AL149" s="27"/>
      <c r="AM149" s="27"/>
    </row>
    <row r="150" customFormat="false" ht="46.25" hidden="false" customHeight="false" outlineLevel="0" collapsed="false">
      <c r="A150" s="24" t="s">
        <v>138</v>
      </c>
      <c r="B150" s="25" t="n">
        <v>149</v>
      </c>
      <c r="C150" s="26" t="n">
        <v>3</v>
      </c>
      <c r="D150" s="12" t="s">
        <v>307</v>
      </c>
      <c r="E150" s="12" t="s">
        <v>2090</v>
      </c>
      <c r="F150" s="12" t="s">
        <v>483</v>
      </c>
      <c r="G150" s="14" t="s">
        <v>2091</v>
      </c>
      <c r="H150" s="12" t="s">
        <v>2092</v>
      </c>
      <c r="I150" s="12"/>
      <c r="J150" s="12" t="s">
        <v>486</v>
      </c>
      <c r="K150" s="12" t="s">
        <v>1981</v>
      </c>
      <c r="L150" s="12" t="s">
        <v>2093</v>
      </c>
      <c r="M150" s="12"/>
      <c r="N150" s="12"/>
      <c r="O150" s="12" t="s">
        <v>2094</v>
      </c>
      <c r="P150" s="12" t="s">
        <v>2095</v>
      </c>
      <c r="Q150" s="12" t="s">
        <v>1498</v>
      </c>
      <c r="R150" s="12" t="s">
        <v>491</v>
      </c>
      <c r="S150" s="12" t="s">
        <v>492</v>
      </c>
      <c r="T150" s="12" t="s">
        <v>2096</v>
      </c>
      <c r="U150" s="12" t="s">
        <v>494</v>
      </c>
      <c r="V150" s="12" t="s">
        <v>494</v>
      </c>
      <c r="W150" s="12"/>
      <c r="X150" s="12" t="s">
        <v>2097</v>
      </c>
      <c r="Y150" s="12"/>
      <c r="Z150" s="12"/>
      <c r="AA150" s="12" t="s">
        <v>536</v>
      </c>
      <c r="AB150" s="12" t="s">
        <v>123</v>
      </c>
      <c r="AC150" s="14" t="s">
        <v>498</v>
      </c>
      <c r="AD150" s="14" t="s">
        <v>499</v>
      </c>
      <c r="AE150" s="12" t="s">
        <v>500</v>
      </c>
      <c r="AF150" s="27" t="s">
        <v>501</v>
      </c>
      <c r="AG150" s="28"/>
      <c r="AH150" s="27"/>
      <c r="AI150" s="27"/>
      <c r="AJ150" s="27"/>
      <c r="AK150" s="28" t="str">
        <f aca="false">IF(AG150="","",WORKDAY(AG150,5))</f>
        <v/>
      </c>
      <c r="AL150" s="27"/>
      <c r="AM150" s="27"/>
    </row>
    <row r="151" customFormat="false" ht="35.05" hidden="false" customHeight="false" outlineLevel="0" collapsed="false">
      <c r="A151" s="24" t="s">
        <v>138</v>
      </c>
      <c r="B151" s="25" t="n">
        <v>150</v>
      </c>
      <c r="C151" s="26" t="n">
        <v>4</v>
      </c>
      <c r="D151" s="12" t="s">
        <v>307</v>
      </c>
      <c r="E151" s="34" t="s">
        <v>2098</v>
      </c>
      <c r="F151" s="12" t="s">
        <v>525</v>
      </c>
      <c r="G151" s="14" t="s">
        <v>2099</v>
      </c>
      <c r="H151" s="12" t="s">
        <v>2100</v>
      </c>
      <c r="I151" s="12"/>
      <c r="J151" s="12" t="s">
        <v>486</v>
      </c>
      <c r="K151" s="12" t="s">
        <v>1981</v>
      </c>
      <c r="L151" s="12" t="s">
        <v>2101</v>
      </c>
      <c r="M151" s="12" t="s">
        <v>2102</v>
      </c>
      <c r="N151" s="12"/>
      <c r="O151" s="12" t="s">
        <v>688</v>
      </c>
      <c r="P151" s="12" t="s">
        <v>2103</v>
      </c>
      <c r="Q151" s="12" t="s">
        <v>819</v>
      </c>
      <c r="R151" s="12" t="s">
        <v>518</v>
      </c>
      <c r="S151" s="12" t="s">
        <v>2104</v>
      </c>
      <c r="T151" s="12" t="s">
        <v>562</v>
      </c>
      <c r="U151" s="12" t="s">
        <v>494</v>
      </c>
      <c r="V151" s="12" t="s">
        <v>494</v>
      </c>
      <c r="W151" s="12"/>
      <c r="X151" s="12" t="s">
        <v>2105</v>
      </c>
      <c r="Y151" s="12" t="s">
        <v>2106</v>
      </c>
      <c r="Z151" s="12"/>
      <c r="AA151" s="12" t="s">
        <v>2107</v>
      </c>
      <c r="AB151" s="12" t="s">
        <v>204</v>
      </c>
      <c r="AC151" s="14" t="s">
        <v>498</v>
      </c>
      <c r="AD151" s="14" t="s">
        <v>499</v>
      </c>
      <c r="AE151" s="12" t="s">
        <v>638</v>
      </c>
      <c r="AF151" s="27" t="s">
        <v>501</v>
      </c>
      <c r="AG151" s="28"/>
      <c r="AH151" s="27"/>
      <c r="AI151" s="27"/>
      <c r="AJ151" s="27"/>
      <c r="AK151" s="28" t="str">
        <f aca="false">IF(AG151="","",WORKDAY(AG151,5))</f>
        <v/>
      </c>
      <c r="AL151" s="27"/>
      <c r="AM151" s="27"/>
    </row>
    <row r="152" customFormat="false" ht="35.05" hidden="false" customHeight="false" outlineLevel="0" collapsed="false">
      <c r="A152" s="24" t="s">
        <v>138</v>
      </c>
      <c r="B152" s="25" t="n">
        <v>151</v>
      </c>
      <c r="C152" s="26" t="n">
        <v>4</v>
      </c>
      <c r="D152" s="12" t="s">
        <v>353</v>
      </c>
      <c r="E152" s="12" t="s">
        <v>2108</v>
      </c>
      <c r="F152" s="12" t="s">
        <v>483</v>
      </c>
      <c r="G152" s="14" t="s">
        <v>2109</v>
      </c>
      <c r="H152" s="12" t="s">
        <v>2110</v>
      </c>
      <c r="I152" s="12"/>
      <c r="J152" s="12" t="s">
        <v>486</v>
      </c>
      <c r="K152" s="12" t="s">
        <v>1981</v>
      </c>
      <c r="L152" s="12" t="s">
        <v>2111</v>
      </c>
      <c r="M152" s="12" t="s">
        <v>2112</v>
      </c>
      <c r="N152" s="12" t="s">
        <v>2113</v>
      </c>
      <c r="O152" s="12" t="s">
        <v>126</v>
      </c>
      <c r="P152" s="12" t="s">
        <v>2114</v>
      </c>
      <c r="Q152" s="12" t="s">
        <v>2115</v>
      </c>
      <c r="R152" s="12" t="s">
        <v>518</v>
      </c>
      <c r="S152" s="12" t="s">
        <v>492</v>
      </c>
      <c r="T152" s="12" t="s">
        <v>2116</v>
      </c>
      <c r="U152" s="12" t="s">
        <v>494</v>
      </c>
      <c r="V152" s="12" t="s">
        <v>494</v>
      </c>
      <c r="W152" s="12"/>
      <c r="X152" s="12" t="s">
        <v>2117</v>
      </c>
      <c r="Y152" s="12" t="s">
        <v>2118</v>
      </c>
      <c r="Z152" s="12"/>
      <c r="AA152" s="12" t="s">
        <v>1616</v>
      </c>
      <c r="AB152" s="12" t="s">
        <v>204</v>
      </c>
      <c r="AC152" s="14" t="s">
        <v>498</v>
      </c>
      <c r="AD152" s="14" t="s">
        <v>499</v>
      </c>
      <c r="AE152" s="12" t="s">
        <v>500</v>
      </c>
      <c r="AF152" s="27" t="s">
        <v>501</v>
      </c>
      <c r="AG152" s="28"/>
      <c r="AH152" s="27"/>
      <c r="AI152" s="27"/>
      <c r="AJ152" s="27"/>
      <c r="AK152" s="28" t="str">
        <f aca="false">IF(AG152="","",WORKDAY(AG152,5))</f>
        <v/>
      </c>
      <c r="AL152" s="27"/>
      <c r="AM152" s="27"/>
    </row>
    <row r="153" customFormat="false" ht="23.85" hidden="false" customHeight="false" outlineLevel="0" collapsed="false">
      <c r="A153" s="24" t="s">
        <v>138</v>
      </c>
      <c r="B153" s="25" t="n">
        <v>152</v>
      </c>
      <c r="C153" s="26" t="n">
        <v>4</v>
      </c>
      <c r="D153" s="12" t="s">
        <v>353</v>
      </c>
      <c r="E153" s="12" t="s">
        <v>2119</v>
      </c>
      <c r="F153" s="12" t="s">
        <v>525</v>
      </c>
      <c r="G153" s="14" t="s">
        <v>2120</v>
      </c>
      <c r="H153" s="12" t="s">
        <v>2121</v>
      </c>
      <c r="I153" s="12"/>
      <c r="J153" s="12" t="s">
        <v>486</v>
      </c>
      <c r="K153" s="12" t="s">
        <v>1981</v>
      </c>
      <c r="L153" s="12" t="s">
        <v>2122</v>
      </c>
      <c r="M153" s="12" t="s">
        <v>2123</v>
      </c>
      <c r="N153" s="12" t="s">
        <v>2124</v>
      </c>
      <c r="O153" s="12" t="s">
        <v>655</v>
      </c>
      <c r="P153" s="12" t="s">
        <v>2125</v>
      </c>
      <c r="Q153" s="12" t="s">
        <v>2126</v>
      </c>
      <c r="R153" s="12" t="s">
        <v>518</v>
      </c>
      <c r="S153" s="12" t="s">
        <v>2127</v>
      </c>
      <c r="T153" s="12" t="s">
        <v>562</v>
      </c>
      <c r="U153" s="12" t="s">
        <v>494</v>
      </c>
      <c r="V153" s="12" t="s">
        <v>494</v>
      </c>
      <c r="W153" s="12"/>
      <c r="X153" s="12" t="s">
        <v>2128</v>
      </c>
      <c r="Y153" s="12" t="s">
        <v>2129</v>
      </c>
      <c r="Z153" s="12"/>
      <c r="AA153" s="12" t="s">
        <v>2130</v>
      </c>
      <c r="AB153" s="12" t="s">
        <v>204</v>
      </c>
      <c r="AC153" s="14" t="s">
        <v>498</v>
      </c>
      <c r="AD153" s="14" t="s">
        <v>499</v>
      </c>
      <c r="AE153" s="12" t="s">
        <v>500</v>
      </c>
      <c r="AF153" s="27" t="s">
        <v>501</v>
      </c>
      <c r="AG153" s="28"/>
      <c r="AH153" s="27"/>
      <c r="AI153" s="27"/>
      <c r="AJ153" s="27"/>
      <c r="AK153" s="28" t="str">
        <f aca="false">IF(AG153="","",WORKDAY(AG153,5))</f>
        <v/>
      </c>
      <c r="AL153" s="27"/>
      <c r="AM153" s="27"/>
    </row>
    <row r="154" customFormat="false" ht="23.85" hidden="false" customHeight="false" outlineLevel="0" collapsed="false">
      <c r="A154" s="24" t="s">
        <v>138</v>
      </c>
      <c r="B154" s="25" t="n">
        <v>153</v>
      </c>
      <c r="C154" s="26" t="n">
        <v>3</v>
      </c>
      <c r="D154" s="12" t="s">
        <v>353</v>
      </c>
      <c r="E154" s="12" t="s">
        <v>2131</v>
      </c>
      <c r="F154" s="12" t="s">
        <v>525</v>
      </c>
      <c r="G154" s="14" t="s">
        <v>2132</v>
      </c>
      <c r="H154" s="12" t="s">
        <v>2133</v>
      </c>
      <c r="I154" s="12"/>
      <c r="J154" s="12" t="s">
        <v>486</v>
      </c>
      <c r="K154" s="12" t="s">
        <v>1981</v>
      </c>
      <c r="L154" s="12" t="s">
        <v>2134</v>
      </c>
      <c r="M154" s="12" t="s">
        <v>2135</v>
      </c>
      <c r="N154" s="12" t="s">
        <v>2136</v>
      </c>
      <c r="O154" s="12" t="s">
        <v>119</v>
      </c>
      <c r="P154" s="12" t="s">
        <v>2137</v>
      </c>
      <c r="Q154" s="12" t="s">
        <v>1540</v>
      </c>
      <c r="R154" s="12" t="s">
        <v>518</v>
      </c>
      <c r="S154" s="12" t="s">
        <v>492</v>
      </c>
      <c r="T154" s="12" t="s">
        <v>2138</v>
      </c>
      <c r="U154" s="12" t="s">
        <v>494</v>
      </c>
      <c r="V154" s="12" t="s">
        <v>494</v>
      </c>
      <c r="W154" s="12"/>
      <c r="X154" s="12" t="s">
        <v>2139</v>
      </c>
      <c r="Y154" s="12"/>
      <c r="Z154" s="12"/>
      <c r="AA154" s="12" t="s">
        <v>591</v>
      </c>
      <c r="AB154" s="12" t="s">
        <v>204</v>
      </c>
      <c r="AC154" s="14" t="s">
        <v>498</v>
      </c>
      <c r="AD154" s="14" t="s">
        <v>499</v>
      </c>
      <c r="AE154" s="12" t="s">
        <v>602</v>
      </c>
      <c r="AF154" s="27" t="s">
        <v>501</v>
      </c>
      <c r="AG154" s="28"/>
      <c r="AH154" s="27"/>
      <c r="AI154" s="27"/>
      <c r="AJ154" s="27"/>
      <c r="AK154" s="28" t="str">
        <f aca="false">IF(AG154="","",WORKDAY(AG154,5))</f>
        <v/>
      </c>
      <c r="AL154" s="27"/>
      <c r="AM154" s="27"/>
    </row>
    <row r="155" customFormat="false" ht="23.85" hidden="false" customHeight="false" outlineLevel="0" collapsed="false">
      <c r="A155" s="24" t="s">
        <v>138</v>
      </c>
      <c r="B155" s="25" t="n">
        <v>154</v>
      </c>
      <c r="C155" s="26" t="n">
        <v>3</v>
      </c>
      <c r="D155" s="12" t="s">
        <v>353</v>
      </c>
      <c r="E155" s="12" t="s">
        <v>2140</v>
      </c>
      <c r="F155" s="12" t="s">
        <v>525</v>
      </c>
      <c r="G155" s="14" t="s">
        <v>2141</v>
      </c>
      <c r="H155" s="12" t="s">
        <v>2142</v>
      </c>
      <c r="I155" s="12"/>
      <c r="J155" s="12" t="s">
        <v>486</v>
      </c>
      <c r="K155" s="12" t="s">
        <v>1981</v>
      </c>
      <c r="L155" s="12" t="s">
        <v>2143</v>
      </c>
      <c r="M155" s="12" t="s">
        <v>2144</v>
      </c>
      <c r="N155" s="12"/>
      <c r="O155" s="12" t="s">
        <v>2145</v>
      </c>
      <c r="P155" s="12" t="s">
        <v>2146</v>
      </c>
      <c r="Q155" s="12" t="s">
        <v>576</v>
      </c>
      <c r="R155" s="12" t="s">
        <v>518</v>
      </c>
      <c r="S155" s="12" t="s">
        <v>2147</v>
      </c>
      <c r="T155" s="12" t="s">
        <v>2148</v>
      </c>
      <c r="U155" s="12" t="s">
        <v>494</v>
      </c>
      <c r="V155" s="12" t="s">
        <v>494</v>
      </c>
      <c r="W155" s="12"/>
      <c r="X155" s="12" t="s">
        <v>2149</v>
      </c>
      <c r="Y155" s="12"/>
      <c r="Z155" s="12"/>
      <c r="AA155" s="12" t="s">
        <v>1616</v>
      </c>
      <c r="AB155" s="12" t="s">
        <v>204</v>
      </c>
      <c r="AC155" s="14" t="s">
        <v>498</v>
      </c>
      <c r="AD155" s="14" t="s">
        <v>499</v>
      </c>
      <c r="AE155" s="12" t="s">
        <v>500</v>
      </c>
      <c r="AF155" s="27" t="s">
        <v>501</v>
      </c>
      <c r="AG155" s="28"/>
      <c r="AH155" s="27"/>
      <c r="AI155" s="27"/>
      <c r="AJ155" s="27"/>
      <c r="AK155" s="28" t="str">
        <f aca="false">IF(AG155="","",WORKDAY(AG155,5))</f>
        <v/>
      </c>
      <c r="AL155" s="27"/>
      <c r="AM155" s="27"/>
    </row>
    <row r="156" customFormat="false" ht="23.85" hidden="false" customHeight="false" outlineLevel="0" collapsed="false">
      <c r="A156" s="24" t="s">
        <v>138</v>
      </c>
      <c r="B156" s="25" t="n">
        <v>155</v>
      </c>
      <c r="C156" s="26" t="n">
        <v>3</v>
      </c>
      <c r="D156" s="12" t="s">
        <v>353</v>
      </c>
      <c r="E156" s="12" t="s">
        <v>2150</v>
      </c>
      <c r="F156" s="12" t="s">
        <v>525</v>
      </c>
      <c r="G156" s="14" t="s">
        <v>2151</v>
      </c>
      <c r="H156" s="12" t="s">
        <v>2013</v>
      </c>
      <c r="I156" s="12"/>
      <c r="J156" s="12" t="s">
        <v>486</v>
      </c>
      <c r="K156" s="12" t="s">
        <v>1981</v>
      </c>
      <c r="L156" s="12" t="s">
        <v>2152</v>
      </c>
      <c r="M156" s="12" t="s">
        <v>2153</v>
      </c>
      <c r="N156" s="12"/>
      <c r="O156" s="12" t="s">
        <v>2154</v>
      </c>
      <c r="P156" s="12" t="s">
        <v>2155</v>
      </c>
      <c r="Q156" s="12" t="s">
        <v>1540</v>
      </c>
      <c r="R156" s="12" t="s">
        <v>518</v>
      </c>
      <c r="S156" s="12" t="s">
        <v>519</v>
      </c>
      <c r="T156" s="12" t="s">
        <v>2156</v>
      </c>
      <c r="U156" s="12" t="s">
        <v>494</v>
      </c>
      <c r="V156" s="12" t="s">
        <v>494</v>
      </c>
      <c r="W156" s="12"/>
      <c r="X156" s="12" t="s">
        <v>2157</v>
      </c>
      <c r="Y156" s="12" t="s">
        <v>2158</v>
      </c>
      <c r="Z156" s="12"/>
      <c r="AA156" s="12" t="s">
        <v>611</v>
      </c>
      <c r="AB156" s="12" t="s">
        <v>204</v>
      </c>
      <c r="AC156" s="14" t="s">
        <v>498</v>
      </c>
      <c r="AD156" s="14" t="s">
        <v>499</v>
      </c>
      <c r="AE156" s="12" t="s">
        <v>500</v>
      </c>
      <c r="AF156" s="27" t="s">
        <v>501</v>
      </c>
      <c r="AG156" s="28"/>
      <c r="AH156" s="27"/>
      <c r="AI156" s="27"/>
      <c r="AJ156" s="27"/>
      <c r="AK156" s="28" t="str">
        <f aca="false">IF(AG156="","",WORKDAY(AG156,5))</f>
        <v/>
      </c>
      <c r="AL156" s="27"/>
      <c r="AM156" s="27"/>
    </row>
    <row r="157" customFormat="false" ht="23.85" hidden="false" customHeight="false" outlineLevel="0" collapsed="false">
      <c r="A157" s="24" t="s">
        <v>138</v>
      </c>
      <c r="B157" s="25" t="n">
        <v>156</v>
      </c>
      <c r="C157" s="26" t="n">
        <v>4</v>
      </c>
      <c r="D157" s="12" t="s">
        <v>374</v>
      </c>
      <c r="E157" s="12" t="s">
        <v>2159</v>
      </c>
      <c r="F157" s="12" t="s">
        <v>483</v>
      </c>
      <c r="G157" s="14" t="s">
        <v>2160</v>
      </c>
      <c r="H157" s="12" t="s">
        <v>2161</v>
      </c>
      <c r="I157" s="12"/>
      <c r="J157" s="12" t="s">
        <v>486</v>
      </c>
      <c r="K157" s="12" t="s">
        <v>1981</v>
      </c>
      <c r="L157" s="12" t="s">
        <v>2162</v>
      </c>
      <c r="M157" s="12"/>
      <c r="N157" s="12"/>
      <c r="O157" s="12" t="s">
        <v>126</v>
      </c>
      <c r="P157" s="12" t="s">
        <v>2163</v>
      </c>
      <c r="Q157" s="12" t="s">
        <v>2164</v>
      </c>
      <c r="R157" s="12" t="s">
        <v>491</v>
      </c>
      <c r="S157" s="12" t="s">
        <v>2165</v>
      </c>
      <c r="T157" s="12" t="s">
        <v>562</v>
      </c>
      <c r="U157" s="12" t="s">
        <v>494</v>
      </c>
      <c r="V157" s="12" t="s">
        <v>494</v>
      </c>
      <c r="W157" s="12"/>
      <c r="X157" s="12" t="s">
        <v>2166</v>
      </c>
      <c r="Y157" s="12" t="s">
        <v>2167</v>
      </c>
      <c r="Z157" s="12"/>
      <c r="AA157" s="12" t="s">
        <v>2168</v>
      </c>
      <c r="AB157" s="12" t="s">
        <v>123</v>
      </c>
      <c r="AC157" s="14" t="s">
        <v>498</v>
      </c>
      <c r="AD157" s="14" t="s">
        <v>499</v>
      </c>
      <c r="AE157" s="12" t="s">
        <v>500</v>
      </c>
      <c r="AF157" s="27" t="s">
        <v>501</v>
      </c>
      <c r="AG157" s="28"/>
      <c r="AH157" s="27"/>
      <c r="AI157" s="27"/>
      <c r="AJ157" s="27"/>
      <c r="AK157" s="28" t="str">
        <f aca="false">IF(AG157="","",WORKDAY(AG157,5))</f>
        <v/>
      </c>
      <c r="AL157" s="27"/>
      <c r="AM157" s="27"/>
    </row>
    <row r="158" customFormat="false" ht="35.05" hidden="false" customHeight="false" outlineLevel="0" collapsed="false">
      <c r="A158" s="24" t="s">
        <v>138</v>
      </c>
      <c r="B158" s="25" t="n">
        <v>157</v>
      </c>
      <c r="C158" s="26" t="n">
        <v>3</v>
      </c>
      <c r="D158" s="12" t="s">
        <v>374</v>
      </c>
      <c r="E158" s="12" t="s">
        <v>2169</v>
      </c>
      <c r="F158" s="12" t="s">
        <v>483</v>
      </c>
      <c r="G158" s="14" t="s">
        <v>2170</v>
      </c>
      <c r="H158" s="12" t="s">
        <v>2171</v>
      </c>
      <c r="I158" s="12"/>
      <c r="J158" s="12" t="s">
        <v>486</v>
      </c>
      <c r="K158" s="12" t="s">
        <v>1981</v>
      </c>
      <c r="L158" s="12" t="s">
        <v>2172</v>
      </c>
      <c r="M158" s="12"/>
      <c r="N158" s="12"/>
      <c r="O158" s="12" t="s">
        <v>119</v>
      </c>
      <c r="P158" s="12" t="s">
        <v>2173</v>
      </c>
      <c r="Q158" s="12" t="s">
        <v>1006</v>
      </c>
      <c r="R158" s="12" t="s">
        <v>518</v>
      </c>
      <c r="S158" s="12" t="s">
        <v>2174</v>
      </c>
      <c r="T158" s="12" t="s">
        <v>2175</v>
      </c>
      <c r="U158" s="12" t="s">
        <v>494</v>
      </c>
      <c r="V158" s="12" t="s">
        <v>494</v>
      </c>
      <c r="W158" s="12"/>
      <c r="X158" s="12" t="s">
        <v>2176</v>
      </c>
      <c r="Y158" s="12"/>
      <c r="Z158" s="12"/>
      <c r="AA158" s="12" t="s">
        <v>611</v>
      </c>
      <c r="AB158" s="12" t="s">
        <v>204</v>
      </c>
      <c r="AC158" s="14" t="s">
        <v>498</v>
      </c>
      <c r="AD158" s="14" t="s">
        <v>499</v>
      </c>
      <c r="AE158" s="12" t="s">
        <v>500</v>
      </c>
      <c r="AF158" s="27" t="s">
        <v>501</v>
      </c>
      <c r="AG158" s="28"/>
      <c r="AH158" s="27"/>
      <c r="AI158" s="27"/>
      <c r="AJ158" s="27"/>
      <c r="AK158" s="28" t="str">
        <f aca="false">IF(AG158="","",WORKDAY(AG158,5))</f>
        <v/>
      </c>
      <c r="AL158" s="27"/>
      <c r="AM158" s="27"/>
    </row>
    <row r="159" customFormat="false" ht="23.85" hidden="false" customHeight="false" outlineLevel="0" collapsed="false">
      <c r="A159" s="24" t="s">
        <v>138</v>
      </c>
      <c r="B159" s="25" t="n">
        <v>158</v>
      </c>
      <c r="C159" s="26" t="n">
        <v>4</v>
      </c>
      <c r="D159" s="12" t="s">
        <v>380</v>
      </c>
      <c r="E159" s="12" t="s">
        <v>394</v>
      </c>
      <c r="F159" s="12" t="s">
        <v>735</v>
      </c>
      <c r="G159" s="14" t="s">
        <v>398</v>
      </c>
      <c r="H159" s="12" t="s">
        <v>2177</v>
      </c>
      <c r="I159" s="12"/>
      <c r="J159" s="12" t="s">
        <v>486</v>
      </c>
      <c r="K159" s="12" t="s">
        <v>1981</v>
      </c>
      <c r="L159" s="12" t="s">
        <v>2178</v>
      </c>
      <c r="M159" s="12"/>
      <c r="N159" s="12"/>
      <c r="O159" s="12" t="s">
        <v>395</v>
      </c>
      <c r="P159" s="12" t="s">
        <v>396</v>
      </c>
      <c r="Q159" s="12" t="s">
        <v>913</v>
      </c>
      <c r="R159" s="12" t="s">
        <v>491</v>
      </c>
      <c r="S159" s="12" t="s">
        <v>2179</v>
      </c>
      <c r="T159" s="12" t="s">
        <v>2180</v>
      </c>
      <c r="U159" s="12" t="s">
        <v>494</v>
      </c>
      <c r="V159" s="12" t="s">
        <v>494</v>
      </c>
      <c r="W159" s="12"/>
      <c r="X159" s="12" t="s">
        <v>2181</v>
      </c>
      <c r="Y159" s="12" t="s">
        <v>397</v>
      </c>
      <c r="Z159" s="12"/>
      <c r="AA159" s="12" t="s">
        <v>2182</v>
      </c>
      <c r="AB159" s="12" t="s">
        <v>179</v>
      </c>
      <c r="AC159" s="14" t="s">
        <v>498</v>
      </c>
      <c r="AD159" s="14" t="s">
        <v>499</v>
      </c>
      <c r="AE159" s="12" t="s">
        <v>500</v>
      </c>
      <c r="AF159" s="27" t="s">
        <v>501</v>
      </c>
      <c r="AG159" s="28"/>
      <c r="AH159" s="27"/>
      <c r="AI159" s="27"/>
      <c r="AJ159" s="27"/>
      <c r="AK159" s="28" t="str">
        <f aca="false">IF(AG159="","",WORKDAY(AG159,5))</f>
        <v/>
      </c>
      <c r="AL159" s="27"/>
      <c r="AM159" s="27"/>
    </row>
    <row r="160" customFormat="false" ht="23.85" hidden="false" customHeight="false" outlineLevel="0" collapsed="false">
      <c r="A160" s="24" t="s">
        <v>138</v>
      </c>
      <c r="B160" s="25" t="n">
        <v>159</v>
      </c>
      <c r="C160" s="26" t="n">
        <v>4</v>
      </c>
      <c r="D160" s="12" t="s">
        <v>380</v>
      </c>
      <c r="E160" s="12" t="s">
        <v>2183</v>
      </c>
      <c r="F160" s="12" t="s">
        <v>525</v>
      </c>
      <c r="G160" s="14" t="s">
        <v>2184</v>
      </c>
      <c r="H160" s="12" t="s">
        <v>2185</v>
      </c>
      <c r="I160" s="12"/>
      <c r="J160" s="12" t="s">
        <v>486</v>
      </c>
      <c r="K160" s="12" t="s">
        <v>1981</v>
      </c>
      <c r="L160" s="12" t="s">
        <v>2186</v>
      </c>
      <c r="M160" s="12"/>
      <c r="N160" s="12" t="s">
        <v>2187</v>
      </c>
      <c r="O160" s="12" t="s">
        <v>126</v>
      </c>
      <c r="P160" s="12" t="s">
        <v>2188</v>
      </c>
      <c r="Q160" s="12" t="s">
        <v>2189</v>
      </c>
      <c r="R160" s="12" t="s">
        <v>518</v>
      </c>
      <c r="S160" s="12" t="s">
        <v>2190</v>
      </c>
      <c r="T160" s="12" t="s">
        <v>562</v>
      </c>
      <c r="U160" s="12" t="s">
        <v>494</v>
      </c>
      <c r="V160" s="12" t="s">
        <v>494</v>
      </c>
      <c r="W160" s="12"/>
      <c r="X160" s="12" t="s">
        <v>2191</v>
      </c>
      <c r="Y160" s="12" t="s">
        <v>2192</v>
      </c>
      <c r="Z160" s="12"/>
      <c r="AA160" s="12" t="s">
        <v>2193</v>
      </c>
      <c r="AB160" s="12" t="s">
        <v>204</v>
      </c>
      <c r="AC160" s="14" t="s">
        <v>498</v>
      </c>
      <c r="AD160" s="14" t="s">
        <v>499</v>
      </c>
      <c r="AE160" s="12" t="s">
        <v>500</v>
      </c>
      <c r="AF160" s="27" t="s">
        <v>501</v>
      </c>
      <c r="AG160" s="28"/>
      <c r="AH160" s="27"/>
      <c r="AI160" s="27"/>
      <c r="AJ160" s="27"/>
      <c r="AK160" s="28" t="str">
        <f aca="false">IF(AG160="","",WORKDAY(AG160,5))</f>
        <v/>
      </c>
      <c r="AL160" s="27"/>
      <c r="AM160" s="27"/>
    </row>
    <row r="161" customFormat="false" ht="35.05" hidden="false" customHeight="false" outlineLevel="0" collapsed="false">
      <c r="A161" s="24" t="s">
        <v>138</v>
      </c>
      <c r="B161" s="25" t="n">
        <v>160</v>
      </c>
      <c r="C161" s="26" t="n">
        <v>4</v>
      </c>
      <c r="D161" s="12" t="s">
        <v>405</v>
      </c>
      <c r="E161" s="12" t="s">
        <v>444</v>
      </c>
      <c r="F161" s="12" t="s">
        <v>735</v>
      </c>
      <c r="G161" s="14" t="s">
        <v>447</v>
      </c>
      <c r="H161" s="12" t="s">
        <v>2194</v>
      </c>
      <c r="I161" s="12"/>
      <c r="J161" s="12" t="s">
        <v>486</v>
      </c>
      <c r="K161" s="12" t="s">
        <v>1981</v>
      </c>
      <c r="L161" s="12" t="s">
        <v>2195</v>
      </c>
      <c r="M161" s="12"/>
      <c r="N161" s="12"/>
      <c r="O161" s="12" t="s">
        <v>126</v>
      </c>
      <c r="P161" s="12" t="s">
        <v>445</v>
      </c>
      <c r="Q161" s="12" t="s">
        <v>2196</v>
      </c>
      <c r="R161" s="12" t="s">
        <v>491</v>
      </c>
      <c r="S161" s="12" t="s">
        <v>2197</v>
      </c>
      <c r="T161" s="12" t="s">
        <v>2198</v>
      </c>
      <c r="U161" s="12" t="s">
        <v>494</v>
      </c>
      <c r="V161" s="12" t="s">
        <v>494</v>
      </c>
      <c r="W161" s="12"/>
      <c r="X161" s="12" t="s">
        <v>2199</v>
      </c>
      <c r="Y161" s="12" t="s">
        <v>446</v>
      </c>
      <c r="Z161" s="12"/>
      <c r="AA161" s="12" t="s">
        <v>2200</v>
      </c>
      <c r="AB161" s="12" t="s">
        <v>123</v>
      </c>
      <c r="AC161" s="14" t="s">
        <v>498</v>
      </c>
      <c r="AD161" s="14" t="s">
        <v>499</v>
      </c>
      <c r="AE161" s="12" t="s">
        <v>500</v>
      </c>
      <c r="AF161" s="27" t="s">
        <v>501</v>
      </c>
      <c r="AG161" s="28"/>
      <c r="AH161" s="27"/>
      <c r="AI161" s="27"/>
      <c r="AJ161" s="27"/>
      <c r="AK161" s="28" t="str">
        <f aca="false">IF(AG161="","",WORKDAY(AG161,5))</f>
        <v/>
      </c>
      <c r="AL161" s="27"/>
      <c r="AM161" s="27"/>
    </row>
    <row r="162" customFormat="false" ht="23.85" hidden="false" customHeight="false" outlineLevel="0" collapsed="false">
      <c r="A162" s="24" t="s">
        <v>138</v>
      </c>
      <c r="B162" s="25" t="n">
        <v>161</v>
      </c>
      <c r="C162" s="26" t="n">
        <v>4</v>
      </c>
      <c r="D162" s="12" t="s">
        <v>405</v>
      </c>
      <c r="E162" s="12" t="s">
        <v>2201</v>
      </c>
      <c r="F162" s="12" t="s">
        <v>483</v>
      </c>
      <c r="G162" s="14" t="s">
        <v>2202</v>
      </c>
      <c r="H162" s="12" t="s">
        <v>2203</v>
      </c>
      <c r="I162" s="12"/>
      <c r="J162" s="12" t="s">
        <v>486</v>
      </c>
      <c r="K162" s="12" t="s">
        <v>1981</v>
      </c>
      <c r="L162" s="12" t="s">
        <v>2204</v>
      </c>
      <c r="M162" s="12" t="s">
        <v>2205</v>
      </c>
      <c r="N162" s="12" t="s">
        <v>2206</v>
      </c>
      <c r="O162" s="12" t="s">
        <v>126</v>
      </c>
      <c r="P162" s="12" t="s">
        <v>2207</v>
      </c>
      <c r="Q162" s="12" t="s">
        <v>2208</v>
      </c>
      <c r="R162" s="12" t="s">
        <v>518</v>
      </c>
      <c r="S162" s="12" t="s">
        <v>2209</v>
      </c>
      <c r="T162" s="12" t="s">
        <v>562</v>
      </c>
      <c r="U162" s="12" t="s">
        <v>494</v>
      </c>
      <c r="V162" s="12" t="s">
        <v>494</v>
      </c>
      <c r="W162" s="12"/>
      <c r="X162" s="12" t="s">
        <v>2210</v>
      </c>
      <c r="Y162" s="12"/>
      <c r="Z162" s="12"/>
      <c r="AA162" s="12" t="s">
        <v>2211</v>
      </c>
      <c r="AB162" s="12" t="s">
        <v>204</v>
      </c>
      <c r="AC162" s="14" t="s">
        <v>498</v>
      </c>
      <c r="AD162" s="14" t="s">
        <v>499</v>
      </c>
      <c r="AE162" s="12" t="s">
        <v>500</v>
      </c>
      <c r="AF162" s="27" t="s">
        <v>501</v>
      </c>
      <c r="AG162" s="28"/>
      <c r="AH162" s="27"/>
      <c r="AI162" s="27"/>
      <c r="AJ162" s="27"/>
      <c r="AK162" s="28" t="str">
        <f aca="false">IF(AG162="","",WORKDAY(AG162,5))</f>
        <v/>
      </c>
      <c r="AL162" s="27"/>
      <c r="AM162" s="27"/>
    </row>
    <row r="163" customFormat="false" ht="23.85" hidden="false" customHeight="false" outlineLevel="0" collapsed="false">
      <c r="A163" s="24" t="s">
        <v>138</v>
      </c>
      <c r="B163" s="25" t="n">
        <v>162</v>
      </c>
      <c r="C163" s="26" t="n">
        <v>3</v>
      </c>
      <c r="D163" s="12" t="s">
        <v>405</v>
      </c>
      <c r="E163" s="12" t="s">
        <v>2212</v>
      </c>
      <c r="F163" s="12" t="s">
        <v>525</v>
      </c>
      <c r="G163" s="14" t="s">
        <v>2213</v>
      </c>
      <c r="H163" s="12" t="s">
        <v>2214</v>
      </c>
      <c r="I163" s="12"/>
      <c r="J163" s="12" t="s">
        <v>486</v>
      </c>
      <c r="K163" s="12" t="s">
        <v>1981</v>
      </c>
      <c r="L163" s="12" t="s">
        <v>2215</v>
      </c>
      <c r="M163" s="12"/>
      <c r="N163" s="12"/>
      <c r="O163" s="12" t="s">
        <v>126</v>
      </c>
      <c r="P163" s="12" t="s">
        <v>2216</v>
      </c>
      <c r="Q163" s="12" t="s">
        <v>2217</v>
      </c>
      <c r="R163" s="12" t="s">
        <v>518</v>
      </c>
      <c r="S163" s="12" t="s">
        <v>519</v>
      </c>
      <c r="T163" s="12" t="s">
        <v>2218</v>
      </c>
      <c r="U163" s="12" t="s">
        <v>494</v>
      </c>
      <c r="V163" s="12" t="s">
        <v>494</v>
      </c>
      <c r="W163" s="12"/>
      <c r="X163" s="12" t="s">
        <v>2219</v>
      </c>
      <c r="Y163" s="12" t="s">
        <v>2158</v>
      </c>
      <c r="Z163" s="12"/>
      <c r="AA163" s="12" t="s">
        <v>2220</v>
      </c>
      <c r="AB163" s="12" t="s">
        <v>2221</v>
      </c>
      <c r="AC163" s="14" t="s">
        <v>498</v>
      </c>
      <c r="AD163" s="14" t="s">
        <v>499</v>
      </c>
      <c r="AE163" s="12" t="s">
        <v>500</v>
      </c>
      <c r="AF163" s="27" t="s">
        <v>501</v>
      </c>
      <c r="AG163" s="28"/>
      <c r="AH163" s="27"/>
      <c r="AI163" s="27"/>
      <c r="AJ163" s="27"/>
      <c r="AK163" s="28" t="str">
        <f aca="false">IF(AG163="","",WORKDAY(AG163,5))</f>
        <v/>
      </c>
      <c r="AL163" s="27"/>
      <c r="AM163" s="27"/>
    </row>
    <row r="164" customFormat="false" ht="23.85" hidden="false" customHeight="false" outlineLevel="0" collapsed="false">
      <c r="A164" s="29" t="s">
        <v>2222</v>
      </c>
      <c r="B164" s="30" t="n">
        <v>163</v>
      </c>
      <c r="C164" s="21" t="n">
        <v>4</v>
      </c>
      <c r="D164" s="8" t="s">
        <v>143</v>
      </c>
      <c r="E164" s="33" t="s">
        <v>2223</v>
      </c>
      <c r="F164" s="8" t="s">
        <v>525</v>
      </c>
      <c r="G164" s="10" t="s">
        <v>2224</v>
      </c>
      <c r="H164" s="8" t="s">
        <v>2225</v>
      </c>
      <c r="I164" s="8"/>
      <c r="J164" s="8" t="s">
        <v>486</v>
      </c>
      <c r="K164" s="8" t="s">
        <v>627</v>
      </c>
      <c r="L164" s="8" t="s">
        <v>2226</v>
      </c>
      <c r="M164" s="8"/>
      <c r="N164" s="8"/>
      <c r="O164" s="8" t="s">
        <v>395</v>
      </c>
      <c r="P164" s="8" t="s">
        <v>2227</v>
      </c>
      <c r="Q164" s="8" t="s">
        <v>2228</v>
      </c>
      <c r="R164" s="8" t="s">
        <v>491</v>
      </c>
      <c r="S164" s="8" t="s">
        <v>2229</v>
      </c>
      <c r="T164" s="8" t="s">
        <v>562</v>
      </c>
      <c r="U164" s="8" t="s">
        <v>494</v>
      </c>
      <c r="V164" s="8" t="s">
        <v>494</v>
      </c>
      <c r="W164" s="8" t="s">
        <v>2230</v>
      </c>
      <c r="X164" s="8" t="s">
        <v>2231</v>
      </c>
      <c r="Y164" s="8" t="s">
        <v>2232</v>
      </c>
      <c r="Z164" s="8"/>
      <c r="AA164" s="8" t="s">
        <v>2233</v>
      </c>
      <c r="AB164" s="8" t="s">
        <v>179</v>
      </c>
      <c r="AC164" s="10" t="s">
        <v>498</v>
      </c>
      <c r="AD164" s="10" t="s">
        <v>499</v>
      </c>
      <c r="AE164" s="8" t="s">
        <v>638</v>
      </c>
      <c r="AF164" s="22" t="s">
        <v>501</v>
      </c>
      <c r="AG164" s="23"/>
      <c r="AH164" s="22"/>
      <c r="AI164" s="22"/>
      <c r="AJ164" s="22"/>
      <c r="AK164" s="23" t="str">
        <f aca="false">IF(AG164="","",WORKDAY(AG164,5))</f>
        <v/>
      </c>
      <c r="AL164" s="22"/>
      <c r="AM164" s="22"/>
    </row>
    <row r="165" customFormat="false" ht="35.05" hidden="false" customHeight="false" outlineLevel="0" collapsed="false">
      <c r="A165" s="19" t="s">
        <v>2234</v>
      </c>
      <c r="B165" s="20" t="n">
        <v>164</v>
      </c>
      <c r="C165" s="21" t="n">
        <v>4</v>
      </c>
      <c r="D165" s="8" t="s">
        <v>143</v>
      </c>
      <c r="E165" s="33" t="s">
        <v>2235</v>
      </c>
      <c r="F165" s="8" t="s">
        <v>525</v>
      </c>
      <c r="G165" s="10" t="s">
        <v>2236</v>
      </c>
      <c r="H165" s="8" t="s">
        <v>2237</v>
      </c>
      <c r="I165" s="8"/>
      <c r="J165" s="8" t="s">
        <v>486</v>
      </c>
      <c r="K165" s="8" t="s">
        <v>627</v>
      </c>
      <c r="L165" s="8" t="s">
        <v>2238</v>
      </c>
      <c r="M165" s="8" t="s">
        <v>2239</v>
      </c>
      <c r="N165" s="8"/>
      <c r="O165" s="8" t="s">
        <v>655</v>
      </c>
      <c r="P165" s="8" t="s">
        <v>2240</v>
      </c>
      <c r="Q165" s="8" t="s">
        <v>2241</v>
      </c>
      <c r="R165" s="8" t="s">
        <v>518</v>
      </c>
      <c r="S165" s="8" t="s">
        <v>2242</v>
      </c>
      <c r="T165" s="8" t="s">
        <v>562</v>
      </c>
      <c r="U165" s="8" t="s">
        <v>494</v>
      </c>
      <c r="V165" s="8" t="s">
        <v>494</v>
      </c>
      <c r="W165" s="8" t="s">
        <v>2243</v>
      </c>
      <c r="X165" s="8" t="s">
        <v>2244</v>
      </c>
      <c r="Y165" s="8" t="s">
        <v>2245</v>
      </c>
      <c r="Z165" s="8" t="s">
        <v>2246</v>
      </c>
      <c r="AA165" s="8" t="s">
        <v>2247</v>
      </c>
      <c r="AB165" s="8" t="s">
        <v>130</v>
      </c>
      <c r="AC165" s="10" t="s">
        <v>498</v>
      </c>
      <c r="AD165" s="10" t="s">
        <v>499</v>
      </c>
      <c r="AE165" s="8" t="s">
        <v>638</v>
      </c>
      <c r="AF165" s="22" t="s">
        <v>501</v>
      </c>
      <c r="AG165" s="23"/>
      <c r="AH165" s="22"/>
      <c r="AI165" s="22"/>
      <c r="AJ165" s="22"/>
      <c r="AK165" s="23" t="str">
        <f aca="false">IF(AG165="","",WORKDAY(AG165,5))</f>
        <v/>
      </c>
      <c r="AL165" s="22"/>
      <c r="AM165" s="22"/>
    </row>
    <row r="166" customFormat="false" ht="23.85" hidden="false" customHeight="false" outlineLevel="0" collapsed="false">
      <c r="A166" s="29" t="s">
        <v>335</v>
      </c>
      <c r="B166" s="30" t="n">
        <v>165</v>
      </c>
      <c r="C166" s="21" t="n">
        <v>3</v>
      </c>
      <c r="D166" s="8" t="s">
        <v>307</v>
      </c>
      <c r="E166" s="8" t="s">
        <v>334</v>
      </c>
      <c r="F166" s="8" t="s">
        <v>735</v>
      </c>
      <c r="G166" s="10" t="s">
        <v>339</v>
      </c>
      <c r="H166" s="8" t="s">
        <v>2248</v>
      </c>
      <c r="I166" s="8"/>
      <c r="J166" s="8" t="s">
        <v>486</v>
      </c>
      <c r="K166" s="8" t="s">
        <v>487</v>
      </c>
      <c r="L166" s="8" t="s">
        <v>2249</v>
      </c>
      <c r="M166" s="8" t="s">
        <v>338</v>
      </c>
      <c r="N166" s="8"/>
      <c r="O166" s="8" t="s">
        <v>126</v>
      </c>
      <c r="P166" s="8" t="s">
        <v>336</v>
      </c>
      <c r="Q166" s="8" t="s">
        <v>2250</v>
      </c>
      <c r="R166" s="8" t="s">
        <v>491</v>
      </c>
      <c r="S166" s="8" t="s">
        <v>2251</v>
      </c>
      <c r="T166" s="8" t="s">
        <v>2252</v>
      </c>
      <c r="U166" s="8" t="s">
        <v>494</v>
      </c>
      <c r="V166" s="8" t="s">
        <v>494</v>
      </c>
      <c r="W166" s="8"/>
      <c r="X166" s="8" t="s">
        <v>2253</v>
      </c>
      <c r="Y166" s="8" t="s">
        <v>337</v>
      </c>
      <c r="Z166" s="8"/>
      <c r="AA166" s="8" t="s">
        <v>661</v>
      </c>
      <c r="AB166" s="8" t="s">
        <v>204</v>
      </c>
      <c r="AC166" s="10" t="s">
        <v>498</v>
      </c>
      <c r="AD166" s="10" t="s">
        <v>499</v>
      </c>
      <c r="AE166" s="8" t="s">
        <v>500</v>
      </c>
      <c r="AF166" s="22" t="s">
        <v>501</v>
      </c>
      <c r="AG166" s="23"/>
      <c r="AH166" s="22"/>
      <c r="AI166" s="22"/>
      <c r="AJ166" s="22"/>
      <c r="AK166" s="23" t="str">
        <f aca="false">IF(AG166="","",WORKDAY(AG166,5))</f>
        <v/>
      </c>
      <c r="AL166" s="22"/>
      <c r="AM166" s="22"/>
    </row>
    <row r="167" customFormat="false" ht="23.85" hidden="false" customHeight="false" outlineLevel="0" collapsed="false">
      <c r="A167" s="19" t="s">
        <v>262</v>
      </c>
      <c r="B167" s="20" t="n">
        <v>166</v>
      </c>
      <c r="C167" s="21" t="n">
        <v>4</v>
      </c>
      <c r="D167" s="8" t="s">
        <v>108</v>
      </c>
      <c r="E167" s="8" t="s">
        <v>2254</v>
      </c>
      <c r="F167" s="8" t="s">
        <v>525</v>
      </c>
      <c r="G167" s="10" t="s">
        <v>2255</v>
      </c>
      <c r="H167" s="8" t="s">
        <v>2256</v>
      </c>
      <c r="I167" s="8"/>
      <c r="J167" s="8" t="s">
        <v>486</v>
      </c>
      <c r="K167" s="8" t="s">
        <v>487</v>
      </c>
      <c r="L167" s="8" t="s">
        <v>2257</v>
      </c>
      <c r="M167" s="8"/>
      <c r="N167" s="8" t="s">
        <v>2258</v>
      </c>
      <c r="O167" s="8" t="s">
        <v>2259</v>
      </c>
      <c r="P167" s="8" t="s">
        <v>2260</v>
      </c>
      <c r="Q167" s="8" t="s">
        <v>2261</v>
      </c>
      <c r="R167" s="8" t="s">
        <v>518</v>
      </c>
      <c r="S167" s="8" t="s">
        <v>492</v>
      </c>
      <c r="T167" s="8" t="s">
        <v>2262</v>
      </c>
      <c r="U167" s="8" t="s">
        <v>494</v>
      </c>
      <c r="V167" s="8" t="s">
        <v>494</v>
      </c>
      <c r="W167" s="8"/>
      <c r="X167" s="8" t="s">
        <v>2263</v>
      </c>
      <c r="Y167" s="8" t="s">
        <v>1566</v>
      </c>
      <c r="Z167" s="8" t="s">
        <v>622</v>
      </c>
      <c r="AA167" s="8" t="s">
        <v>536</v>
      </c>
      <c r="AB167" s="8" t="s">
        <v>130</v>
      </c>
      <c r="AC167" s="10" t="s">
        <v>498</v>
      </c>
      <c r="AD167" s="10" t="s">
        <v>499</v>
      </c>
      <c r="AE167" s="8" t="s">
        <v>602</v>
      </c>
      <c r="AF167" s="22" t="s">
        <v>501</v>
      </c>
      <c r="AG167" s="23"/>
      <c r="AH167" s="22"/>
      <c r="AI167" s="22"/>
      <c r="AJ167" s="22"/>
      <c r="AK167" s="23" t="str">
        <f aca="false">IF(AG167="","",WORKDAY(AG167,5))</f>
        <v/>
      </c>
      <c r="AL167" s="22"/>
      <c r="AM167" s="22"/>
    </row>
    <row r="168" customFormat="false" ht="23.85" hidden="false" customHeight="false" outlineLevel="0" collapsed="false">
      <c r="A168" s="24" t="s">
        <v>262</v>
      </c>
      <c r="B168" s="25" t="n">
        <v>167</v>
      </c>
      <c r="C168" s="26" t="n">
        <v>3</v>
      </c>
      <c r="D168" s="12" t="s">
        <v>108</v>
      </c>
      <c r="E168" s="12" t="s">
        <v>2264</v>
      </c>
      <c r="F168" s="12" t="s">
        <v>525</v>
      </c>
      <c r="G168" s="14" t="s">
        <v>2265</v>
      </c>
      <c r="H168" s="12" t="s">
        <v>2266</v>
      </c>
      <c r="I168" s="12"/>
      <c r="J168" s="12" t="s">
        <v>486</v>
      </c>
      <c r="K168" s="12" t="s">
        <v>487</v>
      </c>
      <c r="L168" s="12" t="s">
        <v>2267</v>
      </c>
      <c r="M168" s="12"/>
      <c r="N168" s="12"/>
      <c r="O168" s="12" t="s">
        <v>192</v>
      </c>
      <c r="P168" s="12" t="s">
        <v>2268</v>
      </c>
      <c r="Q168" s="12" t="s">
        <v>2269</v>
      </c>
      <c r="R168" s="12" t="s">
        <v>518</v>
      </c>
      <c r="S168" s="12" t="s">
        <v>519</v>
      </c>
      <c r="T168" s="12" t="s">
        <v>562</v>
      </c>
      <c r="U168" s="12" t="s">
        <v>494</v>
      </c>
      <c r="V168" s="12" t="s">
        <v>494</v>
      </c>
      <c r="W168" s="12"/>
      <c r="X168" s="12" t="s">
        <v>2270</v>
      </c>
      <c r="Y168" s="12"/>
      <c r="Z168" s="12"/>
      <c r="AA168" s="12" t="s">
        <v>2271</v>
      </c>
      <c r="AB168" s="12" t="s">
        <v>2272</v>
      </c>
      <c r="AC168" s="14" t="s">
        <v>498</v>
      </c>
      <c r="AD168" s="14" t="s">
        <v>499</v>
      </c>
      <c r="AE168" s="12" t="s">
        <v>500</v>
      </c>
      <c r="AF168" s="27" t="s">
        <v>501</v>
      </c>
      <c r="AG168" s="28"/>
      <c r="AH168" s="27"/>
      <c r="AI168" s="27"/>
      <c r="AJ168" s="27"/>
      <c r="AK168" s="28" t="str">
        <f aca="false">IF(AG168="","",WORKDAY(AG168,5))</f>
        <v/>
      </c>
      <c r="AL168" s="27"/>
      <c r="AM168" s="27"/>
    </row>
    <row r="169" customFormat="false" ht="23.85" hidden="false" customHeight="false" outlineLevel="0" collapsed="false">
      <c r="A169" s="24" t="s">
        <v>262</v>
      </c>
      <c r="B169" s="25" t="n">
        <v>168</v>
      </c>
      <c r="C169" s="26" t="n">
        <v>4</v>
      </c>
      <c r="D169" s="12" t="s">
        <v>260</v>
      </c>
      <c r="E169" s="12" t="s">
        <v>261</v>
      </c>
      <c r="F169" s="12" t="s">
        <v>735</v>
      </c>
      <c r="G169" s="14" t="s">
        <v>267</v>
      </c>
      <c r="H169" s="12" t="s">
        <v>2273</v>
      </c>
      <c r="I169" s="12"/>
      <c r="J169" s="12" t="s">
        <v>486</v>
      </c>
      <c r="K169" s="12" t="s">
        <v>487</v>
      </c>
      <c r="L169" s="12" t="s">
        <v>2274</v>
      </c>
      <c r="M169" s="12"/>
      <c r="N169" s="12" t="s">
        <v>266</v>
      </c>
      <c r="O169" s="12" t="s">
        <v>263</v>
      </c>
      <c r="P169" s="12" t="s">
        <v>264</v>
      </c>
      <c r="Q169" s="12" t="s">
        <v>2275</v>
      </c>
      <c r="R169" s="12" t="s">
        <v>2276</v>
      </c>
      <c r="S169" s="12" t="s">
        <v>1476</v>
      </c>
      <c r="T169" s="12" t="s">
        <v>2277</v>
      </c>
      <c r="U169" s="12" t="s">
        <v>494</v>
      </c>
      <c r="V169" s="12" t="s">
        <v>494</v>
      </c>
      <c r="W169" s="12"/>
      <c r="X169" s="12" t="s">
        <v>2278</v>
      </c>
      <c r="Y169" s="12" t="s">
        <v>265</v>
      </c>
      <c r="Z169" s="12"/>
      <c r="AA169" s="12" t="s">
        <v>2279</v>
      </c>
      <c r="AB169" s="12" t="s">
        <v>268</v>
      </c>
      <c r="AC169" s="14" t="s">
        <v>498</v>
      </c>
      <c r="AD169" s="14" t="s">
        <v>499</v>
      </c>
      <c r="AE169" s="12" t="s">
        <v>552</v>
      </c>
      <c r="AF169" s="27" t="s">
        <v>501</v>
      </c>
      <c r="AG169" s="28"/>
      <c r="AH169" s="27"/>
      <c r="AI169" s="27"/>
      <c r="AJ169" s="27"/>
      <c r="AK169" s="28" t="str">
        <f aca="false">IF(AG169="","",WORKDAY(AG169,5))</f>
        <v/>
      </c>
      <c r="AL169" s="27"/>
      <c r="AM169" s="27"/>
    </row>
    <row r="170" customFormat="false" ht="35.05" hidden="false" customHeight="false" outlineLevel="0" collapsed="false">
      <c r="A170" s="24" t="s">
        <v>262</v>
      </c>
      <c r="B170" s="25" t="n">
        <v>169</v>
      </c>
      <c r="C170" s="26" t="n">
        <v>4</v>
      </c>
      <c r="D170" s="12" t="s">
        <v>281</v>
      </c>
      <c r="E170" s="12" t="s">
        <v>2280</v>
      </c>
      <c r="F170" s="12" t="s">
        <v>483</v>
      </c>
      <c r="G170" s="14" t="s">
        <v>2281</v>
      </c>
      <c r="H170" s="12" t="s">
        <v>2282</v>
      </c>
      <c r="I170" s="12"/>
      <c r="J170" s="12" t="s">
        <v>486</v>
      </c>
      <c r="K170" s="12" t="s">
        <v>487</v>
      </c>
      <c r="L170" s="12" t="s">
        <v>2283</v>
      </c>
      <c r="M170" s="12" t="s">
        <v>2284</v>
      </c>
      <c r="N170" s="12"/>
      <c r="O170" s="12" t="s">
        <v>2285</v>
      </c>
      <c r="P170" s="12" t="s">
        <v>2286</v>
      </c>
      <c r="Q170" s="12" t="s">
        <v>2287</v>
      </c>
      <c r="R170" s="12" t="s">
        <v>518</v>
      </c>
      <c r="S170" s="12" t="s">
        <v>2288</v>
      </c>
      <c r="T170" s="12" t="s">
        <v>2289</v>
      </c>
      <c r="U170" s="12" t="s">
        <v>1715</v>
      </c>
      <c r="V170" s="12" t="s">
        <v>494</v>
      </c>
      <c r="W170" s="12"/>
      <c r="X170" s="12" t="s">
        <v>2290</v>
      </c>
      <c r="Y170" s="12" t="s">
        <v>2291</v>
      </c>
      <c r="Z170" s="12" t="s">
        <v>2292</v>
      </c>
      <c r="AA170" s="12" t="s">
        <v>2293</v>
      </c>
      <c r="AB170" s="12" t="s">
        <v>2294</v>
      </c>
      <c r="AC170" s="14" t="s">
        <v>498</v>
      </c>
      <c r="AD170" s="14" t="s">
        <v>499</v>
      </c>
      <c r="AE170" s="12" t="s">
        <v>568</v>
      </c>
      <c r="AF170" s="27" t="s">
        <v>501</v>
      </c>
      <c r="AG170" s="28"/>
      <c r="AH170" s="27"/>
      <c r="AI170" s="27"/>
      <c r="AJ170" s="27"/>
      <c r="AK170" s="28" t="str">
        <f aca="false">IF(AG170="","",WORKDAY(AG170,5))</f>
        <v/>
      </c>
      <c r="AL170" s="27"/>
      <c r="AM170" s="27"/>
    </row>
    <row r="171" customFormat="false" ht="35.05" hidden="false" customHeight="false" outlineLevel="0" collapsed="false">
      <c r="A171" s="24" t="s">
        <v>262</v>
      </c>
      <c r="B171" s="25" t="n">
        <v>170</v>
      </c>
      <c r="C171" s="26" t="n">
        <v>3</v>
      </c>
      <c r="D171" s="12" t="s">
        <v>281</v>
      </c>
      <c r="E171" s="12" t="s">
        <v>2295</v>
      </c>
      <c r="F171" s="12" t="s">
        <v>525</v>
      </c>
      <c r="G171" s="14" t="s">
        <v>2296</v>
      </c>
      <c r="H171" s="12" t="s">
        <v>2297</v>
      </c>
      <c r="I171" s="12"/>
      <c r="J171" s="12" t="s">
        <v>486</v>
      </c>
      <c r="K171" s="12" t="s">
        <v>487</v>
      </c>
      <c r="L171" s="12" t="s">
        <v>2298</v>
      </c>
      <c r="M171" s="12"/>
      <c r="N171" s="12" t="s">
        <v>105</v>
      </c>
      <c r="O171" s="12" t="s">
        <v>2299</v>
      </c>
      <c r="P171" s="12" t="s">
        <v>2300</v>
      </c>
      <c r="Q171" s="12" t="s">
        <v>2275</v>
      </c>
      <c r="R171" s="12" t="s">
        <v>2301</v>
      </c>
      <c r="S171" s="12" t="s">
        <v>2302</v>
      </c>
      <c r="T171" s="12" t="s">
        <v>2303</v>
      </c>
      <c r="U171" s="12" t="s">
        <v>494</v>
      </c>
      <c r="V171" s="12" t="s">
        <v>1238</v>
      </c>
      <c r="W171" s="12"/>
      <c r="X171" s="12" t="s">
        <v>2304</v>
      </c>
      <c r="Y171" s="12" t="s">
        <v>2305</v>
      </c>
      <c r="Z171" s="12" t="s">
        <v>2306</v>
      </c>
      <c r="AA171" s="12" t="s">
        <v>536</v>
      </c>
      <c r="AB171" s="12" t="s">
        <v>2307</v>
      </c>
      <c r="AC171" s="14" t="s">
        <v>498</v>
      </c>
      <c r="AD171" s="14" t="s">
        <v>499</v>
      </c>
      <c r="AE171" s="12" t="s">
        <v>568</v>
      </c>
      <c r="AF171" s="27" t="s">
        <v>501</v>
      </c>
      <c r="AG171" s="28"/>
      <c r="AH171" s="27"/>
      <c r="AI171" s="27"/>
      <c r="AJ171" s="27"/>
      <c r="AK171" s="28" t="str">
        <f aca="false">IF(AG171="","",WORKDAY(AG171,5))</f>
        <v/>
      </c>
      <c r="AL171" s="27"/>
      <c r="AM171" s="27"/>
    </row>
    <row r="172" customFormat="false" ht="23.85" hidden="false" customHeight="false" outlineLevel="0" collapsed="false">
      <c r="A172" s="24" t="s">
        <v>262</v>
      </c>
      <c r="B172" s="25" t="n">
        <v>171</v>
      </c>
      <c r="C172" s="26" t="n">
        <v>3</v>
      </c>
      <c r="D172" s="12" t="s">
        <v>307</v>
      </c>
      <c r="E172" s="12" t="s">
        <v>340</v>
      </c>
      <c r="F172" s="12" t="s">
        <v>735</v>
      </c>
      <c r="G172" s="14" t="s">
        <v>345</v>
      </c>
      <c r="H172" s="12" t="s">
        <v>2308</v>
      </c>
      <c r="I172" s="12"/>
      <c r="J172" s="12" t="s">
        <v>486</v>
      </c>
      <c r="K172" s="12" t="s">
        <v>487</v>
      </c>
      <c r="L172" s="12" t="s">
        <v>2309</v>
      </c>
      <c r="M172" s="12" t="s">
        <v>344</v>
      </c>
      <c r="N172" s="12" t="s">
        <v>105</v>
      </c>
      <c r="O172" s="12" t="s">
        <v>341</v>
      </c>
      <c r="P172" s="12" t="s">
        <v>342</v>
      </c>
      <c r="Q172" s="12" t="s">
        <v>2310</v>
      </c>
      <c r="R172" s="12" t="s">
        <v>491</v>
      </c>
      <c r="S172" s="12" t="s">
        <v>2311</v>
      </c>
      <c r="T172" s="12" t="s">
        <v>2312</v>
      </c>
      <c r="U172" s="12" t="s">
        <v>494</v>
      </c>
      <c r="V172" s="12" t="s">
        <v>494</v>
      </c>
      <c r="W172" s="12"/>
      <c r="X172" s="12" t="s">
        <v>2313</v>
      </c>
      <c r="Y172" s="12" t="s">
        <v>343</v>
      </c>
      <c r="Z172" s="12" t="s">
        <v>2314</v>
      </c>
      <c r="AA172" s="12" t="s">
        <v>536</v>
      </c>
      <c r="AB172" s="12" t="s">
        <v>346</v>
      </c>
      <c r="AC172" s="14" t="s">
        <v>498</v>
      </c>
      <c r="AD172" s="14" t="s">
        <v>499</v>
      </c>
      <c r="AE172" s="12" t="s">
        <v>602</v>
      </c>
      <c r="AF172" s="27" t="s">
        <v>501</v>
      </c>
      <c r="AG172" s="28"/>
      <c r="AH172" s="27"/>
      <c r="AI172" s="27"/>
      <c r="AJ172" s="27"/>
      <c r="AK172" s="28" t="str">
        <f aca="false">IF(AG172="","",WORKDAY(AG172,5))</f>
        <v/>
      </c>
      <c r="AL172" s="27"/>
      <c r="AM172" s="27"/>
    </row>
    <row r="173" customFormat="false" ht="23.85" hidden="false" customHeight="false" outlineLevel="0" collapsed="false">
      <c r="A173" s="24" t="s">
        <v>262</v>
      </c>
      <c r="B173" s="25" t="n">
        <v>172</v>
      </c>
      <c r="C173" s="26" t="n">
        <v>4</v>
      </c>
      <c r="D173" s="12" t="s">
        <v>307</v>
      </c>
      <c r="E173" s="12" t="s">
        <v>2315</v>
      </c>
      <c r="F173" s="12" t="s">
        <v>483</v>
      </c>
      <c r="G173" s="14" t="s">
        <v>2316</v>
      </c>
      <c r="H173" s="12" t="s">
        <v>2317</v>
      </c>
      <c r="I173" s="12"/>
      <c r="J173" s="12" t="s">
        <v>486</v>
      </c>
      <c r="K173" s="12" t="s">
        <v>487</v>
      </c>
      <c r="L173" s="12" t="s">
        <v>2318</v>
      </c>
      <c r="M173" s="12" t="s">
        <v>2319</v>
      </c>
      <c r="N173" s="12"/>
      <c r="O173" s="12" t="s">
        <v>126</v>
      </c>
      <c r="P173" s="12" t="s">
        <v>2320</v>
      </c>
      <c r="Q173" s="12" t="s">
        <v>2321</v>
      </c>
      <c r="R173" s="12" t="s">
        <v>491</v>
      </c>
      <c r="S173" s="12" t="s">
        <v>2322</v>
      </c>
      <c r="T173" s="12" t="s">
        <v>2323</v>
      </c>
      <c r="U173" s="12" t="s">
        <v>494</v>
      </c>
      <c r="V173" s="12" t="s">
        <v>494</v>
      </c>
      <c r="W173" s="12"/>
      <c r="X173" s="12" t="s">
        <v>2324</v>
      </c>
      <c r="Y173" s="12" t="s">
        <v>2325</v>
      </c>
      <c r="Z173" s="12" t="s">
        <v>2326</v>
      </c>
      <c r="AA173" s="12" t="s">
        <v>2327</v>
      </c>
      <c r="AB173" s="12" t="s">
        <v>204</v>
      </c>
      <c r="AC173" s="14" t="s">
        <v>498</v>
      </c>
      <c r="AD173" s="14" t="s">
        <v>499</v>
      </c>
      <c r="AE173" s="12" t="s">
        <v>500</v>
      </c>
      <c r="AF173" s="27" t="s">
        <v>501</v>
      </c>
      <c r="AG173" s="28"/>
      <c r="AH173" s="27"/>
      <c r="AI173" s="27"/>
      <c r="AJ173" s="27"/>
      <c r="AK173" s="28" t="str">
        <f aca="false">IF(AG173="","",WORKDAY(AG173,5))</f>
        <v/>
      </c>
      <c r="AL173" s="27"/>
      <c r="AM173" s="27"/>
    </row>
    <row r="174" customFormat="false" ht="35.05" hidden="false" customHeight="false" outlineLevel="0" collapsed="false">
      <c r="A174" s="24" t="s">
        <v>262</v>
      </c>
      <c r="B174" s="25" t="n">
        <v>173</v>
      </c>
      <c r="C174" s="26" t="n">
        <v>4</v>
      </c>
      <c r="D174" s="12" t="s">
        <v>307</v>
      </c>
      <c r="E174" s="12" t="s">
        <v>2328</v>
      </c>
      <c r="F174" s="12" t="s">
        <v>483</v>
      </c>
      <c r="G174" s="14" t="s">
        <v>2329</v>
      </c>
      <c r="H174" s="12" t="s">
        <v>2297</v>
      </c>
      <c r="I174" s="12"/>
      <c r="J174" s="12" t="s">
        <v>486</v>
      </c>
      <c r="K174" s="12" t="s">
        <v>487</v>
      </c>
      <c r="L174" s="12" t="s">
        <v>2330</v>
      </c>
      <c r="M174" s="12" t="s">
        <v>2331</v>
      </c>
      <c r="N174" s="12" t="s">
        <v>2332</v>
      </c>
      <c r="O174" s="12" t="s">
        <v>2333</v>
      </c>
      <c r="P174" s="12" t="s">
        <v>2334</v>
      </c>
      <c r="Q174" s="12" t="s">
        <v>2335</v>
      </c>
      <c r="R174" s="12" t="s">
        <v>518</v>
      </c>
      <c r="S174" s="12" t="s">
        <v>2336</v>
      </c>
      <c r="T174" s="12" t="s">
        <v>2337</v>
      </c>
      <c r="U174" s="12" t="s">
        <v>494</v>
      </c>
      <c r="V174" s="12" t="s">
        <v>494</v>
      </c>
      <c r="W174" s="12" t="s">
        <v>2338</v>
      </c>
      <c r="X174" s="12" t="s">
        <v>2339</v>
      </c>
      <c r="Y174" s="12" t="s">
        <v>2340</v>
      </c>
      <c r="Z174" s="12"/>
      <c r="AA174" s="12" t="s">
        <v>2341</v>
      </c>
      <c r="AB174" s="12" t="s">
        <v>130</v>
      </c>
      <c r="AC174" s="14" t="s">
        <v>498</v>
      </c>
      <c r="AD174" s="14" t="s">
        <v>499</v>
      </c>
      <c r="AE174" s="12" t="s">
        <v>602</v>
      </c>
      <c r="AF174" s="27" t="s">
        <v>501</v>
      </c>
      <c r="AG174" s="28"/>
      <c r="AH174" s="27"/>
      <c r="AI174" s="27"/>
      <c r="AJ174" s="27"/>
      <c r="AK174" s="28" t="str">
        <f aca="false">IF(AG174="","",WORKDAY(AG174,5))</f>
        <v/>
      </c>
      <c r="AL174" s="27"/>
      <c r="AM174" s="27"/>
    </row>
    <row r="175" customFormat="false" ht="23.85" hidden="false" customHeight="false" outlineLevel="0" collapsed="false">
      <c r="A175" s="24" t="s">
        <v>262</v>
      </c>
      <c r="B175" s="25" t="n">
        <v>174</v>
      </c>
      <c r="C175" s="26" t="n">
        <v>4</v>
      </c>
      <c r="D175" s="12" t="s">
        <v>307</v>
      </c>
      <c r="E175" s="12" t="s">
        <v>2342</v>
      </c>
      <c r="F175" s="12" t="s">
        <v>483</v>
      </c>
      <c r="G175" s="14" t="s">
        <v>2343</v>
      </c>
      <c r="H175" s="12" t="s">
        <v>2344</v>
      </c>
      <c r="I175" s="12"/>
      <c r="J175" s="12" t="s">
        <v>486</v>
      </c>
      <c r="K175" s="12" t="s">
        <v>487</v>
      </c>
      <c r="L175" s="12" t="s">
        <v>2345</v>
      </c>
      <c r="M175" s="12" t="s">
        <v>2346</v>
      </c>
      <c r="N175" s="12" t="s">
        <v>2347</v>
      </c>
      <c r="O175" s="12" t="s">
        <v>126</v>
      </c>
      <c r="P175" s="12" t="s">
        <v>2348</v>
      </c>
      <c r="Q175" s="12" t="s">
        <v>2349</v>
      </c>
      <c r="R175" s="12" t="s">
        <v>491</v>
      </c>
      <c r="S175" s="12" t="s">
        <v>519</v>
      </c>
      <c r="T175" s="12" t="s">
        <v>562</v>
      </c>
      <c r="U175" s="12" t="s">
        <v>494</v>
      </c>
      <c r="V175" s="12" t="s">
        <v>494</v>
      </c>
      <c r="W175" s="12"/>
      <c r="X175" s="12" t="s">
        <v>2350</v>
      </c>
      <c r="Y175" s="12" t="s">
        <v>2351</v>
      </c>
      <c r="Z175" s="12"/>
      <c r="AA175" s="12" t="s">
        <v>2352</v>
      </c>
      <c r="AB175" s="12" t="s">
        <v>2353</v>
      </c>
      <c r="AC175" s="14" t="s">
        <v>498</v>
      </c>
      <c r="AD175" s="14" t="s">
        <v>499</v>
      </c>
      <c r="AE175" s="12" t="s">
        <v>500</v>
      </c>
      <c r="AF175" s="27" t="s">
        <v>501</v>
      </c>
      <c r="AG175" s="28"/>
      <c r="AH175" s="27"/>
      <c r="AI175" s="27"/>
      <c r="AJ175" s="27"/>
      <c r="AK175" s="28" t="str">
        <f aca="false">IF(AG175="","",WORKDAY(AG175,5))</f>
        <v/>
      </c>
      <c r="AL175" s="27"/>
      <c r="AM175" s="27"/>
    </row>
    <row r="176" customFormat="false" ht="23.85" hidden="false" customHeight="false" outlineLevel="0" collapsed="false">
      <c r="A176" s="24" t="s">
        <v>262</v>
      </c>
      <c r="B176" s="25" t="n">
        <v>175</v>
      </c>
      <c r="C176" s="26" t="n">
        <v>4</v>
      </c>
      <c r="D176" s="12" t="s">
        <v>307</v>
      </c>
      <c r="E176" s="12" t="s">
        <v>2354</v>
      </c>
      <c r="F176" s="12" t="s">
        <v>483</v>
      </c>
      <c r="G176" s="14" t="s">
        <v>2355</v>
      </c>
      <c r="H176" s="12" t="s">
        <v>2356</v>
      </c>
      <c r="I176" s="12"/>
      <c r="J176" s="12" t="s">
        <v>486</v>
      </c>
      <c r="K176" s="12" t="s">
        <v>487</v>
      </c>
      <c r="L176" s="12" t="s">
        <v>2357</v>
      </c>
      <c r="M176" s="12"/>
      <c r="N176" s="12"/>
      <c r="O176" s="12" t="s">
        <v>2358</v>
      </c>
      <c r="P176" s="12" t="s">
        <v>2359</v>
      </c>
      <c r="Q176" s="12" t="s">
        <v>1498</v>
      </c>
      <c r="R176" s="12" t="s">
        <v>518</v>
      </c>
      <c r="S176" s="12" t="s">
        <v>519</v>
      </c>
      <c r="T176" s="12" t="s">
        <v>2360</v>
      </c>
      <c r="U176" s="12" t="s">
        <v>494</v>
      </c>
      <c r="V176" s="12" t="s">
        <v>494</v>
      </c>
      <c r="W176" s="12"/>
      <c r="X176" s="12" t="s">
        <v>2361</v>
      </c>
      <c r="Y176" s="12" t="s">
        <v>2362</v>
      </c>
      <c r="Z176" s="12"/>
      <c r="AA176" s="12" t="s">
        <v>2363</v>
      </c>
      <c r="AB176" s="12" t="s">
        <v>123</v>
      </c>
      <c r="AC176" s="14" t="s">
        <v>498</v>
      </c>
      <c r="AD176" s="14" t="s">
        <v>499</v>
      </c>
      <c r="AE176" s="12" t="s">
        <v>500</v>
      </c>
      <c r="AF176" s="27" t="s">
        <v>501</v>
      </c>
      <c r="AG176" s="28"/>
      <c r="AH176" s="27"/>
      <c r="AI176" s="27"/>
      <c r="AJ176" s="27"/>
      <c r="AK176" s="28" t="str">
        <f aca="false">IF(AG176="","",WORKDAY(AG176,5))</f>
        <v/>
      </c>
      <c r="AL176" s="27"/>
      <c r="AM176" s="27"/>
    </row>
    <row r="177" customFormat="false" ht="23.85" hidden="false" customHeight="false" outlineLevel="0" collapsed="false">
      <c r="A177" s="24" t="s">
        <v>262</v>
      </c>
      <c r="B177" s="25" t="n">
        <v>176</v>
      </c>
      <c r="C177" s="26" t="n">
        <v>3</v>
      </c>
      <c r="D177" s="12" t="s">
        <v>307</v>
      </c>
      <c r="E177" s="12" t="s">
        <v>2364</v>
      </c>
      <c r="F177" s="12" t="s">
        <v>525</v>
      </c>
      <c r="G177" s="14" t="s">
        <v>2365</v>
      </c>
      <c r="H177" s="12" t="s">
        <v>2356</v>
      </c>
      <c r="I177" s="12"/>
      <c r="J177" s="12" t="s">
        <v>486</v>
      </c>
      <c r="K177" s="12" t="s">
        <v>487</v>
      </c>
      <c r="L177" s="12" t="s">
        <v>2366</v>
      </c>
      <c r="M177" s="12"/>
      <c r="N177" s="12"/>
      <c r="O177" s="12" t="s">
        <v>126</v>
      </c>
      <c r="P177" s="12" t="s">
        <v>2367</v>
      </c>
      <c r="Q177" s="12" t="s">
        <v>2368</v>
      </c>
      <c r="R177" s="12" t="s">
        <v>518</v>
      </c>
      <c r="S177" s="12" t="s">
        <v>519</v>
      </c>
      <c r="T177" s="12" t="s">
        <v>562</v>
      </c>
      <c r="U177" s="12" t="s">
        <v>494</v>
      </c>
      <c r="V177" s="12" t="s">
        <v>494</v>
      </c>
      <c r="W177" s="12"/>
      <c r="X177" s="12" t="s">
        <v>2369</v>
      </c>
      <c r="Y177" s="12" t="s">
        <v>2370</v>
      </c>
      <c r="Z177" s="12"/>
      <c r="AA177" s="12" t="s">
        <v>2371</v>
      </c>
      <c r="AB177" s="12" t="s">
        <v>123</v>
      </c>
      <c r="AC177" s="14" t="s">
        <v>498</v>
      </c>
      <c r="AD177" s="14" t="s">
        <v>499</v>
      </c>
      <c r="AE177" s="12" t="s">
        <v>500</v>
      </c>
      <c r="AF177" s="27" t="s">
        <v>501</v>
      </c>
      <c r="AG177" s="28"/>
      <c r="AH177" s="27"/>
      <c r="AI177" s="27"/>
      <c r="AJ177" s="27"/>
      <c r="AK177" s="28" t="str">
        <f aca="false">IF(AG177="","",WORKDAY(AG177,5))</f>
        <v/>
      </c>
      <c r="AL177" s="27"/>
      <c r="AM177" s="27"/>
    </row>
    <row r="178" customFormat="false" ht="35.05" hidden="false" customHeight="false" outlineLevel="0" collapsed="false">
      <c r="A178" s="24" t="s">
        <v>262</v>
      </c>
      <c r="B178" s="25" t="n">
        <v>177</v>
      </c>
      <c r="C178" s="26" t="n">
        <v>3</v>
      </c>
      <c r="D178" s="12" t="s">
        <v>307</v>
      </c>
      <c r="E178" s="12" t="s">
        <v>2372</v>
      </c>
      <c r="F178" s="12" t="s">
        <v>525</v>
      </c>
      <c r="G178" s="14" t="s">
        <v>2373</v>
      </c>
      <c r="H178" s="12" t="s">
        <v>2374</v>
      </c>
      <c r="I178" s="12"/>
      <c r="J178" s="12" t="s">
        <v>486</v>
      </c>
      <c r="K178" s="12" t="s">
        <v>487</v>
      </c>
      <c r="L178" s="12"/>
      <c r="M178" s="12"/>
      <c r="N178" s="12"/>
      <c r="O178" s="12" t="s">
        <v>2375</v>
      </c>
      <c r="P178" s="12" t="s">
        <v>2376</v>
      </c>
      <c r="Q178" s="12" t="s">
        <v>2377</v>
      </c>
      <c r="R178" s="12" t="s">
        <v>2378</v>
      </c>
      <c r="S178" s="12" t="s">
        <v>2379</v>
      </c>
      <c r="T178" s="12" t="s">
        <v>2380</v>
      </c>
      <c r="U178" s="12" t="s">
        <v>2381</v>
      </c>
      <c r="V178" s="12" t="s">
        <v>2381</v>
      </c>
      <c r="W178" s="12"/>
      <c r="X178" s="12" t="s">
        <v>2382</v>
      </c>
      <c r="Y178" s="12" t="s">
        <v>2383</v>
      </c>
      <c r="Z178" s="12"/>
      <c r="AA178" s="12" t="s">
        <v>2384</v>
      </c>
      <c r="AB178" s="12" t="s">
        <v>123</v>
      </c>
      <c r="AC178" s="14" t="s">
        <v>498</v>
      </c>
      <c r="AD178" s="14" t="s">
        <v>499</v>
      </c>
      <c r="AE178" s="12" t="s">
        <v>568</v>
      </c>
      <c r="AF178" s="27" t="s">
        <v>501</v>
      </c>
      <c r="AG178" s="28"/>
      <c r="AH178" s="27"/>
      <c r="AI178" s="27"/>
      <c r="AJ178" s="27"/>
      <c r="AK178" s="28" t="str">
        <f aca="false">IF(AG178="","",WORKDAY(AG178,5))</f>
        <v/>
      </c>
      <c r="AL178" s="27"/>
      <c r="AM178" s="27"/>
    </row>
    <row r="179" customFormat="false" ht="23.85" hidden="false" customHeight="false" outlineLevel="0" collapsed="false">
      <c r="A179" s="24" t="s">
        <v>262</v>
      </c>
      <c r="B179" s="25" t="n">
        <v>178</v>
      </c>
      <c r="C179" s="26" t="n">
        <v>4</v>
      </c>
      <c r="D179" s="12" t="s">
        <v>353</v>
      </c>
      <c r="E179" s="12" t="s">
        <v>361</v>
      </c>
      <c r="F179" s="12" t="s">
        <v>735</v>
      </c>
      <c r="G179" s="14" t="s">
        <v>365</v>
      </c>
      <c r="H179" s="12" t="s">
        <v>2385</v>
      </c>
      <c r="I179" s="12"/>
      <c r="J179" s="12" t="s">
        <v>486</v>
      </c>
      <c r="K179" s="12" t="s">
        <v>487</v>
      </c>
      <c r="L179" s="12" t="s">
        <v>2386</v>
      </c>
      <c r="M179" s="12" t="s">
        <v>364</v>
      </c>
      <c r="N179" s="12"/>
      <c r="O179" s="12" t="s">
        <v>119</v>
      </c>
      <c r="P179" s="12" t="s">
        <v>362</v>
      </c>
      <c r="Q179" s="12" t="s">
        <v>2387</v>
      </c>
      <c r="R179" s="12" t="s">
        <v>491</v>
      </c>
      <c r="S179" s="12" t="s">
        <v>2388</v>
      </c>
      <c r="T179" s="12" t="s">
        <v>2389</v>
      </c>
      <c r="U179" s="12" t="s">
        <v>494</v>
      </c>
      <c r="V179" s="12" t="s">
        <v>494</v>
      </c>
      <c r="W179" s="12" t="s">
        <v>2390</v>
      </c>
      <c r="X179" s="12" t="s">
        <v>2391</v>
      </c>
      <c r="Y179" s="12" t="s">
        <v>363</v>
      </c>
      <c r="Z179" s="12"/>
      <c r="AA179" s="12" t="s">
        <v>2392</v>
      </c>
      <c r="AB179" s="12" t="s">
        <v>130</v>
      </c>
      <c r="AC179" s="14" t="s">
        <v>498</v>
      </c>
      <c r="AD179" s="14" t="s">
        <v>499</v>
      </c>
      <c r="AE179" s="12" t="s">
        <v>500</v>
      </c>
      <c r="AF179" s="27" t="s">
        <v>501</v>
      </c>
      <c r="AG179" s="28"/>
      <c r="AH179" s="27"/>
      <c r="AI179" s="27"/>
      <c r="AJ179" s="27"/>
      <c r="AK179" s="28" t="str">
        <f aca="false">IF(AG179="","",WORKDAY(AG179,5))</f>
        <v/>
      </c>
      <c r="AL179" s="27"/>
      <c r="AM179" s="27"/>
    </row>
    <row r="180" customFormat="false" ht="23.85" hidden="false" customHeight="false" outlineLevel="0" collapsed="false">
      <c r="A180" s="24" t="s">
        <v>262</v>
      </c>
      <c r="B180" s="25" t="n">
        <v>179</v>
      </c>
      <c r="C180" s="26" t="n">
        <v>3</v>
      </c>
      <c r="D180" s="12" t="s">
        <v>353</v>
      </c>
      <c r="E180" s="12" t="s">
        <v>2393</v>
      </c>
      <c r="F180" s="12" t="s">
        <v>483</v>
      </c>
      <c r="G180" s="14" t="s">
        <v>2394</v>
      </c>
      <c r="H180" s="12" t="s">
        <v>2395</v>
      </c>
      <c r="I180" s="12"/>
      <c r="J180" s="12" t="s">
        <v>486</v>
      </c>
      <c r="K180" s="12" t="s">
        <v>487</v>
      </c>
      <c r="L180" s="12" t="s">
        <v>2396</v>
      </c>
      <c r="M180" s="12"/>
      <c r="N180" s="12"/>
      <c r="O180" s="12" t="s">
        <v>2397</v>
      </c>
      <c r="P180" s="12" t="s">
        <v>2398</v>
      </c>
      <c r="Q180" s="12" t="s">
        <v>2399</v>
      </c>
      <c r="R180" s="12" t="s">
        <v>518</v>
      </c>
      <c r="S180" s="12" t="s">
        <v>2400</v>
      </c>
      <c r="T180" s="12" t="s">
        <v>2401</v>
      </c>
      <c r="U180" s="12" t="s">
        <v>2402</v>
      </c>
      <c r="V180" s="12" t="s">
        <v>2381</v>
      </c>
      <c r="W180" s="12"/>
      <c r="X180" s="12" t="s">
        <v>2403</v>
      </c>
      <c r="Y180" s="12" t="s">
        <v>2404</v>
      </c>
      <c r="Z180" s="12"/>
      <c r="AA180" s="12" t="s">
        <v>2405</v>
      </c>
      <c r="AB180" s="12" t="s">
        <v>2406</v>
      </c>
      <c r="AC180" s="14" t="s">
        <v>498</v>
      </c>
      <c r="AD180" s="14" t="s">
        <v>499</v>
      </c>
      <c r="AE180" s="12" t="s">
        <v>568</v>
      </c>
      <c r="AF180" s="27" t="s">
        <v>501</v>
      </c>
      <c r="AG180" s="28"/>
      <c r="AH180" s="27"/>
      <c r="AI180" s="27"/>
      <c r="AJ180" s="27"/>
      <c r="AK180" s="28" t="str">
        <f aca="false">IF(AG180="","",WORKDAY(AG180,5))</f>
        <v/>
      </c>
      <c r="AL180" s="27"/>
      <c r="AM180" s="27"/>
    </row>
    <row r="181" customFormat="false" ht="23.85" hidden="false" customHeight="false" outlineLevel="0" collapsed="false">
      <c r="A181" s="24" t="s">
        <v>262</v>
      </c>
      <c r="B181" s="25" t="n">
        <v>180</v>
      </c>
      <c r="C181" s="26" t="n">
        <v>3</v>
      </c>
      <c r="D181" s="12" t="s">
        <v>353</v>
      </c>
      <c r="E181" s="12" t="s">
        <v>2407</v>
      </c>
      <c r="F181" s="12" t="s">
        <v>525</v>
      </c>
      <c r="G181" s="14" t="s">
        <v>2408</v>
      </c>
      <c r="H181" s="12" t="s">
        <v>2409</v>
      </c>
      <c r="I181" s="12"/>
      <c r="J181" s="12" t="s">
        <v>486</v>
      </c>
      <c r="K181" s="12" t="s">
        <v>487</v>
      </c>
      <c r="L181" s="12" t="s">
        <v>2410</v>
      </c>
      <c r="M181" s="12"/>
      <c r="N181" s="12"/>
      <c r="O181" s="12" t="s">
        <v>1394</v>
      </c>
      <c r="P181" s="12" t="s">
        <v>2411</v>
      </c>
      <c r="Q181" s="12" t="s">
        <v>1540</v>
      </c>
      <c r="R181" s="12" t="s">
        <v>518</v>
      </c>
      <c r="S181" s="12" t="s">
        <v>1195</v>
      </c>
      <c r="T181" s="12" t="s">
        <v>562</v>
      </c>
      <c r="U181" s="12" t="s">
        <v>494</v>
      </c>
      <c r="V181" s="12" t="s">
        <v>494</v>
      </c>
      <c r="W181" s="12"/>
      <c r="X181" s="12" t="s">
        <v>2412</v>
      </c>
      <c r="Y181" s="12"/>
      <c r="Z181" s="12"/>
      <c r="AA181" s="12" t="s">
        <v>2413</v>
      </c>
      <c r="AB181" s="12" t="s">
        <v>2414</v>
      </c>
      <c r="AC181" s="14" t="s">
        <v>498</v>
      </c>
      <c r="AD181" s="14" t="s">
        <v>499</v>
      </c>
      <c r="AE181" s="12" t="s">
        <v>602</v>
      </c>
      <c r="AF181" s="27" t="s">
        <v>501</v>
      </c>
      <c r="AG181" s="28"/>
      <c r="AH181" s="27"/>
      <c r="AI181" s="27"/>
      <c r="AJ181" s="27"/>
      <c r="AK181" s="28" t="str">
        <f aca="false">IF(AG181="","",WORKDAY(AG181,5))</f>
        <v/>
      </c>
      <c r="AL181" s="27"/>
      <c r="AM181" s="27"/>
    </row>
    <row r="182" customFormat="false" ht="35.05" hidden="false" customHeight="false" outlineLevel="0" collapsed="false">
      <c r="A182" s="24" t="s">
        <v>262</v>
      </c>
      <c r="B182" s="25" t="n">
        <v>181</v>
      </c>
      <c r="C182" s="26" t="n">
        <v>3</v>
      </c>
      <c r="D182" s="12" t="s">
        <v>374</v>
      </c>
      <c r="E182" s="12" t="s">
        <v>2415</v>
      </c>
      <c r="F182" s="12" t="s">
        <v>525</v>
      </c>
      <c r="G182" s="14" t="s">
        <v>2416</v>
      </c>
      <c r="H182" s="12" t="s">
        <v>2417</v>
      </c>
      <c r="I182" s="12"/>
      <c r="J182" s="12" t="s">
        <v>486</v>
      </c>
      <c r="K182" s="12" t="s">
        <v>487</v>
      </c>
      <c r="L182" s="12" t="s">
        <v>2418</v>
      </c>
      <c r="M182" s="12"/>
      <c r="N182" s="12"/>
      <c r="O182" s="12" t="s">
        <v>2419</v>
      </c>
      <c r="P182" s="12" t="s">
        <v>2420</v>
      </c>
      <c r="Q182" s="12" t="s">
        <v>1667</v>
      </c>
      <c r="R182" s="12" t="s">
        <v>518</v>
      </c>
      <c r="S182" s="12" t="s">
        <v>2421</v>
      </c>
      <c r="T182" s="12" t="s">
        <v>2422</v>
      </c>
      <c r="U182" s="12" t="s">
        <v>2423</v>
      </c>
      <c r="V182" s="12" t="s">
        <v>494</v>
      </c>
      <c r="W182" s="12"/>
      <c r="X182" s="12" t="s">
        <v>2424</v>
      </c>
      <c r="Y182" s="12" t="s">
        <v>2425</v>
      </c>
      <c r="Z182" s="12"/>
      <c r="AA182" s="12" t="s">
        <v>2426</v>
      </c>
      <c r="AB182" s="12" t="s">
        <v>2427</v>
      </c>
      <c r="AC182" s="14" t="s">
        <v>498</v>
      </c>
      <c r="AD182" s="14" t="s">
        <v>499</v>
      </c>
      <c r="AE182" s="12" t="s">
        <v>568</v>
      </c>
      <c r="AF182" s="27" t="s">
        <v>501</v>
      </c>
      <c r="AG182" s="28"/>
      <c r="AH182" s="27"/>
      <c r="AI182" s="27"/>
      <c r="AJ182" s="27"/>
      <c r="AK182" s="28" t="str">
        <f aca="false">IF(AG182="","",WORKDAY(AG182,5))</f>
        <v/>
      </c>
      <c r="AL182" s="27"/>
      <c r="AM182" s="27"/>
    </row>
    <row r="183" customFormat="false" ht="35.05" hidden="false" customHeight="false" outlineLevel="0" collapsed="false">
      <c r="A183" s="24" t="s">
        <v>262</v>
      </c>
      <c r="B183" s="25" t="n">
        <v>182</v>
      </c>
      <c r="C183" s="26" t="n">
        <v>3</v>
      </c>
      <c r="D183" s="12" t="s">
        <v>380</v>
      </c>
      <c r="E183" s="12" t="s">
        <v>399</v>
      </c>
      <c r="F183" s="12" t="s">
        <v>735</v>
      </c>
      <c r="G183" s="14" t="s">
        <v>403</v>
      </c>
      <c r="H183" s="12" t="s">
        <v>262</v>
      </c>
      <c r="I183" s="12"/>
      <c r="J183" s="12" t="s">
        <v>486</v>
      </c>
      <c r="K183" s="12" t="s">
        <v>487</v>
      </c>
      <c r="L183" s="12"/>
      <c r="M183" s="12"/>
      <c r="N183" s="12"/>
      <c r="O183" s="12" t="s">
        <v>400</v>
      </c>
      <c r="P183" s="12" t="s">
        <v>401</v>
      </c>
      <c r="Q183" s="12" t="s">
        <v>2428</v>
      </c>
      <c r="R183" s="12" t="s">
        <v>518</v>
      </c>
      <c r="S183" s="12" t="s">
        <v>2429</v>
      </c>
      <c r="T183" s="12" t="s">
        <v>2430</v>
      </c>
      <c r="U183" s="12" t="s">
        <v>2402</v>
      </c>
      <c r="V183" s="12" t="s">
        <v>494</v>
      </c>
      <c r="W183" s="12"/>
      <c r="X183" s="12" t="s">
        <v>2431</v>
      </c>
      <c r="Y183" s="12" t="s">
        <v>402</v>
      </c>
      <c r="Z183" s="12"/>
      <c r="AA183" s="12" t="s">
        <v>536</v>
      </c>
      <c r="AB183" s="12" t="s">
        <v>404</v>
      </c>
      <c r="AC183" s="14" t="s">
        <v>498</v>
      </c>
      <c r="AD183" s="14" t="s">
        <v>499</v>
      </c>
      <c r="AE183" s="12" t="s">
        <v>568</v>
      </c>
      <c r="AF183" s="27" t="s">
        <v>501</v>
      </c>
      <c r="AG183" s="28"/>
      <c r="AH183" s="27"/>
      <c r="AI183" s="27"/>
      <c r="AJ183" s="27"/>
      <c r="AK183" s="28" t="str">
        <f aca="false">IF(AG183="","",WORKDAY(AG183,5))</f>
        <v/>
      </c>
      <c r="AL183" s="27"/>
      <c r="AM183" s="27"/>
    </row>
    <row r="184" customFormat="false" ht="23.85" hidden="false" customHeight="false" outlineLevel="0" collapsed="false">
      <c r="A184" s="24" t="s">
        <v>262</v>
      </c>
      <c r="B184" s="25" t="n">
        <v>183</v>
      </c>
      <c r="C184" s="26" t="n">
        <v>3</v>
      </c>
      <c r="D184" s="12" t="s">
        <v>380</v>
      </c>
      <c r="E184" s="12" t="s">
        <v>2432</v>
      </c>
      <c r="F184" s="12" t="s">
        <v>483</v>
      </c>
      <c r="G184" s="14" t="s">
        <v>2433</v>
      </c>
      <c r="H184" s="12" t="s">
        <v>262</v>
      </c>
      <c r="I184" s="12"/>
      <c r="J184" s="12" t="s">
        <v>486</v>
      </c>
      <c r="K184" s="12" t="s">
        <v>487</v>
      </c>
      <c r="L184" s="12"/>
      <c r="M184" s="12"/>
      <c r="N184" s="12"/>
      <c r="O184" s="12" t="s">
        <v>2434</v>
      </c>
      <c r="P184" s="12" t="s">
        <v>2435</v>
      </c>
      <c r="Q184" s="12" t="s">
        <v>2436</v>
      </c>
      <c r="R184" s="12" t="s">
        <v>518</v>
      </c>
      <c r="S184" s="12" t="s">
        <v>2437</v>
      </c>
      <c r="T184" s="12" t="s">
        <v>562</v>
      </c>
      <c r="U184" s="12" t="s">
        <v>2402</v>
      </c>
      <c r="V184" s="12" t="s">
        <v>2381</v>
      </c>
      <c r="W184" s="12"/>
      <c r="X184" s="12" t="s">
        <v>2438</v>
      </c>
      <c r="Y184" s="12" t="s">
        <v>2439</v>
      </c>
      <c r="Z184" s="12"/>
      <c r="AA184" s="12" t="s">
        <v>2440</v>
      </c>
      <c r="AB184" s="12" t="s">
        <v>2441</v>
      </c>
      <c r="AC184" s="14" t="s">
        <v>498</v>
      </c>
      <c r="AD184" s="14" t="s">
        <v>499</v>
      </c>
      <c r="AE184" s="12" t="s">
        <v>568</v>
      </c>
      <c r="AF184" s="27" t="s">
        <v>501</v>
      </c>
      <c r="AG184" s="28"/>
      <c r="AH184" s="27"/>
      <c r="AI184" s="27"/>
      <c r="AJ184" s="27"/>
      <c r="AK184" s="28" t="str">
        <f aca="false">IF(AG184="","",WORKDAY(AG184,5))</f>
        <v/>
      </c>
      <c r="AL184" s="27"/>
      <c r="AM184" s="27"/>
    </row>
    <row r="185" customFormat="false" ht="23.85" hidden="false" customHeight="false" outlineLevel="0" collapsed="false">
      <c r="A185" s="24" t="s">
        <v>262</v>
      </c>
      <c r="B185" s="25" t="n">
        <v>184</v>
      </c>
      <c r="C185" s="26" t="n">
        <v>4</v>
      </c>
      <c r="D185" s="12" t="s">
        <v>405</v>
      </c>
      <c r="E185" s="12" t="s">
        <v>2442</v>
      </c>
      <c r="F185" s="12" t="s">
        <v>483</v>
      </c>
      <c r="G185" s="14" t="s">
        <v>2443</v>
      </c>
      <c r="H185" s="12" t="s">
        <v>2444</v>
      </c>
      <c r="I185" s="12"/>
      <c r="J185" s="12" t="s">
        <v>486</v>
      </c>
      <c r="K185" s="12" t="s">
        <v>487</v>
      </c>
      <c r="L185" s="12" t="s">
        <v>2444</v>
      </c>
      <c r="M185" s="12"/>
      <c r="N185" s="12" t="s">
        <v>2445</v>
      </c>
      <c r="O185" s="12" t="s">
        <v>2446</v>
      </c>
      <c r="P185" s="12" t="s">
        <v>2447</v>
      </c>
      <c r="Q185" s="12" t="s">
        <v>1860</v>
      </c>
      <c r="R185" s="12" t="s">
        <v>2448</v>
      </c>
      <c r="S185" s="12" t="s">
        <v>2449</v>
      </c>
      <c r="T185" s="12" t="s">
        <v>2450</v>
      </c>
      <c r="U185" s="12" t="s">
        <v>494</v>
      </c>
      <c r="V185" s="12" t="s">
        <v>1238</v>
      </c>
      <c r="W185" s="12"/>
      <c r="X185" s="12" t="s">
        <v>2451</v>
      </c>
      <c r="Y185" s="12" t="s">
        <v>2452</v>
      </c>
      <c r="Z185" s="12"/>
      <c r="AA185" s="12" t="s">
        <v>1833</v>
      </c>
      <c r="AB185" s="12" t="s">
        <v>123</v>
      </c>
      <c r="AC185" s="14" t="s">
        <v>498</v>
      </c>
      <c r="AD185" s="14" t="s">
        <v>499</v>
      </c>
      <c r="AE185" s="12" t="s">
        <v>568</v>
      </c>
      <c r="AF185" s="27" t="s">
        <v>501</v>
      </c>
      <c r="AG185" s="28"/>
      <c r="AH185" s="27"/>
      <c r="AI185" s="27"/>
      <c r="AJ185" s="27"/>
      <c r="AK185" s="28" t="str">
        <f aca="false">IF(AG185="","",WORKDAY(AG185,5))</f>
        <v/>
      </c>
      <c r="AL185" s="27"/>
      <c r="AM185" s="27"/>
    </row>
    <row r="186" customFormat="false" ht="23.85" hidden="false" customHeight="false" outlineLevel="0" collapsed="false">
      <c r="A186" s="24" t="s">
        <v>262</v>
      </c>
      <c r="B186" s="25" t="n">
        <v>185</v>
      </c>
      <c r="C186" s="26" t="n">
        <v>4</v>
      </c>
      <c r="D186" s="12" t="s">
        <v>405</v>
      </c>
      <c r="E186" s="12" t="s">
        <v>2453</v>
      </c>
      <c r="F186" s="12" t="s">
        <v>483</v>
      </c>
      <c r="G186" s="14" t="s">
        <v>2454</v>
      </c>
      <c r="H186" s="12" t="s">
        <v>2455</v>
      </c>
      <c r="I186" s="12"/>
      <c r="J186" s="12" t="s">
        <v>486</v>
      </c>
      <c r="K186" s="12" t="s">
        <v>487</v>
      </c>
      <c r="L186" s="12" t="s">
        <v>2456</v>
      </c>
      <c r="M186" s="12"/>
      <c r="N186" s="12"/>
      <c r="O186" s="12" t="s">
        <v>2457</v>
      </c>
      <c r="P186" s="12" t="s">
        <v>2458</v>
      </c>
      <c r="Q186" s="12" t="s">
        <v>517</v>
      </c>
      <c r="R186" s="12" t="s">
        <v>491</v>
      </c>
      <c r="S186" s="12" t="s">
        <v>2459</v>
      </c>
      <c r="T186" s="12" t="s">
        <v>2460</v>
      </c>
      <c r="U186" s="12" t="s">
        <v>494</v>
      </c>
      <c r="V186" s="12" t="s">
        <v>494</v>
      </c>
      <c r="W186" s="12"/>
      <c r="X186" s="12" t="s">
        <v>2461</v>
      </c>
      <c r="Y186" s="12" t="s">
        <v>2462</v>
      </c>
      <c r="Z186" s="12"/>
      <c r="AA186" s="12" t="s">
        <v>1804</v>
      </c>
      <c r="AB186" s="12" t="s">
        <v>2463</v>
      </c>
      <c r="AC186" s="14" t="s">
        <v>498</v>
      </c>
      <c r="AD186" s="14" t="s">
        <v>499</v>
      </c>
      <c r="AE186" s="12" t="s">
        <v>500</v>
      </c>
      <c r="AF186" s="27" t="s">
        <v>501</v>
      </c>
      <c r="AG186" s="28"/>
      <c r="AH186" s="27"/>
      <c r="AI186" s="27"/>
      <c r="AJ186" s="27"/>
      <c r="AK186" s="28" t="str">
        <f aca="false">IF(AG186="","",WORKDAY(AG186,5))</f>
        <v/>
      </c>
      <c r="AL186" s="27"/>
      <c r="AM186" s="27"/>
    </row>
    <row r="187" customFormat="false" ht="23.85" hidden="false" customHeight="false" outlineLevel="0" collapsed="false">
      <c r="A187" s="24" t="s">
        <v>262</v>
      </c>
      <c r="B187" s="25" t="n">
        <v>186</v>
      </c>
      <c r="C187" s="26" t="n">
        <v>3</v>
      </c>
      <c r="D187" s="12" t="s">
        <v>405</v>
      </c>
      <c r="E187" s="12" t="s">
        <v>2464</v>
      </c>
      <c r="F187" s="12" t="s">
        <v>483</v>
      </c>
      <c r="G187" s="14" t="s">
        <v>2465</v>
      </c>
      <c r="H187" s="12" t="s">
        <v>2466</v>
      </c>
      <c r="I187" s="12"/>
      <c r="J187" s="12" t="s">
        <v>486</v>
      </c>
      <c r="K187" s="12" t="s">
        <v>487</v>
      </c>
      <c r="L187" s="12" t="s">
        <v>2467</v>
      </c>
      <c r="M187" s="12"/>
      <c r="N187" s="12"/>
      <c r="O187" s="12" t="s">
        <v>2468</v>
      </c>
      <c r="P187" s="12" t="s">
        <v>2469</v>
      </c>
      <c r="Q187" s="12" t="s">
        <v>508</v>
      </c>
      <c r="R187" s="12" t="s">
        <v>518</v>
      </c>
      <c r="S187" s="12" t="s">
        <v>2470</v>
      </c>
      <c r="T187" s="12" t="s">
        <v>2471</v>
      </c>
      <c r="U187" s="12" t="s">
        <v>494</v>
      </c>
      <c r="V187" s="12" t="s">
        <v>494</v>
      </c>
      <c r="W187" s="12"/>
      <c r="X187" s="12" t="s">
        <v>2472</v>
      </c>
      <c r="Y187" s="12" t="s">
        <v>2473</v>
      </c>
      <c r="Z187" s="12" t="s">
        <v>2474</v>
      </c>
      <c r="AA187" s="12" t="s">
        <v>1251</v>
      </c>
      <c r="AB187" s="12" t="s">
        <v>2475</v>
      </c>
      <c r="AC187" s="14" t="s">
        <v>498</v>
      </c>
      <c r="AD187" s="14" t="s">
        <v>499</v>
      </c>
      <c r="AE187" s="12" t="s">
        <v>552</v>
      </c>
      <c r="AF187" s="27" t="s">
        <v>501</v>
      </c>
      <c r="AG187" s="28"/>
      <c r="AH187" s="27"/>
      <c r="AI187" s="27"/>
      <c r="AJ187" s="27"/>
      <c r="AK187" s="28" t="str">
        <f aca="false">IF(AG187="","",WORKDAY(AG187,5))</f>
        <v/>
      </c>
      <c r="AL187" s="27"/>
      <c r="AM187" s="27"/>
    </row>
    <row r="188" customFormat="false" ht="35.05" hidden="false" customHeight="false" outlineLevel="0" collapsed="false">
      <c r="A188" s="24" t="s">
        <v>262</v>
      </c>
      <c r="B188" s="25" t="n">
        <v>187</v>
      </c>
      <c r="C188" s="26" t="n">
        <v>4</v>
      </c>
      <c r="D188" s="12" t="s">
        <v>405</v>
      </c>
      <c r="E188" s="12" t="s">
        <v>2476</v>
      </c>
      <c r="F188" s="12" t="s">
        <v>525</v>
      </c>
      <c r="G188" s="14" t="s">
        <v>2477</v>
      </c>
      <c r="H188" s="12" t="s">
        <v>2478</v>
      </c>
      <c r="I188" s="12"/>
      <c r="J188" s="12" t="s">
        <v>486</v>
      </c>
      <c r="K188" s="12" t="s">
        <v>487</v>
      </c>
      <c r="L188" s="12" t="s">
        <v>2479</v>
      </c>
      <c r="M188" s="12" t="s">
        <v>2480</v>
      </c>
      <c r="N188" s="12"/>
      <c r="O188" s="12" t="s">
        <v>126</v>
      </c>
      <c r="P188" s="12" t="s">
        <v>2481</v>
      </c>
      <c r="Q188" s="12" t="s">
        <v>2482</v>
      </c>
      <c r="R188" s="12" t="s">
        <v>518</v>
      </c>
      <c r="S188" s="12" t="s">
        <v>519</v>
      </c>
      <c r="T188" s="12" t="s">
        <v>2483</v>
      </c>
      <c r="U188" s="12" t="s">
        <v>494</v>
      </c>
      <c r="V188" s="12" t="s">
        <v>494</v>
      </c>
      <c r="W188" s="12"/>
      <c r="X188" s="12" t="s">
        <v>2484</v>
      </c>
      <c r="Y188" s="12" t="s">
        <v>2485</v>
      </c>
      <c r="Z188" s="12"/>
      <c r="AA188" s="12" t="s">
        <v>2486</v>
      </c>
      <c r="AB188" s="12" t="s">
        <v>204</v>
      </c>
      <c r="AC188" s="14" t="s">
        <v>498</v>
      </c>
      <c r="AD188" s="14" t="s">
        <v>499</v>
      </c>
      <c r="AE188" s="12" t="s">
        <v>500</v>
      </c>
      <c r="AF188" s="27" t="s">
        <v>501</v>
      </c>
      <c r="AG188" s="28"/>
      <c r="AH188" s="27"/>
      <c r="AI188" s="27"/>
      <c r="AJ188" s="27"/>
      <c r="AK188" s="28" t="str">
        <f aca="false">IF(AG188="","",WORKDAY(AG188,5))</f>
        <v/>
      </c>
      <c r="AL188" s="27"/>
      <c r="AM188" s="27"/>
    </row>
    <row r="189" customFormat="false" ht="23.85" hidden="false" customHeight="false" outlineLevel="0" collapsed="false">
      <c r="A189" s="24" t="s">
        <v>262</v>
      </c>
      <c r="B189" s="25" t="n">
        <v>188</v>
      </c>
      <c r="C189" s="26" t="n">
        <v>3</v>
      </c>
      <c r="D189" s="12" t="s">
        <v>405</v>
      </c>
      <c r="E189" s="12" t="s">
        <v>2487</v>
      </c>
      <c r="F189" s="12" t="s">
        <v>525</v>
      </c>
      <c r="G189" s="14" t="s">
        <v>593</v>
      </c>
      <c r="H189" s="12" t="s">
        <v>2488</v>
      </c>
      <c r="I189" s="12"/>
      <c r="J189" s="12" t="s">
        <v>486</v>
      </c>
      <c r="K189" s="12" t="s">
        <v>487</v>
      </c>
      <c r="L189" s="12" t="s">
        <v>2489</v>
      </c>
      <c r="M189" s="12" t="s">
        <v>2490</v>
      </c>
      <c r="N189" s="12"/>
      <c r="O189" s="12" t="s">
        <v>2491</v>
      </c>
      <c r="P189" s="12" t="s">
        <v>2492</v>
      </c>
      <c r="Q189" s="12" t="s">
        <v>2493</v>
      </c>
      <c r="R189" s="12" t="s">
        <v>518</v>
      </c>
      <c r="S189" s="12" t="s">
        <v>2494</v>
      </c>
      <c r="T189" s="12" t="s">
        <v>562</v>
      </c>
      <c r="U189" s="12" t="s">
        <v>494</v>
      </c>
      <c r="V189" s="12" t="s">
        <v>494</v>
      </c>
      <c r="W189" s="12" t="s">
        <v>2495</v>
      </c>
      <c r="X189" s="12" t="s">
        <v>2496</v>
      </c>
      <c r="Y189" s="12" t="s">
        <v>2497</v>
      </c>
      <c r="Z189" s="12"/>
      <c r="AA189" s="12" t="s">
        <v>2498</v>
      </c>
      <c r="AB189" s="12" t="s">
        <v>2499</v>
      </c>
      <c r="AC189" s="14" t="s">
        <v>498</v>
      </c>
      <c r="AD189" s="14" t="s">
        <v>499</v>
      </c>
      <c r="AE189" s="12" t="s">
        <v>602</v>
      </c>
      <c r="AF189" s="27" t="s">
        <v>501</v>
      </c>
      <c r="AG189" s="28"/>
      <c r="AH189" s="27"/>
      <c r="AI189" s="27"/>
      <c r="AJ189" s="27"/>
      <c r="AK189" s="28" t="str">
        <f aca="false">IF(AG189="","",WORKDAY(AG189,5))</f>
        <v/>
      </c>
      <c r="AL189" s="27"/>
      <c r="AM189" s="27"/>
    </row>
    <row r="190" customFormat="false" ht="23.85" hidden="false" customHeight="false" outlineLevel="0" collapsed="false">
      <c r="A190" s="29" t="s">
        <v>255</v>
      </c>
      <c r="B190" s="30" t="n">
        <v>189</v>
      </c>
      <c r="C190" s="21" t="n">
        <v>5</v>
      </c>
      <c r="D190" s="8" t="s">
        <v>108</v>
      </c>
      <c r="E190" s="8" t="s">
        <v>2500</v>
      </c>
      <c r="F190" s="8" t="s">
        <v>483</v>
      </c>
      <c r="G190" s="10" t="s">
        <v>2501</v>
      </c>
      <c r="H190" s="8" t="s">
        <v>2502</v>
      </c>
      <c r="I190" s="8"/>
      <c r="J190" s="8" t="s">
        <v>486</v>
      </c>
      <c r="K190" s="8" t="s">
        <v>627</v>
      </c>
      <c r="L190" s="8" t="s">
        <v>2503</v>
      </c>
      <c r="M190" s="8" t="s">
        <v>2504</v>
      </c>
      <c r="N190" s="8" t="s">
        <v>2505</v>
      </c>
      <c r="O190" s="8" t="s">
        <v>192</v>
      </c>
      <c r="P190" s="8" t="s">
        <v>2506</v>
      </c>
      <c r="Q190" s="8" t="s">
        <v>2507</v>
      </c>
      <c r="R190" s="8" t="s">
        <v>518</v>
      </c>
      <c r="S190" s="8" t="s">
        <v>2508</v>
      </c>
      <c r="T190" s="8" t="s">
        <v>2509</v>
      </c>
      <c r="U190" s="8" t="s">
        <v>2510</v>
      </c>
      <c r="V190" s="8" t="s">
        <v>494</v>
      </c>
      <c r="W190" s="8"/>
      <c r="X190" s="8" t="s">
        <v>2511</v>
      </c>
      <c r="Y190" s="8" t="s">
        <v>2512</v>
      </c>
      <c r="Z190" s="8"/>
      <c r="AA190" s="8" t="s">
        <v>2513</v>
      </c>
      <c r="AB190" s="8" t="s">
        <v>204</v>
      </c>
      <c r="AC190" s="10" t="s">
        <v>498</v>
      </c>
      <c r="AD190" s="10" t="s">
        <v>499</v>
      </c>
      <c r="AE190" s="8" t="s">
        <v>500</v>
      </c>
      <c r="AF190" s="22" t="s">
        <v>501</v>
      </c>
      <c r="AG190" s="23"/>
      <c r="AH190" s="22"/>
      <c r="AI190" s="22"/>
      <c r="AJ190" s="22"/>
      <c r="AK190" s="23" t="str">
        <f aca="false">IF(AG190="","",WORKDAY(AG190,5))</f>
        <v/>
      </c>
      <c r="AL190" s="22"/>
      <c r="AM190" s="22"/>
    </row>
    <row r="191" customFormat="false" ht="23.85" hidden="false" customHeight="false" outlineLevel="0" collapsed="false">
      <c r="A191" s="31" t="s">
        <v>255</v>
      </c>
      <c r="B191" s="32" t="n">
        <v>190</v>
      </c>
      <c r="C191" s="26" t="n">
        <v>4</v>
      </c>
      <c r="D191" s="12" t="s">
        <v>108</v>
      </c>
      <c r="E191" s="12" t="s">
        <v>2514</v>
      </c>
      <c r="F191" s="12" t="s">
        <v>483</v>
      </c>
      <c r="G191" s="14" t="s">
        <v>2515</v>
      </c>
      <c r="H191" s="12" t="s">
        <v>2502</v>
      </c>
      <c r="I191" s="12"/>
      <c r="J191" s="12" t="s">
        <v>486</v>
      </c>
      <c r="K191" s="12" t="s">
        <v>627</v>
      </c>
      <c r="L191" s="12" t="s">
        <v>2516</v>
      </c>
      <c r="M191" s="12"/>
      <c r="N191" s="12"/>
      <c r="O191" s="12" t="s">
        <v>2517</v>
      </c>
      <c r="P191" s="12" t="s">
        <v>2518</v>
      </c>
      <c r="Q191" s="12" t="s">
        <v>1247</v>
      </c>
      <c r="R191" s="12" t="s">
        <v>518</v>
      </c>
      <c r="S191" s="12" t="s">
        <v>2519</v>
      </c>
      <c r="T191" s="12" t="s">
        <v>533</v>
      </c>
      <c r="U191" s="12" t="s">
        <v>2520</v>
      </c>
      <c r="V191" s="12" t="s">
        <v>494</v>
      </c>
      <c r="W191" s="12"/>
      <c r="X191" s="12" t="s">
        <v>2521</v>
      </c>
      <c r="Y191" s="12" t="s">
        <v>2522</v>
      </c>
      <c r="Z191" s="12"/>
      <c r="AA191" s="12" t="s">
        <v>2523</v>
      </c>
      <c r="AB191" s="12" t="s">
        <v>123</v>
      </c>
      <c r="AC191" s="14" t="s">
        <v>498</v>
      </c>
      <c r="AD191" s="14" t="s">
        <v>499</v>
      </c>
      <c r="AE191" s="12" t="s">
        <v>500</v>
      </c>
      <c r="AF191" s="27" t="s">
        <v>501</v>
      </c>
      <c r="AG191" s="28"/>
      <c r="AH191" s="27"/>
      <c r="AI191" s="27"/>
      <c r="AJ191" s="27"/>
      <c r="AK191" s="28" t="str">
        <f aca="false">IF(AG191="","",WORKDAY(AG191,5))</f>
        <v/>
      </c>
      <c r="AL191" s="27"/>
      <c r="AM191" s="27"/>
    </row>
    <row r="192" customFormat="false" ht="23.85" hidden="false" customHeight="false" outlineLevel="0" collapsed="false">
      <c r="A192" s="31" t="s">
        <v>255</v>
      </c>
      <c r="B192" s="32" t="n">
        <v>191</v>
      </c>
      <c r="C192" s="26" t="n">
        <v>3</v>
      </c>
      <c r="D192" s="12" t="s">
        <v>108</v>
      </c>
      <c r="E192" s="12" t="s">
        <v>2524</v>
      </c>
      <c r="F192" s="12" t="s">
        <v>483</v>
      </c>
      <c r="G192" s="14" t="s">
        <v>2525</v>
      </c>
      <c r="H192" s="12" t="s">
        <v>2526</v>
      </c>
      <c r="I192" s="12"/>
      <c r="J192" s="12" t="s">
        <v>486</v>
      </c>
      <c r="K192" s="12" t="s">
        <v>627</v>
      </c>
      <c r="L192" s="12" t="s">
        <v>2526</v>
      </c>
      <c r="M192" s="12" t="s">
        <v>2527</v>
      </c>
      <c r="N192" s="12" t="s">
        <v>2528</v>
      </c>
      <c r="O192" s="12" t="s">
        <v>2529</v>
      </c>
      <c r="P192" s="12" t="s">
        <v>2530</v>
      </c>
      <c r="Q192" s="12" t="s">
        <v>2531</v>
      </c>
      <c r="R192" s="12" t="s">
        <v>518</v>
      </c>
      <c r="S192" s="12" t="s">
        <v>1195</v>
      </c>
      <c r="T192" s="12" t="s">
        <v>2532</v>
      </c>
      <c r="U192" s="12" t="s">
        <v>494</v>
      </c>
      <c r="V192" s="12" t="s">
        <v>494</v>
      </c>
      <c r="W192" s="12"/>
      <c r="X192" s="12" t="s">
        <v>2533</v>
      </c>
      <c r="Y192" s="12"/>
      <c r="Z192" s="12"/>
      <c r="AA192" s="12" t="s">
        <v>2534</v>
      </c>
      <c r="AB192" s="12" t="s">
        <v>204</v>
      </c>
      <c r="AC192" s="14" t="s">
        <v>498</v>
      </c>
      <c r="AD192" s="14" t="s">
        <v>499</v>
      </c>
      <c r="AE192" s="12" t="s">
        <v>500</v>
      </c>
      <c r="AF192" s="27" t="s">
        <v>501</v>
      </c>
      <c r="AG192" s="28"/>
      <c r="AH192" s="27"/>
      <c r="AI192" s="27"/>
      <c r="AJ192" s="27"/>
      <c r="AK192" s="28" t="str">
        <f aca="false">IF(AG192="","",WORKDAY(AG192,5))</f>
        <v/>
      </c>
      <c r="AL192" s="27"/>
      <c r="AM192" s="27"/>
    </row>
    <row r="193" customFormat="false" ht="23.85" hidden="false" customHeight="false" outlineLevel="0" collapsed="false">
      <c r="A193" s="31" t="s">
        <v>255</v>
      </c>
      <c r="B193" s="32" t="n">
        <v>192</v>
      </c>
      <c r="C193" s="26" t="n">
        <v>4</v>
      </c>
      <c r="D193" s="12" t="s">
        <v>108</v>
      </c>
      <c r="E193" s="12" t="s">
        <v>2535</v>
      </c>
      <c r="F193" s="12" t="s">
        <v>525</v>
      </c>
      <c r="G193" s="14" t="s">
        <v>2536</v>
      </c>
      <c r="H193" s="12" t="s">
        <v>2526</v>
      </c>
      <c r="I193" s="12"/>
      <c r="J193" s="12" t="s">
        <v>486</v>
      </c>
      <c r="K193" s="12" t="s">
        <v>627</v>
      </c>
      <c r="L193" s="12" t="s">
        <v>2537</v>
      </c>
      <c r="M193" s="12"/>
      <c r="N193" s="12" t="s">
        <v>2538</v>
      </c>
      <c r="O193" s="12" t="s">
        <v>126</v>
      </c>
      <c r="P193" s="12" t="s">
        <v>2539</v>
      </c>
      <c r="Q193" s="12" t="s">
        <v>2540</v>
      </c>
      <c r="R193" s="12" t="s">
        <v>518</v>
      </c>
      <c r="S193" s="12" t="s">
        <v>492</v>
      </c>
      <c r="T193" s="12" t="s">
        <v>2541</v>
      </c>
      <c r="U193" s="12" t="s">
        <v>494</v>
      </c>
      <c r="V193" s="12" t="s">
        <v>494</v>
      </c>
      <c r="W193" s="12" t="s">
        <v>2542</v>
      </c>
      <c r="X193" s="12" t="s">
        <v>2543</v>
      </c>
      <c r="Y193" s="12" t="s">
        <v>2544</v>
      </c>
      <c r="Z193" s="12"/>
      <c r="AA193" s="12" t="s">
        <v>2545</v>
      </c>
      <c r="AB193" s="12" t="s">
        <v>130</v>
      </c>
      <c r="AC193" s="14" t="s">
        <v>498</v>
      </c>
      <c r="AD193" s="14" t="s">
        <v>499</v>
      </c>
      <c r="AE193" s="12" t="s">
        <v>602</v>
      </c>
      <c r="AF193" s="27" t="s">
        <v>501</v>
      </c>
      <c r="AG193" s="28"/>
      <c r="AH193" s="27"/>
      <c r="AI193" s="27"/>
      <c r="AJ193" s="27"/>
      <c r="AK193" s="28" t="str">
        <f aca="false">IF(AG193="","",WORKDAY(AG193,5))</f>
        <v/>
      </c>
      <c r="AL193" s="27"/>
      <c r="AM193" s="27"/>
    </row>
    <row r="194" customFormat="false" ht="35.05" hidden="false" customHeight="false" outlineLevel="0" collapsed="false">
      <c r="A194" s="31" t="s">
        <v>255</v>
      </c>
      <c r="B194" s="32" t="n">
        <v>193</v>
      </c>
      <c r="C194" s="26" t="n">
        <v>4</v>
      </c>
      <c r="D194" s="12" t="s">
        <v>108</v>
      </c>
      <c r="E194" s="34" t="s">
        <v>2546</v>
      </c>
      <c r="F194" s="12" t="s">
        <v>525</v>
      </c>
      <c r="G194" s="14" t="s">
        <v>593</v>
      </c>
      <c r="H194" s="12" t="s">
        <v>2547</v>
      </c>
      <c r="I194" s="12"/>
      <c r="J194" s="12" t="s">
        <v>486</v>
      </c>
      <c r="K194" s="12" t="s">
        <v>627</v>
      </c>
      <c r="L194" s="12" t="s">
        <v>2548</v>
      </c>
      <c r="M194" s="12"/>
      <c r="N194" s="12" t="s">
        <v>2549</v>
      </c>
      <c r="O194" s="12" t="s">
        <v>688</v>
      </c>
      <c r="P194" s="12" t="s">
        <v>2550</v>
      </c>
      <c r="Q194" s="12" t="s">
        <v>2551</v>
      </c>
      <c r="R194" s="12" t="s">
        <v>2552</v>
      </c>
      <c r="S194" s="12" t="s">
        <v>2553</v>
      </c>
      <c r="T194" s="12" t="s">
        <v>562</v>
      </c>
      <c r="U194" s="12" t="s">
        <v>494</v>
      </c>
      <c r="V194" s="12" t="s">
        <v>494</v>
      </c>
      <c r="W194" s="12"/>
      <c r="X194" s="12" t="s">
        <v>2554</v>
      </c>
      <c r="Y194" s="12" t="s">
        <v>2555</v>
      </c>
      <c r="Z194" s="12"/>
      <c r="AA194" s="12" t="s">
        <v>2556</v>
      </c>
      <c r="AB194" s="12" t="s">
        <v>2557</v>
      </c>
      <c r="AC194" s="14" t="s">
        <v>498</v>
      </c>
      <c r="AD194" s="14" t="s">
        <v>499</v>
      </c>
      <c r="AE194" s="12" t="s">
        <v>638</v>
      </c>
      <c r="AF194" s="27" t="s">
        <v>501</v>
      </c>
      <c r="AG194" s="28"/>
      <c r="AH194" s="27"/>
      <c r="AI194" s="27"/>
      <c r="AJ194" s="27"/>
      <c r="AK194" s="28" t="str">
        <f aca="false">IF(AG194="","",WORKDAY(AG194,5))</f>
        <v/>
      </c>
      <c r="AL194" s="27"/>
      <c r="AM194" s="27"/>
    </row>
    <row r="195" customFormat="false" ht="35.05" hidden="false" customHeight="false" outlineLevel="0" collapsed="false">
      <c r="A195" s="31" t="s">
        <v>255</v>
      </c>
      <c r="B195" s="32" t="n">
        <v>194</v>
      </c>
      <c r="C195" s="26" t="n">
        <v>4</v>
      </c>
      <c r="D195" s="12" t="s">
        <v>108</v>
      </c>
      <c r="E195" s="34" t="s">
        <v>2558</v>
      </c>
      <c r="F195" s="12" t="s">
        <v>525</v>
      </c>
      <c r="G195" s="14" t="s">
        <v>593</v>
      </c>
      <c r="H195" s="12" t="s">
        <v>2559</v>
      </c>
      <c r="I195" s="12"/>
      <c r="J195" s="12" t="s">
        <v>486</v>
      </c>
      <c r="K195" s="12" t="s">
        <v>627</v>
      </c>
      <c r="L195" s="12" t="s">
        <v>2560</v>
      </c>
      <c r="M195" s="12" t="s">
        <v>2561</v>
      </c>
      <c r="N195" s="12" t="s">
        <v>2562</v>
      </c>
      <c r="O195" s="12" t="s">
        <v>655</v>
      </c>
      <c r="P195" s="12" t="s">
        <v>2563</v>
      </c>
      <c r="Q195" s="12" t="s">
        <v>2564</v>
      </c>
      <c r="R195" s="12" t="s">
        <v>518</v>
      </c>
      <c r="S195" s="12" t="s">
        <v>2565</v>
      </c>
      <c r="T195" s="12" t="s">
        <v>562</v>
      </c>
      <c r="U195" s="12" t="s">
        <v>494</v>
      </c>
      <c r="V195" s="12" t="s">
        <v>494</v>
      </c>
      <c r="W195" s="12"/>
      <c r="X195" s="12" t="s">
        <v>2566</v>
      </c>
      <c r="Y195" s="12" t="s">
        <v>2567</v>
      </c>
      <c r="Z195" s="12"/>
      <c r="AA195" s="12" t="s">
        <v>2568</v>
      </c>
      <c r="AB195" s="12" t="s">
        <v>204</v>
      </c>
      <c r="AC195" s="14" t="s">
        <v>498</v>
      </c>
      <c r="AD195" s="14" t="s">
        <v>499</v>
      </c>
      <c r="AE195" s="12" t="s">
        <v>638</v>
      </c>
      <c r="AF195" s="27" t="s">
        <v>501</v>
      </c>
      <c r="AG195" s="28"/>
      <c r="AH195" s="27"/>
      <c r="AI195" s="27"/>
      <c r="AJ195" s="27"/>
      <c r="AK195" s="28" t="str">
        <f aca="false">IF(AG195="","",WORKDAY(AG195,5))</f>
        <v/>
      </c>
      <c r="AL195" s="27"/>
      <c r="AM195" s="27"/>
    </row>
    <row r="196" customFormat="false" ht="23.85" hidden="false" customHeight="false" outlineLevel="0" collapsed="false">
      <c r="A196" s="31" t="s">
        <v>255</v>
      </c>
      <c r="B196" s="32" t="n">
        <v>195</v>
      </c>
      <c r="C196" s="26" t="n">
        <v>3</v>
      </c>
      <c r="D196" s="12" t="s">
        <v>108</v>
      </c>
      <c r="E196" s="12" t="s">
        <v>2569</v>
      </c>
      <c r="F196" s="12" t="s">
        <v>525</v>
      </c>
      <c r="G196" s="14" t="s">
        <v>593</v>
      </c>
      <c r="H196" s="12" t="s">
        <v>2502</v>
      </c>
      <c r="I196" s="12"/>
      <c r="J196" s="12" t="s">
        <v>486</v>
      </c>
      <c r="K196" s="12" t="s">
        <v>627</v>
      </c>
      <c r="L196" s="12" t="s">
        <v>2502</v>
      </c>
      <c r="M196" s="12"/>
      <c r="N196" s="12" t="s">
        <v>2570</v>
      </c>
      <c r="O196" s="12" t="s">
        <v>192</v>
      </c>
      <c r="P196" s="12" t="s">
        <v>2571</v>
      </c>
      <c r="Q196" s="12" t="s">
        <v>2572</v>
      </c>
      <c r="R196" s="12" t="s">
        <v>518</v>
      </c>
      <c r="S196" s="12" t="s">
        <v>1195</v>
      </c>
      <c r="T196" s="12" t="s">
        <v>562</v>
      </c>
      <c r="U196" s="12" t="s">
        <v>494</v>
      </c>
      <c r="V196" s="12" t="s">
        <v>494</v>
      </c>
      <c r="W196" s="12"/>
      <c r="X196" s="12" t="s">
        <v>2573</v>
      </c>
      <c r="Y196" s="12" t="s">
        <v>2574</v>
      </c>
      <c r="Z196" s="12"/>
      <c r="AA196" s="12" t="s">
        <v>2575</v>
      </c>
      <c r="AB196" s="12" t="s">
        <v>123</v>
      </c>
      <c r="AC196" s="14" t="s">
        <v>498</v>
      </c>
      <c r="AD196" s="14" t="s">
        <v>499</v>
      </c>
      <c r="AE196" s="12" t="s">
        <v>602</v>
      </c>
      <c r="AF196" s="27" t="s">
        <v>501</v>
      </c>
      <c r="AG196" s="28"/>
      <c r="AH196" s="27"/>
      <c r="AI196" s="27"/>
      <c r="AJ196" s="27"/>
      <c r="AK196" s="28" t="str">
        <f aca="false">IF(AG196="","",WORKDAY(AG196,5))</f>
        <v/>
      </c>
      <c r="AL196" s="27"/>
      <c r="AM196" s="27"/>
    </row>
    <row r="197" customFormat="false" ht="35.05" hidden="false" customHeight="false" outlineLevel="0" collapsed="false">
      <c r="A197" s="31" t="s">
        <v>255</v>
      </c>
      <c r="B197" s="32" t="n">
        <v>196</v>
      </c>
      <c r="C197" s="26" t="n">
        <v>4</v>
      </c>
      <c r="D197" s="12" t="s">
        <v>143</v>
      </c>
      <c r="E197" s="12" t="s">
        <v>2576</v>
      </c>
      <c r="F197" s="12" t="s">
        <v>483</v>
      </c>
      <c r="G197" s="14" t="s">
        <v>2577</v>
      </c>
      <c r="H197" s="12" t="s">
        <v>2578</v>
      </c>
      <c r="I197" s="12"/>
      <c r="J197" s="12" t="s">
        <v>486</v>
      </c>
      <c r="K197" s="12" t="s">
        <v>627</v>
      </c>
      <c r="L197" s="12" t="s">
        <v>2579</v>
      </c>
      <c r="M197" s="12" t="s">
        <v>2580</v>
      </c>
      <c r="N197" s="12"/>
      <c r="O197" s="12" t="s">
        <v>2581</v>
      </c>
      <c r="P197" s="12" t="s">
        <v>2582</v>
      </c>
      <c r="Q197" s="12" t="s">
        <v>2583</v>
      </c>
      <c r="R197" s="12" t="s">
        <v>518</v>
      </c>
      <c r="S197" s="12" t="s">
        <v>492</v>
      </c>
      <c r="T197" s="12" t="s">
        <v>2584</v>
      </c>
      <c r="U197" s="12" t="s">
        <v>494</v>
      </c>
      <c r="V197" s="12" t="s">
        <v>494</v>
      </c>
      <c r="W197" s="12"/>
      <c r="X197" s="12" t="s">
        <v>2585</v>
      </c>
      <c r="Y197" s="12" t="s">
        <v>2586</v>
      </c>
      <c r="Z197" s="12" t="s">
        <v>2587</v>
      </c>
      <c r="AA197" s="12" t="s">
        <v>2588</v>
      </c>
      <c r="AB197" s="12" t="s">
        <v>2589</v>
      </c>
      <c r="AC197" s="14" t="s">
        <v>498</v>
      </c>
      <c r="AD197" s="14" t="s">
        <v>499</v>
      </c>
      <c r="AE197" s="12" t="s">
        <v>602</v>
      </c>
      <c r="AF197" s="27" t="s">
        <v>501</v>
      </c>
      <c r="AG197" s="28"/>
      <c r="AH197" s="27"/>
      <c r="AI197" s="27"/>
      <c r="AJ197" s="27"/>
      <c r="AK197" s="28" t="str">
        <f aca="false">IF(AG197="","",WORKDAY(AG197,5))</f>
        <v/>
      </c>
      <c r="AL197" s="27"/>
      <c r="AM197" s="27"/>
    </row>
    <row r="198" customFormat="false" ht="35.05" hidden="false" customHeight="false" outlineLevel="0" collapsed="false">
      <c r="A198" s="31" t="s">
        <v>255</v>
      </c>
      <c r="B198" s="32" t="n">
        <v>197</v>
      </c>
      <c r="C198" s="26" t="n">
        <v>3</v>
      </c>
      <c r="D198" s="12" t="s">
        <v>143</v>
      </c>
      <c r="E198" s="12" t="s">
        <v>2590</v>
      </c>
      <c r="F198" s="12" t="s">
        <v>483</v>
      </c>
      <c r="G198" s="14" t="s">
        <v>2591</v>
      </c>
      <c r="H198" s="12" t="s">
        <v>2592</v>
      </c>
      <c r="I198" s="12"/>
      <c r="J198" s="12" t="s">
        <v>486</v>
      </c>
      <c r="K198" s="12" t="s">
        <v>627</v>
      </c>
      <c r="L198" s="12" t="s">
        <v>2592</v>
      </c>
      <c r="M198" s="12"/>
      <c r="N198" s="12"/>
      <c r="O198" s="12" t="s">
        <v>126</v>
      </c>
      <c r="P198" s="12" t="s">
        <v>2593</v>
      </c>
      <c r="Q198" s="12" t="s">
        <v>2594</v>
      </c>
      <c r="R198" s="12" t="s">
        <v>518</v>
      </c>
      <c r="S198" s="12" t="s">
        <v>492</v>
      </c>
      <c r="T198" s="12" t="s">
        <v>2595</v>
      </c>
      <c r="U198" s="12" t="s">
        <v>494</v>
      </c>
      <c r="V198" s="12" t="s">
        <v>494</v>
      </c>
      <c r="W198" s="12"/>
      <c r="X198" s="12" t="s">
        <v>2596</v>
      </c>
      <c r="Y198" s="12"/>
      <c r="Z198" s="12"/>
      <c r="AA198" s="12" t="s">
        <v>2597</v>
      </c>
      <c r="AB198" s="12" t="s">
        <v>123</v>
      </c>
      <c r="AC198" s="14" t="s">
        <v>498</v>
      </c>
      <c r="AD198" s="14" t="s">
        <v>499</v>
      </c>
      <c r="AE198" s="12" t="s">
        <v>602</v>
      </c>
      <c r="AF198" s="27" t="s">
        <v>501</v>
      </c>
      <c r="AG198" s="28"/>
      <c r="AH198" s="27"/>
      <c r="AI198" s="27"/>
      <c r="AJ198" s="27"/>
      <c r="AK198" s="28" t="str">
        <f aca="false">IF(AG198="","",WORKDAY(AG198,5))</f>
        <v/>
      </c>
      <c r="AL198" s="27"/>
      <c r="AM198" s="27"/>
    </row>
    <row r="199" customFormat="false" ht="35.05" hidden="false" customHeight="false" outlineLevel="0" collapsed="false">
      <c r="A199" s="31" t="s">
        <v>255</v>
      </c>
      <c r="B199" s="32" t="n">
        <v>198</v>
      </c>
      <c r="C199" s="26" t="n">
        <v>4</v>
      </c>
      <c r="D199" s="12" t="s">
        <v>143</v>
      </c>
      <c r="E199" s="12" t="s">
        <v>2598</v>
      </c>
      <c r="F199" s="12" t="s">
        <v>525</v>
      </c>
      <c r="G199" s="14" t="s">
        <v>2599</v>
      </c>
      <c r="H199" s="12" t="s">
        <v>2600</v>
      </c>
      <c r="I199" s="12"/>
      <c r="J199" s="12" t="s">
        <v>486</v>
      </c>
      <c r="K199" s="12" t="s">
        <v>627</v>
      </c>
      <c r="L199" s="12" t="s">
        <v>2601</v>
      </c>
      <c r="M199" s="12"/>
      <c r="N199" s="12"/>
      <c r="O199" s="12" t="s">
        <v>126</v>
      </c>
      <c r="P199" s="12" t="s">
        <v>2602</v>
      </c>
      <c r="Q199" s="12" t="s">
        <v>2603</v>
      </c>
      <c r="R199" s="12" t="s">
        <v>518</v>
      </c>
      <c r="S199" s="12" t="s">
        <v>2604</v>
      </c>
      <c r="T199" s="12" t="s">
        <v>2605</v>
      </c>
      <c r="U199" s="12" t="s">
        <v>494</v>
      </c>
      <c r="V199" s="12" t="s">
        <v>494</v>
      </c>
      <c r="W199" s="12"/>
      <c r="X199" s="12" t="s">
        <v>2606</v>
      </c>
      <c r="Y199" s="12" t="s">
        <v>2607</v>
      </c>
      <c r="Z199" s="12"/>
      <c r="AA199" s="12" t="s">
        <v>2608</v>
      </c>
      <c r="AB199" s="12" t="s">
        <v>123</v>
      </c>
      <c r="AC199" s="14" t="s">
        <v>498</v>
      </c>
      <c r="AD199" s="14" t="s">
        <v>499</v>
      </c>
      <c r="AE199" s="12" t="s">
        <v>500</v>
      </c>
      <c r="AF199" s="27" t="s">
        <v>501</v>
      </c>
      <c r="AG199" s="28"/>
      <c r="AH199" s="27"/>
      <c r="AI199" s="27"/>
      <c r="AJ199" s="27"/>
      <c r="AK199" s="28" t="str">
        <f aca="false">IF(AG199="","",WORKDAY(AG199,5))</f>
        <v/>
      </c>
      <c r="AL199" s="27"/>
      <c r="AM199" s="27"/>
    </row>
    <row r="200" customFormat="false" ht="35.05" hidden="false" customHeight="false" outlineLevel="0" collapsed="false">
      <c r="A200" s="31" t="s">
        <v>255</v>
      </c>
      <c r="B200" s="32" t="n">
        <v>199</v>
      </c>
      <c r="C200" s="26" t="n">
        <v>4</v>
      </c>
      <c r="D200" s="12" t="s">
        <v>143</v>
      </c>
      <c r="E200" s="34" t="s">
        <v>2609</v>
      </c>
      <c r="F200" s="12" t="s">
        <v>525</v>
      </c>
      <c r="G200" s="14" t="s">
        <v>2610</v>
      </c>
      <c r="H200" s="12" t="s">
        <v>2611</v>
      </c>
      <c r="I200" s="12"/>
      <c r="J200" s="12" t="s">
        <v>486</v>
      </c>
      <c r="K200" s="12" t="s">
        <v>627</v>
      </c>
      <c r="L200" s="12" t="s">
        <v>2612</v>
      </c>
      <c r="M200" s="12" t="s">
        <v>2613</v>
      </c>
      <c r="N200" s="12"/>
      <c r="O200" s="12" t="s">
        <v>126</v>
      </c>
      <c r="P200" s="12" t="s">
        <v>2614</v>
      </c>
      <c r="Q200" s="12" t="s">
        <v>2615</v>
      </c>
      <c r="R200" s="12" t="s">
        <v>518</v>
      </c>
      <c r="S200" s="12" t="s">
        <v>2616</v>
      </c>
      <c r="T200" s="12" t="s">
        <v>562</v>
      </c>
      <c r="U200" s="12" t="s">
        <v>494</v>
      </c>
      <c r="V200" s="12" t="s">
        <v>494</v>
      </c>
      <c r="W200" s="12"/>
      <c r="X200" s="12" t="s">
        <v>2617</v>
      </c>
      <c r="Y200" s="12" t="s">
        <v>2618</v>
      </c>
      <c r="Z200" s="12"/>
      <c r="AA200" s="12" t="s">
        <v>2619</v>
      </c>
      <c r="AB200" s="12" t="s">
        <v>497</v>
      </c>
      <c r="AC200" s="14" t="s">
        <v>498</v>
      </c>
      <c r="AD200" s="14" t="s">
        <v>499</v>
      </c>
      <c r="AE200" s="12" t="s">
        <v>638</v>
      </c>
      <c r="AF200" s="27" t="s">
        <v>501</v>
      </c>
      <c r="AG200" s="28"/>
      <c r="AH200" s="27"/>
      <c r="AI200" s="27"/>
      <c r="AJ200" s="27"/>
      <c r="AK200" s="28" t="str">
        <f aca="false">IF(AG200="","",WORKDAY(AG200,5))</f>
        <v/>
      </c>
      <c r="AL200" s="27"/>
      <c r="AM200" s="27"/>
    </row>
    <row r="201" customFormat="false" ht="23.85" hidden="false" customHeight="false" outlineLevel="0" collapsed="false">
      <c r="A201" s="31" t="s">
        <v>255</v>
      </c>
      <c r="B201" s="32" t="n">
        <v>200</v>
      </c>
      <c r="C201" s="26" t="n">
        <v>4</v>
      </c>
      <c r="D201" s="12" t="s">
        <v>143</v>
      </c>
      <c r="E201" s="34" t="s">
        <v>2620</v>
      </c>
      <c r="F201" s="12" t="s">
        <v>525</v>
      </c>
      <c r="G201" s="14" t="s">
        <v>2621</v>
      </c>
      <c r="H201" s="12" t="s">
        <v>2622</v>
      </c>
      <c r="I201" s="12"/>
      <c r="J201" s="12" t="s">
        <v>486</v>
      </c>
      <c r="K201" s="12" t="s">
        <v>627</v>
      </c>
      <c r="L201" s="12" t="s">
        <v>2623</v>
      </c>
      <c r="M201" s="12" t="s">
        <v>2624</v>
      </c>
      <c r="N201" s="12"/>
      <c r="O201" s="12" t="s">
        <v>126</v>
      </c>
      <c r="P201" s="12" t="s">
        <v>2625</v>
      </c>
      <c r="Q201" s="12" t="s">
        <v>2626</v>
      </c>
      <c r="R201" s="12" t="s">
        <v>491</v>
      </c>
      <c r="S201" s="12" t="s">
        <v>2627</v>
      </c>
      <c r="T201" s="12" t="s">
        <v>562</v>
      </c>
      <c r="U201" s="12" t="s">
        <v>494</v>
      </c>
      <c r="V201" s="12" t="s">
        <v>494</v>
      </c>
      <c r="W201" s="12" t="s">
        <v>2628</v>
      </c>
      <c r="X201" s="12" t="s">
        <v>2629</v>
      </c>
      <c r="Y201" s="12" t="s">
        <v>2630</v>
      </c>
      <c r="Z201" s="12"/>
      <c r="AA201" s="12" t="s">
        <v>2631</v>
      </c>
      <c r="AB201" s="12" t="s">
        <v>130</v>
      </c>
      <c r="AC201" s="14" t="s">
        <v>498</v>
      </c>
      <c r="AD201" s="14" t="s">
        <v>499</v>
      </c>
      <c r="AE201" s="12" t="s">
        <v>638</v>
      </c>
      <c r="AF201" s="27" t="s">
        <v>501</v>
      </c>
      <c r="AG201" s="28"/>
      <c r="AH201" s="27"/>
      <c r="AI201" s="27"/>
      <c r="AJ201" s="27"/>
      <c r="AK201" s="28" t="str">
        <f aca="false">IF(AG201="","",WORKDAY(AG201,5))</f>
        <v/>
      </c>
      <c r="AL201" s="27"/>
      <c r="AM201" s="27"/>
    </row>
    <row r="202" customFormat="false" ht="23.85" hidden="false" customHeight="false" outlineLevel="0" collapsed="false">
      <c r="A202" s="31" t="s">
        <v>255</v>
      </c>
      <c r="B202" s="32" t="n">
        <v>201</v>
      </c>
      <c r="C202" s="26" t="n">
        <v>4</v>
      </c>
      <c r="D202" s="12" t="s">
        <v>143</v>
      </c>
      <c r="E202" s="12" t="s">
        <v>2632</v>
      </c>
      <c r="F202" s="12" t="s">
        <v>525</v>
      </c>
      <c r="G202" s="14" t="s">
        <v>2633</v>
      </c>
      <c r="H202" s="12" t="s">
        <v>2600</v>
      </c>
      <c r="I202" s="12"/>
      <c r="J202" s="12" t="s">
        <v>486</v>
      </c>
      <c r="K202" s="12" t="s">
        <v>627</v>
      </c>
      <c r="L202" s="12" t="s">
        <v>2634</v>
      </c>
      <c r="M202" s="12"/>
      <c r="N202" s="12"/>
      <c r="O202" s="12" t="s">
        <v>126</v>
      </c>
      <c r="P202" s="12" t="s">
        <v>2635</v>
      </c>
      <c r="Q202" s="12" t="s">
        <v>2603</v>
      </c>
      <c r="R202" s="12" t="s">
        <v>518</v>
      </c>
      <c r="S202" s="12" t="s">
        <v>2636</v>
      </c>
      <c r="T202" s="12" t="s">
        <v>2156</v>
      </c>
      <c r="U202" s="12" t="s">
        <v>494</v>
      </c>
      <c r="V202" s="12" t="s">
        <v>494</v>
      </c>
      <c r="W202" s="12"/>
      <c r="X202" s="12" t="s">
        <v>2637</v>
      </c>
      <c r="Y202" s="12"/>
      <c r="Z202" s="12" t="s">
        <v>2638</v>
      </c>
      <c r="AA202" s="12" t="s">
        <v>2639</v>
      </c>
      <c r="AB202" s="12" t="s">
        <v>204</v>
      </c>
      <c r="AC202" s="14" t="s">
        <v>498</v>
      </c>
      <c r="AD202" s="14" t="s">
        <v>499</v>
      </c>
      <c r="AE202" s="12" t="s">
        <v>500</v>
      </c>
      <c r="AF202" s="27" t="s">
        <v>501</v>
      </c>
      <c r="AG202" s="28"/>
      <c r="AH202" s="27"/>
      <c r="AI202" s="27"/>
      <c r="AJ202" s="27"/>
      <c r="AK202" s="28" t="str">
        <f aca="false">IF(AG202="","",WORKDAY(AG202,5))</f>
        <v/>
      </c>
      <c r="AL202" s="27"/>
      <c r="AM202" s="27"/>
    </row>
    <row r="203" customFormat="false" ht="23.85" hidden="false" customHeight="false" outlineLevel="0" collapsed="false">
      <c r="A203" s="31" t="s">
        <v>255</v>
      </c>
      <c r="B203" s="32" t="n">
        <v>202</v>
      </c>
      <c r="C203" s="26" t="n">
        <v>3</v>
      </c>
      <c r="D203" s="12" t="s">
        <v>143</v>
      </c>
      <c r="E203" s="12" t="s">
        <v>2640</v>
      </c>
      <c r="F203" s="12" t="s">
        <v>525</v>
      </c>
      <c r="G203" s="14" t="s">
        <v>593</v>
      </c>
      <c r="H203" s="12" t="s">
        <v>2641</v>
      </c>
      <c r="I203" s="12"/>
      <c r="J203" s="12" t="s">
        <v>486</v>
      </c>
      <c r="K203" s="12" t="s">
        <v>627</v>
      </c>
      <c r="L203" s="12" t="s">
        <v>2642</v>
      </c>
      <c r="M203" s="12" t="s">
        <v>2643</v>
      </c>
      <c r="N203" s="12"/>
      <c r="O203" s="12" t="s">
        <v>2644</v>
      </c>
      <c r="P203" s="12" t="s">
        <v>2645</v>
      </c>
      <c r="Q203" s="12" t="s">
        <v>2583</v>
      </c>
      <c r="R203" s="12" t="s">
        <v>518</v>
      </c>
      <c r="S203" s="12" t="s">
        <v>2646</v>
      </c>
      <c r="T203" s="12" t="s">
        <v>562</v>
      </c>
      <c r="U203" s="12" t="s">
        <v>494</v>
      </c>
      <c r="V203" s="12" t="s">
        <v>494</v>
      </c>
      <c r="W203" s="12"/>
      <c r="X203" s="12" t="s">
        <v>2647</v>
      </c>
      <c r="Y203" s="12"/>
      <c r="Z203" s="12"/>
      <c r="AA203" s="12" t="s">
        <v>2648</v>
      </c>
      <c r="AB203" s="12" t="s">
        <v>2649</v>
      </c>
      <c r="AC203" s="14" t="s">
        <v>498</v>
      </c>
      <c r="AD203" s="14" t="s">
        <v>499</v>
      </c>
      <c r="AE203" s="12" t="s">
        <v>568</v>
      </c>
      <c r="AF203" s="27" t="s">
        <v>501</v>
      </c>
      <c r="AG203" s="28"/>
      <c r="AH203" s="27"/>
      <c r="AI203" s="27"/>
      <c r="AJ203" s="27"/>
      <c r="AK203" s="28" t="str">
        <f aca="false">IF(AG203="","",WORKDAY(AG203,5))</f>
        <v/>
      </c>
      <c r="AL203" s="27"/>
      <c r="AM203" s="27"/>
    </row>
    <row r="204" customFormat="false" ht="35.05" hidden="false" customHeight="false" outlineLevel="0" collapsed="false">
      <c r="A204" s="31" t="s">
        <v>255</v>
      </c>
      <c r="B204" s="32" t="n">
        <v>203</v>
      </c>
      <c r="C204" s="26" t="n">
        <v>3</v>
      </c>
      <c r="D204" s="12" t="s">
        <v>143</v>
      </c>
      <c r="E204" s="12" t="s">
        <v>2650</v>
      </c>
      <c r="F204" s="12" t="s">
        <v>525</v>
      </c>
      <c r="G204" s="14" t="s">
        <v>2651</v>
      </c>
      <c r="H204" s="12" t="s">
        <v>2652</v>
      </c>
      <c r="I204" s="12"/>
      <c r="J204" s="12" t="s">
        <v>486</v>
      </c>
      <c r="K204" s="12" t="s">
        <v>627</v>
      </c>
      <c r="L204" s="12" t="s">
        <v>2653</v>
      </c>
      <c r="M204" s="12"/>
      <c r="N204" s="12"/>
      <c r="O204" s="12" t="s">
        <v>126</v>
      </c>
      <c r="P204" s="12" t="s">
        <v>2654</v>
      </c>
      <c r="Q204" s="12" t="s">
        <v>1308</v>
      </c>
      <c r="R204" s="12" t="s">
        <v>491</v>
      </c>
      <c r="S204" s="12" t="s">
        <v>2655</v>
      </c>
      <c r="T204" s="12" t="s">
        <v>2656</v>
      </c>
      <c r="U204" s="12" t="s">
        <v>494</v>
      </c>
      <c r="V204" s="12" t="s">
        <v>494</v>
      </c>
      <c r="W204" s="12"/>
      <c r="X204" s="12" t="s">
        <v>2657</v>
      </c>
      <c r="Y204" s="12"/>
      <c r="Z204" s="12"/>
      <c r="AA204" s="12" t="s">
        <v>2658</v>
      </c>
      <c r="AB204" s="12" t="s">
        <v>2659</v>
      </c>
      <c r="AC204" s="14" t="s">
        <v>498</v>
      </c>
      <c r="AD204" s="14" t="s">
        <v>499</v>
      </c>
      <c r="AE204" s="12" t="s">
        <v>500</v>
      </c>
      <c r="AF204" s="27" t="s">
        <v>501</v>
      </c>
      <c r="AG204" s="28"/>
      <c r="AH204" s="27"/>
      <c r="AI204" s="27"/>
      <c r="AJ204" s="27"/>
      <c r="AK204" s="28" t="str">
        <f aca="false">IF(AG204="","",WORKDAY(AG204,5))</f>
        <v/>
      </c>
      <c r="AL204" s="27"/>
      <c r="AM204" s="27"/>
    </row>
    <row r="205" customFormat="false" ht="23.85" hidden="false" customHeight="false" outlineLevel="0" collapsed="false">
      <c r="A205" s="31" t="s">
        <v>255</v>
      </c>
      <c r="B205" s="32" t="n">
        <v>204</v>
      </c>
      <c r="C205" s="26" t="n">
        <v>3</v>
      </c>
      <c r="D205" s="12" t="s">
        <v>143</v>
      </c>
      <c r="E205" s="34" t="s">
        <v>2660</v>
      </c>
      <c r="F205" s="12" t="s">
        <v>525</v>
      </c>
      <c r="G205" s="14" t="s">
        <v>593</v>
      </c>
      <c r="H205" s="12" t="s">
        <v>2526</v>
      </c>
      <c r="I205" s="12"/>
      <c r="J205" s="12" t="s">
        <v>486</v>
      </c>
      <c r="K205" s="12" t="s">
        <v>627</v>
      </c>
      <c r="L205" s="12" t="s">
        <v>2661</v>
      </c>
      <c r="M205" s="12"/>
      <c r="N205" s="12" t="s">
        <v>2662</v>
      </c>
      <c r="O205" s="12" t="s">
        <v>126</v>
      </c>
      <c r="P205" s="12" t="s">
        <v>2663</v>
      </c>
      <c r="Q205" s="12" t="s">
        <v>2664</v>
      </c>
      <c r="R205" s="12" t="s">
        <v>518</v>
      </c>
      <c r="S205" s="12" t="s">
        <v>2665</v>
      </c>
      <c r="T205" s="12" t="s">
        <v>562</v>
      </c>
      <c r="U205" s="12" t="s">
        <v>494</v>
      </c>
      <c r="V205" s="12" t="s">
        <v>494</v>
      </c>
      <c r="W205" s="12" t="s">
        <v>2666</v>
      </c>
      <c r="X205" s="12" t="s">
        <v>2667</v>
      </c>
      <c r="Y205" s="12" t="s">
        <v>2668</v>
      </c>
      <c r="Z205" s="12"/>
      <c r="AA205" s="12" t="s">
        <v>2669</v>
      </c>
      <c r="AB205" s="12" t="s">
        <v>130</v>
      </c>
      <c r="AC205" s="14" t="s">
        <v>498</v>
      </c>
      <c r="AD205" s="14" t="s">
        <v>499</v>
      </c>
      <c r="AE205" s="12" t="s">
        <v>638</v>
      </c>
      <c r="AF205" s="27" t="s">
        <v>501</v>
      </c>
      <c r="AG205" s="28"/>
      <c r="AH205" s="27"/>
      <c r="AI205" s="27"/>
      <c r="AJ205" s="27"/>
      <c r="AK205" s="28" t="str">
        <f aca="false">IF(AG205="","",WORKDAY(AG205,5))</f>
        <v/>
      </c>
      <c r="AL205" s="27"/>
      <c r="AM205" s="27"/>
    </row>
    <row r="206" customFormat="false" ht="23.85" hidden="false" customHeight="false" outlineLevel="0" collapsed="false">
      <c r="A206" s="31" t="s">
        <v>255</v>
      </c>
      <c r="B206" s="32" t="n">
        <v>205</v>
      </c>
      <c r="C206" s="26" t="n">
        <v>3</v>
      </c>
      <c r="D206" s="12" t="s">
        <v>143</v>
      </c>
      <c r="E206" s="34" t="s">
        <v>2670</v>
      </c>
      <c r="F206" s="12" t="s">
        <v>525</v>
      </c>
      <c r="G206" s="14" t="s">
        <v>2671</v>
      </c>
      <c r="H206" s="12" t="s">
        <v>2672</v>
      </c>
      <c r="I206" s="12"/>
      <c r="J206" s="12" t="s">
        <v>486</v>
      </c>
      <c r="K206" s="12" t="s">
        <v>627</v>
      </c>
      <c r="L206" s="12" t="s">
        <v>2673</v>
      </c>
      <c r="M206" s="12" t="s">
        <v>2674</v>
      </c>
      <c r="N206" s="12"/>
      <c r="O206" s="12" t="s">
        <v>126</v>
      </c>
      <c r="P206" s="12" t="s">
        <v>2675</v>
      </c>
      <c r="Q206" s="12" t="s">
        <v>2676</v>
      </c>
      <c r="R206" s="12" t="s">
        <v>518</v>
      </c>
      <c r="S206" s="12" t="s">
        <v>2677</v>
      </c>
      <c r="T206" s="12" t="s">
        <v>562</v>
      </c>
      <c r="U206" s="12" t="s">
        <v>494</v>
      </c>
      <c r="V206" s="12" t="s">
        <v>494</v>
      </c>
      <c r="W206" s="12"/>
      <c r="X206" s="12" t="s">
        <v>2678</v>
      </c>
      <c r="Y206" s="12" t="s">
        <v>2679</v>
      </c>
      <c r="Z206" s="12"/>
      <c r="AA206" s="12" t="s">
        <v>2680</v>
      </c>
      <c r="AB206" s="12" t="s">
        <v>2681</v>
      </c>
      <c r="AC206" s="14" t="s">
        <v>498</v>
      </c>
      <c r="AD206" s="14" t="s">
        <v>499</v>
      </c>
      <c r="AE206" s="12" t="s">
        <v>638</v>
      </c>
      <c r="AF206" s="27" t="s">
        <v>501</v>
      </c>
      <c r="AG206" s="28"/>
      <c r="AH206" s="27"/>
      <c r="AI206" s="27"/>
      <c r="AJ206" s="27"/>
      <c r="AK206" s="28" t="str">
        <f aca="false">IF(AG206="","",WORKDAY(AG206,5))</f>
        <v/>
      </c>
      <c r="AL206" s="27"/>
      <c r="AM206" s="27"/>
    </row>
    <row r="207" customFormat="false" ht="23.85" hidden="false" customHeight="false" outlineLevel="0" collapsed="false">
      <c r="A207" s="31" t="s">
        <v>255</v>
      </c>
      <c r="B207" s="32" t="n">
        <v>206</v>
      </c>
      <c r="C207" s="26" t="n">
        <v>5</v>
      </c>
      <c r="D207" s="12" t="s">
        <v>166</v>
      </c>
      <c r="E207" s="12" t="s">
        <v>2682</v>
      </c>
      <c r="F207" s="12" t="s">
        <v>483</v>
      </c>
      <c r="G207" s="14" t="s">
        <v>2683</v>
      </c>
      <c r="H207" s="12" t="s">
        <v>2684</v>
      </c>
      <c r="I207" s="12"/>
      <c r="J207" s="12" t="s">
        <v>486</v>
      </c>
      <c r="K207" s="12" t="s">
        <v>627</v>
      </c>
      <c r="L207" s="12" t="s">
        <v>2685</v>
      </c>
      <c r="M207" s="12" t="s">
        <v>2686</v>
      </c>
      <c r="N207" s="12" t="s">
        <v>2687</v>
      </c>
      <c r="O207" s="12" t="s">
        <v>2036</v>
      </c>
      <c r="P207" s="12" t="s">
        <v>2688</v>
      </c>
      <c r="Q207" s="12" t="s">
        <v>2689</v>
      </c>
      <c r="R207" s="12" t="s">
        <v>518</v>
      </c>
      <c r="S207" s="12" t="s">
        <v>492</v>
      </c>
      <c r="T207" s="12" t="s">
        <v>2690</v>
      </c>
      <c r="U207" s="12" t="s">
        <v>494</v>
      </c>
      <c r="V207" s="12" t="s">
        <v>494</v>
      </c>
      <c r="W207" s="12"/>
      <c r="X207" s="12" t="s">
        <v>2691</v>
      </c>
      <c r="Y207" s="12" t="s">
        <v>2692</v>
      </c>
      <c r="Z207" s="12" t="s">
        <v>2693</v>
      </c>
      <c r="AA207" s="12" t="s">
        <v>2694</v>
      </c>
      <c r="AB207" s="12" t="s">
        <v>179</v>
      </c>
      <c r="AC207" s="14" t="s">
        <v>498</v>
      </c>
      <c r="AD207" s="14" t="s">
        <v>499</v>
      </c>
      <c r="AE207" s="12" t="s">
        <v>500</v>
      </c>
      <c r="AF207" s="27" t="s">
        <v>501</v>
      </c>
      <c r="AG207" s="28"/>
      <c r="AH207" s="27"/>
      <c r="AI207" s="27"/>
      <c r="AJ207" s="27"/>
      <c r="AK207" s="28" t="str">
        <f aca="false">IF(AG207="","",WORKDAY(AG207,5))</f>
        <v/>
      </c>
      <c r="AL207" s="27"/>
      <c r="AM207" s="27"/>
    </row>
    <row r="208" customFormat="false" ht="23.85" hidden="false" customHeight="false" outlineLevel="0" collapsed="false">
      <c r="A208" s="31" t="s">
        <v>255</v>
      </c>
      <c r="B208" s="32" t="n">
        <v>207</v>
      </c>
      <c r="C208" s="26" t="n">
        <v>3</v>
      </c>
      <c r="D208" s="12" t="s">
        <v>166</v>
      </c>
      <c r="E208" s="12" t="s">
        <v>2695</v>
      </c>
      <c r="F208" s="12" t="s">
        <v>483</v>
      </c>
      <c r="G208" s="14" t="s">
        <v>2696</v>
      </c>
      <c r="H208" s="12" t="s">
        <v>2697</v>
      </c>
      <c r="I208" s="12"/>
      <c r="J208" s="12" t="s">
        <v>486</v>
      </c>
      <c r="K208" s="12" t="s">
        <v>627</v>
      </c>
      <c r="L208" s="12" t="s">
        <v>2698</v>
      </c>
      <c r="M208" s="12"/>
      <c r="N208" s="12"/>
      <c r="O208" s="12" t="s">
        <v>2699</v>
      </c>
      <c r="P208" s="12" t="s">
        <v>2700</v>
      </c>
      <c r="Q208" s="12" t="s">
        <v>1346</v>
      </c>
      <c r="R208" s="12" t="s">
        <v>518</v>
      </c>
      <c r="S208" s="12" t="s">
        <v>1272</v>
      </c>
      <c r="T208" s="12" t="s">
        <v>562</v>
      </c>
      <c r="U208" s="12" t="s">
        <v>494</v>
      </c>
      <c r="V208" s="12" t="s">
        <v>494</v>
      </c>
      <c r="W208" s="12" t="s">
        <v>2701</v>
      </c>
      <c r="X208" s="12" t="s">
        <v>2702</v>
      </c>
      <c r="Y208" s="12" t="s">
        <v>2703</v>
      </c>
      <c r="Z208" s="12"/>
      <c r="AA208" s="12" t="s">
        <v>2704</v>
      </c>
      <c r="AB208" s="12" t="s">
        <v>2705</v>
      </c>
      <c r="AC208" s="14" t="s">
        <v>498</v>
      </c>
      <c r="AD208" s="14" t="s">
        <v>499</v>
      </c>
      <c r="AE208" s="12" t="s">
        <v>568</v>
      </c>
      <c r="AF208" s="27" t="s">
        <v>501</v>
      </c>
      <c r="AG208" s="28"/>
      <c r="AH208" s="27"/>
      <c r="AI208" s="27"/>
      <c r="AJ208" s="27"/>
      <c r="AK208" s="28" t="str">
        <f aca="false">IF(AG208="","",WORKDAY(AG208,5))</f>
        <v/>
      </c>
      <c r="AL208" s="27"/>
      <c r="AM208" s="27"/>
    </row>
    <row r="209" customFormat="false" ht="23.85" hidden="false" customHeight="false" outlineLevel="0" collapsed="false">
      <c r="A209" s="31" t="s">
        <v>255</v>
      </c>
      <c r="B209" s="32" t="n">
        <v>208</v>
      </c>
      <c r="C209" s="26" t="n">
        <v>4</v>
      </c>
      <c r="D209" s="12" t="s">
        <v>166</v>
      </c>
      <c r="E209" s="34" t="s">
        <v>2706</v>
      </c>
      <c r="F209" s="12" t="s">
        <v>525</v>
      </c>
      <c r="G209" s="14" t="s">
        <v>2707</v>
      </c>
      <c r="H209" s="12" t="s">
        <v>2708</v>
      </c>
      <c r="I209" s="12"/>
      <c r="J209" s="12" t="s">
        <v>486</v>
      </c>
      <c r="K209" s="12" t="s">
        <v>627</v>
      </c>
      <c r="L209" s="12" t="s">
        <v>2709</v>
      </c>
      <c r="M209" s="12"/>
      <c r="N209" s="12"/>
      <c r="O209" s="12" t="s">
        <v>700</v>
      </c>
      <c r="P209" s="12" t="s">
        <v>2710</v>
      </c>
      <c r="Q209" s="12" t="s">
        <v>1339</v>
      </c>
      <c r="R209" s="12" t="s">
        <v>518</v>
      </c>
      <c r="S209" s="12" t="s">
        <v>2711</v>
      </c>
      <c r="T209" s="12" t="s">
        <v>562</v>
      </c>
      <c r="U209" s="12" t="s">
        <v>494</v>
      </c>
      <c r="V209" s="12" t="s">
        <v>494</v>
      </c>
      <c r="W209" s="12" t="s">
        <v>2712</v>
      </c>
      <c r="X209" s="12" t="s">
        <v>2713</v>
      </c>
      <c r="Y209" s="12" t="s">
        <v>2714</v>
      </c>
      <c r="Z209" s="12"/>
      <c r="AA209" s="12" t="s">
        <v>2715</v>
      </c>
      <c r="AB209" s="12" t="s">
        <v>497</v>
      </c>
      <c r="AC209" s="14" t="s">
        <v>498</v>
      </c>
      <c r="AD209" s="14" t="s">
        <v>499</v>
      </c>
      <c r="AE209" s="12" t="s">
        <v>638</v>
      </c>
      <c r="AF209" s="27" t="s">
        <v>501</v>
      </c>
      <c r="AG209" s="28"/>
      <c r="AH209" s="27"/>
      <c r="AI209" s="27"/>
      <c r="AJ209" s="27"/>
      <c r="AK209" s="28" t="str">
        <f aca="false">IF(AG209="","",WORKDAY(AG209,5))</f>
        <v/>
      </c>
      <c r="AL209" s="27"/>
      <c r="AM209" s="27"/>
    </row>
    <row r="210" customFormat="false" ht="23.85" hidden="false" customHeight="false" outlineLevel="0" collapsed="false">
      <c r="A210" s="31" t="s">
        <v>255</v>
      </c>
      <c r="B210" s="32" t="n">
        <v>209</v>
      </c>
      <c r="C210" s="26" t="n">
        <v>4</v>
      </c>
      <c r="D210" s="12" t="s">
        <v>166</v>
      </c>
      <c r="E210" s="12" t="s">
        <v>2716</v>
      </c>
      <c r="F210" s="12" t="s">
        <v>525</v>
      </c>
      <c r="G210" s="14" t="s">
        <v>2717</v>
      </c>
      <c r="H210" s="12" t="s">
        <v>2526</v>
      </c>
      <c r="I210" s="12"/>
      <c r="J210" s="12" t="s">
        <v>486</v>
      </c>
      <c r="K210" s="12" t="s">
        <v>627</v>
      </c>
      <c r="L210" s="12" t="s">
        <v>2718</v>
      </c>
      <c r="M210" s="12"/>
      <c r="N210" s="12" t="s">
        <v>2719</v>
      </c>
      <c r="O210" s="12" t="s">
        <v>119</v>
      </c>
      <c r="P210" s="12" t="s">
        <v>2720</v>
      </c>
      <c r="Q210" s="12" t="s">
        <v>2689</v>
      </c>
      <c r="R210" s="12" t="s">
        <v>518</v>
      </c>
      <c r="S210" s="12" t="s">
        <v>2721</v>
      </c>
      <c r="T210" s="12" t="s">
        <v>2722</v>
      </c>
      <c r="U210" s="12" t="s">
        <v>494</v>
      </c>
      <c r="V210" s="12" t="s">
        <v>494</v>
      </c>
      <c r="W210" s="12"/>
      <c r="X210" s="12" t="s">
        <v>2723</v>
      </c>
      <c r="Y210" s="12" t="s">
        <v>2724</v>
      </c>
      <c r="Z210" s="12"/>
      <c r="AA210" s="12" t="s">
        <v>536</v>
      </c>
      <c r="AB210" s="12" t="s">
        <v>123</v>
      </c>
      <c r="AC210" s="14" t="s">
        <v>498</v>
      </c>
      <c r="AD210" s="14" t="s">
        <v>499</v>
      </c>
      <c r="AE210" s="12" t="s">
        <v>602</v>
      </c>
      <c r="AF210" s="27" t="s">
        <v>501</v>
      </c>
      <c r="AG210" s="28"/>
      <c r="AH210" s="27"/>
      <c r="AI210" s="27"/>
      <c r="AJ210" s="27"/>
      <c r="AK210" s="28" t="str">
        <f aca="false">IF(AG210="","",WORKDAY(AG210,5))</f>
        <v/>
      </c>
      <c r="AL210" s="27"/>
      <c r="AM210" s="27"/>
    </row>
    <row r="211" customFormat="false" ht="35.05" hidden="false" customHeight="false" outlineLevel="0" collapsed="false">
      <c r="A211" s="31" t="s">
        <v>255</v>
      </c>
      <c r="B211" s="32" t="n">
        <v>210</v>
      </c>
      <c r="C211" s="26" t="n">
        <v>3</v>
      </c>
      <c r="D211" s="12" t="s">
        <v>166</v>
      </c>
      <c r="E211" s="12" t="s">
        <v>2725</v>
      </c>
      <c r="F211" s="12" t="s">
        <v>525</v>
      </c>
      <c r="G211" s="14" t="s">
        <v>2726</v>
      </c>
      <c r="H211" s="12" t="s">
        <v>2727</v>
      </c>
      <c r="I211" s="12"/>
      <c r="J211" s="12" t="s">
        <v>486</v>
      </c>
      <c r="K211" s="12" t="s">
        <v>627</v>
      </c>
      <c r="L211" s="12" t="s">
        <v>2728</v>
      </c>
      <c r="M211" s="12" t="s">
        <v>2729</v>
      </c>
      <c r="N211" s="12"/>
      <c r="O211" s="12" t="s">
        <v>119</v>
      </c>
      <c r="P211" s="12" t="s">
        <v>2730</v>
      </c>
      <c r="Q211" s="12" t="s">
        <v>2731</v>
      </c>
      <c r="R211" s="12" t="s">
        <v>518</v>
      </c>
      <c r="S211" s="12" t="s">
        <v>2732</v>
      </c>
      <c r="T211" s="12" t="s">
        <v>2733</v>
      </c>
      <c r="U211" s="12" t="s">
        <v>494</v>
      </c>
      <c r="V211" s="12" t="s">
        <v>494</v>
      </c>
      <c r="W211" s="12"/>
      <c r="X211" s="12" t="s">
        <v>2734</v>
      </c>
      <c r="Y211" s="12"/>
      <c r="Z211" s="12"/>
      <c r="AA211" s="12" t="s">
        <v>2735</v>
      </c>
      <c r="AB211" s="12" t="s">
        <v>123</v>
      </c>
      <c r="AC211" s="14" t="s">
        <v>498</v>
      </c>
      <c r="AD211" s="14" t="s">
        <v>499</v>
      </c>
      <c r="AE211" s="12" t="s">
        <v>602</v>
      </c>
      <c r="AF211" s="27" t="s">
        <v>501</v>
      </c>
      <c r="AG211" s="28"/>
      <c r="AH211" s="27"/>
      <c r="AI211" s="27"/>
      <c r="AJ211" s="27"/>
      <c r="AK211" s="28" t="str">
        <f aca="false">IF(AG211="","",WORKDAY(AG211,5))</f>
        <v/>
      </c>
      <c r="AL211" s="27"/>
      <c r="AM211" s="27"/>
    </row>
    <row r="212" customFormat="false" ht="23.85" hidden="false" customHeight="false" outlineLevel="0" collapsed="false">
      <c r="A212" s="31" t="s">
        <v>255</v>
      </c>
      <c r="B212" s="32" t="n">
        <v>211</v>
      </c>
      <c r="C212" s="26" t="n">
        <v>3</v>
      </c>
      <c r="D212" s="12" t="s">
        <v>166</v>
      </c>
      <c r="E212" s="34" t="s">
        <v>2736</v>
      </c>
      <c r="F212" s="12" t="s">
        <v>525</v>
      </c>
      <c r="G212" s="14" t="s">
        <v>2737</v>
      </c>
      <c r="H212" s="12" t="s">
        <v>2738</v>
      </c>
      <c r="I212" s="12"/>
      <c r="J212" s="12" t="s">
        <v>486</v>
      </c>
      <c r="K212" s="12" t="s">
        <v>627</v>
      </c>
      <c r="L212" s="12" t="s">
        <v>2739</v>
      </c>
      <c r="M212" s="12"/>
      <c r="N212" s="12"/>
      <c r="O212" s="12" t="s">
        <v>2740</v>
      </c>
      <c r="P212" s="12" t="s">
        <v>2741</v>
      </c>
      <c r="Q212" s="12" t="s">
        <v>2742</v>
      </c>
      <c r="R212" s="12" t="s">
        <v>518</v>
      </c>
      <c r="S212" s="12" t="s">
        <v>2743</v>
      </c>
      <c r="T212" s="12" t="s">
        <v>562</v>
      </c>
      <c r="U212" s="12" t="s">
        <v>494</v>
      </c>
      <c r="V212" s="12" t="s">
        <v>494</v>
      </c>
      <c r="W212" s="12" t="s">
        <v>2744</v>
      </c>
      <c r="X212" s="12" t="s">
        <v>2745</v>
      </c>
      <c r="Y212" s="12" t="s">
        <v>2746</v>
      </c>
      <c r="Z212" s="12" t="s">
        <v>2747</v>
      </c>
      <c r="AA212" s="12" t="s">
        <v>2748</v>
      </c>
      <c r="AB212" s="12" t="s">
        <v>497</v>
      </c>
      <c r="AC212" s="14" t="s">
        <v>498</v>
      </c>
      <c r="AD212" s="14" t="s">
        <v>499</v>
      </c>
      <c r="AE212" s="12" t="s">
        <v>638</v>
      </c>
      <c r="AF212" s="27" t="s">
        <v>501</v>
      </c>
      <c r="AG212" s="28"/>
      <c r="AH212" s="27"/>
      <c r="AI212" s="27"/>
      <c r="AJ212" s="27"/>
      <c r="AK212" s="28" t="str">
        <f aca="false">IF(AG212="","",WORKDAY(AG212,5))</f>
        <v/>
      </c>
      <c r="AL212" s="27"/>
      <c r="AM212" s="27"/>
    </row>
    <row r="213" customFormat="false" ht="23.85" hidden="false" customHeight="false" outlineLevel="0" collapsed="false">
      <c r="A213" s="31" t="s">
        <v>255</v>
      </c>
      <c r="B213" s="32" t="n">
        <v>212</v>
      </c>
      <c r="C213" s="26" t="n">
        <v>3</v>
      </c>
      <c r="D213" s="12" t="s">
        <v>229</v>
      </c>
      <c r="E213" s="12" t="s">
        <v>254</v>
      </c>
      <c r="F213" s="12" t="s">
        <v>735</v>
      </c>
      <c r="G213" s="14" t="s">
        <v>593</v>
      </c>
      <c r="H213" s="12" t="s">
        <v>2600</v>
      </c>
      <c r="I213" s="12"/>
      <c r="J213" s="12" t="s">
        <v>486</v>
      </c>
      <c r="K213" s="12" t="s">
        <v>627</v>
      </c>
      <c r="L213" s="12" t="s">
        <v>2749</v>
      </c>
      <c r="M213" s="12"/>
      <c r="N213" s="12"/>
      <c r="O213" s="12" t="s">
        <v>256</v>
      </c>
      <c r="P213" s="12" t="s">
        <v>257</v>
      </c>
      <c r="Q213" s="12" t="s">
        <v>2750</v>
      </c>
      <c r="R213" s="12" t="s">
        <v>518</v>
      </c>
      <c r="S213" s="12" t="s">
        <v>1417</v>
      </c>
      <c r="T213" s="12" t="s">
        <v>2751</v>
      </c>
      <c r="U213" s="12" t="s">
        <v>494</v>
      </c>
      <c r="V213" s="12" t="s">
        <v>494</v>
      </c>
      <c r="W213" s="12"/>
      <c r="X213" s="12" t="s">
        <v>2752</v>
      </c>
      <c r="Y213" s="12" t="s">
        <v>258</v>
      </c>
      <c r="Z213" s="12"/>
      <c r="AA213" s="12" t="s">
        <v>2753</v>
      </c>
      <c r="AB213" s="12" t="s">
        <v>259</v>
      </c>
      <c r="AC213" s="14" t="s">
        <v>498</v>
      </c>
      <c r="AD213" s="14" t="s">
        <v>499</v>
      </c>
      <c r="AE213" s="12" t="s">
        <v>552</v>
      </c>
      <c r="AF213" s="27" t="s">
        <v>501</v>
      </c>
      <c r="AG213" s="28"/>
      <c r="AH213" s="27"/>
      <c r="AI213" s="27"/>
      <c r="AJ213" s="27"/>
      <c r="AK213" s="28" t="str">
        <f aca="false">IF(AG213="","",WORKDAY(AG213,5))</f>
        <v/>
      </c>
      <c r="AL213" s="27"/>
      <c r="AM213" s="27"/>
    </row>
    <row r="214" customFormat="false" ht="23.85" hidden="false" customHeight="false" outlineLevel="0" collapsed="false">
      <c r="A214" s="31" t="s">
        <v>255</v>
      </c>
      <c r="B214" s="32" t="n">
        <v>213</v>
      </c>
      <c r="C214" s="26" t="n">
        <v>3</v>
      </c>
      <c r="D214" s="12" t="s">
        <v>229</v>
      </c>
      <c r="E214" s="12" t="s">
        <v>2754</v>
      </c>
      <c r="F214" s="12" t="s">
        <v>483</v>
      </c>
      <c r="G214" s="14" t="s">
        <v>593</v>
      </c>
      <c r="H214" s="12" t="s">
        <v>2755</v>
      </c>
      <c r="I214" s="12"/>
      <c r="J214" s="12" t="s">
        <v>486</v>
      </c>
      <c r="K214" s="12" t="s">
        <v>627</v>
      </c>
      <c r="L214" s="12" t="s">
        <v>2756</v>
      </c>
      <c r="M214" s="12"/>
      <c r="N214" s="12"/>
      <c r="O214" s="12" t="s">
        <v>252</v>
      </c>
      <c r="P214" s="12" t="s">
        <v>2757</v>
      </c>
      <c r="Q214" s="12" t="s">
        <v>2758</v>
      </c>
      <c r="R214" s="12" t="s">
        <v>518</v>
      </c>
      <c r="S214" s="12" t="s">
        <v>2759</v>
      </c>
      <c r="T214" s="12" t="s">
        <v>547</v>
      </c>
      <c r="U214" s="12" t="s">
        <v>494</v>
      </c>
      <c r="V214" s="12" t="s">
        <v>494</v>
      </c>
      <c r="W214" s="12"/>
      <c r="X214" s="12" t="s">
        <v>2760</v>
      </c>
      <c r="Y214" s="12"/>
      <c r="Z214" s="12"/>
      <c r="AA214" s="12" t="s">
        <v>2761</v>
      </c>
      <c r="AB214" s="12" t="s">
        <v>2762</v>
      </c>
      <c r="AC214" s="14" t="s">
        <v>498</v>
      </c>
      <c r="AD214" s="14" t="s">
        <v>499</v>
      </c>
      <c r="AE214" s="12" t="s">
        <v>552</v>
      </c>
      <c r="AF214" s="27" t="s">
        <v>501</v>
      </c>
      <c r="AG214" s="28"/>
      <c r="AH214" s="27"/>
      <c r="AI214" s="27"/>
      <c r="AJ214" s="27"/>
      <c r="AK214" s="28" t="str">
        <f aca="false">IF(AG214="","",WORKDAY(AG214,5))</f>
        <v/>
      </c>
      <c r="AL214" s="27"/>
      <c r="AM214" s="27"/>
    </row>
    <row r="215" customFormat="false" ht="46.25" hidden="false" customHeight="false" outlineLevel="0" collapsed="false">
      <c r="A215" s="31" t="s">
        <v>255</v>
      </c>
      <c r="B215" s="32" t="n">
        <v>214</v>
      </c>
      <c r="C215" s="26" t="n">
        <v>3</v>
      </c>
      <c r="D215" s="12" t="s">
        <v>229</v>
      </c>
      <c r="E215" s="34" t="s">
        <v>2763</v>
      </c>
      <c r="F215" s="12" t="s">
        <v>525</v>
      </c>
      <c r="G215" s="14" t="s">
        <v>2764</v>
      </c>
      <c r="H215" s="12" t="s">
        <v>2765</v>
      </c>
      <c r="I215" s="12"/>
      <c r="J215" s="12" t="s">
        <v>486</v>
      </c>
      <c r="K215" s="12" t="s">
        <v>627</v>
      </c>
      <c r="L215" s="12" t="s">
        <v>2766</v>
      </c>
      <c r="M215" s="12"/>
      <c r="N215" s="12" t="s">
        <v>2767</v>
      </c>
      <c r="O215" s="12" t="s">
        <v>688</v>
      </c>
      <c r="P215" s="12" t="s">
        <v>2768</v>
      </c>
      <c r="Q215" s="12" t="s">
        <v>2769</v>
      </c>
      <c r="R215" s="12" t="s">
        <v>518</v>
      </c>
      <c r="S215" s="12" t="s">
        <v>2770</v>
      </c>
      <c r="T215" s="12" t="s">
        <v>2771</v>
      </c>
      <c r="U215" s="12" t="s">
        <v>494</v>
      </c>
      <c r="V215" s="12" t="s">
        <v>494</v>
      </c>
      <c r="W215" s="12" t="s">
        <v>2772</v>
      </c>
      <c r="X215" s="12" t="s">
        <v>2773</v>
      </c>
      <c r="Y215" s="12" t="s">
        <v>2774</v>
      </c>
      <c r="Z215" s="12" t="s">
        <v>2775</v>
      </c>
      <c r="AA215" s="12" t="s">
        <v>2776</v>
      </c>
      <c r="AB215" s="12" t="s">
        <v>2777</v>
      </c>
      <c r="AC215" s="14" t="s">
        <v>498</v>
      </c>
      <c r="AD215" s="14" t="s">
        <v>499</v>
      </c>
      <c r="AE215" s="12" t="s">
        <v>638</v>
      </c>
      <c r="AF215" s="27" t="s">
        <v>501</v>
      </c>
      <c r="AG215" s="28"/>
      <c r="AH215" s="27"/>
      <c r="AI215" s="27"/>
      <c r="AJ215" s="27"/>
      <c r="AK215" s="28" t="str">
        <f aca="false">IF(AG215="","",WORKDAY(AG215,5))</f>
        <v/>
      </c>
      <c r="AL215" s="27"/>
      <c r="AM215" s="27"/>
    </row>
    <row r="216" customFormat="false" ht="35.05" hidden="false" customHeight="false" outlineLevel="0" collapsed="false">
      <c r="A216" s="31" t="s">
        <v>255</v>
      </c>
      <c r="B216" s="32" t="n">
        <v>215</v>
      </c>
      <c r="C216" s="26" t="n">
        <v>4</v>
      </c>
      <c r="D216" s="12" t="s">
        <v>281</v>
      </c>
      <c r="E216" s="12" t="s">
        <v>2778</v>
      </c>
      <c r="F216" s="12" t="s">
        <v>483</v>
      </c>
      <c r="G216" s="14" t="s">
        <v>2779</v>
      </c>
      <c r="H216" s="12" t="s">
        <v>2780</v>
      </c>
      <c r="I216" s="12"/>
      <c r="J216" s="12" t="s">
        <v>486</v>
      </c>
      <c r="K216" s="12" t="s">
        <v>627</v>
      </c>
      <c r="L216" s="12" t="s">
        <v>2781</v>
      </c>
      <c r="M216" s="12"/>
      <c r="N216" s="12"/>
      <c r="O216" s="12" t="s">
        <v>2782</v>
      </c>
      <c r="P216" s="12" t="s">
        <v>2783</v>
      </c>
      <c r="Q216" s="12" t="s">
        <v>2784</v>
      </c>
      <c r="R216" s="12" t="s">
        <v>518</v>
      </c>
      <c r="S216" s="12" t="s">
        <v>2785</v>
      </c>
      <c r="T216" s="12" t="s">
        <v>2786</v>
      </c>
      <c r="U216" s="12" t="s">
        <v>494</v>
      </c>
      <c r="V216" s="12" t="s">
        <v>494</v>
      </c>
      <c r="W216" s="12"/>
      <c r="X216" s="12" t="s">
        <v>2787</v>
      </c>
      <c r="Y216" s="12" t="s">
        <v>2788</v>
      </c>
      <c r="Z216" s="12"/>
      <c r="AA216" s="12" t="s">
        <v>2789</v>
      </c>
      <c r="AB216" s="12" t="s">
        <v>130</v>
      </c>
      <c r="AC216" s="14" t="s">
        <v>498</v>
      </c>
      <c r="AD216" s="14" t="s">
        <v>499</v>
      </c>
      <c r="AE216" s="12" t="s">
        <v>500</v>
      </c>
      <c r="AF216" s="27" t="s">
        <v>501</v>
      </c>
      <c r="AG216" s="28"/>
      <c r="AH216" s="27"/>
      <c r="AI216" s="27"/>
      <c r="AJ216" s="27"/>
      <c r="AK216" s="28" t="str">
        <f aca="false">IF(AG216="","",WORKDAY(AG216,5))</f>
        <v/>
      </c>
      <c r="AL216" s="27"/>
      <c r="AM216" s="27"/>
    </row>
    <row r="217" customFormat="false" ht="35.05" hidden="false" customHeight="false" outlineLevel="0" collapsed="false">
      <c r="A217" s="31" t="s">
        <v>255</v>
      </c>
      <c r="B217" s="32" t="n">
        <v>216</v>
      </c>
      <c r="C217" s="26" t="n">
        <v>3</v>
      </c>
      <c r="D217" s="12" t="s">
        <v>281</v>
      </c>
      <c r="E217" s="12" t="s">
        <v>2790</v>
      </c>
      <c r="F217" s="12" t="s">
        <v>483</v>
      </c>
      <c r="G217" s="14" t="s">
        <v>2791</v>
      </c>
      <c r="H217" s="12" t="s">
        <v>2792</v>
      </c>
      <c r="I217" s="12"/>
      <c r="J217" s="12" t="s">
        <v>486</v>
      </c>
      <c r="K217" s="12" t="s">
        <v>627</v>
      </c>
      <c r="L217" s="12" t="s">
        <v>2793</v>
      </c>
      <c r="M217" s="12"/>
      <c r="N217" s="12"/>
      <c r="O217" s="12" t="s">
        <v>2794</v>
      </c>
      <c r="P217" s="12" t="s">
        <v>2795</v>
      </c>
      <c r="Q217" s="12" t="s">
        <v>2275</v>
      </c>
      <c r="R217" s="12" t="s">
        <v>518</v>
      </c>
      <c r="S217" s="12" t="s">
        <v>2796</v>
      </c>
      <c r="T217" s="12" t="s">
        <v>2797</v>
      </c>
      <c r="U217" s="12" t="s">
        <v>494</v>
      </c>
      <c r="V217" s="12" t="s">
        <v>1238</v>
      </c>
      <c r="W217" s="12" t="s">
        <v>2798</v>
      </c>
      <c r="X217" s="12" t="s">
        <v>2799</v>
      </c>
      <c r="Y217" s="12"/>
      <c r="Z217" s="12"/>
      <c r="AA217" s="12" t="s">
        <v>2800</v>
      </c>
      <c r="AB217" s="12" t="s">
        <v>2801</v>
      </c>
      <c r="AC217" s="14" t="s">
        <v>498</v>
      </c>
      <c r="AD217" s="14" t="s">
        <v>499</v>
      </c>
      <c r="AE217" s="12" t="s">
        <v>568</v>
      </c>
      <c r="AF217" s="27" t="s">
        <v>501</v>
      </c>
      <c r="AG217" s="28"/>
      <c r="AH217" s="27"/>
      <c r="AI217" s="27"/>
      <c r="AJ217" s="27"/>
      <c r="AK217" s="28" t="str">
        <f aca="false">IF(AG217="","",WORKDAY(AG217,5))</f>
        <v/>
      </c>
      <c r="AL217" s="27"/>
      <c r="AM217" s="27"/>
    </row>
    <row r="218" customFormat="false" ht="23.85" hidden="false" customHeight="false" outlineLevel="0" collapsed="false">
      <c r="A218" s="31" t="s">
        <v>255</v>
      </c>
      <c r="B218" s="32" t="n">
        <v>217</v>
      </c>
      <c r="C218" s="26" t="n">
        <v>4</v>
      </c>
      <c r="D218" s="12" t="s">
        <v>281</v>
      </c>
      <c r="E218" s="12" t="s">
        <v>2802</v>
      </c>
      <c r="F218" s="12" t="s">
        <v>525</v>
      </c>
      <c r="G218" s="14" t="s">
        <v>2803</v>
      </c>
      <c r="H218" s="12" t="s">
        <v>2502</v>
      </c>
      <c r="I218" s="12" t="s">
        <v>101</v>
      </c>
      <c r="J218" s="12" t="s">
        <v>486</v>
      </c>
      <c r="K218" s="12" t="s">
        <v>627</v>
      </c>
      <c r="L218" s="12" t="s">
        <v>2804</v>
      </c>
      <c r="M218" s="12"/>
      <c r="N218" s="12"/>
      <c r="O218" s="12" t="s">
        <v>2805</v>
      </c>
      <c r="P218" s="12" t="s">
        <v>2806</v>
      </c>
      <c r="Q218" s="12" t="s">
        <v>2807</v>
      </c>
      <c r="R218" s="12" t="s">
        <v>518</v>
      </c>
      <c r="S218" s="12" t="s">
        <v>1476</v>
      </c>
      <c r="T218" s="12" t="s">
        <v>2808</v>
      </c>
      <c r="U218" s="12" t="s">
        <v>494</v>
      </c>
      <c r="V218" s="12" t="s">
        <v>494</v>
      </c>
      <c r="W218" s="12"/>
      <c r="X218" s="12" t="s">
        <v>2809</v>
      </c>
      <c r="Y218" s="12" t="s">
        <v>2810</v>
      </c>
      <c r="Z218" s="12"/>
      <c r="AA218" s="12" t="s">
        <v>2811</v>
      </c>
      <c r="AB218" s="12" t="s">
        <v>204</v>
      </c>
      <c r="AC218" s="14" t="s">
        <v>498</v>
      </c>
      <c r="AD218" s="14" t="s">
        <v>499</v>
      </c>
      <c r="AE218" s="12" t="s">
        <v>568</v>
      </c>
      <c r="AF218" s="27" t="s">
        <v>501</v>
      </c>
      <c r="AG218" s="28"/>
      <c r="AH218" s="27"/>
      <c r="AI218" s="27"/>
      <c r="AJ218" s="27"/>
      <c r="AK218" s="28" t="str">
        <f aca="false">IF(AG218="","",WORKDAY(AG218,5))</f>
        <v/>
      </c>
      <c r="AL218" s="27"/>
      <c r="AM218" s="27"/>
    </row>
    <row r="219" customFormat="false" ht="23.85" hidden="false" customHeight="false" outlineLevel="0" collapsed="false">
      <c r="A219" s="31" t="s">
        <v>255</v>
      </c>
      <c r="B219" s="32" t="n">
        <v>218</v>
      </c>
      <c r="C219" s="26" t="n">
        <v>4</v>
      </c>
      <c r="D219" s="12" t="s">
        <v>281</v>
      </c>
      <c r="E219" s="34" t="s">
        <v>2812</v>
      </c>
      <c r="F219" s="12" t="s">
        <v>525</v>
      </c>
      <c r="G219" s="14" t="s">
        <v>593</v>
      </c>
      <c r="H219" s="12" t="s">
        <v>2813</v>
      </c>
      <c r="I219" s="12"/>
      <c r="J219" s="12" t="s">
        <v>486</v>
      </c>
      <c r="K219" s="12" t="s">
        <v>627</v>
      </c>
      <c r="L219" s="12" t="s">
        <v>2814</v>
      </c>
      <c r="M219" s="12"/>
      <c r="N219" s="12" t="s">
        <v>2815</v>
      </c>
      <c r="O219" s="12" t="s">
        <v>126</v>
      </c>
      <c r="P219" s="12" t="s">
        <v>2816</v>
      </c>
      <c r="Q219" s="12" t="s">
        <v>2817</v>
      </c>
      <c r="R219" s="12" t="s">
        <v>2818</v>
      </c>
      <c r="S219" s="12" t="s">
        <v>2819</v>
      </c>
      <c r="T219" s="12" t="s">
        <v>562</v>
      </c>
      <c r="U219" s="12" t="s">
        <v>494</v>
      </c>
      <c r="V219" s="12" t="s">
        <v>494</v>
      </c>
      <c r="W219" s="12" t="s">
        <v>2820</v>
      </c>
      <c r="X219" s="12" t="s">
        <v>2821</v>
      </c>
      <c r="Y219" s="12" t="s">
        <v>2822</v>
      </c>
      <c r="Z219" s="12"/>
      <c r="AA219" s="12" t="s">
        <v>2823</v>
      </c>
      <c r="AB219" s="12" t="s">
        <v>130</v>
      </c>
      <c r="AC219" s="14" t="s">
        <v>498</v>
      </c>
      <c r="AD219" s="14" t="s">
        <v>499</v>
      </c>
      <c r="AE219" s="12" t="s">
        <v>638</v>
      </c>
      <c r="AF219" s="27" t="s">
        <v>501</v>
      </c>
      <c r="AG219" s="28"/>
      <c r="AH219" s="27"/>
      <c r="AI219" s="27"/>
      <c r="AJ219" s="27"/>
      <c r="AK219" s="28" t="str">
        <f aca="false">IF(AG219="","",WORKDAY(AG219,5))</f>
        <v/>
      </c>
      <c r="AL219" s="27"/>
      <c r="AM219" s="27"/>
    </row>
    <row r="220" customFormat="false" ht="35.05" hidden="false" customHeight="false" outlineLevel="0" collapsed="false">
      <c r="A220" s="31" t="s">
        <v>255</v>
      </c>
      <c r="B220" s="32" t="n">
        <v>219</v>
      </c>
      <c r="C220" s="26" t="n">
        <v>4</v>
      </c>
      <c r="D220" s="12" t="s">
        <v>281</v>
      </c>
      <c r="E220" s="34" t="s">
        <v>2824</v>
      </c>
      <c r="F220" s="12" t="s">
        <v>525</v>
      </c>
      <c r="G220" s="14" t="s">
        <v>2825</v>
      </c>
      <c r="H220" s="12" t="s">
        <v>2826</v>
      </c>
      <c r="I220" s="12"/>
      <c r="J220" s="12" t="s">
        <v>486</v>
      </c>
      <c r="K220" s="12" t="s">
        <v>627</v>
      </c>
      <c r="L220" s="12" t="s">
        <v>2827</v>
      </c>
      <c r="M220" s="12" t="s">
        <v>2828</v>
      </c>
      <c r="N220" s="12" t="s">
        <v>2829</v>
      </c>
      <c r="O220" s="12" t="s">
        <v>395</v>
      </c>
      <c r="P220" s="12" t="s">
        <v>2830</v>
      </c>
      <c r="Q220" s="12" t="s">
        <v>2831</v>
      </c>
      <c r="R220" s="12" t="s">
        <v>491</v>
      </c>
      <c r="S220" s="12" t="s">
        <v>2832</v>
      </c>
      <c r="T220" s="12" t="s">
        <v>562</v>
      </c>
      <c r="U220" s="12" t="s">
        <v>494</v>
      </c>
      <c r="V220" s="12" t="s">
        <v>494</v>
      </c>
      <c r="W220" s="12" t="s">
        <v>2833</v>
      </c>
      <c r="X220" s="12" t="s">
        <v>2834</v>
      </c>
      <c r="Y220" s="12" t="s">
        <v>2835</v>
      </c>
      <c r="Z220" s="12"/>
      <c r="AA220" s="12" t="s">
        <v>2836</v>
      </c>
      <c r="AB220" s="12" t="s">
        <v>179</v>
      </c>
      <c r="AC220" s="14" t="s">
        <v>498</v>
      </c>
      <c r="AD220" s="14" t="s">
        <v>499</v>
      </c>
      <c r="AE220" s="12" t="s">
        <v>638</v>
      </c>
      <c r="AF220" s="27" t="s">
        <v>501</v>
      </c>
      <c r="AG220" s="28"/>
      <c r="AH220" s="27"/>
      <c r="AI220" s="27"/>
      <c r="AJ220" s="27"/>
      <c r="AK220" s="28" t="str">
        <f aca="false">IF(AG220="","",WORKDAY(AG220,5))</f>
        <v/>
      </c>
      <c r="AL220" s="27"/>
      <c r="AM220" s="27"/>
    </row>
    <row r="221" customFormat="false" ht="23.85" hidden="false" customHeight="false" outlineLevel="0" collapsed="false">
      <c r="A221" s="31" t="s">
        <v>255</v>
      </c>
      <c r="B221" s="32" t="n">
        <v>220</v>
      </c>
      <c r="C221" s="26" t="n">
        <v>3</v>
      </c>
      <c r="D221" s="12" t="s">
        <v>281</v>
      </c>
      <c r="E221" s="12" t="s">
        <v>2837</v>
      </c>
      <c r="F221" s="12" t="s">
        <v>525</v>
      </c>
      <c r="G221" s="14" t="s">
        <v>2838</v>
      </c>
      <c r="H221" s="12" t="s">
        <v>2839</v>
      </c>
      <c r="I221" s="12"/>
      <c r="J221" s="12" t="s">
        <v>486</v>
      </c>
      <c r="K221" s="12" t="s">
        <v>627</v>
      </c>
      <c r="L221" s="12" t="s">
        <v>2840</v>
      </c>
      <c r="M221" s="12"/>
      <c r="N221" s="12"/>
      <c r="O221" s="12" t="s">
        <v>126</v>
      </c>
      <c r="P221" s="12" t="s">
        <v>2841</v>
      </c>
      <c r="Q221" s="12" t="s">
        <v>751</v>
      </c>
      <c r="R221" s="12" t="s">
        <v>518</v>
      </c>
      <c r="S221" s="12" t="s">
        <v>492</v>
      </c>
      <c r="T221" s="12" t="s">
        <v>562</v>
      </c>
      <c r="U221" s="12" t="s">
        <v>494</v>
      </c>
      <c r="V221" s="12" t="s">
        <v>494</v>
      </c>
      <c r="W221" s="12"/>
      <c r="X221" s="12" t="s">
        <v>2842</v>
      </c>
      <c r="Y221" s="12"/>
      <c r="Z221" s="12"/>
      <c r="AA221" s="12" t="s">
        <v>2843</v>
      </c>
      <c r="AB221" s="12" t="s">
        <v>130</v>
      </c>
      <c r="AC221" s="14" t="s">
        <v>498</v>
      </c>
      <c r="AD221" s="14" t="s">
        <v>499</v>
      </c>
      <c r="AE221" s="12" t="s">
        <v>500</v>
      </c>
      <c r="AF221" s="27" t="s">
        <v>501</v>
      </c>
      <c r="AG221" s="28"/>
      <c r="AH221" s="27"/>
      <c r="AI221" s="27"/>
      <c r="AJ221" s="27"/>
      <c r="AK221" s="28" t="str">
        <f aca="false">IF(AG221="","",WORKDAY(AG221,5))</f>
        <v/>
      </c>
      <c r="AL221" s="27"/>
      <c r="AM221" s="27"/>
    </row>
    <row r="222" customFormat="false" ht="23.85" hidden="false" customHeight="false" outlineLevel="0" collapsed="false">
      <c r="A222" s="31" t="s">
        <v>255</v>
      </c>
      <c r="B222" s="32" t="n">
        <v>221</v>
      </c>
      <c r="C222" s="26" t="n">
        <v>4</v>
      </c>
      <c r="D222" s="12" t="s">
        <v>307</v>
      </c>
      <c r="E222" s="34" t="s">
        <v>2844</v>
      </c>
      <c r="F222" s="12" t="s">
        <v>525</v>
      </c>
      <c r="G222" s="14" t="s">
        <v>2845</v>
      </c>
      <c r="H222" s="12" t="s">
        <v>2846</v>
      </c>
      <c r="I222" s="12"/>
      <c r="J222" s="12" t="s">
        <v>486</v>
      </c>
      <c r="K222" s="12" t="s">
        <v>627</v>
      </c>
      <c r="L222" s="12" t="s">
        <v>2847</v>
      </c>
      <c r="M222" s="12"/>
      <c r="N222" s="12" t="s">
        <v>2848</v>
      </c>
      <c r="O222" s="12" t="s">
        <v>655</v>
      </c>
      <c r="P222" s="12" t="s">
        <v>2849</v>
      </c>
      <c r="Q222" s="12" t="s">
        <v>2850</v>
      </c>
      <c r="R222" s="12" t="s">
        <v>518</v>
      </c>
      <c r="S222" s="12" t="s">
        <v>2851</v>
      </c>
      <c r="T222" s="12" t="s">
        <v>562</v>
      </c>
      <c r="U222" s="12" t="s">
        <v>494</v>
      </c>
      <c r="V222" s="12" t="s">
        <v>494</v>
      </c>
      <c r="W222" s="12"/>
      <c r="X222" s="12" t="s">
        <v>2852</v>
      </c>
      <c r="Y222" s="12" t="s">
        <v>2853</v>
      </c>
      <c r="Z222" s="12"/>
      <c r="AA222" s="12" t="s">
        <v>2854</v>
      </c>
      <c r="AB222" s="12" t="s">
        <v>497</v>
      </c>
      <c r="AC222" s="14" t="s">
        <v>498</v>
      </c>
      <c r="AD222" s="14" t="s">
        <v>499</v>
      </c>
      <c r="AE222" s="12" t="s">
        <v>638</v>
      </c>
      <c r="AF222" s="27" t="s">
        <v>501</v>
      </c>
      <c r="AG222" s="28"/>
      <c r="AH222" s="27"/>
      <c r="AI222" s="27"/>
      <c r="AJ222" s="27"/>
      <c r="AK222" s="28" t="str">
        <f aca="false">IF(AG222="","",WORKDAY(AG222,5))</f>
        <v/>
      </c>
      <c r="AL222" s="27"/>
      <c r="AM222" s="27"/>
    </row>
    <row r="223" customFormat="false" ht="23.85" hidden="false" customHeight="false" outlineLevel="0" collapsed="false">
      <c r="A223" s="31" t="s">
        <v>255</v>
      </c>
      <c r="B223" s="32" t="n">
        <v>222</v>
      </c>
      <c r="C223" s="26" t="n">
        <v>3</v>
      </c>
      <c r="D223" s="12" t="s">
        <v>307</v>
      </c>
      <c r="E223" s="34" t="s">
        <v>2855</v>
      </c>
      <c r="F223" s="12" t="s">
        <v>525</v>
      </c>
      <c r="G223" s="14" t="s">
        <v>2856</v>
      </c>
      <c r="H223" s="12" t="s">
        <v>2857</v>
      </c>
      <c r="I223" s="12"/>
      <c r="J223" s="12" t="s">
        <v>486</v>
      </c>
      <c r="K223" s="12" t="s">
        <v>627</v>
      </c>
      <c r="L223" s="12"/>
      <c r="M223" s="12"/>
      <c r="N223" s="12"/>
      <c r="O223" s="12" t="s">
        <v>119</v>
      </c>
      <c r="P223" s="12" t="s">
        <v>2858</v>
      </c>
      <c r="Q223" s="12" t="s">
        <v>2859</v>
      </c>
      <c r="R223" s="12" t="s">
        <v>518</v>
      </c>
      <c r="S223" s="12" t="s">
        <v>2860</v>
      </c>
      <c r="T223" s="12" t="s">
        <v>562</v>
      </c>
      <c r="U223" s="12" t="s">
        <v>494</v>
      </c>
      <c r="V223" s="12" t="s">
        <v>494</v>
      </c>
      <c r="W223" s="12"/>
      <c r="X223" s="12" t="s">
        <v>2861</v>
      </c>
      <c r="Y223" s="12" t="s">
        <v>2862</v>
      </c>
      <c r="Z223" s="12" t="s">
        <v>2863</v>
      </c>
      <c r="AA223" s="12" t="s">
        <v>661</v>
      </c>
      <c r="AB223" s="12" t="s">
        <v>204</v>
      </c>
      <c r="AC223" s="14" t="s">
        <v>498</v>
      </c>
      <c r="AD223" s="14" t="s">
        <v>499</v>
      </c>
      <c r="AE223" s="12" t="s">
        <v>638</v>
      </c>
      <c r="AF223" s="27" t="s">
        <v>501</v>
      </c>
      <c r="AG223" s="28"/>
      <c r="AH223" s="27"/>
      <c r="AI223" s="27"/>
      <c r="AJ223" s="27"/>
      <c r="AK223" s="28" t="str">
        <f aca="false">IF(AG223="","",WORKDAY(AG223,5))</f>
        <v/>
      </c>
      <c r="AL223" s="27"/>
      <c r="AM223" s="27"/>
    </row>
    <row r="224" customFormat="false" ht="23.85" hidden="false" customHeight="false" outlineLevel="0" collapsed="false">
      <c r="A224" s="31" t="s">
        <v>255</v>
      </c>
      <c r="B224" s="32" t="n">
        <v>223</v>
      </c>
      <c r="C224" s="26" t="n">
        <v>3</v>
      </c>
      <c r="D224" s="12" t="s">
        <v>307</v>
      </c>
      <c r="E224" s="12" t="s">
        <v>2864</v>
      </c>
      <c r="F224" s="12" t="s">
        <v>525</v>
      </c>
      <c r="G224" s="14" t="s">
        <v>2865</v>
      </c>
      <c r="H224" s="12" t="s">
        <v>2866</v>
      </c>
      <c r="I224" s="12"/>
      <c r="J224" s="12" t="s">
        <v>486</v>
      </c>
      <c r="K224" s="12" t="s">
        <v>627</v>
      </c>
      <c r="L224" s="12" t="s">
        <v>2867</v>
      </c>
      <c r="M224" s="12"/>
      <c r="N224" s="12"/>
      <c r="O224" s="12" t="s">
        <v>126</v>
      </c>
      <c r="P224" s="12" t="s">
        <v>2868</v>
      </c>
      <c r="Q224" s="12" t="s">
        <v>2869</v>
      </c>
      <c r="R224" s="12" t="s">
        <v>518</v>
      </c>
      <c r="S224" s="12" t="s">
        <v>2870</v>
      </c>
      <c r="T224" s="12" t="s">
        <v>2871</v>
      </c>
      <c r="U224" s="12" t="s">
        <v>494</v>
      </c>
      <c r="V224" s="12" t="s">
        <v>494</v>
      </c>
      <c r="W224" s="12"/>
      <c r="X224" s="12" t="s">
        <v>2872</v>
      </c>
      <c r="Y224" s="12"/>
      <c r="Z224" s="12"/>
      <c r="AA224" s="12" t="s">
        <v>2873</v>
      </c>
      <c r="AB224" s="12" t="s">
        <v>497</v>
      </c>
      <c r="AC224" s="14" t="s">
        <v>498</v>
      </c>
      <c r="AD224" s="14" t="s">
        <v>499</v>
      </c>
      <c r="AE224" s="12" t="s">
        <v>500</v>
      </c>
      <c r="AF224" s="27" t="s">
        <v>501</v>
      </c>
      <c r="AG224" s="28"/>
      <c r="AH224" s="27"/>
      <c r="AI224" s="27"/>
      <c r="AJ224" s="27"/>
      <c r="AK224" s="28" t="str">
        <f aca="false">IF(AG224="","",WORKDAY(AG224,5))</f>
        <v/>
      </c>
      <c r="AL224" s="27"/>
      <c r="AM224" s="27"/>
    </row>
    <row r="225" customFormat="false" ht="23.85" hidden="false" customHeight="false" outlineLevel="0" collapsed="false">
      <c r="A225" s="31" t="s">
        <v>255</v>
      </c>
      <c r="B225" s="32" t="n">
        <v>224</v>
      </c>
      <c r="C225" s="26" t="n">
        <v>3</v>
      </c>
      <c r="D225" s="12" t="s">
        <v>307</v>
      </c>
      <c r="E225" s="34" t="s">
        <v>2874</v>
      </c>
      <c r="F225" s="12" t="s">
        <v>525</v>
      </c>
      <c r="G225" s="14" t="s">
        <v>593</v>
      </c>
      <c r="H225" s="12" t="s">
        <v>2526</v>
      </c>
      <c r="I225" s="12"/>
      <c r="J225" s="12" t="s">
        <v>486</v>
      </c>
      <c r="K225" s="12" t="s">
        <v>627</v>
      </c>
      <c r="L225" s="12" t="s">
        <v>2875</v>
      </c>
      <c r="M225" s="12" t="s">
        <v>2876</v>
      </c>
      <c r="N225" s="12"/>
      <c r="O225" s="12" t="s">
        <v>655</v>
      </c>
      <c r="P225" s="12" t="s">
        <v>2877</v>
      </c>
      <c r="Q225" s="12" t="s">
        <v>2878</v>
      </c>
      <c r="R225" s="12" t="s">
        <v>518</v>
      </c>
      <c r="S225" s="12" t="s">
        <v>2879</v>
      </c>
      <c r="T225" s="12" t="s">
        <v>562</v>
      </c>
      <c r="U225" s="12" t="s">
        <v>494</v>
      </c>
      <c r="V225" s="12" t="s">
        <v>494</v>
      </c>
      <c r="W225" s="12"/>
      <c r="X225" s="12" t="s">
        <v>2880</v>
      </c>
      <c r="Y225" s="12" t="s">
        <v>2881</v>
      </c>
      <c r="Z225" s="12"/>
      <c r="AA225" s="12" t="s">
        <v>661</v>
      </c>
      <c r="AB225" s="12" t="s">
        <v>204</v>
      </c>
      <c r="AC225" s="14" t="s">
        <v>498</v>
      </c>
      <c r="AD225" s="14" t="s">
        <v>499</v>
      </c>
      <c r="AE225" s="12" t="s">
        <v>638</v>
      </c>
      <c r="AF225" s="27" t="s">
        <v>501</v>
      </c>
      <c r="AG225" s="28"/>
      <c r="AH225" s="27"/>
      <c r="AI225" s="27"/>
      <c r="AJ225" s="27"/>
      <c r="AK225" s="28" t="str">
        <f aca="false">IF(AG225="","",WORKDAY(AG225,5))</f>
        <v/>
      </c>
      <c r="AL225" s="27"/>
      <c r="AM225" s="27"/>
    </row>
    <row r="226" customFormat="false" ht="23.85" hidden="false" customHeight="false" outlineLevel="0" collapsed="false">
      <c r="A226" s="31" t="s">
        <v>255</v>
      </c>
      <c r="B226" s="32" t="n">
        <v>225</v>
      </c>
      <c r="C226" s="26" t="n">
        <v>3</v>
      </c>
      <c r="D226" s="12" t="s">
        <v>307</v>
      </c>
      <c r="E226" s="12" t="s">
        <v>2882</v>
      </c>
      <c r="F226" s="12" t="s">
        <v>525</v>
      </c>
      <c r="G226" s="14" t="s">
        <v>2883</v>
      </c>
      <c r="H226" s="12" t="s">
        <v>255</v>
      </c>
      <c r="I226" s="12"/>
      <c r="J226" s="12" t="s">
        <v>486</v>
      </c>
      <c r="K226" s="12" t="s">
        <v>627</v>
      </c>
      <c r="L226" s="12"/>
      <c r="M226" s="12"/>
      <c r="N226" s="12"/>
      <c r="O226" s="12" t="s">
        <v>2884</v>
      </c>
      <c r="P226" s="12" t="s">
        <v>2885</v>
      </c>
      <c r="Q226" s="12" t="s">
        <v>2886</v>
      </c>
      <c r="R226" s="12" t="s">
        <v>518</v>
      </c>
      <c r="S226" s="12" t="s">
        <v>2887</v>
      </c>
      <c r="T226" s="12" t="s">
        <v>2888</v>
      </c>
      <c r="U226" s="12" t="s">
        <v>494</v>
      </c>
      <c r="V226" s="12" t="s">
        <v>494</v>
      </c>
      <c r="W226" s="12"/>
      <c r="X226" s="12" t="s">
        <v>2889</v>
      </c>
      <c r="Y226" s="12"/>
      <c r="Z226" s="12"/>
      <c r="AA226" s="12" t="s">
        <v>2890</v>
      </c>
      <c r="AB226" s="12" t="s">
        <v>497</v>
      </c>
      <c r="AC226" s="14" t="s">
        <v>498</v>
      </c>
      <c r="AD226" s="14" t="s">
        <v>499</v>
      </c>
      <c r="AE226" s="12" t="s">
        <v>500</v>
      </c>
      <c r="AF226" s="27" t="s">
        <v>501</v>
      </c>
      <c r="AG226" s="28"/>
      <c r="AH226" s="27"/>
      <c r="AI226" s="27"/>
      <c r="AJ226" s="27"/>
      <c r="AK226" s="28" t="str">
        <f aca="false">IF(AG226="","",WORKDAY(AG226,5))</f>
        <v/>
      </c>
      <c r="AL226" s="27"/>
      <c r="AM226" s="27"/>
    </row>
    <row r="227" customFormat="false" ht="35.05" hidden="false" customHeight="false" outlineLevel="0" collapsed="false">
      <c r="A227" s="31" t="s">
        <v>255</v>
      </c>
      <c r="B227" s="32" t="n">
        <v>226</v>
      </c>
      <c r="C227" s="26" t="n">
        <v>4</v>
      </c>
      <c r="D227" s="12" t="s">
        <v>353</v>
      </c>
      <c r="E227" s="34" t="s">
        <v>2891</v>
      </c>
      <c r="F227" s="12" t="s">
        <v>525</v>
      </c>
      <c r="G227" s="14" t="s">
        <v>2892</v>
      </c>
      <c r="H227" s="12" t="s">
        <v>2893</v>
      </c>
      <c r="I227" s="12"/>
      <c r="J227" s="12" t="s">
        <v>486</v>
      </c>
      <c r="K227" s="12" t="s">
        <v>627</v>
      </c>
      <c r="L227" s="12" t="s">
        <v>2894</v>
      </c>
      <c r="M227" s="12" t="s">
        <v>2895</v>
      </c>
      <c r="N227" s="12"/>
      <c r="O227" s="12" t="s">
        <v>688</v>
      </c>
      <c r="P227" s="12" t="s">
        <v>2896</v>
      </c>
      <c r="Q227" s="12" t="s">
        <v>588</v>
      </c>
      <c r="R227" s="12" t="s">
        <v>518</v>
      </c>
      <c r="S227" s="12" t="s">
        <v>2897</v>
      </c>
      <c r="T227" s="12" t="s">
        <v>562</v>
      </c>
      <c r="U227" s="12" t="s">
        <v>494</v>
      </c>
      <c r="V227" s="12" t="s">
        <v>494</v>
      </c>
      <c r="W227" s="12"/>
      <c r="X227" s="12" t="s">
        <v>2898</v>
      </c>
      <c r="Y227" s="12" t="s">
        <v>2899</v>
      </c>
      <c r="Z227" s="12"/>
      <c r="AA227" s="12" t="s">
        <v>661</v>
      </c>
      <c r="AB227" s="12" t="s">
        <v>204</v>
      </c>
      <c r="AC227" s="14" t="s">
        <v>498</v>
      </c>
      <c r="AD227" s="14" t="s">
        <v>499</v>
      </c>
      <c r="AE227" s="12" t="s">
        <v>638</v>
      </c>
      <c r="AF227" s="27" t="s">
        <v>501</v>
      </c>
      <c r="AG227" s="28"/>
      <c r="AH227" s="27"/>
      <c r="AI227" s="27"/>
      <c r="AJ227" s="27"/>
      <c r="AK227" s="28" t="str">
        <f aca="false">IF(AG227="","",WORKDAY(AG227,5))</f>
        <v/>
      </c>
      <c r="AL227" s="27"/>
      <c r="AM227" s="27"/>
    </row>
    <row r="228" customFormat="false" ht="23.85" hidden="false" customHeight="false" outlineLevel="0" collapsed="false">
      <c r="A228" s="31" t="s">
        <v>255</v>
      </c>
      <c r="B228" s="32" t="n">
        <v>227</v>
      </c>
      <c r="C228" s="26" t="n">
        <v>4</v>
      </c>
      <c r="D228" s="12" t="s">
        <v>353</v>
      </c>
      <c r="E228" s="34" t="s">
        <v>2900</v>
      </c>
      <c r="F228" s="12" t="s">
        <v>525</v>
      </c>
      <c r="G228" s="14" t="s">
        <v>2901</v>
      </c>
      <c r="H228" s="12" t="s">
        <v>2559</v>
      </c>
      <c r="I228" s="12"/>
      <c r="J228" s="12" t="s">
        <v>486</v>
      </c>
      <c r="K228" s="12" t="s">
        <v>627</v>
      </c>
      <c r="L228" s="12" t="s">
        <v>2902</v>
      </c>
      <c r="M228" s="12" t="s">
        <v>2903</v>
      </c>
      <c r="N228" s="12" t="s">
        <v>2904</v>
      </c>
      <c r="O228" s="12" t="s">
        <v>655</v>
      </c>
      <c r="P228" s="12" t="s">
        <v>2905</v>
      </c>
      <c r="Q228" s="12" t="s">
        <v>2906</v>
      </c>
      <c r="R228" s="12" t="s">
        <v>518</v>
      </c>
      <c r="S228" s="12" t="s">
        <v>2907</v>
      </c>
      <c r="T228" s="12" t="s">
        <v>562</v>
      </c>
      <c r="U228" s="12" t="s">
        <v>494</v>
      </c>
      <c r="V228" s="12" t="s">
        <v>494</v>
      </c>
      <c r="W228" s="12"/>
      <c r="X228" s="12" t="s">
        <v>2908</v>
      </c>
      <c r="Y228" s="12" t="s">
        <v>2909</v>
      </c>
      <c r="Z228" s="12"/>
      <c r="AA228" s="12" t="s">
        <v>2327</v>
      </c>
      <c r="AB228" s="12" t="s">
        <v>204</v>
      </c>
      <c r="AC228" s="14" t="s">
        <v>498</v>
      </c>
      <c r="AD228" s="14" t="s">
        <v>499</v>
      </c>
      <c r="AE228" s="12" t="s">
        <v>638</v>
      </c>
      <c r="AF228" s="27" t="s">
        <v>501</v>
      </c>
      <c r="AG228" s="28"/>
      <c r="AH228" s="27"/>
      <c r="AI228" s="27"/>
      <c r="AJ228" s="27"/>
      <c r="AK228" s="28" t="str">
        <f aca="false">IF(AG228="","",WORKDAY(AG228,5))</f>
        <v/>
      </c>
      <c r="AL228" s="27"/>
      <c r="AM228" s="27"/>
    </row>
    <row r="229" customFormat="false" ht="35.05" hidden="false" customHeight="false" outlineLevel="0" collapsed="false">
      <c r="A229" s="31" t="s">
        <v>255</v>
      </c>
      <c r="B229" s="32" t="n">
        <v>228</v>
      </c>
      <c r="C229" s="26" t="n">
        <v>4</v>
      </c>
      <c r="D229" s="12" t="s">
        <v>353</v>
      </c>
      <c r="E229" s="34" t="s">
        <v>2910</v>
      </c>
      <c r="F229" s="12" t="s">
        <v>525</v>
      </c>
      <c r="G229" s="14" t="s">
        <v>2911</v>
      </c>
      <c r="H229" s="12" t="s">
        <v>2559</v>
      </c>
      <c r="I229" s="12"/>
      <c r="J229" s="12" t="s">
        <v>486</v>
      </c>
      <c r="K229" s="12" t="s">
        <v>627</v>
      </c>
      <c r="L229" s="12" t="s">
        <v>2912</v>
      </c>
      <c r="M229" s="12" t="s">
        <v>2913</v>
      </c>
      <c r="N229" s="12" t="s">
        <v>2914</v>
      </c>
      <c r="O229" s="12" t="s">
        <v>655</v>
      </c>
      <c r="P229" s="12" t="s">
        <v>2915</v>
      </c>
      <c r="Q229" s="12" t="s">
        <v>2916</v>
      </c>
      <c r="R229" s="12" t="s">
        <v>518</v>
      </c>
      <c r="S229" s="12" t="s">
        <v>2917</v>
      </c>
      <c r="T229" s="12" t="s">
        <v>562</v>
      </c>
      <c r="U229" s="12" t="s">
        <v>494</v>
      </c>
      <c r="V229" s="12" t="s">
        <v>494</v>
      </c>
      <c r="W229" s="12"/>
      <c r="X229" s="12" t="s">
        <v>2918</v>
      </c>
      <c r="Y229" s="12" t="s">
        <v>2919</v>
      </c>
      <c r="Z229" s="12" t="s">
        <v>2920</v>
      </c>
      <c r="AA229" s="12" t="s">
        <v>2921</v>
      </c>
      <c r="AB229" s="12" t="s">
        <v>497</v>
      </c>
      <c r="AC229" s="14" t="s">
        <v>498</v>
      </c>
      <c r="AD229" s="14" t="s">
        <v>499</v>
      </c>
      <c r="AE229" s="12" t="s">
        <v>638</v>
      </c>
      <c r="AF229" s="27" t="s">
        <v>501</v>
      </c>
      <c r="AG229" s="28"/>
      <c r="AH229" s="27"/>
      <c r="AI229" s="27"/>
      <c r="AJ229" s="27"/>
      <c r="AK229" s="28" t="str">
        <f aca="false">IF(AG229="","",WORKDAY(AG229,5))</f>
        <v/>
      </c>
      <c r="AL229" s="27"/>
      <c r="AM229" s="27"/>
    </row>
    <row r="230" customFormat="false" ht="23.85" hidden="false" customHeight="false" outlineLevel="0" collapsed="false">
      <c r="A230" s="31" t="s">
        <v>255</v>
      </c>
      <c r="B230" s="32" t="n">
        <v>229</v>
      </c>
      <c r="C230" s="26" t="n">
        <v>4</v>
      </c>
      <c r="D230" s="12" t="s">
        <v>353</v>
      </c>
      <c r="E230" s="34" t="s">
        <v>2922</v>
      </c>
      <c r="F230" s="12" t="s">
        <v>525</v>
      </c>
      <c r="G230" s="14" t="s">
        <v>2923</v>
      </c>
      <c r="H230" s="12" t="s">
        <v>2526</v>
      </c>
      <c r="I230" s="12"/>
      <c r="J230" s="12" t="s">
        <v>486</v>
      </c>
      <c r="K230" s="12" t="s">
        <v>627</v>
      </c>
      <c r="L230" s="12" t="s">
        <v>2924</v>
      </c>
      <c r="M230" s="12" t="s">
        <v>2925</v>
      </c>
      <c r="N230" s="12" t="s">
        <v>2926</v>
      </c>
      <c r="O230" s="12" t="s">
        <v>126</v>
      </c>
      <c r="P230" s="12" t="s">
        <v>2927</v>
      </c>
      <c r="Q230" s="12" t="s">
        <v>2928</v>
      </c>
      <c r="R230" s="12" t="s">
        <v>518</v>
      </c>
      <c r="S230" s="12" t="s">
        <v>2929</v>
      </c>
      <c r="T230" s="12" t="s">
        <v>562</v>
      </c>
      <c r="U230" s="12" t="s">
        <v>494</v>
      </c>
      <c r="V230" s="12" t="s">
        <v>494</v>
      </c>
      <c r="W230" s="12"/>
      <c r="X230" s="12" t="s">
        <v>2930</v>
      </c>
      <c r="Y230" s="12" t="s">
        <v>2931</v>
      </c>
      <c r="Z230" s="12" t="s">
        <v>2932</v>
      </c>
      <c r="AA230" s="12" t="s">
        <v>2921</v>
      </c>
      <c r="AB230" s="12" t="s">
        <v>497</v>
      </c>
      <c r="AC230" s="14" t="s">
        <v>498</v>
      </c>
      <c r="AD230" s="14" t="s">
        <v>499</v>
      </c>
      <c r="AE230" s="12" t="s">
        <v>638</v>
      </c>
      <c r="AF230" s="27" t="s">
        <v>501</v>
      </c>
      <c r="AG230" s="28"/>
      <c r="AH230" s="27"/>
      <c r="AI230" s="27"/>
      <c r="AJ230" s="27"/>
      <c r="AK230" s="28" t="str">
        <f aca="false">IF(AG230="","",WORKDAY(AG230,5))</f>
        <v/>
      </c>
      <c r="AL230" s="27"/>
      <c r="AM230" s="27"/>
    </row>
    <row r="231" customFormat="false" ht="23.85" hidden="false" customHeight="false" outlineLevel="0" collapsed="false">
      <c r="A231" s="31" t="s">
        <v>255</v>
      </c>
      <c r="B231" s="32" t="n">
        <v>230</v>
      </c>
      <c r="C231" s="26" t="n">
        <v>4</v>
      </c>
      <c r="D231" s="12" t="s">
        <v>353</v>
      </c>
      <c r="E231" s="34" t="s">
        <v>2933</v>
      </c>
      <c r="F231" s="12" t="s">
        <v>525</v>
      </c>
      <c r="G231" s="14" t="s">
        <v>2934</v>
      </c>
      <c r="H231" s="12" t="s">
        <v>2935</v>
      </c>
      <c r="I231" s="12"/>
      <c r="J231" s="12" t="s">
        <v>486</v>
      </c>
      <c r="K231" s="12" t="s">
        <v>627</v>
      </c>
      <c r="L231" s="12" t="s">
        <v>2936</v>
      </c>
      <c r="M231" s="12"/>
      <c r="N231" s="12"/>
      <c r="O231" s="12" t="s">
        <v>688</v>
      </c>
      <c r="P231" s="12" t="s">
        <v>2937</v>
      </c>
      <c r="Q231" s="12" t="s">
        <v>2938</v>
      </c>
      <c r="R231" s="12" t="s">
        <v>518</v>
      </c>
      <c r="S231" s="12" t="s">
        <v>2939</v>
      </c>
      <c r="T231" s="12" t="s">
        <v>562</v>
      </c>
      <c r="U231" s="12" t="s">
        <v>494</v>
      </c>
      <c r="V231" s="12" t="s">
        <v>494</v>
      </c>
      <c r="W231" s="12"/>
      <c r="X231" s="12" t="s">
        <v>2940</v>
      </c>
      <c r="Y231" s="12" t="s">
        <v>2941</v>
      </c>
      <c r="Z231" s="12"/>
      <c r="AA231" s="12" t="s">
        <v>2942</v>
      </c>
      <c r="AB231" s="12" t="s">
        <v>204</v>
      </c>
      <c r="AC231" s="14" t="s">
        <v>498</v>
      </c>
      <c r="AD231" s="14" t="s">
        <v>499</v>
      </c>
      <c r="AE231" s="12" t="s">
        <v>638</v>
      </c>
      <c r="AF231" s="27" t="s">
        <v>501</v>
      </c>
      <c r="AG231" s="28"/>
      <c r="AH231" s="27"/>
      <c r="AI231" s="27"/>
      <c r="AJ231" s="27"/>
      <c r="AK231" s="28" t="str">
        <f aca="false">IF(AG231="","",WORKDAY(AG231,5))</f>
        <v/>
      </c>
      <c r="AL231" s="27"/>
      <c r="AM231" s="27"/>
    </row>
    <row r="232" customFormat="false" ht="23.85" hidden="false" customHeight="false" outlineLevel="0" collapsed="false">
      <c r="A232" s="31" t="s">
        <v>255</v>
      </c>
      <c r="B232" s="32" t="n">
        <v>231</v>
      </c>
      <c r="C232" s="26" t="n">
        <v>3</v>
      </c>
      <c r="D232" s="12" t="s">
        <v>353</v>
      </c>
      <c r="E232" s="12" t="s">
        <v>2943</v>
      </c>
      <c r="F232" s="12" t="s">
        <v>525</v>
      </c>
      <c r="G232" s="14" t="s">
        <v>2944</v>
      </c>
      <c r="H232" s="12" t="s">
        <v>255</v>
      </c>
      <c r="I232" s="12"/>
      <c r="J232" s="12" t="s">
        <v>486</v>
      </c>
      <c r="K232" s="12" t="s">
        <v>627</v>
      </c>
      <c r="L232" s="12"/>
      <c r="M232" s="12"/>
      <c r="N232" s="12"/>
      <c r="O232" s="12" t="s">
        <v>2945</v>
      </c>
      <c r="P232" s="12" t="s">
        <v>2946</v>
      </c>
      <c r="Q232" s="12" t="s">
        <v>1540</v>
      </c>
      <c r="R232" s="12" t="s">
        <v>518</v>
      </c>
      <c r="S232" s="12" t="s">
        <v>519</v>
      </c>
      <c r="T232" s="12" t="s">
        <v>562</v>
      </c>
      <c r="U232" s="12" t="s">
        <v>494</v>
      </c>
      <c r="V232" s="12" t="s">
        <v>494</v>
      </c>
      <c r="W232" s="12"/>
      <c r="X232" s="12" t="s">
        <v>2947</v>
      </c>
      <c r="Y232" s="12" t="s">
        <v>2948</v>
      </c>
      <c r="Z232" s="12"/>
      <c r="AA232" s="12" t="s">
        <v>611</v>
      </c>
      <c r="AB232" s="12" t="s">
        <v>204</v>
      </c>
      <c r="AC232" s="14" t="s">
        <v>498</v>
      </c>
      <c r="AD232" s="14" t="s">
        <v>499</v>
      </c>
      <c r="AE232" s="12" t="s">
        <v>500</v>
      </c>
      <c r="AF232" s="27" t="s">
        <v>501</v>
      </c>
      <c r="AG232" s="28"/>
      <c r="AH232" s="27"/>
      <c r="AI232" s="27"/>
      <c r="AJ232" s="27"/>
      <c r="AK232" s="28" t="str">
        <f aca="false">IF(AG232="","",WORKDAY(AG232,5))</f>
        <v/>
      </c>
      <c r="AL232" s="27"/>
      <c r="AM232" s="27"/>
    </row>
    <row r="233" customFormat="false" ht="35.05" hidden="false" customHeight="false" outlineLevel="0" collapsed="false">
      <c r="A233" s="31" t="s">
        <v>255</v>
      </c>
      <c r="B233" s="32" t="n">
        <v>232</v>
      </c>
      <c r="C233" s="26" t="n">
        <v>3</v>
      </c>
      <c r="D233" s="12" t="s">
        <v>353</v>
      </c>
      <c r="E233" s="34" t="s">
        <v>2949</v>
      </c>
      <c r="F233" s="12" t="s">
        <v>525</v>
      </c>
      <c r="G233" s="14" t="s">
        <v>593</v>
      </c>
      <c r="H233" s="12" t="s">
        <v>2950</v>
      </c>
      <c r="I233" s="12"/>
      <c r="J233" s="12" t="s">
        <v>486</v>
      </c>
      <c r="K233" s="12" t="s">
        <v>627</v>
      </c>
      <c r="L233" s="12" t="s">
        <v>2951</v>
      </c>
      <c r="M233" s="12"/>
      <c r="N233" s="12"/>
      <c r="O233" s="12" t="s">
        <v>688</v>
      </c>
      <c r="P233" s="12" t="s">
        <v>2952</v>
      </c>
      <c r="Q233" s="12" t="s">
        <v>1584</v>
      </c>
      <c r="R233" s="12" t="s">
        <v>518</v>
      </c>
      <c r="S233" s="12" t="s">
        <v>2953</v>
      </c>
      <c r="T233" s="12" t="s">
        <v>562</v>
      </c>
      <c r="U233" s="12" t="s">
        <v>494</v>
      </c>
      <c r="V233" s="12" t="s">
        <v>494</v>
      </c>
      <c r="W233" s="12"/>
      <c r="X233" s="12" t="s">
        <v>2954</v>
      </c>
      <c r="Y233" s="12" t="s">
        <v>2955</v>
      </c>
      <c r="Z233" s="12" t="s">
        <v>2956</v>
      </c>
      <c r="AA233" s="12" t="s">
        <v>2957</v>
      </c>
      <c r="AB233" s="12" t="s">
        <v>497</v>
      </c>
      <c r="AC233" s="14" t="s">
        <v>498</v>
      </c>
      <c r="AD233" s="14" t="s">
        <v>499</v>
      </c>
      <c r="AE233" s="12" t="s">
        <v>638</v>
      </c>
      <c r="AF233" s="27" t="s">
        <v>501</v>
      </c>
      <c r="AG233" s="28"/>
      <c r="AH233" s="27"/>
      <c r="AI233" s="27"/>
      <c r="AJ233" s="27"/>
      <c r="AK233" s="28" t="str">
        <f aca="false">IF(AG233="","",WORKDAY(AG233,5))</f>
        <v/>
      </c>
      <c r="AL233" s="27"/>
      <c r="AM233" s="27"/>
    </row>
    <row r="234" customFormat="false" ht="35.05" hidden="false" customHeight="false" outlineLevel="0" collapsed="false">
      <c r="A234" s="31" t="s">
        <v>255</v>
      </c>
      <c r="B234" s="32" t="n">
        <v>233</v>
      </c>
      <c r="C234" s="26" t="n">
        <v>3</v>
      </c>
      <c r="D234" s="12" t="s">
        <v>353</v>
      </c>
      <c r="E234" s="12" t="s">
        <v>2958</v>
      </c>
      <c r="F234" s="12" t="s">
        <v>525</v>
      </c>
      <c r="G234" s="14" t="s">
        <v>2959</v>
      </c>
      <c r="H234" s="12" t="s">
        <v>2960</v>
      </c>
      <c r="I234" s="12"/>
      <c r="J234" s="12" t="s">
        <v>486</v>
      </c>
      <c r="K234" s="12" t="s">
        <v>627</v>
      </c>
      <c r="L234" s="12" t="s">
        <v>2961</v>
      </c>
      <c r="M234" s="12"/>
      <c r="N234" s="12"/>
      <c r="O234" s="12" t="s">
        <v>655</v>
      </c>
      <c r="P234" s="12" t="s">
        <v>2962</v>
      </c>
      <c r="Q234" s="12" t="s">
        <v>2963</v>
      </c>
      <c r="R234" s="12" t="s">
        <v>518</v>
      </c>
      <c r="S234" s="12" t="s">
        <v>492</v>
      </c>
      <c r="T234" s="12" t="s">
        <v>562</v>
      </c>
      <c r="U234" s="12" t="s">
        <v>494</v>
      </c>
      <c r="V234" s="12" t="s">
        <v>494</v>
      </c>
      <c r="W234" s="12"/>
      <c r="X234" s="12" t="s">
        <v>2964</v>
      </c>
      <c r="Y234" s="12" t="s">
        <v>2965</v>
      </c>
      <c r="Z234" s="12"/>
      <c r="AA234" s="12" t="s">
        <v>2966</v>
      </c>
      <c r="AB234" s="12" t="s">
        <v>497</v>
      </c>
      <c r="AC234" s="14" t="s">
        <v>498</v>
      </c>
      <c r="AD234" s="14" t="s">
        <v>499</v>
      </c>
      <c r="AE234" s="12" t="s">
        <v>500</v>
      </c>
      <c r="AF234" s="27" t="s">
        <v>501</v>
      </c>
      <c r="AG234" s="28"/>
      <c r="AH234" s="27"/>
      <c r="AI234" s="27"/>
      <c r="AJ234" s="27"/>
      <c r="AK234" s="28" t="str">
        <f aca="false">IF(AG234="","",WORKDAY(AG234,5))</f>
        <v/>
      </c>
      <c r="AL234" s="27"/>
      <c r="AM234" s="27"/>
    </row>
    <row r="235" customFormat="false" ht="23.85" hidden="false" customHeight="false" outlineLevel="0" collapsed="false">
      <c r="A235" s="31" t="s">
        <v>255</v>
      </c>
      <c r="B235" s="32" t="n">
        <v>234</v>
      </c>
      <c r="C235" s="26" t="n">
        <v>3</v>
      </c>
      <c r="D235" s="12" t="s">
        <v>374</v>
      </c>
      <c r="E235" s="12" t="s">
        <v>2967</v>
      </c>
      <c r="F235" s="12" t="s">
        <v>483</v>
      </c>
      <c r="G235" s="14" t="s">
        <v>2968</v>
      </c>
      <c r="H235" s="12" t="s">
        <v>2969</v>
      </c>
      <c r="I235" s="12"/>
      <c r="J235" s="12" t="s">
        <v>486</v>
      </c>
      <c r="K235" s="12" t="s">
        <v>627</v>
      </c>
      <c r="L235" s="12" t="s">
        <v>2970</v>
      </c>
      <c r="M235" s="12"/>
      <c r="N235" s="12"/>
      <c r="O235" s="12" t="s">
        <v>2971</v>
      </c>
      <c r="P235" s="12" t="s">
        <v>2972</v>
      </c>
      <c r="Q235" s="12" t="s">
        <v>2973</v>
      </c>
      <c r="R235" s="12" t="s">
        <v>518</v>
      </c>
      <c r="S235" s="12" t="s">
        <v>1272</v>
      </c>
      <c r="T235" s="12" t="s">
        <v>562</v>
      </c>
      <c r="U235" s="12" t="s">
        <v>494</v>
      </c>
      <c r="V235" s="12" t="s">
        <v>494</v>
      </c>
      <c r="W235" s="12"/>
      <c r="X235" s="12" t="s">
        <v>2974</v>
      </c>
      <c r="Y235" s="12" t="s">
        <v>2975</v>
      </c>
      <c r="Z235" s="12"/>
      <c r="AA235" s="12" t="s">
        <v>2976</v>
      </c>
      <c r="AB235" s="12" t="s">
        <v>123</v>
      </c>
      <c r="AC235" s="14" t="s">
        <v>498</v>
      </c>
      <c r="AD235" s="14" t="s">
        <v>499</v>
      </c>
      <c r="AE235" s="12" t="s">
        <v>568</v>
      </c>
      <c r="AF235" s="27" t="s">
        <v>501</v>
      </c>
      <c r="AG235" s="28"/>
      <c r="AH235" s="27"/>
      <c r="AI235" s="27"/>
      <c r="AJ235" s="27"/>
      <c r="AK235" s="28" t="str">
        <f aca="false">IF(AG235="","",WORKDAY(AG235,5))</f>
        <v/>
      </c>
      <c r="AL235" s="27"/>
      <c r="AM235" s="27"/>
    </row>
    <row r="236" customFormat="false" ht="46.25" hidden="false" customHeight="false" outlineLevel="0" collapsed="false">
      <c r="A236" s="31" t="s">
        <v>255</v>
      </c>
      <c r="B236" s="32" t="n">
        <v>235</v>
      </c>
      <c r="C236" s="26" t="n">
        <v>3</v>
      </c>
      <c r="D236" s="12" t="s">
        <v>374</v>
      </c>
      <c r="E236" s="34" t="s">
        <v>2977</v>
      </c>
      <c r="F236" s="12" t="s">
        <v>483</v>
      </c>
      <c r="G236" s="14" t="s">
        <v>2978</v>
      </c>
      <c r="H236" s="12" t="s">
        <v>2979</v>
      </c>
      <c r="I236" s="12"/>
      <c r="J236" s="12" t="s">
        <v>486</v>
      </c>
      <c r="K236" s="12" t="s">
        <v>627</v>
      </c>
      <c r="L236" s="12" t="s">
        <v>2980</v>
      </c>
      <c r="M236" s="12"/>
      <c r="N236" s="12" t="s">
        <v>2981</v>
      </c>
      <c r="O236" s="12" t="s">
        <v>2982</v>
      </c>
      <c r="P236" s="12" t="s">
        <v>2983</v>
      </c>
      <c r="Q236" s="12" t="s">
        <v>2984</v>
      </c>
      <c r="R236" s="12" t="s">
        <v>2985</v>
      </c>
      <c r="S236" s="12" t="s">
        <v>2986</v>
      </c>
      <c r="T236" s="12" t="s">
        <v>2987</v>
      </c>
      <c r="U236" s="12" t="s">
        <v>494</v>
      </c>
      <c r="V236" s="12" t="s">
        <v>494</v>
      </c>
      <c r="W236" s="12" t="s">
        <v>2988</v>
      </c>
      <c r="X236" s="12" t="s">
        <v>2989</v>
      </c>
      <c r="Y236" s="12" t="s">
        <v>2990</v>
      </c>
      <c r="Z236" s="12" t="s">
        <v>2991</v>
      </c>
      <c r="AA236" s="12" t="s">
        <v>2992</v>
      </c>
      <c r="AB236" s="12" t="s">
        <v>130</v>
      </c>
      <c r="AC236" s="14" t="s">
        <v>498</v>
      </c>
      <c r="AD236" s="14" t="s">
        <v>499</v>
      </c>
      <c r="AE236" s="12" t="s">
        <v>638</v>
      </c>
      <c r="AF236" s="27" t="s">
        <v>501</v>
      </c>
      <c r="AG236" s="28"/>
      <c r="AH236" s="27"/>
      <c r="AI236" s="27"/>
      <c r="AJ236" s="27"/>
      <c r="AK236" s="28" t="str">
        <f aca="false">IF(AG236="","",WORKDAY(AG236,5))</f>
        <v/>
      </c>
      <c r="AL236" s="27"/>
      <c r="AM236" s="27"/>
    </row>
    <row r="237" customFormat="false" ht="23.85" hidden="false" customHeight="false" outlineLevel="0" collapsed="false">
      <c r="A237" s="31" t="s">
        <v>255</v>
      </c>
      <c r="B237" s="32" t="n">
        <v>236</v>
      </c>
      <c r="C237" s="26" t="n">
        <v>4</v>
      </c>
      <c r="D237" s="12" t="s">
        <v>374</v>
      </c>
      <c r="E237" s="34" t="s">
        <v>2993</v>
      </c>
      <c r="F237" s="12" t="s">
        <v>525</v>
      </c>
      <c r="G237" s="14" t="s">
        <v>2994</v>
      </c>
      <c r="H237" s="12" t="s">
        <v>2839</v>
      </c>
      <c r="I237" s="12"/>
      <c r="J237" s="12" t="s">
        <v>486</v>
      </c>
      <c r="K237" s="12" t="s">
        <v>627</v>
      </c>
      <c r="L237" s="12" t="s">
        <v>2995</v>
      </c>
      <c r="M237" s="12" t="s">
        <v>2996</v>
      </c>
      <c r="N237" s="12"/>
      <c r="O237" s="12" t="s">
        <v>688</v>
      </c>
      <c r="P237" s="12" t="s">
        <v>2997</v>
      </c>
      <c r="Q237" s="12" t="s">
        <v>2998</v>
      </c>
      <c r="R237" s="12" t="s">
        <v>518</v>
      </c>
      <c r="S237" s="12" t="s">
        <v>2999</v>
      </c>
      <c r="T237" s="12" t="s">
        <v>562</v>
      </c>
      <c r="U237" s="12" t="s">
        <v>494</v>
      </c>
      <c r="V237" s="12" t="s">
        <v>494</v>
      </c>
      <c r="W237" s="12" t="s">
        <v>3000</v>
      </c>
      <c r="X237" s="12" t="s">
        <v>3001</v>
      </c>
      <c r="Y237" s="12" t="s">
        <v>3002</v>
      </c>
      <c r="Z237" s="12"/>
      <c r="AA237" s="12" t="s">
        <v>3003</v>
      </c>
      <c r="AB237" s="12" t="s">
        <v>130</v>
      </c>
      <c r="AC237" s="14" t="s">
        <v>498</v>
      </c>
      <c r="AD237" s="14" t="s">
        <v>499</v>
      </c>
      <c r="AE237" s="12" t="s">
        <v>638</v>
      </c>
      <c r="AF237" s="27" t="s">
        <v>501</v>
      </c>
      <c r="AG237" s="28"/>
      <c r="AH237" s="27"/>
      <c r="AI237" s="27"/>
      <c r="AJ237" s="27"/>
      <c r="AK237" s="28" t="str">
        <f aca="false">IF(AG237="","",WORKDAY(AG237,5))</f>
        <v/>
      </c>
      <c r="AL237" s="27"/>
      <c r="AM237" s="27"/>
    </row>
    <row r="238" customFormat="false" ht="23.85" hidden="false" customHeight="false" outlineLevel="0" collapsed="false">
      <c r="A238" s="31" t="s">
        <v>255</v>
      </c>
      <c r="B238" s="32" t="n">
        <v>237</v>
      </c>
      <c r="C238" s="26" t="n">
        <v>3</v>
      </c>
      <c r="D238" s="12" t="s">
        <v>374</v>
      </c>
      <c r="E238" s="12" t="s">
        <v>3004</v>
      </c>
      <c r="F238" s="12" t="s">
        <v>525</v>
      </c>
      <c r="G238" s="14" t="s">
        <v>3005</v>
      </c>
      <c r="H238" s="12" t="s">
        <v>2792</v>
      </c>
      <c r="I238" s="12"/>
      <c r="J238" s="12" t="s">
        <v>486</v>
      </c>
      <c r="K238" s="12" t="s">
        <v>627</v>
      </c>
      <c r="L238" s="12" t="s">
        <v>3006</v>
      </c>
      <c r="M238" s="12"/>
      <c r="N238" s="12" t="s">
        <v>3007</v>
      </c>
      <c r="O238" s="12" t="s">
        <v>192</v>
      </c>
      <c r="P238" s="12" t="s">
        <v>3008</v>
      </c>
      <c r="Q238" s="12" t="s">
        <v>3009</v>
      </c>
      <c r="R238" s="12" t="s">
        <v>518</v>
      </c>
      <c r="S238" s="12" t="s">
        <v>519</v>
      </c>
      <c r="T238" s="12" t="s">
        <v>562</v>
      </c>
      <c r="U238" s="12" t="s">
        <v>494</v>
      </c>
      <c r="V238" s="12" t="s">
        <v>494</v>
      </c>
      <c r="W238" s="12"/>
      <c r="X238" s="12" t="s">
        <v>3010</v>
      </c>
      <c r="Y238" s="12" t="s">
        <v>3011</v>
      </c>
      <c r="Z238" s="12"/>
      <c r="AA238" s="12" t="s">
        <v>3012</v>
      </c>
      <c r="AB238" s="12" t="s">
        <v>123</v>
      </c>
      <c r="AC238" s="14" t="s">
        <v>498</v>
      </c>
      <c r="AD238" s="14" t="s">
        <v>499</v>
      </c>
      <c r="AE238" s="12" t="s">
        <v>500</v>
      </c>
      <c r="AF238" s="27" t="s">
        <v>501</v>
      </c>
      <c r="AG238" s="28"/>
      <c r="AH238" s="27"/>
      <c r="AI238" s="27"/>
      <c r="AJ238" s="27"/>
      <c r="AK238" s="28" t="str">
        <f aca="false">IF(AG238="","",WORKDAY(AG238,5))</f>
        <v/>
      </c>
      <c r="AL238" s="27"/>
      <c r="AM238" s="27"/>
    </row>
    <row r="239" customFormat="false" ht="23.85" hidden="false" customHeight="false" outlineLevel="0" collapsed="false">
      <c r="A239" s="31" t="s">
        <v>255</v>
      </c>
      <c r="B239" s="32" t="n">
        <v>238</v>
      </c>
      <c r="C239" s="26" t="n">
        <v>3</v>
      </c>
      <c r="D239" s="12" t="s">
        <v>374</v>
      </c>
      <c r="E239" s="12" t="s">
        <v>3013</v>
      </c>
      <c r="F239" s="12" t="s">
        <v>525</v>
      </c>
      <c r="G239" s="14" t="s">
        <v>3014</v>
      </c>
      <c r="H239" s="12" t="s">
        <v>3015</v>
      </c>
      <c r="I239" s="12"/>
      <c r="J239" s="12" t="s">
        <v>486</v>
      </c>
      <c r="K239" s="12" t="s">
        <v>627</v>
      </c>
      <c r="L239" s="12" t="s">
        <v>3016</v>
      </c>
      <c r="M239" s="12"/>
      <c r="N239" s="12"/>
      <c r="O239" s="12" t="s">
        <v>192</v>
      </c>
      <c r="P239" s="12" t="s">
        <v>3017</v>
      </c>
      <c r="Q239" s="12" t="s">
        <v>3018</v>
      </c>
      <c r="R239" s="12" t="s">
        <v>518</v>
      </c>
      <c r="S239" s="12" t="s">
        <v>519</v>
      </c>
      <c r="T239" s="12" t="s">
        <v>3019</v>
      </c>
      <c r="U239" s="12" t="s">
        <v>494</v>
      </c>
      <c r="V239" s="12" t="s">
        <v>494</v>
      </c>
      <c r="W239" s="12"/>
      <c r="X239" s="12" t="s">
        <v>3020</v>
      </c>
      <c r="Y239" s="12" t="s">
        <v>3021</v>
      </c>
      <c r="Z239" s="12"/>
      <c r="AA239" s="12" t="s">
        <v>3022</v>
      </c>
      <c r="AB239" s="12" t="s">
        <v>3023</v>
      </c>
      <c r="AC239" s="14" t="s">
        <v>498</v>
      </c>
      <c r="AD239" s="14" t="s">
        <v>499</v>
      </c>
      <c r="AE239" s="12" t="s">
        <v>602</v>
      </c>
      <c r="AF239" s="27" t="s">
        <v>501</v>
      </c>
      <c r="AG239" s="28"/>
      <c r="AH239" s="27"/>
      <c r="AI239" s="27"/>
      <c r="AJ239" s="27"/>
      <c r="AK239" s="28" t="str">
        <f aca="false">IF(AG239="","",WORKDAY(AG239,5))</f>
        <v/>
      </c>
      <c r="AL239" s="27"/>
      <c r="AM239" s="27"/>
    </row>
    <row r="240" customFormat="false" ht="23.85" hidden="false" customHeight="false" outlineLevel="0" collapsed="false">
      <c r="A240" s="31" t="s">
        <v>255</v>
      </c>
      <c r="B240" s="32" t="n">
        <v>239</v>
      </c>
      <c r="C240" s="26" t="n">
        <v>4</v>
      </c>
      <c r="D240" s="12" t="s">
        <v>380</v>
      </c>
      <c r="E240" s="34" t="s">
        <v>3024</v>
      </c>
      <c r="F240" s="12" t="s">
        <v>525</v>
      </c>
      <c r="G240" s="14" t="s">
        <v>593</v>
      </c>
      <c r="H240" s="12" t="s">
        <v>2600</v>
      </c>
      <c r="I240" s="12"/>
      <c r="J240" s="12" t="s">
        <v>486</v>
      </c>
      <c r="K240" s="12" t="s">
        <v>627</v>
      </c>
      <c r="L240" s="12" t="s">
        <v>3025</v>
      </c>
      <c r="M240" s="12" t="s">
        <v>3026</v>
      </c>
      <c r="N240" s="12" t="s">
        <v>3027</v>
      </c>
      <c r="O240" s="12" t="s">
        <v>700</v>
      </c>
      <c r="P240" s="12" t="s">
        <v>3028</v>
      </c>
      <c r="Q240" s="12" t="s">
        <v>3029</v>
      </c>
      <c r="R240" s="12" t="s">
        <v>518</v>
      </c>
      <c r="S240" s="12" t="s">
        <v>3030</v>
      </c>
      <c r="T240" s="12" t="s">
        <v>562</v>
      </c>
      <c r="U240" s="12" t="s">
        <v>494</v>
      </c>
      <c r="V240" s="12" t="s">
        <v>494</v>
      </c>
      <c r="W240" s="12"/>
      <c r="X240" s="12" t="s">
        <v>3031</v>
      </c>
      <c r="Y240" s="12" t="s">
        <v>3032</v>
      </c>
      <c r="Z240" s="12"/>
      <c r="AA240" s="12" t="s">
        <v>3033</v>
      </c>
      <c r="AB240" s="12" t="s">
        <v>204</v>
      </c>
      <c r="AC240" s="14" t="s">
        <v>498</v>
      </c>
      <c r="AD240" s="14" t="s">
        <v>499</v>
      </c>
      <c r="AE240" s="12" t="s">
        <v>638</v>
      </c>
      <c r="AF240" s="27" t="s">
        <v>501</v>
      </c>
      <c r="AG240" s="28"/>
      <c r="AH240" s="27"/>
      <c r="AI240" s="27"/>
      <c r="AJ240" s="27"/>
      <c r="AK240" s="28" t="str">
        <f aca="false">IF(AG240="","",WORKDAY(AG240,5))</f>
        <v/>
      </c>
      <c r="AL240" s="27"/>
      <c r="AM240" s="27"/>
    </row>
    <row r="241" customFormat="false" ht="35.05" hidden="false" customHeight="false" outlineLevel="0" collapsed="false">
      <c r="A241" s="31" t="s">
        <v>255</v>
      </c>
      <c r="B241" s="32" t="n">
        <v>240</v>
      </c>
      <c r="C241" s="26" t="n">
        <v>4</v>
      </c>
      <c r="D241" s="12" t="s">
        <v>380</v>
      </c>
      <c r="E241" s="34" t="s">
        <v>3034</v>
      </c>
      <c r="F241" s="12" t="s">
        <v>525</v>
      </c>
      <c r="G241" s="14" t="s">
        <v>593</v>
      </c>
      <c r="H241" s="12" t="s">
        <v>3035</v>
      </c>
      <c r="I241" s="12"/>
      <c r="J241" s="12" t="s">
        <v>486</v>
      </c>
      <c r="K241" s="12" t="s">
        <v>627</v>
      </c>
      <c r="L241" s="12" t="s">
        <v>3036</v>
      </c>
      <c r="M241" s="12" t="s">
        <v>3037</v>
      </c>
      <c r="N241" s="12" t="s">
        <v>3038</v>
      </c>
      <c r="O241" s="12" t="s">
        <v>688</v>
      </c>
      <c r="P241" s="12" t="s">
        <v>3039</v>
      </c>
      <c r="Q241" s="12" t="s">
        <v>3040</v>
      </c>
      <c r="R241" s="12" t="s">
        <v>518</v>
      </c>
      <c r="S241" s="12" t="s">
        <v>3041</v>
      </c>
      <c r="T241" s="12" t="s">
        <v>562</v>
      </c>
      <c r="U241" s="12" t="s">
        <v>494</v>
      </c>
      <c r="V241" s="12" t="s">
        <v>494</v>
      </c>
      <c r="W241" s="12" t="s">
        <v>3042</v>
      </c>
      <c r="X241" s="12" t="s">
        <v>3043</v>
      </c>
      <c r="Y241" s="12" t="s">
        <v>3044</v>
      </c>
      <c r="Z241" s="12"/>
      <c r="AA241" s="12" t="s">
        <v>3033</v>
      </c>
      <c r="AB241" s="12" t="s">
        <v>130</v>
      </c>
      <c r="AC241" s="14" t="s">
        <v>498</v>
      </c>
      <c r="AD241" s="14" t="s">
        <v>499</v>
      </c>
      <c r="AE241" s="12" t="s">
        <v>638</v>
      </c>
      <c r="AF241" s="27" t="s">
        <v>501</v>
      </c>
      <c r="AG241" s="28"/>
      <c r="AH241" s="27"/>
      <c r="AI241" s="27"/>
      <c r="AJ241" s="27"/>
      <c r="AK241" s="28" t="str">
        <f aca="false">IF(AG241="","",WORKDAY(AG241,5))</f>
        <v/>
      </c>
      <c r="AL241" s="27"/>
      <c r="AM241" s="27"/>
    </row>
    <row r="242" customFormat="false" ht="23.85" hidden="false" customHeight="false" outlineLevel="0" collapsed="false">
      <c r="A242" s="31" t="s">
        <v>255</v>
      </c>
      <c r="B242" s="32" t="n">
        <v>241</v>
      </c>
      <c r="C242" s="26" t="n">
        <v>3</v>
      </c>
      <c r="D242" s="12" t="s">
        <v>380</v>
      </c>
      <c r="E242" s="12" t="s">
        <v>3045</v>
      </c>
      <c r="F242" s="12" t="s">
        <v>525</v>
      </c>
      <c r="G242" s="14" t="s">
        <v>3046</v>
      </c>
      <c r="H242" s="12" t="s">
        <v>2526</v>
      </c>
      <c r="I242" s="12"/>
      <c r="J242" s="12" t="s">
        <v>486</v>
      </c>
      <c r="K242" s="12" t="s">
        <v>627</v>
      </c>
      <c r="L242" s="12" t="s">
        <v>3047</v>
      </c>
      <c r="M242" s="12" t="s">
        <v>3048</v>
      </c>
      <c r="N242" s="12" t="s">
        <v>3049</v>
      </c>
      <c r="O242" s="12" t="s">
        <v>3050</v>
      </c>
      <c r="P242" s="12" t="s">
        <v>3051</v>
      </c>
      <c r="Q242" s="12" t="s">
        <v>1169</v>
      </c>
      <c r="R242" s="12" t="s">
        <v>518</v>
      </c>
      <c r="S242" s="12" t="s">
        <v>519</v>
      </c>
      <c r="T242" s="12" t="s">
        <v>562</v>
      </c>
      <c r="U242" s="12" t="s">
        <v>494</v>
      </c>
      <c r="V242" s="12" t="s">
        <v>494</v>
      </c>
      <c r="W242" s="12"/>
      <c r="X242" s="12" t="s">
        <v>3052</v>
      </c>
      <c r="Y242" s="12" t="s">
        <v>3053</v>
      </c>
      <c r="Z242" s="12"/>
      <c r="AA242" s="12" t="s">
        <v>3054</v>
      </c>
      <c r="AB242" s="12" t="s">
        <v>130</v>
      </c>
      <c r="AC242" s="14" t="s">
        <v>498</v>
      </c>
      <c r="AD242" s="14" t="s">
        <v>499</v>
      </c>
      <c r="AE242" s="12" t="s">
        <v>602</v>
      </c>
      <c r="AF242" s="27" t="s">
        <v>501</v>
      </c>
      <c r="AG242" s="28"/>
      <c r="AH242" s="27"/>
      <c r="AI242" s="27"/>
      <c r="AJ242" s="27"/>
      <c r="AK242" s="28" t="str">
        <f aca="false">IF(AG242="","",WORKDAY(AG242,5))</f>
        <v/>
      </c>
      <c r="AL242" s="27"/>
      <c r="AM242" s="27"/>
    </row>
    <row r="243" customFormat="false" ht="23.85" hidden="false" customHeight="false" outlineLevel="0" collapsed="false">
      <c r="A243" s="31" t="s">
        <v>255</v>
      </c>
      <c r="B243" s="32" t="n">
        <v>242</v>
      </c>
      <c r="C243" s="26" t="n">
        <v>5</v>
      </c>
      <c r="D243" s="12" t="s">
        <v>405</v>
      </c>
      <c r="E243" s="12" t="s">
        <v>3055</v>
      </c>
      <c r="F243" s="12" t="s">
        <v>483</v>
      </c>
      <c r="G243" s="14" t="s">
        <v>3056</v>
      </c>
      <c r="H243" s="12" t="s">
        <v>3057</v>
      </c>
      <c r="I243" s="12"/>
      <c r="J243" s="12" t="s">
        <v>486</v>
      </c>
      <c r="K243" s="12" t="s">
        <v>627</v>
      </c>
      <c r="L243" s="12" t="s">
        <v>3058</v>
      </c>
      <c r="M243" s="12"/>
      <c r="N243" s="12"/>
      <c r="O243" s="12" t="s">
        <v>126</v>
      </c>
      <c r="P243" s="12" t="s">
        <v>3059</v>
      </c>
      <c r="Q243" s="12" t="s">
        <v>3060</v>
      </c>
      <c r="R243" s="12" t="s">
        <v>518</v>
      </c>
      <c r="S243" s="12" t="s">
        <v>519</v>
      </c>
      <c r="T243" s="12" t="s">
        <v>3061</v>
      </c>
      <c r="U243" s="12" t="s">
        <v>494</v>
      </c>
      <c r="V243" s="12" t="s">
        <v>494</v>
      </c>
      <c r="W243" s="12" t="s">
        <v>3062</v>
      </c>
      <c r="X243" s="12" t="s">
        <v>3063</v>
      </c>
      <c r="Y243" s="12" t="s">
        <v>3064</v>
      </c>
      <c r="Z243" s="12"/>
      <c r="AA243" s="12" t="s">
        <v>3065</v>
      </c>
      <c r="AB243" s="12" t="s">
        <v>130</v>
      </c>
      <c r="AC243" s="14" t="s">
        <v>498</v>
      </c>
      <c r="AD243" s="14" t="s">
        <v>499</v>
      </c>
      <c r="AE243" s="12" t="s">
        <v>500</v>
      </c>
      <c r="AF243" s="27" t="s">
        <v>501</v>
      </c>
      <c r="AG243" s="28"/>
      <c r="AH243" s="27"/>
      <c r="AI243" s="27"/>
      <c r="AJ243" s="27"/>
      <c r="AK243" s="28" t="str">
        <f aca="false">IF(AG243="","",WORKDAY(AG243,5))</f>
        <v/>
      </c>
      <c r="AL243" s="27"/>
      <c r="AM243" s="27"/>
    </row>
    <row r="244" customFormat="false" ht="23.85" hidden="false" customHeight="false" outlineLevel="0" collapsed="false">
      <c r="A244" s="31" t="s">
        <v>255</v>
      </c>
      <c r="B244" s="32" t="n">
        <v>243</v>
      </c>
      <c r="C244" s="26" t="n">
        <v>4</v>
      </c>
      <c r="D244" s="12" t="s">
        <v>405</v>
      </c>
      <c r="E244" s="12" t="s">
        <v>3066</v>
      </c>
      <c r="F244" s="12" t="s">
        <v>483</v>
      </c>
      <c r="G244" s="14" t="s">
        <v>3067</v>
      </c>
      <c r="H244" s="12" t="s">
        <v>2839</v>
      </c>
      <c r="I244" s="12"/>
      <c r="J244" s="12" t="s">
        <v>486</v>
      </c>
      <c r="K244" s="12" t="s">
        <v>627</v>
      </c>
      <c r="L244" s="12" t="s">
        <v>3068</v>
      </c>
      <c r="M244" s="12"/>
      <c r="N244" s="12" t="s">
        <v>3069</v>
      </c>
      <c r="O244" s="12" t="s">
        <v>126</v>
      </c>
      <c r="P244" s="12" t="s">
        <v>3070</v>
      </c>
      <c r="Q244" s="12" t="s">
        <v>3071</v>
      </c>
      <c r="R244" s="12" t="s">
        <v>518</v>
      </c>
      <c r="S244" s="12" t="s">
        <v>519</v>
      </c>
      <c r="T244" s="12" t="s">
        <v>3072</v>
      </c>
      <c r="U244" s="12" t="s">
        <v>494</v>
      </c>
      <c r="V244" s="12" t="s">
        <v>494</v>
      </c>
      <c r="W244" s="12" t="s">
        <v>3073</v>
      </c>
      <c r="X244" s="12" t="s">
        <v>3074</v>
      </c>
      <c r="Y244" s="12" t="s">
        <v>3075</v>
      </c>
      <c r="Z244" s="12"/>
      <c r="AA244" s="12" t="s">
        <v>3076</v>
      </c>
      <c r="AB244" s="12" t="s">
        <v>130</v>
      </c>
      <c r="AC244" s="14" t="s">
        <v>498</v>
      </c>
      <c r="AD244" s="14" t="s">
        <v>499</v>
      </c>
      <c r="AE244" s="12" t="s">
        <v>500</v>
      </c>
      <c r="AF244" s="27" t="s">
        <v>501</v>
      </c>
      <c r="AG244" s="28"/>
      <c r="AH244" s="27"/>
      <c r="AI244" s="27"/>
      <c r="AJ244" s="27"/>
      <c r="AK244" s="28" t="str">
        <f aca="false">IF(AG244="","",WORKDAY(AG244,5))</f>
        <v/>
      </c>
      <c r="AL244" s="27"/>
      <c r="AM244" s="27"/>
    </row>
    <row r="245" customFormat="false" ht="23.85" hidden="false" customHeight="false" outlineLevel="0" collapsed="false">
      <c r="A245" s="31" t="s">
        <v>255</v>
      </c>
      <c r="B245" s="32" t="n">
        <v>244</v>
      </c>
      <c r="C245" s="26" t="n">
        <v>3</v>
      </c>
      <c r="D245" s="12" t="s">
        <v>405</v>
      </c>
      <c r="E245" s="12" t="s">
        <v>3077</v>
      </c>
      <c r="F245" s="12" t="s">
        <v>483</v>
      </c>
      <c r="G245" s="14" t="s">
        <v>593</v>
      </c>
      <c r="H245" s="12" t="s">
        <v>3078</v>
      </c>
      <c r="I245" s="12"/>
      <c r="J245" s="12" t="s">
        <v>486</v>
      </c>
      <c r="K245" s="12" t="s">
        <v>627</v>
      </c>
      <c r="L245" s="12" t="s">
        <v>3079</v>
      </c>
      <c r="M245" s="12"/>
      <c r="N245" s="12"/>
      <c r="O245" s="12" t="s">
        <v>3080</v>
      </c>
      <c r="P245" s="12" t="s">
        <v>3081</v>
      </c>
      <c r="Q245" s="12" t="s">
        <v>3082</v>
      </c>
      <c r="R245" s="12" t="s">
        <v>518</v>
      </c>
      <c r="S245" s="12" t="s">
        <v>3083</v>
      </c>
      <c r="T245" s="12" t="s">
        <v>562</v>
      </c>
      <c r="U245" s="12" t="s">
        <v>3084</v>
      </c>
      <c r="V245" s="12" t="s">
        <v>494</v>
      </c>
      <c r="W245" s="12"/>
      <c r="X245" s="12" t="s">
        <v>3085</v>
      </c>
      <c r="Y245" s="12" t="s">
        <v>3086</v>
      </c>
      <c r="Z245" s="12" t="s">
        <v>3087</v>
      </c>
      <c r="AA245" s="12" t="s">
        <v>3088</v>
      </c>
      <c r="AB245" s="12" t="s">
        <v>3089</v>
      </c>
      <c r="AC245" s="14" t="s">
        <v>498</v>
      </c>
      <c r="AD245" s="14" t="s">
        <v>499</v>
      </c>
      <c r="AE245" s="12" t="s">
        <v>568</v>
      </c>
      <c r="AF245" s="27" t="s">
        <v>501</v>
      </c>
      <c r="AG245" s="28"/>
      <c r="AH245" s="27"/>
      <c r="AI245" s="27"/>
      <c r="AJ245" s="27"/>
      <c r="AK245" s="28" t="str">
        <f aca="false">IF(AG245="","",WORKDAY(AG245,5))</f>
        <v/>
      </c>
      <c r="AL245" s="27"/>
      <c r="AM245" s="27"/>
    </row>
    <row r="246" customFormat="false" ht="23.85" hidden="false" customHeight="false" outlineLevel="0" collapsed="false">
      <c r="A246" s="31" t="s">
        <v>255</v>
      </c>
      <c r="B246" s="32" t="n">
        <v>245</v>
      </c>
      <c r="C246" s="26" t="n">
        <v>4</v>
      </c>
      <c r="D246" s="12" t="s">
        <v>405</v>
      </c>
      <c r="E246" s="34" t="s">
        <v>3090</v>
      </c>
      <c r="F246" s="12" t="s">
        <v>525</v>
      </c>
      <c r="G246" s="14" t="s">
        <v>3091</v>
      </c>
      <c r="H246" s="12" t="s">
        <v>3092</v>
      </c>
      <c r="I246" s="12"/>
      <c r="J246" s="12" t="s">
        <v>486</v>
      </c>
      <c r="K246" s="12" t="s">
        <v>627</v>
      </c>
      <c r="L246" s="12" t="s">
        <v>3093</v>
      </c>
      <c r="M246" s="12" t="s">
        <v>3094</v>
      </c>
      <c r="N246" s="12" t="s">
        <v>3095</v>
      </c>
      <c r="O246" s="12" t="s">
        <v>3096</v>
      </c>
      <c r="P246" s="12" t="s">
        <v>3097</v>
      </c>
      <c r="Q246" s="12" t="s">
        <v>3098</v>
      </c>
      <c r="R246" s="12" t="s">
        <v>518</v>
      </c>
      <c r="S246" s="12" t="s">
        <v>3099</v>
      </c>
      <c r="T246" s="12" t="s">
        <v>562</v>
      </c>
      <c r="U246" s="12" t="s">
        <v>494</v>
      </c>
      <c r="V246" s="12" t="s">
        <v>494</v>
      </c>
      <c r="W246" s="12"/>
      <c r="X246" s="12" t="s">
        <v>3100</v>
      </c>
      <c r="Y246" s="12" t="s">
        <v>3101</v>
      </c>
      <c r="Z246" s="12" t="s">
        <v>3102</v>
      </c>
      <c r="AA246" s="12" t="s">
        <v>3103</v>
      </c>
      <c r="AB246" s="12" t="s">
        <v>204</v>
      </c>
      <c r="AC246" s="14" t="s">
        <v>498</v>
      </c>
      <c r="AD246" s="14" t="s">
        <v>499</v>
      </c>
      <c r="AE246" s="12" t="s">
        <v>638</v>
      </c>
      <c r="AF246" s="27" t="s">
        <v>501</v>
      </c>
      <c r="AG246" s="28"/>
      <c r="AH246" s="27"/>
      <c r="AI246" s="27"/>
      <c r="AJ246" s="27"/>
      <c r="AK246" s="28" t="str">
        <f aca="false">IF(AG246="","",WORKDAY(AG246,5))</f>
        <v/>
      </c>
      <c r="AL246" s="27"/>
      <c r="AM246" s="27"/>
    </row>
    <row r="247" customFormat="false" ht="35.05" hidden="false" customHeight="false" outlineLevel="0" collapsed="false">
      <c r="A247" s="31" t="s">
        <v>255</v>
      </c>
      <c r="B247" s="32" t="n">
        <v>246</v>
      </c>
      <c r="C247" s="26" t="n">
        <v>4</v>
      </c>
      <c r="D247" s="12" t="s">
        <v>405</v>
      </c>
      <c r="E247" s="34" t="s">
        <v>3104</v>
      </c>
      <c r="F247" s="12" t="s">
        <v>525</v>
      </c>
      <c r="G247" s="14" t="s">
        <v>3105</v>
      </c>
      <c r="H247" s="12" t="s">
        <v>2526</v>
      </c>
      <c r="I247" s="12"/>
      <c r="J247" s="12" t="s">
        <v>486</v>
      </c>
      <c r="K247" s="12" t="s">
        <v>627</v>
      </c>
      <c r="L247" s="12" t="s">
        <v>3106</v>
      </c>
      <c r="M247" s="12"/>
      <c r="N247" s="12" t="s">
        <v>3107</v>
      </c>
      <c r="O247" s="12" t="s">
        <v>407</v>
      </c>
      <c r="P247" s="12" t="s">
        <v>3108</v>
      </c>
      <c r="Q247" s="12" t="s">
        <v>3109</v>
      </c>
      <c r="R247" s="12" t="s">
        <v>518</v>
      </c>
      <c r="S247" s="12" t="s">
        <v>3110</v>
      </c>
      <c r="T247" s="12" t="s">
        <v>562</v>
      </c>
      <c r="U247" s="12" t="s">
        <v>494</v>
      </c>
      <c r="V247" s="12" t="s">
        <v>494</v>
      </c>
      <c r="W247" s="12"/>
      <c r="X247" s="12" t="s">
        <v>3111</v>
      </c>
      <c r="Y247" s="12" t="s">
        <v>3112</v>
      </c>
      <c r="Z247" s="12"/>
      <c r="AA247" s="12" t="s">
        <v>2568</v>
      </c>
      <c r="AB247" s="12" t="s">
        <v>204</v>
      </c>
      <c r="AC247" s="14" t="s">
        <v>498</v>
      </c>
      <c r="AD247" s="14" t="s">
        <v>499</v>
      </c>
      <c r="AE247" s="12" t="s">
        <v>638</v>
      </c>
      <c r="AF247" s="27" t="s">
        <v>501</v>
      </c>
      <c r="AG247" s="28"/>
      <c r="AH247" s="27"/>
      <c r="AI247" s="27"/>
      <c r="AJ247" s="27"/>
      <c r="AK247" s="28" t="str">
        <f aca="false">IF(AG247="","",WORKDAY(AG247,5))</f>
        <v/>
      </c>
      <c r="AL247" s="27"/>
      <c r="AM247" s="27"/>
    </row>
    <row r="248" customFormat="false" ht="23.85" hidden="false" customHeight="false" outlineLevel="0" collapsed="false">
      <c r="A248" s="31" t="s">
        <v>255</v>
      </c>
      <c r="B248" s="32" t="n">
        <v>247</v>
      </c>
      <c r="C248" s="26" t="n">
        <v>4</v>
      </c>
      <c r="D248" s="12" t="s">
        <v>405</v>
      </c>
      <c r="E248" s="12" t="s">
        <v>3113</v>
      </c>
      <c r="F248" s="12" t="s">
        <v>525</v>
      </c>
      <c r="G248" s="14" t="s">
        <v>3114</v>
      </c>
      <c r="H248" s="12" t="s">
        <v>3115</v>
      </c>
      <c r="I248" s="12"/>
      <c r="J248" s="12" t="s">
        <v>486</v>
      </c>
      <c r="K248" s="12" t="s">
        <v>627</v>
      </c>
      <c r="L248" s="12" t="s">
        <v>3116</v>
      </c>
      <c r="M248" s="12" t="s">
        <v>3117</v>
      </c>
      <c r="N248" s="12" t="s">
        <v>3118</v>
      </c>
      <c r="O248" s="12" t="s">
        <v>126</v>
      </c>
      <c r="P248" s="12" t="s">
        <v>3119</v>
      </c>
      <c r="Q248" s="12" t="s">
        <v>3120</v>
      </c>
      <c r="R248" s="12" t="s">
        <v>518</v>
      </c>
      <c r="S248" s="12" t="s">
        <v>519</v>
      </c>
      <c r="T248" s="12" t="s">
        <v>562</v>
      </c>
      <c r="U248" s="12" t="s">
        <v>494</v>
      </c>
      <c r="V248" s="12" t="s">
        <v>494</v>
      </c>
      <c r="W248" s="12" t="s">
        <v>3121</v>
      </c>
      <c r="X248" s="12" t="s">
        <v>3122</v>
      </c>
      <c r="Y248" s="12"/>
      <c r="Z248" s="12"/>
      <c r="AA248" s="12" t="s">
        <v>3123</v>
      </c>
      <c r="AB248" s="12" t="s">
        <v>130</v>
      </c>
      <c r="AC248" s="14" t="s">
        <v>498</v>
      </c>
      <c r="AD248" s="14" t="s">
        <v>499</v>
      </c>
      <c r="AE248" s="12" t="s">
        <v>500</v>
      </c>
      <c r="AF248" s="27" t="s">
        <v>501</v>
      </c>
      <c r="AG248" s="28"/>
      <c r="AH248" s="27"/>
      <c r="AI248" s="27"/>
      <c r="AJ248" s="27"/>
      <c r="AK248" s="28" t="str">
        <f aca="false">IF(AG248="","",WORKDAY(AG248,5))</f>
        <v/>
      </c>
      <c r="AL248" s="27"/>
      <c r="AM248" s="27"/>
    </row>
    <row r="249" customFormat="false" ht="35.05" hidden="false" customHeight="false" outlineLevel="0" collapsed="false">
      <c r="A249" s="31" t="s">
        <v>255</v>
      </c>
      <c r="B249" s="32" t="n">
        <v>248</v>
      </c>
      <c r="C249" s="26" t="n">
        <v>3</v>
      </c>
      <c r="D249" s="12" t="s">
        <v>405</v>
      </c>
      <c r="E249" s="34" t="s">
        <v>3124</v>
      </c>
      <c r="F249" s="12" t="s">
        <v>525</v>
      </c>
      <c r="G249" s="14" t="s">
        <v>593</v>
      </c>
      <c r="H249" s="12" t="s">
        <v>2559</v>
      </c>
      <c r="I249" s="12"/>
      <c r="J249" s="12" t="s">
        <v>486</v>
      </c>
      <c r="K249" s="12" t="s">
        <v>627</v>
      </c>
      <c r="L249" s="12" t="s">
        <v>3125</v>
      </c>
      <c r="M249" s="12" t="s">
        <v>3126</v>
      </c>
      <c r="N249" s="12" t="s">
        <v>3127</v>
      </c>
      <c r="O249" s="12" t="s">
        <v>655</v>
      </c>
      <c r="P249" s="12" t="s">
        <v>3128</v>
      </c>
      <c r="Q249" s="12" t="s">
        <v>1037</v>
      </c>
      <c r="R249" s="12" t="s">
        <v>518</v>
      </c>
      <c r="S249" s="12" t="s">
        <v>3129</v>
      </c>
      <c r="T249" s="12" t="s">
        <v>562</v>
      </c>
      <c r="U249" s="12" t="s">
        <v>494</v>
      </c>
      <c r="V249" s="12" t="s">
        <v>494</v>
      </c>
      <c r="W249" s="12"/>
      <c r="X249" s="12" t="s">
        <v>3130</v>
      </c>
      <c r="Y249" s="12" t="s">
        <v>3131</v>
      </c>
      <c r="Z249" s="12" t="s">
        <v>3132</v>
      </c>
      <c r="AA249" s="12" t="s">
        <v>3133</v>
      </c>
      <c r="AB249" s="12" t="s">
        <v>130</v>
      </c>
      <c r="AC249" s="14" t="s">
        <v>498</v>
      </c>
      <c r="AD249" s="14" t="s">
        <v>499</v>
      </c>
      <c r="AE249" s="12" t="s">
        <v>638</v>
      </c>
      <c r="AF249" s="27" t="s">
        <v>501</v>
      </c>
      <c r="AG249" s="28"/>
      <c r="AH249" s="27"/>
      <c r="AI249" s="27"/>
      <c r="AJ249" s="27"/>
      <c r="AK249" s="28" t="str">
        <f aca="false">IF(AG249="","",WORKDAY(AG249,5))</f>
        <v/>
      </c>
      <c r="AL249" s="27"/>
      <c r="AM249" s="27"/>
    </row>
    <row r="250" customFormat="false" ht="23.85" hidden="false" customHeight="false" outlineLevel="0" collapsed="false">
      <c r="A250" s="31" t="s">
        <v>255</v>
      </c>
      <c r="B250" s="32" t="n">
        <v>249</v>
      </c>
      <c r="C250" s="26" t="n">
        <v>3</v>
      </c>
      <c r="D250" s="12" t="s">
        <v>405</v>
      </c>
      <c r="E250" s="12" t="s">
        <v>3134</v>
      </c>
      <c r="F250" s="12" t="s">
        <v>525</v>
      </c>
      <c r="G250" s="14" t="s">
        <v>3135</v>
      </c>
      <c r="H250" s="12" t="s">
        <v>3136</v>
      </c>
      <c r="I250" s="12"/>
      <c r="J250" s="12" t="s">
        <v>486</v>
      </c>
      <c r="K250" s="12" t="s">
        <v>627</v>
      </c>
      <c r="L250" s="12" t="s">
        <v>3137</v>
      </c>
      <c r="M250" s="12"/>
      <c r="N250" s="12"/>
      <c r="O250" s="12" t="s">
        <v>3138</v>
      </c>
      <c r="P250" s="12" t="s">
        <v>3139</v>
      </c>
      <c r="Q250" s="12" t="s">
        <v>508</v>
      </c>
      <c r="R250" s="12" t="s">
        <v>518</v>
      </c>
      <c r="S250" s="12" t="s">
        <v>519</v>
      </c>
      <c r="T250" s="12" t="s">
        <v>3140</v>
      </c>
      <c r="U250" s="12" t="s">
        <v>494</v>
      </c>
      <c r="V250" s="12" t="s">
        <v>494</v>
      </c>
      <c r="W250" s="12" t="s">
        <v>3141</v>
      </c>
      <c r="X250" s="12" t="s">
        <v>3142</v>
      </c>
      <c r="Y250" s="12"/>
      <c r="Z250" s="12"/>
      <c r="AA250" s="12" t="s">
        <v>3143</v>
      </c>
      <c r="AB250" s="12" t="s">
        <v>130</v>
      </c>
      <c r="AC250" s="14" t="s">
        <v>498</v>
      </c>
      <c r="AD250" s="14" t="s">
        <v>499</v>
      </c>
      <c r="AE250" s="12" t="s">
        <v>568</v>
      </c>
      <c r="AF250" s="27" t="s">
        <v>501</v>
      </c>
      <c r="AG250" s="28"/>
      <c r="AH250" s="27"/>
      <c r="AI250" s="27"/>
      <c r="AJ250" s="27"/>
      <c r="AK250" s="28" t="str">
        <f aca="false">IF(AG250="","",WORKDAY(AG250,5))</f>
        <v/>
      </c>
      <c r="AL250" s="27"/>
      <c r="AM250" s="27"/>
    </row>
    <row r="251" customFormat="false" ht="23.85" hidden="false" customHeight="false" outlineLevel="0" collapsed="false">
      <c r="A251" s="31" t="s">
        <v>255</v>
      </c>
      <c r="B251" s="32" t="n">
        <v>250</v>
      </c>
      <c r="C251" s="26" t="n">
        <v>3</v>
      </c>
      <c r="D251" s="12" t="s">
        <v>405</v>
      </c>
      <c r="E251" s="34" t="s">
        <v>3144</v>
      </c>
      <c r="F251" s="12" t="s">
        <v>525</v>
      </c>
      <c r="G251" s="14" t="s">
        <v>3145</v>
      </c>
      <c r="H251" s="12" t="s">
        <v>2559</v>
      </c>
      <c r="I251" s="12"/>
      <c r="J251" s="12" t="s">
        <v>486</v>
      </c>
      <c r="K251" s="12" t="s">
        <v>627</v>
      </c>
      <c r="L251" s="12" t="s">
        <v>3146</v>
      </c>
      <c r="M251" s="12" t="s">
        <v>3147</v>
      </c>
      <c r="N251" s="12" t="s">
        <v>3148</v>
      </c>
      <c r="O251" s="12" t="s">
        <v>655</v>
      </c>
      <c r="P251" s="12" t="s">
        <v>3149</v>
      </c>
      <c r="Q251" s="12" t="s">
        <v>3150</v>
      </c>
      <c r="R251" s="12" t="s">
        <v>518</v>
      </c>
      <c r="S251" s="12" t="s">
        <v>3151</v>
      </c>
      <c r="T251" s="12" t="s">
        <v>562</v>
      </c>
      <c r="U251" s="12" t="s">
        <v>494</v>
      </c>
      <c r="V251" s="12" t="s">
        <v>494</v>
      </c>
      <c r="W251" s="12"/>
      <c r="X251" s="12" t="s">
        <v>3152</v>
      </c>
      <c r="Y251" s="12" t="s">
        <v>3153</v>
      </c>
      <c r="Z251" s="12" t="s">
        <v>3154</v>
      </c>
      <c r="AA251" s="12" t="s">
        <v>2957</v>
      </c>
      <c r="AB251" s="12" t="s">
        <v>497</v>
      </c>
      <c r="AC251" s="14" t="s">
        <v>498</v>
      </c>
      <c r="AD251" s="14" t="s">
        <v>499</v>
      </c>
      <c r="AE251" s="12" t="s">
        <v>638</v>
      </c>
      <c r="AF251" s="27" t="s">
        <v>501</v>
      </c>
      <c r="AG251" s="28"/>
      <c r="AH251" s="27"/>
      <c r="AI251" s="27"/>
      <c r="AJ251" s="27"/>
      <c r="AK251" s="28" t="str">
        <f aca="false">IF(AG251="","",WORKDAY(AG251,5))</f>
        <v/>
      </c>
      <c r="AL251" s="27"/>
      <c r="AM251" s="27"/>
    </row>
    <row r="252" customFormat="false" ht="35.05" hidden="false" customHeight="false" outlineLevel="0" collapsed="false">
      <c r="A252" s="19" t="s">
        <v>3155</v>
      </c>
      <c r="B252" s="20" t="n">
        <v>251</v>
      </c>
      <c r="C252" s="21" t="n">
        <v>4</v>
      </c>
      <c r="D252" s="8" t="s">
        <v>143</v>
      </c>
      <c r="E252" s="33" t="s">
        <v>3156</v>
      </c>
      <c r="F252" s="8" t="s">
        <v>525</v>
      </c>
      <c r="G252" s="10" t="s">
        <v>3157</v>
      </c>
      <c r="H252" s="8" t="s">
        <v>3158</v>
      </c>
      <c r="I252" s="8"/>
      <c r="J252" s="8" t="s">
        <v>486</v>
      </c>
      <c r="K252" s="8" t="s">
        <v>627</v>
      </c>
      <c r="L252" s="8" t="s">
        <v>3159</v>
      </c>
      <c r="M252" s="8"/>
      <c r="N252" s="8"/>
      <c r="O252" s="8" t="s">
        <v>688</v>
      </c>
      <c r="P252" s="8" t="s">
        <v>3160</v>
      </c>
      <c r="Q252" s="8" t="s">
        <v>3161</v>
      </c>
      <c r="R252" s="8" t="s">
        <v>491</v>
      </c>
      <c r="S252" s="8" t="s">
        <v>3162</v>
      </c>
      <c r="T252" s="8" t="s">
        <v>3163</v>
      </c>
      <c r="U252" s="8" t="s">
        <v>494</v>
      </c>
      <c r="V252" s="8" t="s">
        <v>494</v>
      </c>
      <c r="W252" s="8"/>
      <c r="X252" s="8" t="s">
        <v>3164</v>
      </c>
      <c r="Y252" s="8" t="s">
        <v>3165</v>
      </c>
      <c r="Z252" s="8"/>
      <c r="AA252" s="8" t="s">
        <v>3166</v>
      </c>
      <c r="AB252" s="8" t="s">
        <v>130</v>
      </c>
      <c r="AC252" s="10" t="s">
        <v>498</v>
      </c>
      <c r="AD252" s="10" t="s">
        <v>499</v>
      </c>
      <c r="AE252" s="8" t="s">
        <v>638</v>
      </c>
      <c r="AF252" s="22" t="s">
        <v>501</v>
      </c>
      <c r="AG252" s="23"/>
      <c r="AH252" s="22"/>
      <c r="AI252" s="22"/>
      <c r="AJ252" s="22"/>
      <c r="AK252" s="23" t="str">
        <f aca="false">IF(AG252="","",WORKDAY(AG252,5))</f>
        <v/>
      </c>
      <c r="AL252" s="22"/>
      <c r="AM252" s="22"/>
    </row>
    <row r="253" customFormat="false" ht="23.85" hidden="false" customHeight="false" outlineLevel="0" collapsed="false">
      <c r="A253" s="24" t="s">
        <v>3155</v>
      </c>
      <c r="B253" s="25" t="n">
        <v>252</v>
      </c>
      <c r="C253" s="26" t="n">
        <v>4</v>
      </c>
      <c r="D253" s="12" t="s">
        <v>307</v>
      </c>
      <c r="E253" s="34" t="s">
        <v>3167</v>
      </c>
      <c r="F253" s="12" t="s">
        <v>525</v>
      </c>
      <c r="G253" s="14" t="s">
        <v>593</v>
      </c>
      <c r="H253" s="12" t="s">
        <v>3168</v>
      </c>
      <c r="I253" s="12"/>
      <c r="J253" s="12" t="s">
        <v>486</v>
      </c>
      <c r="K253" s="12" t="s">
        <v>627</v>
      </c>
      <c r="L253" s="12" t="s">
        <v>3169</v>
      </c>
      <c r="M253" s="12" t="s">
        <v>3170</v>
      </c>
      <c r="N253" s="12"/>
      <c r="O253" s="12" t="s">
        <v>655</v>
      </c>
      <c r="P253" s="12" t="s">
        <v>3171</v>
      </c>
      <c r="Q253" s="12" t="s">
        <v>3172</v>
      </c>
      <c r="R253" s="12" t="s">
        <v>518</v>
      </c>
      <c r="S253" s="12" t="s">
        <v>3173</v>
      </c>
      <c r="T253" s="12" t="s">
        <v>562</v>
      </c>
      <c r="U253" s="12" t="s">
        <v>494</v>
      </c>
      <c r="V253" s="12" t="s">
        <v>494</v>
      </c>
      <c r="W253" s="12"/>
      <c r="X253" s="12" t="s">
        <v>3174</v>
      </c>
      <c r="Y253" s="12" t="s">
        <v>3175</v>
      </c>
      <c r="Z253" s="12"/>
      <c r="AA253" s="12" t="s">
        <v>661</v>
      </c>
      <c r="AB253" s="12" t="s">
        <v>204</v>
      </c>
      <c r="AC253" s="14" t="s">
        <v>498</v>
      </c>
      <c r="AD253" s="14" t="s">
        <v>499</v>
      </c>
      <c r="AE253" s="12" t="s">
        <v>638</v>
      </c>
      <c r="AF253" s="27" t="s">
        <v>501</v>
      </c>
      <c r="AG253" s="28"/>
      <c r="AH253" s="27"/>
      <c r="AI253" s="27"/>
      <c r="AJ253" s="27"/>
      <c r="AK253" s="28" t="str">
        <f aca="false">IF(AG253="","",WORKDAY(AG253,5))</f>
        <v/>
      </c>
      <c r="AL253" s="27"/>
      <c r="AM253" s="27"/>
    </row>
    <row r="254" customFormat="false" ht="23.85" hidden="false" customHeight="false" outlineLevel="0" collapsed="false">
      <c r="A254" s="24" t="s">
        <v>3155</v>
      </c>
      <c r="B254" s="25" t="n">
        <v>253</v>
      </c>
      <c r="C254" s="26" t="n">
        <v>4</v>
      </c>
      <c r="D254" s="12" t="s">
        <v>307</v>
      </c>
      <c r="E254" s="34" t="s">
        <v>3176</v>
      </c>
      <c r="F254" s="12" t="s">
        <v>525</v>
      </c>
      <c r="G254" s="14" t="s">
        <v>593</v>
      </c>
      <c r="H254" s="12" t="s">
        <v>3177</v>
      </c>
      <c r="I254" s="12"/>
      <c r="J254" s="12" t="s">
        <v>486</v>
      </c>
      <c r="K254" s="12" t="s">
        <v>627</v>
      </c>
      <c r="L254" s="12" t="s">
        <v>3178</v>
      </c>
      <c r="M254" s="12" t="s">
        <v>3179</v>
      </c>
      <c r="N254" s="12"/>
      <c r="O254" s="12" t="s">
        <v>3180</v>
      </c>
      <c r="P254" s="12" t="s">
        <v>3181</v>
      </c>
      <c r="Q254" s="12" t="s">
        <v>3182</v>
      </c>
      <c r="R254" s="12" t="s">
        <v>518</v>
      </c>
      <c r="S254" s="12" t="s">
        <v>3183</v>
      </c>
      <c r="T254" s="12" t="s">
        <v>562</v>
      </c>
      <c r="U254" s="12" t="s">
        <v>494</v>
      </c>
      <c r="V254" s="12" t="s">
        <v>494</v>
      </c>
      <c r="W254" s="12"/>
      <c r="X254" s="12" t="s">
        <v>3184</v>
      </c>
      <c r="Y254" s="12" t="s">
        <v>3185</v>
      </c>
      <c r="Z254" s="12"/>
      <c r="AA254" s="12" t="s">
        <v>661</v>
      </c>
      <c r="AB254" s="12" t="s">
        <v>204</v>
      </c>
      <c r="AC254" s="14" t="s">
        <v>498</v>
      </c>
      <c r="AD254" s="14" t="s">
        <v>499</v>
      </c>
      <c r="AE254" s="12" t="s">
        <v>638</v>
      </c>
      <c r="AF254" s="27" t="s">
        <v>501</v>
      </c>
      <c r="AG254" s="28"/>
      <c r="AH254" s="27"/>
      <c r="AI254" s="27"/>
      <c r="AJ254" s="27"/>
      <c r="AK254" s="28" t="str">
        <f aca="false">IF(AG254="","",WORKDAY(AG254,5))</f>
        <v/>
      </c>
      <c r="AL254" s="27"/>
      <c r="AM254" s="27"/>
    </row>
    <row r="255" customFormat="false" ht="23.85" hidden="false" customHeight="false" outlineLevel="0" collapsed="false">
      <c r="A255" s="24" t="s">
        <v>3155</v>
      </c>
      <c r="B255" s="25" t="n">
        <v>254</v>
      </c>
      <c r="C255" s="26" t="n">
        <v>4</v>
      </c>
      <c r="D255" s="12" t="s">
        <v>307</v>
      </c>
      <c r="E255" s="34" t="s">
        <v>3186</v>
      </c>
      <c r="F255" s="12" t="s">
        <v>525</v>
      </c>
      <c r="G255" s="14" t="s">
        <v>593</v>
      </c>
      <c r="H255" s="12" t="s">
        <v>3187</v>
      </c>
      <c r="I255" s="12"/>
      <c r="J255" s="12" t="s">
        <v>486</v>
      </c>
      <c r="K255" s="12" t="s">
        <v>627</v>
      </c>
      <c r="L255" s="12" t="s">
        <v>3188</v>
      </c>
      <c r="M255" s="12" t="s">
        <v>3189</v>
      </c>
      <c r="N255" s="12"/>
      <c r="O255" s="12" t="s">
        <v>655</v>
      </c>
      <c r="P255" s="12" t="s">
        <v>3190</v>
      </c>
      <c r="Q255" s="12" t="s">
        <v>3191</v>
      </c>
      <c r="R255" s="12" t="s">
        <v>3192</v>
      </c>
      <c r="S255" s="12" t="s">
        <v>3193</v>
      </c>
      <c r="T255" s="12" t="s">
        <v>562</v>
      </c>
      <c r="U255" s="12" t="s">
        <v>494</v>
      </c>
      <c r="V255" s="12" t="s">
        <v>494</v>
      </c>
      <c r="W255" s="12"/>
      <c r="X255" s="12" t="s">
        <v>3194</v>
      </c>
      <c r="Y255" s="12" t="s">
        <v>3195</v>
      </c>
      <c r="Z255" s="12"/>
      <c r="AA255" s="12" t="s">
        <v>661</v>
      </c>
      <c r="AB255" s="12" t="s">
        <v>204</v>
      </c>
      <c r="AC255" s="14" t="s">
        <v>498</v>
      </c>
      <c r="AD255" s="14" t="s">
        <v>499</v>
      </c>
      <c r="AE255" s="12" t="s">
        <v>638</v>
      </c>
      <c r="AF255" s="27" t="s">
        <v>501</v>
      </c>
      <c r="AG255" s="28"/>
      <c r="AH255" s="27"/>
      <c r="AI255" s="27"/>
      <c r="AJ255" s="27"/>
      <c r="AK255" s="28" t="str">
        <f aca="false">IF(AG255="","",WORKDAY(AG255,5))</f>
        <v/>
      </c>
      <c r="AL255" s="27"/>
      <c r="AM255" s="27"/>
    </row>
    <row r="256" customFormat="false" ht="23.85" hidden="false" customHeight="false" outlineLevel="0" collapsed="false">
      <c r="A256" s="24" t="s">
        <v>3155</v>
      </c>
      <c r="B256" s="25" t="n">
        <v>255</v>
      </c>
      <c r="C256" s="26" t="n">
        <v>3</v>
      </c>
      <c r="D256" s="12" t="s">
        <v>307</v>
      </c>
      <c r="E256" s="34" t="s">
        <v>3196</v>
      </c>
      <c r="F256" s="12" t="s">
        <v>525</v>
      </c>
      <c r="G256" s="14" t="s">
        <v>593</v>
      </c>
      <c r="H256" s="12" t="s">
        <v>3197</v>
      </c>
      <c r="I256" s="12"/>
      <c r="J256" s="12" t="s">
        <v>486</v>
      </c>
      <c r="K256" s="12" t="s">
        <v>627</v>
      </c>
      <c r="L256" s="12" t="s">
        <v>3198</v>
      </c>
      <c r="M256" s="12"/>
      <c r="N256" s="12"/>
      <c r="O256" s="12" t="s">
        <v>655</v>
      </c>
      <c r="P256" s="12" t="s">
        <v>3199</v>
      </c>
      <c r="Q256" s="12" t="s">
        <v>3200</v>
      </c>
      <c r="R256" s="12" t="s">
        <v>518</v>
      </c>
      <c r="S256" s="12" t="s">
        <v>3201</v>
      </c>
      <c r="T256" s="12" t="s">
        <v>562</v>
      </c>
      <c r="U256" s="12" t="s">
        <v>494</v>
      </c>
      <c r="V256" s="12" t="s">
        <v>494</v>
      </c>
      <c r="W256" s="12" t="s">
        <v>3202</v>
      </c>
      <c r="X256" s="12" t="s">
        <v>3203</v>
      </c>
      <c r="Y256" s="12" t="s">
        <v>3204</v>
      </c>
      <c r="Z256" s="12"/>
      <c r="AA256" s="12" t="s">
        <v>661</v>
      </c>
      <c r="AB256" s="12" t="s">
        <v>130</v>
      </c>
      <c r="AC256" s="14" t="s">
        <v>498</v>
      </c>
      <c r="AD256" s="14" t="s">
        <v>499</v>
      </c>
      <c r="AE256" s="12" t="s">
        <v>638</v>
      </c>
      <c r="AF256" s="27" t="s">
        <v>501</v>
      </c>
      <c r="AG256" s="28"/>
      <c r="AH256" s="27"/>
      <c r="AI256" s="27"/>
      <c r="AJ256" s="27"/>
      <c r="AK256" s="28" t="str">
        <f aca="false">IF(AG256="","",WORKDAY(AG256,5))</f>
        <v/>
      </c>
      <c r="AL256" s="27"/>
      <c r="AM256" s="27"/>
    </row>
    <row r="257" customFormat="false" ht="35.05" hidden="false" customHeight="false" outlineLevel="0" collapsed="false">
      <c r="A257" s="24" t="s">
        <v>3155</v>
      </c>
      <c r="B257" s="25" t="n">
        <v>256</v>
      </c>
      <c r="C257" s="26" t="n">
        <v>3</v>
      </c>
      <c r="D257" s="12" t="s">
        <v>307</v>
      </c>
      <c r="E257" s="34" t="s">
        <v>3205</v>
      </c>
      <c r="F257" s="12" t="s">
        <v>525</v>
      </c>
      <c r="G257" s="14" t="s">
        <v>3206</v>
      </c>
      <c r="H257" s="12" t="s">
        <v>3207</v>
      </c>
      <c r="I257" s="12"/>
      <c r="J257" s="12" t="s">
        <v>486</v>
      </c>
      <c r="K257" s="12" t="s">
        <v>627</v>
      </c>
      <c r="L257" s="12" t="s">
        <v>3208</v>
      </c>
      <c r="M257" s="12" t="s">
        <v>3209</v>
      </c>
      <c r="N257" s="12"/>
      <c r="O257" s="12" t="s">
        <v>655</v>
      </c>
      <c r="P257" s="12" t="s">
        <v>3210</v>
      </c>
      <c r="Q257" s="12" t="s">
        <v>819</v>
      </c>
      <c r="R257" s="12" t="s">
        <v>518</v>
      </c>
      <c r="S257" s="12" t="s">
        <v>3211</v>
      </c>
      <c r="T257" s="12" t="s">
        <v>562</v>
      </c>
      <c r="U257" s="12" t="s">
        <v>494</v>
      </c>
      <c r="V257" s="12" t="s">
        <v>494</v>
      </c>
      <c r="W257" s="12"/>
      <c r="X257" s="12" t="s">
        <v>3212</v>
      </c>
      <c r="Y257" s="12" t="s">
        <v>3213</v>
      </c>
      <c r="Z257" s="12"/>
      <c r="AA257" s="12" t="s">
        <v>661</v>
      </c>
      <c r="AB257" s="12" t="s">
        <v>204</v>
      </c>
      <c r="AC257" s="14" t="s">
        <v>498</v>
      </c>
      <c r="AD257" s="14" t="s">
        <v>499</v>
      </c>
      <c r="AE257" s="12" t="s">
        <v>638</v>
      </c>
      <c r="AF257" s="27" t="s">
        <v>501</v>
      </c>
      <c r="AG257" s="28"/>
      <c r="AH257" s="27"/>
      <c r="AI257" s="27"/>
      <c r="AJ257" s="27"/>
      <c r="AK257" s="28" t="str">
        <f aca="false">IF(AG257="","",WORKDAY(AG257,5))</f>
        <v/>
      </c>
      <c r="AL257" s="27"/>
      <c r="AM257" s="27"/>
    </row>
    <row r="258" customFormat="false" ht="35.05" hidden="false" customHeight="false" outlineLevel="0" collapsed="false">
      <c r="A258" s="24" t="s">
        <v>3155</v>
      </c>
      <c r="B258" s="25" t="n">
        <v>257</v>
      </c>
      <c r="C258" s="26" t="n">
        <v>3</v>
      </c>
      <c r="D258" s="12" t="s">
        <v>307</v>
      </c>
      <c r="E258" s="34" t="s">
        <v>3214</v>
      </c>
      <c r="F258" s="12" t="s">
        <v>525</v>
      </c>
      <c r="G258" s="14" t="s">
        <v>3215</v>
      </c>
      <c r="H258" s="12" t="s">
        <v>3216</v>
      </c>
      <c r="I258" s="12"/>
      <c r="J258" s="12" t="s">
        <v>486</v>
      </c>
      <c r="K258" s="12" t="s">
        <v>627</v>
      </c>
      <c r="L258" s="12" t="s">
        <v>3217</v>
      </c>
      <c r="M258" s="12"/>
      <c r="N258" s="12"/>
      <c r="O258" s="12" t="s">
        <v>3218</v>
      </c>
      <c r="P258" s="12" t="s">
        <v>3219</v>
      </c>
      <c r="Q258" s="12" t="s">
        <v>3220</v>
      </c>
      <c r="R258" s="12" t="s">
        <v>518</v>
      </c>
      <c r="S258" s="12" t="s">
        <v>3221</v>
      </c>
      <c r="T258" s="12" t="s">
        <v>3222</v>
      </c>
      <c r="U258" s="12" t="s">
        <v>494</v>
      </c>
      <c r="V258" s="12" t="s">
        <v>494</v>
      </c>
      <c r="W258" s="12"/>
      <c r="X258" s="12" t="s">
        <v>3223</v>
      </c>
      <c r="Y258" s="12" t="s">
        <v>3224</v>
      </c>
      <c r="Z258" s="12" t="s">
        <v>3225</v>
      </c>
      <c r="AA258" s="12" t="s">
        <v>661</v>
      </c>
      <c r="AB258" s="12" t="s">
        <v>130</v>
      </c>
      <c r="AC258" s="14" t="s">
        <v>498</v>
      </c>
      <c r="AD258" s="14" t="s">
        <v>499</v>
      </c>
      <c r="AE258" s="12" t="s">
        <v>638</v>
      </c>
      <c r="AF258" s="27" t="s">
        <v>501</v>
      </c>
      <c r="AG258" s="28"/>
      <c r="AH258" s="27"/>
      <c r="AI258" s="27"/>
      <c r="AJ258" s="27"/>
      <c r="AK258" s="28" t="str">
        <f aca="false">IF(AG258="","",WORKDAY(AG258,5))</f>
        <v/>
      </c>
      <c r="AL258" s="27"/>
      <c r="AM258" s="27"/>
    </row>
    <row r="259" customFormat="false" ht="23.85" hidden="false" customHeight="false" outlineLevel="0" collapsed="false">
      <c r="A259" s="24" t="s">
        <v>3155</v>
      </c>
      <c r="B259" s="25" t="n">
        <v>258</v>
      </c>
      <c r="C259" s="26" t="n">
        <v>3</v>
      </c>
      <c r="D259" s="12" t="s">
        <v>307</v>
      </c>
      <c r="E259" s="34" t="s">
        <v>3226</v>
      </c>
      <c r="F259" s="12" t="s">
        <v>525</v>
      </c>
      <c r="G259" s="14" t="s">
        <v>593</v>
      </c>
      <c r="H259" s="12" t="s">
        <v>3227</v>
      </c>
      <c r="I259" s="12"/>
      <c r="J259" s="12" t="s">
        <v>486</v>
      </c>
      <c r="K259" s="12" t="s">
        <v>627</v>
      </c>
      <c r="L259" s="12" t="s">
        <v>3228</v>
      </c>
      <c r="M259" s="12" t="s">
        <v>3229</v>
      </c>
      <c r="N259" s="12"/>
      <c r="O259" s="12" t="s">
        <v>655</v>
      </c>
      <c r="P259" s="12" t="s">
        <v>3230</v>
      </c>
      <c r="Q259" s="12" t="s">
        <v>3231</v>
      </c>
      <c r="R259" s="12" t="s">
        <v>518</v>
      </c>
      <c r="S259" s="12" t="s">
        <v>3232</v>
      </c>
      <c r="T259" s="12" t="s">
        <v>562</v>
      </c>
      <c r="U259" s="12" t="s">
        <v>494</v>
      </c>
      <c r="V259" s="12" t="s">
        <v>494</v>
      </c>
      <c r="W259" s="12"/>
      <c r="X259" s="12" t="s">
        <v>3233</v>
      </c>
      <c r="Y259" s="12" t="s">
        <v>3234</v>
      </c>
      <c r="Z259" s="12"/>
      <c r="AA259" s="12" t="s">
        <v>661</v>
      </c>
      <c r="AB259" s="12" t="s">
        <v>204</v>
      </c>
      <c r="AC259" s="14" t="s">
        <v>498</v>
      </c>
      <c r="AD259" s="14" t="s">
        <v>499</v>
      </c>
      <c r="AE259" s="12" t="s">
        <v>638</v>
      </c>
      <c r="AF259" s="27" t="s">
        <v>501</v>
      </c>
      <c r="AG259" s="28"/>
      <c r="AH259" s="27"/>
      <c r="AI259" s="27"/>
      <c r="AJ259" s="27"/>
      <c r="AK259" s="28" t="str">
        <f aca="false">IF(AG259="","",WORKDAY(AG259,5))</f>
        <v/>
      </c>
      <c r="AL259" s="27"/>
      <c r="AM259" s="27"/>
    </row>
    <row r="260" customFormat="false" ht="23.85" hidden="false" customHeight="false" outlineLevel="0" collapsed="false">
      <c r="A260" s="24" t="s">
        <v>3155</v>
      </c>
      <c r="B260" s="25" t="n">
        <v>259</v>
      </c>
      <c r="C260" s="26" t="n">
        <v>3</v>
      </c>
      <c r="D260" s="12" t="s">
        <v>307</v>
      </c>
      <c r="E260" s="12" t="s">
        <v>3235</v>
      </c>
      <c r="F260" s="12" t="s">
        <v>525</v>
      </c>
      <c r="G260" s="14" t="s">
        <v>3236</v>
      </c>
      <c r="H260" s="12" t="s">
        <v>3197</v>
      </c>
      <c r="I260" s="12"/>
      <c r="J260" s="12" t="s">
        <v>486</v>
      </c>
      <c r="K260" s="12" t="s">
        <v>627</v>
      </c>
      <c r="L260" s="12" t="s">
        <v>3237</v>
      </c>
      <c r="M260" s="12"/>
      <c r="N260" s="12"/>
      <c r="O260" s="12" t="s">
        <v>655</v>
      </c>
      <c r="P260" s="12" t="s">
        <v>3238</v>
      </c>
      <c r="Q260" s="12" t="s">
        <v>3200</v>
      </c>
      <c r="R260" s="12" t="s">
        <v>518</v>
      </c>
      <c r="S260" s="12" t="s">
        <v>3239</v>
      </c>
      <c r="T260" s="12" t="s">
        <v>562</v>
      </c>
      <c r="U260" s="12" t="s">
        <v>494</v>
      </c>
      <c r="V260" s="12" t="s">
        <v>494</v>
      </c>
      <c r="W260" s="12"/>
      <c r="X260" s="12" t="s">
        <v>3240</v>
      </c>
      <c r="Y260" s="12" t="s">
        <v>3241</v>
      </c>
      <c r="Z260" s="12"/>
      <c r="AA260" s="12" t="s">
        <v>3242</v>
      </c>
      <c r="AB260" s="12" t="s">
        <v>123</v>
      </c>
      <c r="AC260" s="14" t="s">
        <v>498</v>
      </c>
      <c r="AD260" s="14" t="s">
        <v>499</v>
      </c>
      <c r="AE260" s="12" t="s">
        <v>500</v>
      </c>
      <c r="AF260" s="27" t="s">
        <v>501</v>
      </c>
      <c r="AG260" s="28"/>
      <c r="AH260" s="27"/>
      <c r="AI260" s="27"/>
      <c r="AJ260" s="27"/>
      <c r="AK260" s="28" t="str">
        <f aca="false">IF(AG260="","",WORKDAY(AG260,5))</f>
        <v/>
      </c>
      <c r="AL260" s="27"/>
      <c r="AM260" s="27"/>
    </row>
    <row r="261" customFormat="false" ht="35.05" hidden="false" customHeight="false" outlineLevel="0" collapsed="false">
      <c r="A261" s="24" t="s">
        <v>3155</v>
      </c>
      <c r="B261" s="25" t="n">
        <v>260</v>
      </c>
      <c r="C261" s="26" t="n">
        <v>4</v>
      </c>
      <c r="D261" s="12" t="s">
        <v>380</v>
      </c>
      <c r="E261" s="34" t="s">
        <v>3243</v>
      </c>
      <c r="F261" s="12" t="s">
        <v>525</v>
      </c>
      <c r="G261" s="14" t="s">
        <v>593</v>
      </c>
      <c r="H261" s="12" t="s">
        <v>3244</v>
      </c>
      <c r="I261" s="12"/>
      <c r="J261" s="12" t="s">
        <v>486</v>
      </c>
      <c r="K261" s="12" t="s">
        <v>627</v>
      </c>
      <c r="L261" s="12" t="s">
        <v>3245</v>
      </c>
      <c r="M261" s="12" t="s">
        <v>3246</v>
      </c>
      <c r="N261" s="12"/>
      <c r="O261" s="12" t="s">
        <v>688</v>
      </c>
      <c r="P261" s="12" t="s">
        <v>3247</v>
      </c>
      <c r="Q261" s="12" t="s">
        <v>3248</v>
      </c>
      <c r="R261" s="12" t="s">
        <v>518</v>
      </c>
      <c r="S261" s="12" t="s">
        <v>3249</v>
      </c>
      <c r="T261" s="12" t="s">
        <v>562</v>
      </c>
      <c r="U261" s="12" t="s">
        <v>494</v>
      </c>
      <c r="V261" s="12" t="s">
        <v>494</v>
      </c>
      <c r="W261" s="12"/>
      <c r="X261" s="12" t="s">
        <v>3250</v>
      </c>
      <c r="Y261" s="12" t="s">
        <v>3251</v>
      </c>
      <c r="Z261" s="12"/>
      <c r="AA261" s="12" t="s">
        <v>3252</v>
      </c>
      <c r="AB261" s="12" t="s">
        <v>204</v>
      </c>
      <c r="AC261" s="14" t="s">
        <v>498</v>
      </c>
      <c r="AD261" s="14" t="s">
        <v>499</v>
      </c>
      <c r="AE261" s="12" t="s">
        <v>638</v>
      </c>
      <c r="AF261" s="27" t="s">
        <v>501</v>
      </c>
      <c r="AG261" s="28"/>
      <c r="AH261" s="27"/>
      <c r="AI261" s="27"/>
      <c r="AJ261" s="27"/>
      <c r="AK261" s="28" t="str">
        <f aca="false">IF(AG261="","",WORKDAY(AG261,5))</f>
        <v/>
      </c>
      <c r="AL261" s="27"/>
      <c r="AM261" s="27"/>
    </row>
    <row r="262" customFormat="false" ht="23.85" hidden="false" customHeight="false" outlineLevel="0" collapsed="false">
      <c r="A262" s="24" t="s">
        <v>3155</v>
      </c>
      <c r="B262" s="25" t="n">
        <v>261</v>
      </c>
      <c r="C262" s="26" t="n">
        <v>4</v>
      </c>
      <c r="D262" s="12" t="s">
        <v>380</v>
      </c>
      <c r="E262" s="12" t="s">
        <v>3253</v>
      </c>
      <c r="F262" s="12" t="s">
        <v>525</v>
      </c>
      <c r="G262" s="14" t="s">
        <v>593</v>
      </c>
      <c r="H262" s="12" t="s">
        <v>3254</v>
      </c>
      <c r="I262" s="12"/>
      <c r="J262" s="12" t="s">
        <v>486</v>
      </c>
      <c r="K262" s="12" t="s">
        <v>627</v>
      </c>
      <c r="L262" s="12" t="s">
        <v>3255</v>
      </c>
      <c r="M262" s="12" t="s">
        <v>3256</v>
      </c>
      <c r="N262" s="12"/>
      <c r="O262" s="12" t="s">
        <v>688</v>
      </c>
      <c r="P262" s="12" t="s">
        <v>3257</v>
      </c>
      <c r="Q262" s="12" t="s">
        <v>3258</v>
      </c>
      <c r="R262" s="12" t="s">
        <v>518</v>
      </c>
      <c r="S262" s="12" t="s">
        <v>3259</v>
      </c>
      <c r="T262" s="12" t="s">
        <v>3260</v>
      </c>
      <c r="U262" s="12" t="s">
        <v>494</v>
      </c>
      <c r="V262" s="12" t="s">
        <v>494</v>
      </c>
      <c r="W262" s="12" t="s">
        <v>3261</v>
      </c>
      <c r="X262" s="12" t="s">
        <v>3262</v>
      </c>
      <c r="Y262" s="12" t="s">
        <v>3263</v>
      </c>
      <c r="Z262" s="12"/>
      <c r="AA262" s="12" t="s">
        <v>3264</v>
      </c>
      <c r="AB262" s="12" t="s">
        <v>130</v>
      </c>
      <c r="AC262" s="14" t="s">
        <v>498</v>
      </c>
      <c r="AD262" s="14" t="s">
        <v>499</v>
      </c>
      <c r="AE262" s="12" t="s">
        <v>500</v>
      </c>
      <c r="AF262" s="27" t="s">
        <v>501</v>
      </c>
      <c r="AG262" s="28"/>
      <c r="AH262" s="27"/>
      <c r="AI262" s="27"/>
      <c r="AJ262" s="27"/>
      <c r="AK262" s="28" t="str">
        <f aca="false">IF(AG262="","",WORKDAY(AG262,5))</f>
        <v/>
      </c>
      <c r="AL262" s="27"/>
      <c r="AM262" s="27"/>
    </row>
    <row r="263" customFormat="false" ht="35.05" hidden="false" customHeight="false" outlineLevel="0" collapsed="false">
      <c r="A263" s="24" t="s">
        <v>3155</v>
      </c>
      <c r="B263" s="25" t="n">
        <v>262</v>
      </c>
      <c r="C263" s="26" t="n">
        <v>3</v>
      </c>
      <c r="D263" s="12" t="s">
        <v>405</v>
      </c>
      <c r="E263" s="12" t="s">
        <v>3265</v>
      </c>
      <c r="F263" s="12" t="s">
        <v>525</v>
      </c>
      <c r="G263" s="14" t="s">
        <v>593</v>
      </c>
      <c r="H263" s="12" t="s">
        <v>3266</v>
      </c>
      <c r="I263" s="12"/>
      <c r="J263" s="12" t="s">
        <v>486</v>
      </c>
      <c r="K263" s="12" t="s">
        <v>627</v>
      </c>
      <c r="L263" s="12" t="s">
        <v>3267</v>
      </c>
      <c r="M263" s="12"/>
      <c r="N263" s="12"/>
      <c r="O263" s="12" t="s">
        <v>126</v>
      </c>
      <c r="P263" s="12" t="s">
        <v>3268</v>
      </c>
      <c r="Q263" s="12" t="s">
        <v>3269</v>
      </c>
      <c r="R263" s="12" t="s">
        <v>518</v>
      </c>
      <c r="S263" s="12" t="s">
        <v>3270</v>
      </c>
      <c r="T263" s="12" t="s">
        <v>3271</v>
      </c>
      <c r="U263" s="12" t="s">
        <v>494</v>
      </c>
      <c r="V263" s="12" t="s">
        <v>494</v>
      </c>
      <c r="W263" s="12"/>
      <c r="X263" s="12" t="s">
        <v>3272</v>
      </c>
      <c r="Y263" s="12" t="s">
        <v>3273</v>
      </c>
      <c r="Z263" s="12"/>
      <c r="AA263" s="12" t="s">
        <v>3274</v>
      </c>
      <c r="AB263" s="12" t="s">
        <v>3275</v>
      </c>
      <c r="AC263" s="14" t="s">
        <v>498</v>
      </c>
      <c r="AD263" s="14" t="s">
        <v>499</v>
      </c>
      <c r="AE263" s="12" t="s">
        <v>500</v>
      </c>
      <c r="AF263" s="27" t="s">
        <v>501</v>
      </c>
      <c r="AG263" s="28"/>
      <c r="AH263" s="27"/>
      <c r="AI263" s="27"/>
      <c r="AJ263" s="27"/>
      <c r="AK263" s="28" t="str">
        <f aca="false">IF(AG263="","",WORKDAY(AG263,5))</f>
        <v/>
      </c>
      <c r="AL263" s="27"/>
      <c r="AM263" s="27"/>
    </row>
    <row r="264" customFormat="false" ht="35.05" hidden="false" customHeight="false" outlineLevel="0" collapsed="false">
      <c r="A264" s="29" t="s">
        <v>158</v>
      </c>
      <c r="B264" s="30" t="n">
        <v>263</v>
      </c>
      <c r="C264" s="21" t="n">
        <v>3</v>
      </c>
      <c r="D264" s="8" t="s">
        <v>143</v>
      </c>
      <c r="E264" s="8" t="s">
        <v>157</v>
      </c>
      <c r="F264" s="8" t="s">
        <v>735</v>
      </c>
      <c r="G264" s="10" t="s">
        <v>164</v>
      </c>
      <c r="H264" s="8" t="s">
        <v>3276</v>
      </c>
      <c r="I264" s="8"/>
      <c r="J264" s="8" t="s">
        <v>486</v>
      </c>
      <c r="K264" s="8" t="s">
        <v>627</v>
      </c>
      <c r="L264" s="8" t="s">
        <v>3277</v>
      </c>
      <c r="M264" s="8" t="s">
        <v>162</v>
      </c>
      <c r="N264" s="8" t="s">
        <v>163</v>
      </c>
      <c r="O264" s="8" t="s">
        <v>159</v>
      </c>
      <c r="P264" s="8" t="s">
        <v>160</v>
      </c>
      <c r="Q264" s="8" t="s">
        <v>3278</v>
      </c>
      <c r="R264" s="8" t="s">
        <v>3279</v>
      </c>
      <c r="S264" s="8" t="s">
        <v>3280</v>
      </c>
      <c r="T264" s="8" t="s">
        <v>3281</v>
      </c>
      <c r="U264" s="8" t="s">
        <v>494</v>
      </c>
      <c r="V264" s="8" t="s">
        <v>494</v>
      </c>
      <c r="W264" s="8"/>
      <c r="X264" s="8" t="s">
        <v>3282</v>
      </c>
      <c r="Y264" s="8" t="s">
        <v>161</v>
      </c>
      <c r="Z264" s="8"/>
      <c r="AA264" s="8" t="s">
        <v>3283</v>
      </c>
      <c r="AB264" s="8" t="s">
        <v>165</v>
      </c>
      <c r="AC264" s="10" t="s">
        <v>498</v>
      </c>
      <c r="AD264" s="10" t="s">
        <v>499</v>
      </c>
      <c r="AE264" s="8" t="s">
        <v>568</v>
      </c>
      <c r="AF264" s="22" t="s">
        <v>501</v>
      </c>
      <c r="AG264" s="23"/>
      <c r="AH264" s="22"/>
      <c r="AI264" s="22"/>
      <c r="AJ264" s="22"/>
      <c r="AK264" s="23" t="str">
        <f aca="false">IF(AG264="","",WORKDAY(AG264,5))</f>
        <v/>
      </c>
      <c r="AL264" s="22"/>
      <c r="AM264" s="22"/>
    </row>
    <row r="265" customFormat="false" ht="35.05" hidden="false" customHeight="false" outlineLevel="0" collapsed="false">
      <c r="A265" s="31" t="s">
        <v>158</v>
      </c>
      <c r="B265" s="32" t="n">
        <v>264</v>
      </c>
      <c r="C265" s="26" t="n">
        <v>3</v>
      </c>
      <c r="D265" s="12" t="s">
        <v>143</v>
      </c>
      <c r="E265" s="12" t="s">
        <v>3284</v>
      </c>
      <c r="F265" s="12" t="s">
        <v>525</v>
      </c>
      <c r="G265" s="14" t="s">
        <v>3285</v>
      </c>
      <c r="H265" s="12" t="s">
        <v>3286</v>
      </c>
      <c r="I265" s="12"/>
      <c r="J265" s="12" t="s">
        <v>486</v>
      </c>
      <c r="K265" s="12" t="s">
        <v>627</v>
      </c>
      <c r="L265" s="12" t="s">
        <v>3287</v>
      </c>
      <c r="M265" s="12" t="s">
        <v>3288</v>
      </c>
      <c r="N265" s="12" t="s">
        <v>3289</v>
      </c>
      <c r="O265" s="12" t="s">
        <v>126</v>
      </c>
      <c r="P265" s="12" t="s">
        <v>3290</v>
      </c>
      <c r="Q265" s="12" t="s">
        <v>3291</v>
      </c>
      <c r="R265" s="12" t="s">
        <v>518</v>
      </c>
      <c r="S265" s="12" t="s">
        <v>3292</v>
      </c>
      <c r="T265" s="12" t="s">
        <v>562</v>
      </c>
      <c r="U265" s="12" t="s">
        <v>494</v>
      </c>
      <c r="V265" s="12" t="s">
        <v>494</v>
      </c>
      <c r="W265" s="12" t="s">
        <v>3293</v>
      </c>
      <c r="X265" s="12" t="s">
        <v>3294</v>
      </c>
      <c r="Y265" s="12" t="s">
        <v>3295</v>
      </c>
      <c r="Z265" s="12" t="s">
        <v>3296</v>
      </c>
      <c r="AA265" s="12" t="s">
        <v>3297</v>
      </c>
      <c r="AB265" s="12" t="s">
        <v>130</v>
      </c>
      <c r="AC265" s="14" t="s">
        <v>498</v>
      </c>
      <c r="AD265" s="14" t="s">
        <v>499</v>
      </c>
      <c r="AE265" s="12" t="s">
        <v>500</v>
      </c>
      <c r="AF265" s="27" t="s">
        <v>501</v>
      </c>
      <c r="AG265" s="28"/>
      <c r="AH265" s="27"/>
      <c r="AI265" s="27"/>
      <c r="AJ265" s="27"/>
      <c r="AK265" s="28" t="str">
        <f aca="false">IF(AG265="","",WORKDAY(AG265,5))</f>
        <v/>
      </c>
      <c r="AL265" s="27"/>
      <c r="AM265" s="27"/>
    </row>
    <row r="266" customFormat="false" ht="35.05" hidden="false" customHeight="false" outlineLevel="0" collapsed="false">
      <c r="A266" s="31" t="s">
        <v>158</v>
      </c>
      <c r="B266" s="32" t="n">
        <v>265</v>
      </c>
      <c r="C266" s="26" t="n">
        <v>3</v>
      </c>
      <c r="D266" s="12" t="s">
        <v>281</v>
      </c>
      <c r="E266" s="34" t="s">
        <v>3298</v>
      </c>
      <c r="F266" s="12" t="s">
        <v>525</v>
      </c>
      <c r="G266" s="14" t="s">
        <v>3299</v>
      </c>
      <c r="H266" s="12" t="s">
        <v>3300</v>
      </c>
      <c r="I266" s="12"/>
      <c r="J266" s="12" t="s">
        <v>486</v>
      </c>
      <c r="K266" s="12" t="s">
        <v>627</v>
      </c>
      <c r="L266" s="12" t="s">
        <v>3301</v>
      </c>
      <c r="M266" s="12"/>
      <c r="N266" s="12"/>
      <c r="O266" s="12" t="s">
        <v>655</v>
      </c>
      <c r="P266" s="12" t="s">
        <v>3302</v>
      </c>
      <c r="Q266" s="12" t="s">
        <v>3303</v>
      </c>
      <c r="R266" s="12" t="s">
        <v>518</v>
      </c>
      <c r="S266" s="12" t="s">
        <v>3304</v>
      </c>
      <c r="T266" s="12" t="s">
        <v>562</v>
      </c>
      <c r="U266" s="12" t="s">
        <v>494</v>
      </c>
      <c r="V266" s="12" t="s">
        <v>494</v>
      </c>
      <c r="W266" s="12" t="s">
        <v>3305</v>
      </c>
      <c r="X266" s="12" t="s">
        <v>3306</v>
      </c>
      <c r="Y266" s="12" t="s">
        <v>3307</v>
      </c>
      <c r="Z266" s="12"/>
      <c r="AA266" s="12" t="s">
        <v>3308</v>
      </c>
      <c r="AB266" s="12" t="s">
        <v>130</v>
      </c>
      <c r="AC266" s="14" t="s">
        <v>498</v>
      </c>
      <c r="AD266" s="14" t="s">
        <v>499</v>
      </c>
      <c r="AE266" s="12" t="s">
        <v>638</v>
      </c>
      <c r="AF266" s="27" t="s">
        <v>501</v>
      </c>
      <c r="AG266" s="28"/>
      <c r="AH266" s="27"/>
      <c r="AI266" s="27"/>
      <c r="AJ266" s="27"/>
      <c r="AK266" s="28" t="str">
        <f aca="false">IF(AG266="","",WORKDAY(AG266,5))</f>
        <v/>
      </c>
      <c r="AL266" s="27"/>
      <c r="AM266" s="27"/>
    </row>
    <row r="267" customFormat="false" ht="35.05" hidden="false" customHeight="false" outlineLevel="0" collapsed="false">
      <c r="A267" s="19" t="s">
        <v>3309</v>
      </c>
      <c r="B267" s="20" t="n">
        <v>266</v>
      </c>
      <c r="C267" s="21" t="n">
        <v>4</v>
      </c>
      <c r="D267" s="8" t="s">
        <v>281</v>
      </c>
      <c r="E267" s="33" t="s">
        <v>3310</v>
      </c>
      <c r="F267" s="8" t="s">
        <v>525</v>
      </c>
      <c r="G267" s="10" t="s">
        <v>3311</v>
      </c>
      <c r="H267" s="8" t="s">
        <v>3312</v>
      </c>
      <c r="I267" s="8"/>
      <c r="J267" s="8" t="s">
        <v>486</v>
      </c>
      <c r="K267" s="8" t="s">
        <v>627</v>
      </c>
      <c r="L267" s="8" t="s">
        <v>3313</v>
      </c>
      <c r="M267" s="8"/>
      <c r="N267" s="8"/>
      <c r="O267" s="8" t="s">
        <v>655</v>
      </c>
      <c r="P267" s="8" t="s">
        <v>3314</v>
      </c>
      <c r="Q267" s="8" t="s">
        <v>3315</v>
      </c>
      <c r="R267" s="8" t="s">
        <v>518</v>
      </c>
      <c r="S267" s="8" t="s">
        <v>3316</v>
      </c>
      <c r="T267" s="8" t="s">
        <v>562</v>
      </c>
      <c r="U267" s="8" t="s">
        <v>494</v>
      </c>
      <c r="V267" s="8" t="s">
        <v>494</v>
      </c>
      <c r="W267" s="8"/>
      <c r="X267" s="8" t="s">
        <v>3317</v>
      </c>
      <c r="Y267" s="8" t="s">
        <v>3318</v>
      </c>
      <c r="Z267" s="8"/>
      <c r="AA267" s="8" t="s">
        <v>3319</v>
      </c>
      <c r="AB267" s="8" t="s">
        <v>3320</v>
      </c>
      <c r="AC267" s="10" t="s">
        <v>498</v>
      </c>
      <c r="AD267" s="10" t="s">
        <v>499</v>
      </c>
      <c r="AE267" s="8" t="s">
        <v>638</v>
      </c>
      <c r="AF267" s="22" t="s">
        <v>501</v>
      </c>
      <c r="AG267" s="23"/>
      <c r="AH267" s="22"/>
      <c r="AI267" s="22"/>
      <c r="AJ267" s="22"/>
      <c r="AK267" s="23" t="str">
        <f aca="false">IF(AG267="","",WORKDAY(AG267,5))</f>
        <v/>
      </c>
      <c r="AL267" s="22"/>
      <c r="AM267" s="22"/>
    </row>
    <row r="268" customFormat="false" ht="35.05" hidden="false" customHeight="false" outlineLevel="0" collapsed="false">
      <c r="A268" s="29" t="s">
        <v>3321</v>
      </c>
      <c r="B268" s="30" t="n">
        <v>267</v>
      </c>
      <c r="C268" s="21" t="n">
        <v>3</v>
      </c>
      <c r="D268" s="8" t="s">
        <v>99</v>
      </c>
      <c r="E268" s="8" t="s">
        <v>3322</v>
      </c>
      <c r="F268" s="8" t="s">
        <v>483</v>
      </c>
      <c r="G268" s="10" t="s">
        <v>3323</v>
      </c>
      <c r="H268" s="8" t="s">
        <v>3324</v>
      </c>
      <c r="I268" s="8"/>
      <c r="J268" s="8" t="s">
        <v>486</v>
      </c>
      <c r="K268" s="8" t="s">
        <v>1981</v>
      </c>
      <c r="L268" s="8"/>
      <c r="M268" s="8"/>
      <c r="N268" s="8"/>
      <c r="O268" s="8" t="s">
        <v>3325</v>
      </c>
      <c r="P268" s="8" t="s">
        <v>3326</v>
      </c>
      <c r="Q268" s="8" t="s">
        <v>3327</v>
      </c>
      <c r="R268" s="8" t="s">
        <v>3328</v>
      </c>
      <c r="S268" s="8" t="s">
        <v>3329</v>
      </c>
      <c r="T268" s="8" t="s">
        <v>3281</v>
      </c>
      <c r="U268" s="8" t="s">
        <v>494</v>
      </c>
      <c r="V268" s="8" t="s">
        <v>494</v>
      </c>
      <c r="W268" s="8"/>
      <c r="X268" s="8" t="s">
        <v>3330</v>
      </c>
      <c r="Y268" s="8" t="s">
        <v>3331</v>
      </c>
      <c r="Z268" s="8" t="s">
        <v>3332</v>
      </c>
      <c r="AA268" s="8" t="s">
        <v>3333</v>
      </c>
      <c r="AB268" s="8" t="s">
        <v>123</v>
      </c>
      <c r="AC268" s="10" t="s">
        <v>498</v>
      </c>
      <c r="AD268" s="10" t="s">
        <v>499</v>
      </c>
      <c r="AE268" s="8" t="s">
        <v>552</v>
      </c>
      <c r="AF268" s="22" t="s">
        <v>501</v>
      </c>
      <c r="AG268" s="23"/>
      <c r="AH268" s="22"/>
      <c r="AI268" s="22"/>
      <c r="AJ268" s="22"/>
      <c r="AK268" s="23" t="str">
        <f aca="false">IF(AG268="","",WORKDAY(AG268,5))</f>
        <v/>
      </c>
      <c r="AL268" s="22"/>
      <c r="AM268" s="22"/>
    </row>
    <row r="269" customFormat="false" ht="35.05" hidden="false" customHeight="false" outlineLevel="0" collapsed="false">
      <c r="A269" s="31" t="s">
        <v>3321</v>
      </c>
      <c r="B269" s="32" t="n">
        <v>268</v>
      </c>
      <c r="C269" s="26" t="n">
        <v>4</v>
      </c>
      <c r="D269" s="12" t="s">
        <v>108</v>
      </c>
      <c r="E269" s="34" t="s">
        <v>3334</v>
      </c>
      <c r="F269" s="12" t="s">
        <v>525</v>
      </c>
      <c r="G269" s="14" t="s">
        <v>593</v>
      </c>
      <c r="H269" s="12" t="s">
        <v>3335</v>
      </c>
      <c r="I269" s="12"/>
      <c r="J269" s="12" t="s">
        <v>486</v>
      </c>
      <c r="K269" s="12" t="s">
        <v>1981</v>
      </c>
      <c r="L269" s="12" t="s">
        <v>3336</v>
      </c>
      <c r="M269" s="12" t="s">
        <v>3337</v>
      </c>
      <c r="N269" s="12" t="s">
        <v>3338</v>
      </c>
      <c r="O269" s="12" t="s">
        <v>688</v>
      </c>
      <c r="P269" s="12" t="s">
        <v>3339</v>
      </c>
      <c r="Q269" s="12" t="s">
        <v>3340</v>
      </c>
      <c r="R269" s="12" t="s">
        <v>518</v>
      </c>
      <c r="S269" s="12" t="s">
        <v>3341</v>
      </c>
      <c r="T269" s="12" t="s">
        <v>562</v>
      </c>
      <c r="U269" s="12" t="s">
        <v>494</v>
      </c>
      <c r="V269" s="12" t="s">
        <v>494</v>
      </c>
      <c r="W269" s="12"/>
      <c r="X269" s="12" t="s">
        <v>3342</v>
      </c>
      <c r="Y269" s="12" t="s">
        <v>3343</v>
      </c>
      <c r="Z269" s="12"/>
      <c r="AA269" s="12" t="s">
        <v>3344</v>
      </c>
      <c r="AB269" s="12" t="s">
        <v>497</v>
      </c>
      <c r="AC269" s="14" t="s">
        <v>498</v>
      </c>
      <c r="AD269" s="14" t="s">
        <v>499</v>
      </c>
      <c r="AE269" s="12" t="s">
        <v>638</v>
      </c>
      <c r="AF269" s="27" t="s">
        <v>501</v>
      </c>
      <c r="AG269" s="28"/>
      <c r="AH269" s="27"/>
      <c r="AI269" s="27"/>
      <c r="AJ269" s="27"/>
      <c r="AK269" s="28" t="str">
        <f aca="false">IF(AG269="","",WORKDAY(AG269,5))</f>
        <v/>
      </c>
      <c r="AL269" s="27"/>
      <c r="AM269" s="27"/>
    </row>
    <row r="270" customFormat="false" ht="23.85" hidden="false" customHeight="false" outlineLevel="0" collapsed="false">
      <c r="A270" s="31" t="s">
        <v>3321</v>
      </c>
      <c r="B270" s="32" t="n">
        <v>269</v>
      </c>
      <c r="C270" s="26" t="n">
        <v>3</v>
      </c>
      <c r="D270" s="12" t="s">
        <v>108</v>
      </c>
      <c r="E270" s="34" t="s">
        <v>3345</v>
      </c>
      <c r="F270" s="12" t="s">
        <v>525</v>
      </c>
      <c r="G270" s="14" t="s">
        <v>593</v>
      </c>
      <c r="H270" s="12" t="s">
        <v>3346</v>
      </c>
      <c r="I270" s="12"/>
      <c r="J270" s="12" t="s">
        <v>486</v>
      </c>
      <c r="K270" s="12" t="s">
        <v>1981</v>
      </c>
      <c r="L270" s="12" t="s">
        <v>3347</v>
      </c>
      <c r="M270" s="12"/>
      <c r="N270" s="12" t="s">
        <v>3348</v>
      </c>
      <c r="O270" s="12" t="s">
        <v>126</v>
      </c>
      <c r="P270" s="12" t="s">
        <v>3349</v>
      </c>
      <c r="Q270" s="12" t="s">
        <v>3350</v>
      </c>
      <c r="R270" s="12" t="s">
        <v>518</v>
      </c>
      <c r="S270" s="12" t="s">
        <v>2929</v>
      </c>
      <c r="T270" s="12" t="s">
        <v>562</v>
      </c>
      <c r="U270" s="12" t="s">
        <v>494</v>
      </c>
      <c r="V270" s="12" t="s">
        <v>494</v>
      </c>
      <c r="W270" s="12"/>
      <c r="X270" s="12" t="s">
        <v>3351</v>
      </c>
      <c r="Y270" s="12" t="s">
        <v>3352</v>
      </c>
      <c r="Z270" s="12" t="s">
        <v>3353</v>
      </c>
      <c r="AA270" s="12" t="s">
        <v>3354</v>
      </c>
      <c r="AB270" s="12" t="s">
        <v>123</v>
      </c>
      <c r="AC270" s="14" t="s">
        <v>498</v>
      </c>
      <c r="AD270" s="14" t="s">
        <v>499</v>
      </c>
      <c r="AE270" s="12" t="s">
        <v>638</v>
      </c>
      <c r="AF270" s="27" t="s">
        <v>501</v>
      </c>
      <c r="AG270" s="28"/>
      <c r="AH270" s="27"/>
      <c r="AI270" s="27"/>
      <c r="AJ270" s="27"/>
      <c r="AK270" s="28" t="str">
        <f aca="false">IF(AG270="","",WORKDAY(AG270,5))</f>
        <v/>
      </c>
      <c r="AL270" s="27"/>
      <c r="AM270" s="27"/>
    </row>
    <row r="271" customFormat="false" ht="23.85" hidden="false" customHeight="false" outlineLevel="0" collapsed="false">
      <c r="A271" s="31" t="s">
        <v>3321</v>
      </c>
      <c r="B271" s="32" t="n">
        <v>270</v>
      </c>
      <c r="C271" s="26" t="n">
        <v>3</v>
      </c>
      <c r="D271" s="12" t="s">
        <v>108</v>
      </c>
      <c r="E271" s="12" t="s">
        <v>3355</v>
      </c>
      <c r="F271" s="12" t="s">
        <v>525</v>
      </c>
      <c r="G271" s="14" t="s">
        <v>3356</v>
      </c>
      <c r="H271" s="12" t="s">
        <v>3357</v>
      </c>
      <c r="I271" s="12"/>
      <c r="J271" s="12" t="s">
        <v>486</v>
      </c>
      <c r="K271" s="12" t="s">
        <v>1981</v>
      </c>
      <c r="L271" s="12" t="s">
        <v>3358</v>
      </c>
      <c r="M271" s="12" t="s">
        <v>3359</v>
      </c>
      <c r="N271" s="12"/>
      <c r="O271" s="12" t="s">
        <v>126</v>
      </c>
      <c r="P271" s="12" t="s">
        <v>3360</v>
      </c>
      <c r="Q271" s="12" t="s">
        <v>1247</v>
      </c>
      <c r="R271" s="12" t="s">
        <v>491</v>
      </c>
      <c r="S271" s="12" t="s">
        <v>3361</v>
      </c>
      <c r="T271" s="12" t="s">
        <v>3362</v>
      </c>
      <c r="U271" s="12" t="s">
        <v>494</v>
      </c>
      <c r="V271" s="12" t="s">
        <v>494</v>
      </c>
      <c r="W271" s="12"/>
      <c r="X271" s="12" t="s">
        <v>3363</v>
      </c>
      <c r="Y271" s="12"/>
      <c r="Z271" s="12"/>
      <c r="AA271" s="12" t="s">
        <v>3364</v>
      </c>
      <c r="AB271" s="12" t="s">
        <v>123</v>
      </c>
      <c r="AC271" s="14" t="s">
        <v>498</v>
      </c>
      <c r="AD271" s="14" t="s">
        <v>499</v>
      </c>
      <c r="AE271" s="12" t="s">
        <v>500</v>
      </c>
      <c r="AF271" s="27" t="s">
        <v>501</v>
      </c>
      <c r="AG271" s="28"/>
      <c r="AH271" s="27"/>
      <c r="AI271" s="27"/>
      <c r="AJ271" s="27"/>
      <c r="AK271" s="28" t="str">
        <f aca="false">IF(AG271="","",WORKDAY(AG271,5))</f>
        <v/>
      </c>
      <c r="AL271" s="27"/>
      <c r="AM271" s="27"/>
    </row>
    <row r="272" customFormat="false" ht="23.85" hidden="false" customHeight="false" outlineLevel="0" collapsed="false">
      <c r="A272" s="31" t="s">
        <v>3321</v>
      </c>
      <c r="B272" s="32" t="n">
        <v>271</v>
      </c>
      <c r="C272" s="26" t="n">
        <v>3</v>
      </c>
      <c r="D272" s="12" t="s">
        <v>108</v>
      </c>
      <c r="E272" s="12" t="s">
        <v>3365</v>
      </c>
      <c r="F272" s="12" t="s">
        <v>525</v>
      </c>
      <c r="G272" s="14" t="s">
        <v>3366</v>
      </c>
      <c r="H272" s="12" t="s">
        <v>3367</v>
      </c>
      <c r="I272" s="12"/>
      <c r="J272" s="12" t="s">
        <v>486</v>
      </c>
      <c r="K272" s="12" t="s">
        <v>1981</v>
      </c>
      <c r="L272" s="12" t="s">
        <v>3367</v>
      </c>
      <c r="M272" s="12"/>
      <c r="N272" s="12"/>
      <c r="O272" s="12" t="s">
        <v>192</v>
      </c>
      <c r="P272" s="12" t="s">
        <v>3368</v>
      </c>
      <c r="Q272" s="12" t="s">
        <v>3369</v>
      </c>
      <c r="R272" s="12" t="s">
        <v>518</v>
      </c>
      <c r="S272" s="12" t="s">
        <v>3370</v>
      </c>
      <c r="T272" s="12" t="s">
        <v>3371</v>
      </c>
      <c r="U272" s="12" t="s">
        <v>494</v>
      </c>
      <c r="V272" s="12" t="s">
        <v>494</v>
      </c>
      <c r="W272" s="12"/>
      <c r="X272" s="12" t="s">
        <v>3372</v>
      </c>
      <c r="Y272" s="12" t="s">
        <v>2574</v>
      </c>
      <c r="Z272" s="12"/>
      <c r="AA272" s="12" t="s">
        <v>3373</v>
      </c>
      <c r="AB272" s="12" t="s">
        <v>123</v>
      </c>
      <c r="AC272" s="14" t="s">
        <v>498</v>
      </c>
      <c r="AD272" s="14" t="s">
        <v>499</v>
      </c>
      <c r="AE272" s="12" t="s">
        <v>500</v>
      </c>
      <c r="AF272" s="27" t="s">
        <v>501</v>
      </c>
      <c r="AG272" s="28"/>
      <c r="AH272" s="27"/>
      <c r="AI272" s="27"/>
      <c r="AJ272" s="27"/>
      <c r="AK272" s="28" t="str">
        <f aca="false">IF(AG272="","",WORKDAY(AG272,5))</f>
        <v/>
      </c>
      <c r="AL272" s="27"/>
      <c r="AM272" s="27"/>
    </row>
    <row r="273" customFormat="false" ht="35.05" hidden="false" customHeight="false" outlineLevel="0" collapsed="false">
      <c r="A273" s="31" t="s">
        <v>3321</v>
      </c>
      <c r="B273" s="32" t="n">
        <v>272</v>
      </c>
      <c r="C273" s="26" t="n">
        <v>4</v>
      </c>
      <c r="D273" s="12" t="s">
        <v>143</v>
      </c>
      <c r="E273" s="12" t="s">
        <v>3374</v>
      </c>
      <c r="F273" s="12" t="s">
        <v>483</v>
      </c>
      <c r="G273" s="14" t="s">
        <v>3375</v>
      </c>
      <c r="H273" s="12" t="s">
        <v>3357</v>
      </c>
      <c r="I273" s="12"/>
      <c r="J273" s="12" t="s">
        <v>486</v>
      </c>
      <c r="K273" s="12" t="s">
        <v>1981</v>
      </c>
      <c r="L273" s="12" t="s">
        <v>3376</v>
      </c>
      <c r="M273" s="12" t="s">
        <v>3377</v>
      </c>
      <c r="N273" s="12" t="s">
        <v>3378</v>
      </c>
      <c r="O273" s="12" t="s">
        <v>126</v>
      </c>
      <c r="P273" s="12" t="s">
        <v>3379</v>
      </c>
      <c r="Q273" s="12" t="s">
        <v>3380</v>
      </c>
      <c r="R273" s="12" t="s">
        <v>491</v>
      </c>
      <c r="S273" s="12" t="s">
        <v>3381</v>
      </c>
      <c r="T273" s="12" t="s">
        <v>562</v>
      </c>
      <c r="U273" s="12" t="s">
        <v>494</v>
      </c>
      <c r="V273" s="12" t="s">
        <v>494</v>
      </c>
      <c r="W273" s="12"/>
      <c r="X273" s="12" t="s">
        <v>3382</v>
      </c>
      <c r="Y273" s="12" t="s">
        <v>3383</v>
      </c>
      <c r="Z273" s="12"/>
      <c r="AA273" s="12" t="s">
        <v>3384</v>
      </c>
      <c r="AB273" s="12" t="s">
        <v>3385</v>
      </c>
      <c r="AC273" s="14" t="s">
        <v>498</v>
      </c>
      <c r="AD273" s="14" t="s">
        <v>499</v>
      </c>
      <c r="AE273" s="12" t="s">
        <v>500</v>
      </c>
      <c r="AF273" s="27" t="s">
        <v>501</v>
      </c>
      <c r="AG273" s="28"/>
      <c r="AH273" s="27"/>
      <c r="AI273" s="27"/>
      <c r="AJ273" s="27"/>
      <c r="AK273" s="28" t="str">
        <f aca="false">IF(AG273="","",WORKDAY(AG273,5))</f>
        <v/>
      </c>
      <c r="AL273" s="27"/>
      <c r="AM273" s="27"/>
    </row>
    <row r="274" customFormat="false" ht="23.85" hidden="false" customHeight="false" outlineLevel="0" collapsed="false">
      <c r="A274" s="31" t="s">
        <v>3321</v>
      </c>
      <c r="B274" s="32" t="n">
        <v>273</v>
      </c>
      <c r="C274" s="26" t="n">
        <v>3</v>
      </c>
      <c r="D274" s="12" t="s">
        <v>143</v>
      </c>
      <c r="E274" s="34" t="s">
        <v>3386</v>
      </c>
      <c r="F274" s="12" t="s">
        <v>525</v>
      </c>
      <c r="G274" s="14" t="s">
        <v>593</v>
      </c>
      <c r="H274" s="12" t="s">
        <v>3387</v>
      </c>
      <c r="I274" s="12"/>
      <c r="J274" s="12" t="s">
        <v>486</v>
      </c>
      <c r="K274" s="12" t="s">
        <v>1981</v>
      </c>
      <c r="L274" s="12" t="s">
        <v>3388</v>
      </c>
      <c r="M274" s="12" t="s">
        <v>3389</v>
      </c>
      <c r="N274" s="12"/>
      <c r="O274" s="12" t="s">
        <v>126</v>
      </c>
      <c r="P274" s="12" t="s">
        <v>3390</v>
      </c>
      <c r="Q274" s="12" t="s">
        <v>3391</v>
      </c>
      <c r="R274" s="12" t="s">
        <v>491</v>
      </c>
      <c r="S274" s="12" t="s">
        <v>3392</v>
      </c>
      <c r="T274" s="12" t="s">
        <v>3393</v>
      </c>
      <c r="U274" s="12" t="s">
        <v>494</v>
      </c>
      <c r="V274" s="12" t="s">
        <v>494</v>
      </c>
      <c r="W274" s="12"/>
      <c r="X274" s="12" t="s">
        <v>3394</v>
      </c>
      <c r="Y274" s="12" t="s">
        <v>3395</v>
      </c>
      <c r="Z274" s="12" t="s">
        <v>3396</v>
      </c>
      <c r="AA274" s="12" t="s">
        <v>3397</v>
      </c>
      <c r="AB274" s="12" t="s">
        <v>3398</v>
      </c>
      <c r="AC274" s="14" t="s">
        <v>498</v>
      </c>
      <c r="AD274" s="14" t="s">
        <v>499</v>
      </c>
      <c r="AE274" s="12" t="s">
        <v>638</v>
      </c>
      <c r="AF274" s="27" t="s">
        <v>501</v>
      </c>
      <c r="AG274" s="28"/>
      <c r="AH274" s="27"/>
      <c r="AI274" s="27"/>
      <c r="AJ274" s="27"/>
      <c r="AK274" s="28" t="str">
        <f aca="false">IF(AG274="","",WORKDAY(AG274,5))</f>
        <v/>
      </c>
      <c r="AL274" s="27"/>
      <c r="AM274" s="27"/>
    </row>
    <row r="275" customFormat="false" ht="35.05" hidden="false" customHeight="false" outlineLevel="0" collapsed="false">
      <c r="A275" s="31" t="s">
        <v>3321</v>
      </c>
      <c r="B275" s="32" t="n">
        <v>274</v>
      </c>
      <c r="C275" s="26" t="n">
        <v>3</v>
      </c>
      <c r="D275" s="12" t="s">
        <v>143</v>
      </c>
      <c r="E275" s="12" t="s">
        <v>3399</v>
      </c>
      <c r="F275" s="12" t="s">
        <v>525</v>
      </c>
      <c r="G275" s="14" t="s">
        <v>3400</v>
      </c>
      <c r="H275" s="12" t="s">
        <v>3401</v>
      </c>
      <c r="I275" s="12"/>
      <c r="J275" s="12" t="s">
        <v>486</v>
      </c>
      <c r="K275" s="12" t="s">
        <v>1981</v>
      </c>
      <c r="L275" s="12" t="s">
        <v>3402</v>
      </c>
      <c r="M275" s="12" t="s">
        <v>3403</v>
      </c>
      <c r="N275" s="12"/>
      <c r="O275" s="12" t="s">
        <v>126</v>
      </c>
      <c r="P275" s="12" t="s">
        <v>3404</v>
      </c>
      <c r="Q275" s="12" t="s">
        <v>3405</v>
      </c>
      <c r="R275" s="12" t="s">
        <v>518</v>
      </c>
      <c r="S275" s="12" t="s">
        <v>492</v>
      </c>
      <c r="T275" s="12" t="s">
        <v>3406</v>
      </c>
      <c r="U275" s="12" t="s">
        <v>494</v>
      </c>
      <c r="V275" s="12" t="s">
        <v>494</v>
      </c>
      <c r="W275" s="12"/>
      <c r="X275" s="12" t="s">
        <v>3407</v>
      </c>
      <c r="Y275" s="12" t="s">
        <v>2574</v>
      </c>
      <c r="Z275" s="12"/>
      <c r="AA275" s="12" t="s">
        <v>3408</v>
      </c>
      <c r="AB275" s="12" t="s">
        <v>123</v>
      </c>
      <c r="AC275" s="14" t="s">
        <v>498</v>
      </c>
      <c r="AD275" s="14" t="s">
        <v>499</v>
      </c>
      <c r="AE275" s="12" t="s">
        <v>500</v>
      </c>
      <c r="AF275" s="27" t="s">
        <v>501</v>
      </c>
      <c r="AG275" s="28"/>
      <c r="AH275" s="27"/>
      <c r="AI275" s="27"/>
      <c r="AJ275" s="27"/>
      <c r="AK275" s="28" t="str">
        <f aca="false">IF(AG275="","",WORKDAY(AG275,5))</f>
        <v/>
      </c>
      <c r="AL275" s="27"/>
      <c r="AM275" s="27"/>
    </row>
    <row r="276" customFormat="false" ht="23.85" hidden="false" customHeight="false" outlineLevel="0" collapsed="false">
      <c r="A276" s="31" t="s">
        <v>3321</v>
      </c>
      <c r="B276" s="32" t="n">
        <v>275</v>
      </c>
      <c r="C276" s="26" t="n">
        <v>3</v>
      </c>
      <c r="D276" s="12" t="s">
        <v>143</v>
      </c>
      <c r="E276" s="12" t="s">
        <v>3409</v>
      </c>
      <c r="F276" s="12" t="s">
        <v>525</v>
      </c>
      <c r="G276" s="14" t="s">
        <v>3410</v>
      </c>
      <c r="H276" s="12" t="s">
        <v>3411</v>
      </c>
      <c r="I276" s="12"/>
      <c r="J276" s="12" t="s">
        <v>486</v>
      </c>
      <c r="K276" s="12" t="s">
        <v>1981</v>
      </c>
      <c r="L276" s="12" t="s">
        <v>3412</v>
      </c>
      <c r="M276" s="12"/>
      <c r="N276" s="12"/>
      <c r="O276" s="12" t="s">
        <v>126</v>
      </c>
      <c r="P276" s="12" t="s">
        <v>3413</v>
      </c>
      <c r="Q276" s="12" t="s">
        <v>3414</v>
      </c>
      <c r="R276" s="12" t="s">
        <v>518</v>
      </c>
      <c r="S276" s="12" t="s">
        <v>492</v>
      </c>
      <c r="T276" s="12" t="s">
        <v>3415</v>
      </c>
      <c r="U276" s="12" t="s">
        <v>494</v>
      </c>
      <c r="V276" s="12" t="s">
        <v>494</v>
      </c>
      <c r="W276" s="12"/>
      <c r="X276" s="12" t="s">
        <v>3416</v>
      </c>
      <c r="Y276" s="12" t="s">
        <v>3417</v>
      </c>
      <c r="Z276" s="12"/>
      <c r="AA276" s="12" t="s">
        <v>3418</v>
      </c>
      <c r="AB276" s="12" t="s">
        <v>3419</v>
      </c>
      <c r="AC276" s="14" t="s">
        <v>498</v>
      </c>
      <c r="AD276" s="14" t="s">
        <v>499</v>
      </c>
      <c r="AE276" s="12" t="s">
        <v>500</v>
      </c>
      <c r="AF276" s="27" t="s">
        <v>501</v>
      </c>
      <c r="AG276" s="28"/>
      <c r="AH276" s="27"/>
      <c r="AI276" s="27"/>
      <c r="AJ276" s="27"/>
      <c r="AK276" s="28" t="str">
        <f aca="false">IF(AG276="","",WORKDAY(AG276,5))</f>
        <v/>
      </c>
      <c r="AL276" s="27"/>
      <c r="AM276" s="27"/>
    </row>
    <row r="277" customFormat="false" ht="35.05" hidden="false" customHeight="false" outlineLevel="0" collapsed="false">
      <c r="A277" s="31" t="s">
        <v>3321</v>
      </c>
      <c r="B277" s="32" t="n">
        <v>276</v>
      </c>
      <c r="C277" s="26" t="n">
        <v>3</v>
      </c>
      <c r="D277" s="12" t="s">
        <v>166</v>
      </c>
      <c r="E277" s="12" t="s">
        <v>3420</v>
      </c>
      <c r="F277" s="12" t="s">
        <v>483</v>
      </c>
      <c r="G277" s="14" t="s">
        <v>3421</v>
      </c>
      <c r="H277" s="12" t="s">
        <v>3422</v>
      </c>
      <c r="I277" s="12"/>
      <c r="J277" s="12" t="s">
        <v>486</v>
      </c>
      <c r="K277" s="12" t="s">
        <v>1981</v>
      </c>
      <c r="L277" s="12" t="s">
        <v>3423</v>
      </c>
      <c r="M277" s="12" t="s">
        <v>3424</v>
      </c>
      <c r="N277" s="12"/>
      <c r="O277" s="12" t="s">
        <v>126</v>
      </c>
      <c r="P277" s="12" t="s">
        <v>3425</v>
      </c>
      <c r="Q277" s="12" t="s">
        <v>3426</v>
      </c>
      <c r="R277" s="12" t="s">
        <v>491</v>
      </c>
      <c r="S277" s="12" t="s">
        <v>3427</v>
      </c>
      <c r="T277" s="12" t="s">
        <v>3428</v>
      </c>
      <c r="U277" s="12" t="s">
        <v>494</v>
      </c>
      <c r="V277" s="12" t="s">
        <v>494</v>
      </c>
      <c r="W277" s="12"/>
      <c r="X277" s="12" t="s">
        <v>3429</v>
      </c>
      <c r="Y277" s="12"/>
      <c r="Z277" s="12"/>
      <c r="AA277" s="12" t="s">
        <v>3430</v>
      </c>
      <c r="AB277" s="12" t="s">
        <v>204</v>
      </c>
      <c r="AC277" s="14" t="s">
        <v>498</v>
      </c>
      <c r="AD277" s="14" t="s">
        <v>499</v>
      </c>
      <c r="AE277" s="12" t="s">
        <v>500</v>
      </c>
      <c r="AF277" s="27" t="s">
        <v>501</v>
      </c>
      <c r="AG277" s="28"/>
      <c r="AH277" s="27"/>
      <c r="AI277" s="27"/>
      <c r="AJ277" s="27"/>
      <c r="AK277" s="28" t="str">
        <f aca="false">IF(AG277="","",WORKDAY(AG277,5))</f>
        <v/>
      </c>
      <c r="AL277" s="27"/>
      <c r="AM277" s="27"/>
    </row>
    <row r="278" customFormat="false" ht="23.85" hidden="false" customHeight="false" outlineLevel="0" collapsed="false">
      <c r="A278" s="31" t="s">
        <v>3321</v>
      </c>
      <c r="B278" s="32" t="n">
        <v>277</v>
      </c>
      <c r="C278" s="26" t="n">
        <v>4</v>
      </c>
      <c r="D278" s="12" t="s">
        <v>166</v>
      </c>
      <c r="E278" s="12" t="s">
        <v>3431</v>
      </c>
      <c r="F278" s="12" t="s">
        <v>525</v>
      </c>
      <c r="G278" s="14" t="s">
        <v>3432</v>
      </c>
      <c r="H278" s="12" t="s">
        <v>3433</v>
      </c>
      <c r="I278" s="12"/>
      <c r="J278" s="12" t="s">
        <v>486</v>
      </c>
      <c r="K278" s="12" t="s">
        <v>1981</v>
      </c>
      <c r="L278" s="12" t="s">
        <v>3434</v>
      </c>
      <c r="M278" s="12" t="s">
        <v>3435</v>
      </c>
      <c r="N278" s="12"/>
      <c r="O278" s="12" t="s">
        <v>126</v>
      </c>
      <c r="P278" s="12" t="s">
        <v>3436</v>
      </c>
      <c r="Q278" s="12" t="s">
        <v>3437</v>
      </c>
      <c r="R278" s="12" t="s">
        <v>518</v>
      </c>
      <c r="S278" s="12" t="s">
        <v>492</v>
      </c>
      <c r="T278" s="12" t="s">
        <v>3438</v>
      </c>
      <c r="U278" s="12" t="s">
        <v>494</v>
      </c>
      <c r="V278" s="12" t="s">
        <v>494</v>
      </c>
      <c r="W278" s="12"/>
      <c r="X278" s="12" t="s">
        <v>3439</v>
      </c>
      <c r="Y278" s="12"/>
      <c r="Z278" s="12"/>
      <c r="AA278" s="12" t="s">
        <v>3440</v>
      </c>
      <c r="AB278" s="12" t="s">
        <v>123</v>
      </c>
      <c r="AC278" s="14" t="s">
        <v>498</v>
      </c>
      <c r="AD278" s="14" t="s">
        <v>499</v>
      </c>
      <c r="AE278" s="12" t="s">
        <v>500</v>
      </c>
      <c r="AF278" s="27" t="s">
        <v>501</v>
      </c>
      <c r="AG278" s="28"/>
      <c r="AH278" s="27"/>
      <c r="AI278" s="27"/>
      <c r="AJ278" s="27"/>
      <c r="AK278" s="28" t="str">
        <f aca="false">IF(AG278="","",WORKDAY(AG278,5))</f>
        <v/>
      </c>
      <c r="AL278" s="27"/>
      <c r="AM278" s="27"/>
    </row>
    <row r="279" customFormat="false" ht="23.85" hidden="false" customHeight="false" outlineLevel="0" collapsed="false">
      <c r="A279" s="31" t="s">
        <v>3321</v>
      </c>
      <c r="B279" s="32" t="n">
        <v>278</v>
      </c>
      <c r="C279" s="26" t="n">
        <v>3</v>
      </c>
      <c r="D279" s="12" t="s">
        <v>166</v>
      </c>
      <c r="E279" s="12" t="s">
        <v>3441</v>
      </c>
      <c r="F279" s="12" t="s">
        <v>525</v>
      </c>
      <c r="G279" s="14" t="s">
        <v>3442</v>
      </c>
      <c r="H279" s="12" t="s">
        <v>3443</v>
      </c>
      <c r="I279" s="12"/>
      <c r="J279" s="12" t="s">
        <v>486</v>
      </c>
      <c r="K279" s="12" t="s">
        <v>1981</v>
      </c>
      <c r="L279" s="12" t="s">
        <v>3444</v>
      </c>
      <c r="M279" s="12"/>
      <c r="N279" s="12" t="s">
        <v>3445</v>
      </c>
      <c r="O279" s="12" t="s">
        <v>126</v>
      </c>
      <c r="P279" s="12" t="s">
        <v>3446</v>
      </c>
      <c r="Q279" s="12" t="s">
        <v>3447</v>
      </c>
      <c r="R279" s="12" t="s">
        <v>518</v>
      </c>
      <c r="S279" s="12" t="s">
        <v>3448</v>
      </c>
      <c r="T279" s="12" t="s">
        <v>562</v>
      </c>
      <c r="U279" s="12" t="s">
        <v>494</v>
      </c>
      <c r="V279" s="12" t="s">
        <v>494</v>
      </c>
      <c r="W279" s="12"/>
      <c r="X279" s="12" t="s">
        <v>3449</v>
      </c>
      <c r="Y279" s="12" t="s">
        <v>3450</v>
      </c>
      <c r="Z279" s="12"/>
      <c r="AA279" s="12" t="s">
        <v>3451</v>
      </c>
      <c r="AB279" s="12" t="s">
        <v>204</v>
      </c>
      <c r="AC279" s="14" t="s">
        <v>498</v>
      </c>
      <c r="AD279" s="14" t="s">
        <v>499</v>
      </c>
      <c r="AE279" s="12" t="s">
        <v>500</v>
      </c>
      <c r="AF279" s="27" t="s">
        <v>501</v>
      </c>
      <c r="AG279" s="28"/>
      <c r="AH279" s="27"/>
      <c r="AI279" s="27"/>
      <c r="AJ279" s="27"/>
      <c r="AK279" s="28" t="str">
        <f aca="false">IF(AG279="","",WORKDAY(AG279,5))</f>
        <v/>
      </c>
      <c r="AL279" s="27"/>
      <c r="AM279" s="27"/>
    </row>
    <row r="280" customFormat="false" ht="46.25" hidden="false" customHeight="false" outlineLevel="0" collapsed="false">
      <c r="A280" s="31" t="s">
        <v>3321</v>
      </c>
      <c r="B280" s="32" t="n">
        <v>279</v>
      </c>
      <c r="C280" s="26" t="n">
        <v>3</v>
      </c>
      <c r="D280" s="12" t="s">
        <v>229</v>
      </c>
      <c r="E280" s="34" t="s">
        <v>3452</v>
      </c>
      <c r="F280" s="12" t="s">
        <v>525</v>
      </c>
      <c r="G280" s="14" t="s">
        <v>593</v>
      </c>
      <c r="H280" s="12" t="s">
        <v>3453</v>
      </c>
      <c r="I280" s="12"/>
      <c r="J280" s="12" t="s">
        <v>486</v>
      </c>
      <c r="K280" s="12" t="s">
        <v>1981</v>
      </c>
      <c r="L280" s="12" t="s">
        <v>3454</v>
      </c>
      <c r="M280" s="12"/>
      <c r="N280" s="12"/>
      <c r="O280" s="12" t="s">
        <v>3455</v>
      </c>
      <c r="P280" s="12" t="s">
        <v>3456</v>
      </c>
      <c r="Q280" s="12" t="s">
        <v>3457</v>
      </c>
      <c r="R280" s="12" t="s">
        <v>518</v>
      </c>
      <c r="S280" s="12" t="s">
        <v>3458</v>
      </c>
      <c r="T280" s="12" t="s">
        <v>562</v>
      </c>
      <c r="U280" s="12" t="s">
        <v>494</v>
      </c>
      <c r="V280" s="12" t="s">
        <v>494</v>
      </c>
      <c r="W280" s="12"/>
      <c r="X280" s="12" t="s">
        <v>3459</v>
      </c>
      <c r="Y280" s="12" t="s">
        <v>3460</v>
      </c>
      <c r="Z280" s="12" t="s">
        <v>3461</v>
      </c>
      <c r="AA280" s="12" t="s">
        <v>3462</v>
      </c>
      <c r="AB280" s="12" t="s">
        <v>3463</v>
      </c>
      <c r="AC280" s="14" t="s">
        <v>498</v>
      </c>
      <c r="AD280" s="14" t="s">
        <v>499</v>
      </c>
      <c r="AE280" s="12" t="s">
        <v>638</v>
      </c>
      <c r="AF280" s="27" t="s">
        <v>501</v>
      </c>
      <c r="AG280" s="28"/>
      <c r="AH280" s="27"/>
      <c r="AI280" s="27"/>
      <c r="AJ280" s="27"/>
      <c r="AK280" s="28" t="str">
        <f aca="false">IF(AG280="","",WORKDAY(AG280,5))</f>
        <v/>
      </c>
      <c r="AL280" s="27"/>
      <c r="AM280" s="27"/>
    </row>
    <row r="281" customFormat="false" ht="23.85" hidden="false" customHeight="false" outlineLevel="0" collapsed="false">
      <c r="A281" s="31" t="s">
        <v>3321</v>
      </c>
      <c r="B281" s="32" t="n">
        <v>280</v>
      </c>
      <c r="C281" s="26" t="n">
        <v>3</v>
      </c>
      <c r="D281" s="12" t="s">
        <v>281</v>
      </c>
      <c r="E281" s="34" t="s">
        <v>3464</v>
      </c>
      <c r="F281" s="12" t="s">
        <v>525</v>
      </c>
      <c r="G281" s="14" t="s">
        <v>593</v>
      </c>
      <c r="H281" s="12" t="s">
        <v>3465</v>
      </c>
      <c r="I281" s="12"/>
      <c r="J281" s="12" t="s">
        <v>486</v>
      </c>
      <c r="K281" s="12" t="s">
        <v>1981</v>
      </c>
      <c r="L281" s="12" t="s">
        <v>3466</v>
      </c>
      <c r="M281" s="12"/>
      <c r="N281" s="12" t="s">
        <v>3467</v>
      </c>
      <c r="O281" s="12" t="s">
        <v>688</v>
      </c>
      <c r="P281" s="12" t="s">
        <v>3468</v>
      </c>
      <c r="Q281" s="12" t="s">
        <v>3469</v>
      </c>
      <c r="R281" s="12" t="s">
        <v>518</v>
      </c>
      <c r="S281" s="12" t="s">
        <v>3470</v>
      </c>
      <c r="T281" s="12" t="s">
        <v>562</v>
      </c>
      <c r="U281" s="12" t="s">
        <v>494</v>
      </c>
      <c r="V281" s="12" t="s">
        <v>494</v>
      </c>
      <c r="W281" s="12"/>
      <c r="X281" s="12" t="s">
        <v>3471</v>
      </c>
      <c r="Y281" s="12" t="s">
        <v>3472</v>
      </c>
      <c r="Z281" s="12" t="s">
        <v>3473</v>
      </c>
      <c r="AA281" s="12" t="s">
        <v>3474</v>
      </c>
      <c r="AB281" s="12" t="s">
        <v>130</v>
      </c>
      <c r="AC281" s="14" t="s">
        <v>498</v>
      </c>
      <c r="AD281" s="14" t="s">
        <v>499</v>
      </c>
      <c r="AE281" s="12" t="s">
        <v>638</v>
      </c>
      <c r="AF281" s="27" t="s">
        <v>501</v>
      </c>
      <c r="AG281" s="28"/>
      <c r="AH281" s="27"/>
      <c r="AI281" s="27"/>
      <c r="AJ281" s="27"/>
      <c r="AK281" s="28" t="str">
        <f aca="false">IF(AG281="","",WORKDAY(AG281,5))</f>
        <v/>
      </c>
      <c r="AL281" s="27"/>
      <c r="AM281" s="27"/>
    </row>
    <row r="282" customFormat="false" ht="23.85" hidden="false" customHeight="false" outlineLevel="0" collapsed="false">
      <c r="A282" s="31" t="s">
        <v>3321</v>
      </c>
      <c r="B282" s="32" t="n">
        <v>281</v>
      </c>
      <c r="C282" s="26" t="n">
        <v>4</v>
      </c>
      <c r="D282" s="12" t="s">
        <v>307</v>
      </c>
      <c r="E282" s="12" t="s">
        <v>3475</v>
      </c>
      <c r="F282" s="12" t="s">
        <v>483</v>
      </c>
      <c r="G282" s="14" t="s">
        <v>3476</v>
      </c>
      <c r="H282" s="12" t="s">
        <v>3477</v>
      </c>
      <c r="I282" s="12"/>
      <c r="J282" s="12" t="s">
        <v>486</v>
      </c>
      <c r="K282" s="12" t="s">
        <v>1981</v>
      </c>
      <c r="L282" s="12" t="s">
        <v>3478</v>
      </c>
      <c r="M282" s="12"/>
      <c r="N282" s="12" t="s">
        <v>3479</v>
      </c>
      <c r="O282" s="12" t="s">
        <v>192</v>
      </c>
      <c r="P282" s="12" t="s">
        <v>3480</v>
      </c>
      <c r="Q282" s="12" t="s">
        <v>784</v>
      </c>
      <c r="R282" s="12" t="s">
        <v>518</v>
      </c>
      <c r="S282" s="12" t="s">
        <v>519</v>
      </c>
      <c r="T282" s="12" t="s">
        <v>3481</v>
      </c>
      <c r="U282" s="12" t="s">
        <v>494</v>
      </c>
      <c r="V282" s="12" t="s">
        <v>494</v>
      </c>
      <c r="W282" s="12"/>
      <c r="X282" s="12" t="s">
        <v>3482</v>
      </c>
      <c r="Y282" s="12" t="s">
        <v>3483</v>
      </c>
      <c r="Z282" s="12"/>
      <c r="AA282" s="12" t="s">
        <v>3484</v>
      </c>
      <c r="AB282" s="12" t="s">
        <v>497</v>
      </c>
      <c r="AC282" s="14" t="s">
        <v>498</v>
      </c>
      <c r="AD282" s="14" t="s">
        <v>499</v>
      </c>
      <c r="AE282" s="12" t="s">
        <v>500</v>
      </c>
      <c r="AF282" s="27" t="s">
        <v>501</v>
      </c>
      <c r="AG282" s="28"/>
      <c r="AH282" s="27"/>
      <c r="AI282" s="27"/>
      <c r="AJ282" s="27"/>
      <c r="AK282" s="28" t="str">
        <f aca="false">IF(AG282="","",WORKDAY(AG282,5))</f>
        <v/>
      </c>
      <c r="AL282" s="27"/>
      <c r="AM282" s="27"/>
    </row>
    <row r="283" customFormat="false" ht="23.85" hidden="false" customHeight="false" outlineLevel="0" collapsed="false">
      <c r="A283" s="31" t="s">
        <v>3321</v>
      </c>
      <c r="B283" s="32" t="n">
        <v>282</v>
      </c>
      <c r="C283" s="26" t="n">
        <v>3</v>
      </c>
      <c r="D283" s="12" t="s">
        <v>307</v>
      </c>
      <c r="E283" s="12" t="s">
        <v>3485</v>
      </c>
      <c r="F283" s="12" t="s">
        <v>483</v>
      </c>
      <c r="G283" s="14" t="s">
        <v>3486</v>
      </c>
      <c r="H283" s="12" t="s">
        <v>3487</v>
      </c>
      <c r="I283" s="12"/>
      <c r="J283" s="12" t="s">
        <v>486</v>
      </c>
      <c r="K283" s="12" t="s">
        <v>1981</v>
      </c>
      <c r="L283" s="12" t="s">
        <v>3488</v>
      </c>
      <c r="M283" s="12"/>
      <c r="N283" s="12"/>
      <c r="O283" s="12" t="s">
        <v>192</v>
      </c>
      <c r="P283" s="12" t="s">
        <v>3489</v>
      </c>
      <c r="Q283" s="12" t="s">
        <v>1498</v>
      </c>
      <c r="R283" s="12" t="s">
        <v>491</v>
      </c>
      <c r="S283" s="12" t="s">
        <v>3490</v>
      </c>
      <c r="T283" s="12" t="s">
        <v>562</v>
      </c>
      <c r="U283" s="12" t="s">
        <v>494</v>
      </c>
      <c r="V283" s="12" t="s">
        <v>494</v>
      </c>
      <c r="W283" s="12"/>
      <c r="X283" s="12" t="s">
        <v>3491</v>
      </c>
      <c r="Y283" s="12" t="s">
        <v>3492</v>
      </c>
      <c r="Z283" s="12" t="s">
        <v>3493</v>
      </c>
      <c r="AA283" s="12" t="s">
        <v>3494</v>
      </c>
      <c r="AB283" s="12" t="s">
        <v>130</v>
      </c>
      <c r="AC283" s="14" t="s">
        <v>498</v>
      </c>
      <c r="AD283" s="14" t="s">
        <v>499</v>
      </c>
      <c r="AE283" s="12" t="s">
        <v>500</v>
      </c>
      <c r="AF283" s="27" t="s">
        <v>501</v>
      </c>
      <c r="AG283" s="28"/>
      <c r="AH283" s="27"/>
      <c r="AI283" s="27"/>
      <c r="AJ283" s="27"/>
      <c r="AK283" s="28" t="str">
        <f aca="false">IF(AG283="","",WORKDAY(AG283,5))</f>
        <v/>
      </c>
      <c r="AL283" s="27"/>
      <c r="AM283" s="27"/>
    </row>
    <row r="284" customFormat="false" ht="35.05" hidden="false" customHeight="false" outlineLevel="0" collapsed="false">
      <c r="A284" s="31" t="s">
        <v>3321</v>
      </c>
      <c r="B284" s="32" t="n">
        <v>283</v>
      </c>
      <c r="C284" s="26" t="n">
        <v>4</v>
      </c>
      <c r="D284" s="12" t="s">
        <v>307</v>
      </c>
      <c r="E284" s="34" t="s">
        <v>3495</v>
      </c>
      <c r="F284" s="12" t="s">
        <v>525</v>
      </c>
      <c r="G284" s="14" t="s">
        <v>3496</v>
      </c>
      <c r="H284" s="12" t="s">
        <v>3497</v>
      </c>
      <c r="I284" s="12"/>
      <c r="J284" s="12" t="s">
        <v>486</v>
      </c>
      <c r="K284" s="12" t="s">
        <v>1981</v>
      </c>
      <c r="L284" s="12" t="s">
        <v>3498</v>
      </c>
      <c r="M284" s="12" t="s">
        <v>3499</v>
      </c>
      <c r="N284" s="12"/>
      <c r="O284" s="12" t="s">
        <v>688</v>
      </c>
      <c r="P284" s="12" t="s">
        <v>3500</v>
      </c>
      <c r="Q284" s="12" t="s">
        <v>3501</v>
      </c>
      <c r="R284" s="12" t="s">
        <v>518</v>
      </c>
      <c r="S284" s="12" t="s">
        <v>3502</v>
      </c>
      <c r="T284" s="12" t="s">
        <v>562</v>
      </c>
      <c r="U284" s="12" t="s">
        <v>494</v>
      </c>
      <c r="V284" s="12" t="s">
        <v>494</v>
      </c>
      <c r="W284" s="12"/>
      <c r="X284" s="12" t="s">
        <v>3503</v>
      </c>
      <c r="Y284" s="12" t="s">
        <v>3504</v>
      </c>
      <c r="Z284" s="12"/>
      <c r="AA284" s="12" t="s">
        <v>3505</v>
      </c>
      <c r="AB284" s="12" t="s">
        <v>204</v>
      </c>
      <c r="AC284" s="14" t="s">
        <v>498</v>
      </c>
      <c r="AD284" s="14" t="s">
        <v>499</v>
      </c>
      <c r="AE284" s="12" t="s">
        <v>638</v>
      </c>
      <c r="AF284" s="27" t="s">
        <v>501</v>
      </c>
      <c r="AG284" s="28"/>
      <c r="AH284" s="27"/>
      <c r="AI284" s="27"/>
      <c r="AJ284" s="27"/>
      <c r="AK284" s="28" t="str">
        <f aca="false">IF(AG284="","",WORKDAY(AG284,5))</f>
        <v/>
      </c>
      <c r="AL284" s="27"/>
      <c r="AM284" s="27"/>
    </row>
    <row r="285" customFormat="false" ht="23.85" hidden="false" customHeight="false" outlineLevel="0" collapsed="false">
      <c r="A285" s="31" t="s">
        <v>3321</v>
      </c>
      <c r="B285" s="32" t="n">
        <v>284</v>
      </c>
      <c r="C285" s="26" t="n">
        <v>3</v>
      </c>
      <c r="D285" s="12" t="s">
        <v>353</v>
      </c>
      <c r="E285" s="12" t="s">
        <v>3506</v>
      </c>
      <c r="F285" s="12" t="s">
        <v>525</v>
      </c>
      <c r="G285" s="14" t="s">
        <v>3507</v>
      </c>
      <c r="H285" s="12" t="s">
        <v>3508</v>
      </c>
      <c r="I285" s="12"/>
      <c r="J285" s="12" t="s">
        <v>486</v>
      </c>
      <c r="K285" s="12" t="s">
        <v>1981</v>
      </c>
      <c r="L285" s="12" t="s">
        <v>3509</v>
      </c>
      <c r="M285" s="12" t="s">
        <v>3510</v>
      </c>
      <c r="N285" s="12"/>
      <c r="O285" s="12" t="s">
        <v>3511</v>
      </c>
      <c r="P285" s="12" t="s">
        <v>3512</v>
      </c>
      <c r="Q285" s="12" t="s">
        <v>598</v>
      </c>
      <c r="R285" s="12" t="s">
        <v>518</v>
      </c>
      <c r="S285" s="12" t="s">
        <v>3513</v>
      </c>
      <c r="T285" s="12" t="s">
        <v>3514</v>
      </c>
      <c r="U285" s="12" t="s">
        <v>494</v>
      </c>
      <c r="V285" s="12" t="s">
        <v>494</v>
      </c>
      <c r="W285" s="12"/>
      <c r="X285" s="12" t="s">
        <v>2149</v>
      </c>
      <c r="Y285" s="12"/>
      <c r="Z285" s="12"/>
      <c r="AA285" s="12" t="s">
        <v>591</v>
      </c>
      <c r="AB285" s="12" t="s">
        <v>204</v>
      </c>
      <c r="AC285" s="14" t="s">
        <v>498</v>
      </c>
      <c r="AD285" s="14" t="s">
        <v>499</v>
      </c>
      <c r="AE285" s="12" t="s">
        <v>602</v>
      </c>
      <c r="AF285" s="27" t="s">
        <v>501</v>
      </c>
      <c r="AG285" s="28"/>
      <c r="AH285" s="27"/>
      <c r="AI285" s="27"/>
      <c r="AJ285" s="27"/>
      <c r="AK285" s="28" t="str">
        <f aca="false">IF(AG285="","",WORKDAY(AG285,5))</f>
        <v/>
      </c>
      <c r="AL285" s="27"/>
      <c r="AM285" s="27"/>
    </row>
    <row r="286" customFormat="false" ht="23.85" hidden="false" customHeight="false" outlineLevel="0" collapsed="false">
      <c r="A286" s="31" t="s">
        <v>3321</v>
      </c>
      <c r="B286" s="32" t="n">
        <v>285</v>
      </c>
      <c r="C286" s="26" t="n">
        <v>3</v>
      </c>
      <c r="D286" s="12" t="s">
        <v>353</v>
      </c>
      <c r="E286" s="12" t="s">
        <v>3515</v>
      </c>
      <c r="F286" s="12" t="s">
        <v>525</v>
      </c>
      <c r="G286" s="14" t="s">
        <v>3516</v>
      </c>
      <c r="H286" s="12" t="s">
        <v>3517</v>
      </c>
      <c r="I286" s="12"/>
      <c r="J286" s="12" t="s">
        <v>486</v>
      </c>
      <c r="K286" s="12" t="s">
        <v>1981</v>
      </c>
      <c r="L286" s="12" t="s">
        <v>3518</v>
      </c>
      <c r="M286" s="12" t="s">
        <v>3519</v>
      </c>
      <c r="N286" s="12" t="s">
        <v>3520</v>
      </c>
      <c r="O286" s="12" t="s">
        <v>655</v>
      </c>
      <c r="P286" s="12" t="s">
        <v>3521</v>
      </c>
      <c r="Q286" s="12" t="s">
        <v>3522</v>
      </c>
      <c r="R286" s="12" t="s">
        <v>518</v>
      </c>
      <c r="S286" s="12" t="s">
        <v>3523</v>
      </c>
      <c r="T286" s="12" t="s">
        <v>562</v>
      </c>
      <c r="U286" s="12" t="s">
        <v>494</v>
      </c>
      <c r="V286" s="12" t="s">
        <v>494</v>
      </c>
      <c r="W286" s="12"/>
      <c r="X286" s="12" t="s">
        <v>3524</v>
      </c>
      <c r="Y286" s="12" t="s">
        <v>3525</v>
      </c>
      <c r="Z286" s="12"/>
      <c r="AA286" s="12" t="s">
        <v>1512</v>
      </c>
      <c r="AB286" s="12" t="s">
        <v>204</v>
      </c>
      <c r="AC286" s="14" t="s">
        <v>498</v>
      </c>
      <c r="AD286" s="14" t="s">
        <v>499</v>
      </c>
      <c r="AE286" s="12" t="s">
        <v>500</v>
      </c>
      <c r="AF286" s="27" t="s">
        <v>501</v>
      </c>
      <c r="AG286" s="28"/>
      <c r="AH286" s="27"/>
      <c r="AI286" s="27"/>
      <c r="AJ286" s="27"/>
      <c r="AK286" s="28" t="str">
        <f aca="false">IF(AG286="","",WORKDAY(AG286,5))</f>
        <v/>
      </c>
      <c r="AL286" s="27"/>
      <c r="AM286" s="27"/>
    </row>
    <row r="287" customFormat="false" ht="35.05" hidden="false" customHeight="false" outlineLevel="0" collapsed="false">
      <c r="A287" s="31" t="s">
        <v>3321</v>
      </c>
      <c r="B287" s="32" t="n">
        <v>286</v>
      </c>
      <c r="C287" s="26" t="n">
        <v>3</v>
      </c>
      <c r="D287" s="12" t="s">
        <v>353</v>
      </c>
      <c r="E287" s="12" t="s">
        <v>3526</v>
      </c>
      <c r="F287" s="12" t="s">
        <v>525</v>
      </c>
      <c r="G287" s="14" t="s">
        <v>3527</v>
      </c>
      <c r="H287" s="12" t="s">
        <v>3528</v>
      </c>
      <c r="I287" s="12"/>
      <c r="J287" s="12" t="s">
        <v>486</v>
      </c>
      <c r="K287" s="12" t="s">
        <v>1981</v>
      </c>
      <c r="L287" s="12" t="s">
        <v>3529</v>
      </c>
      <c r="M287" s="12" t="s">
        <v>3530</v>
      </c>
      <c r="N287" s="12"/>
      <c r="O287" s="12" t="s">
        <v>655</v>
      </c>
      <c r="P287" s="12" t="s">
        <v>3531</v>
      </c>
      <c r="Q287" s="12" t="s">
        <v>3532</v>
      </c>
      <c r="R287" s="12" t="s">
        <v>518</v>
      </c>
      <c r="S287" s="12" t="s">
        <v>3533</v>
      </c>
      <c r="T287" s="12" t="s">
        <v>562</v>
      </c>
      <c r="U287" s="12" t="s">
        <v>494</v>
      </c>
      <c r="V287" s="12" t="s">
        <v>494</v>
      </c>
      <c r="W287" s="12"/>
      <c r="X287" s="12" t="s">
        <v>3534</v>
      </c>
      <c r="Y287" s="12" t="s">
        <v>3535</v>
      </c>
      <c r="Z287" s="12"/>
      <c r="AA287" s="12" t="s">
        <v>611</v>
      </c>
      <c r="AB287" s="12" t="s">
        <v>204</v>
      </c>
      <c r="AC287" s="14" t="s">
        <v>498</v>
      </c>
      <c r="AD287" s="14" t="s">
        <v>499</v>
      </c>
      <c r="AE287" s="12" t="s">
        <v>500</v>
      </c>
      <c r="AF287" s="27" t="s">
        <v>501</v>
      </c>
      <c r="AG287" s="28"/>
      <c r="AH287" s="27"/>
      <c r="AI287" s="27"/>
      <c r="AJ287" s="27"/>
      <c r="AK287" s="28" t="str">
        <f aca="false">IF(AG287="","",WORKDAY(AG287,5))</f>
        <v/>
      </c>
      <c r="AL287" s="27"/>
      <c r="AM287" s="27"/>
    </row>
    <row r="288" customFormat="false" ht="23.85" hidden="false" customHeight="false" outlineLevel="0" collapsed="false">
      <c r="A288" s="31" t="s">
        <v>3321</v>
      </c>
      <c r="B288" s="32" t="n">
        <v>287</v>
      </c>
      <c r="C288" s="26" t="n">
        <v>3</v>
      </c>
      <c r="D288" s="12" t="s">
        <v>353</v>
      </c>
      <c r="E288" s="12" t="s">
        <v>3536</v>
      </c>
      <c r="F288" s="12" t="s">
        <v>525</v>
      </c>
      <c r="G288" s="14" t="s">
        <v>3537</v>
      </c>
      <c r="H288" s="12" t="s">
        <v>3538</v>
      </c>
      <c r="I288" s="12"/>
      <c r="J288" s="12" t="s">
        <v>486</v>
      </c>
      <c r="K288" s="12" t="s">
        <v>1981</v>
      </c>
      <c r="L288" s="12" t="s">
        <v>3539</v>
      </c>
      <c r="M288" s="12" t="s">
        <v>3540</v>
      </c>
      <c r="N288" s="12"/>
      <c r="O288" s="12" t="s">
        <v>3541</v>
      </c>
      <c r="P288" s="12" t="s">
        <v>3542</v>
      </c>
      <c r="Q288" s="12" t="s">
        <v>1540</v>
      </c>
      <c r="R288" s="12" t="s">
        <v>518</v>
      </c>
      <c r="S288" s="12" t="s">
        <v>3543</v>
      </c>
      <c r="T288" s="12" t="s">
        <v>3544</v>
      </c>
      <c r="U288" s="12" t="s">
        <v>494</v>
      </c>
      <c r="V288" s="12" t="s">
        <v>494</v>
      </c>
      <c r="W288" s="12"/>
      <c r="X288" s="12" t="s">
        <v>3545</v>
      </c>
      <c r="Y288" s="12" t="s">
        <v>2158</v>
      </c>
      <c r="Z288" s="12"/>
      <c r="AA288" s="12" t="s">
        <v>3546</v>
      </c>
      <c r="AB288" s="12" t="s">
        <v>204</v>
      </c>
      <c r="AC288" s="14" t="s">
        <v>498</v>
      </c>
      <c r="AD288" s="14" t="s">
        <v>499</v>
      </c>
      <c r="AE288" s="12" t="s">
        <v>500</v>
      </c>
      <c r="AF288" s="27" t="s">
        <v>501</v>
      </c>
      <c r="AG288" s="28"/>
      <c r="AH288" s="27"/>
      <c r="AI288" s="27"/>
      <c r="AJ288" s="27"/>
      <c r="AK288" s="28" t="str">
        <f aca="false">IF(AG288="","",WORKDAY(AG288,5))</f>
        <v/>
      </c>
      <c r="AL288" s="27"/>
      <c r="AM288" s="27"/>
    </row>
    <row r="289" customFormat="false" ht="35.05" hidden="false" customHeight="false" outlineLevel="0" collapsed="false">
      <c r="A289" s="31" t="s">
        <v>3321</v>
      </c>
      <c r="B289" s="32" t="n">
        <v>288</v>
      </c>
      <c r="C289" s="26" t="n">
        <v>3</v>
      </c>
      <c r="D289" s="12" t="s">
        <v>374</v>
      </c>
      <c r="E289" s="12" t="s">
        <v>3547</v>
      </c>
      <c r="F289" s="12" t="s">
        <v>525</v>
      </c>
      <c r="G289" s="14" t="s">
        <v>3548</v>
      </c>
      <c r="H289" s="12" t="s">
        <v>3549</v>
      </c>
      <c r="I289" s="12"/>
      <c r="J289" s="12" t="s">
        <v>486</v>
      </c>
      <c r="K289" s="12" t="s">
        <v>1981</v>
      </c>
      <c r="L289" s="12"/>
      <c r="M289" s="12"/>
      <c r="N289" s="12" t="s">
        <v>3550</v>
      </c>
      <c r="O289" s="12" t="s">
        <v>3551</v>
      </c>
      <c r="P289" s="12" t="s">
        <v>3552</v>
      </c>
      <c r="Q289" s="12" t="s">
        <v>3553</v>
      </c>
      <c r="R289" s="12" t="s">
        <v>518</v>
      </c>
      <c r="S289" s="12" t="s">
        <v>519</v>
      </c>
      <c r="T289" s="12" t="s">
        <v>562</v>
      </c>
      <c r="U289" s="12" t="s">
        <v>494</v>
      </c>
      <c r="V289" s="12" t="s">
        <v>494</v>
      </c>
      <c r="W289" s="12"/>
      <c r="X289" s="12" t="s">
        <v>3554</v>
      </c>
      <c r="Y289" s="12" t="s">
        <v>3555</v>
      </c>
      <c r="Z289" s="12" t="s">
        <v>1929</v>
      </c>
      <c r="AA289" s="12" t="s">
        <v>3556</v>
      </c>
      <c r="AB289" s="12" t="s">
        <v>204</v>
      </c>
      <c r="AC289" s="14" t="s">
        <v>498</v>
      </c>
      <c r="AD289" s="14" t="s">
        <v>499</v>
      </c>
      <c r="AE289" s="12" t="s">
        <v>500</v>
      </c>
      <c r="AF289" s="27" t="s">
        <v>501</v>
      </c>
      <c r="AG289" s="28"/>
      <c r="AH289" s="27"/>
      <c r="AI289" s="27"/>
      <c r="AJ289" s="27"/>
      <c r="AK289" s="28" t="str">
        <f aca="false">IF(AG289="","",WORKDAY(AG289,5))</f>
        <v/>
      </c>
      <c r="AL289" s="27"/>
      <c r="AM289" s="27"/>
    </row>
    <row r="290" customFormat="false" ht="23.85" hidden="false" customHeight="false" outlineLevel="0" collapsed="false">
      <c r="A290" s="31" t="s">
        <v>3321</v>
      </c>
      <c r="B290" s="32" t="n">
        <v>289</v>
      </c>
      <c r="C290" s="26" t="n">
        <v>5</v>
      </c>
      <c r="D290" s="12" t="s">
        <v>380</v>
      </c>
      <c r="E290" s="12" t="s">
        <v>3557</v>
      </c>
      <c r="F290" s="12" t="s">
        <v>525</v>
      </c>
      <c r="G290" s="14" t="s">
        <v>3558</v>
      </c>
      <c r="H290" s="12" t="s">
        <v>3465</v>
      </c>
      <c r="I290" s="12"/>
      <c r="J290" s="12" t="s">
        <v>486</v>
      </c>
      <c r="K290" s="12" t="s">
        <v>1981</v>
      </c>
      <c r="L290" s="12" t="s">
        <v>3559</v>
      </c>
      <c r="M290" s="12" t="s">
        <v>3560</v>
      </c>
      <c r="N290" s="12" t="s">
        <v>3561</v>
      </c>
      <c r="O290" s="12" t="s">
        <v>126</v>
      </c>
      <c r="P290" s="12" t="s">
        <v>3562</v>
      </c>
      <c r="Q290" s="12" t="s">
        <v>3563</v>
      </c>
      <c r="R290" s="12" t="s">
        <v>518</v>
      </c>
      <c r="S290" s="12" t="s">
        <v>3564</v>
      </c>
      <c r="T290" s="12" t="s">
        <v>3565</v>
      </c>
      <c r="U290" s="12" t="s">
        <v>494</v>
      </c>
      <c r="V290" s="12" t="s">
        <v>494</v>
      </c>
      <c r="W290" s="12"/>
      <c r="X290" s="12" t="s">
        <v>3566</v>
      </c>
      <c r="Y290" s="12" t="s">
        <v>3567</v>
      </c>
      <c r="Z290" s="12"/>
      <c r="AA290" s="12" t="s">
        <v>3568</v>
      </c>
      <c r="AB290" s="12" t="s">
        <v>204</v>
      </c>
      <c r="AC290" s="14" t="s">
        <v>498</v>
      </c>
      <c r="AD290" s="14" t="s">
        <v>499</v>
      </c>
      <c r="AE290" s="12" t="s">
        <v>500</v>
      </c>
      <c r="AF290" s="27" t="s">
        <v>501</v>
      </c>
      <c r="AG290" s="28"/>
      <c r="AH290" s="27"/>
      <c r="AI290" s="27"/>
      <c r="AJ290" s="27"/>
      <c r="AK290" s="28" t="str">
        <f aca="false">IF(AG290="","",WORKDAY(AG290,5))</f>
        <v/>
      </c>
      <c r="AL290" s="27"/>
      <c r="AM290" s="27"/>
    </row>
    <row r="291" customFormat="false" ht="23.85" hidden="false" customHeight="false" outlineLevel="0" collapsed="false">
      <c r="A291" s="31" t="s">
        <v>3321</v>
      </c>
      <c r="B291" s="32" t="n">
        <v>290</v>
      </c>
      <c r="C291" s="26" t="n">
        <v>4</v>
      </c>
      <c r="D291" s="12" t="s">
        <v>380</v>
      </c>
      <c r="E291" s="12" t="s">
        <v>3569</v>
      </c>
      <c r="F291" s="12" t="s">
        <v>525</v>
      </c>
      <c r="G291" s="14" t="s">
        <v>3570</v>
      </c>
      <c r="H291" s="12" t="s">
        <v>3571</v>
      </c>
      <c r="I291" s="12"/>
      <c r="J291" s="12" t="s">
        <v>486</v>
      </c>
      <c r="K291" s="12" t="s">
        <v>1981</v>
      </c>
      <c r="L291" s="12" t="s">
        <v>3572</v>
      </c>
      <c r="M291" s="12" t="s">
        <v>3573</v>
      </c>
      <c r="N291" s="12"/>
      <c r="O291" s="12" t="s">
        <v>126</v>
      </c>
      <c r="P291" s="12" t="s">
        <v>3574</v>
      </c>
      <c r="Q291" s="12" t="s">
        <v>3040</v>
      </c>
      <c r="R291" s="12" t="s">
        <v>518</v>
      </c>
      <c r="S291" s="12" t="s">
        <v>492</v>
      </c>
      <c r="T291" s="12" t="s">
        <v>3575</v>
      </c>
      <c r="U291" s="12" t="s">
        <v>494</v>
      </c>
      <c r="V291" s="12" t="s">
        <v>494</v>
      </c>
      <c r="W291" s="12"/>
      <c r="X291" s="12" t="s">
        <v>3576</v>
      </c>
      <c r="Y291" s="12"/>
      <c r="Z291" s="12"/>
      <c r="AA291" s="12" t="s">
        <v>3577</v>
      </c>
      <c r="AB291" s="12" t="s">
        <v>204</v>
      </c>
      <c r="AC291" s="14" t="s">
        <v>498</v>
      </c>
      <c r="AD291" s="14" t="s">
        <v>499</v>
      </c>
      <c r="AE291" s="12" t="s">
        <v>500</v>
      </c>
      <c r="AF291" s="27" t="s">
        <v>501</v>
      </c>
      <c r="AG291" s="28"/>
      <c r="AH291" s="27"/>
      <c r="AI291" s="27"/>
      <c r="AJ291" s="27"/>
      <c r="AK291" s="28" t="str">
        <f aca="false">IF(AG291="","",WORKDAY(AG291,5))</f>
        <v/>
      </c>
      <c r="AL291" s="27"/>
      <c r="AM291" s="27"/>
    </row>
    <row r="292" customFormat="false" ht="35.05" hidden="false" customHeight="false" outlineLevel="0" collapsed="false">
      <c r="A292" s="31" t="s">
        <v>3321</v>
      </c>
      <c r="B292" s="32" t="n">
        <v>291</v>
      </c>
      <c r="C292" s="26" t="n">
        <v>4</v>
      </c>
      <c r="D292" s="12" t="s">
        <v>380</v>
      </c>
      <c r="E292" s="34" t="s">
        <v>3578</v>
      </c>
      <c r="F292" s="12" t="s">
        <v>525</v>
      </c>
      <c r="G292" s="14" t="s">
        <v>3579</v>
      </c>
      <c r="H292" s="12" t="s">
        <v>3422</v>
      </c>
      <c r="I292" s="12"/>
      <c r="J292" s="12" t="s">
        <v>486</v>
      </c>
      <c r="K292" s="12" t="s">
        <v>1981</v>
      </c>
      <c r="L292" s="12" t="s">
        <v>3580</v>
      </c>
      <c r="M292" s="12"/>
      <c r="N292" s="12"/>
      <c r="O292" s="12" t="s">
        <v>688</v>
      </c>
      <c r="P292" s="12" t="s">
        <v>3581</v>
      </c>
      <c r="Q292" s="12" t="s">
        <v>3582</v>
      </c>
      <c r="R292" s="12" t="s">
        <v>518</v>
      </c>
      <c r="S292" s="12" t="s">
        <v>3583</v>
      </c>
      <c r="T292" s="12" t="s">
        <v>562</v>
      </c>
      <c r="U292" s="12" t="s">
        <v>494</v>
      </c>
      <c r="V292" s="12" t="s">
        <v>494</v>
      </c>
      <c r="W292" s="12"/>
      <c r="X292" s="12" t="s">
        <v>3584</v>
      </c>
      <c r="Y292" s="12" t="s">
        <v>3585</v>
      </c>
      <c r="Z292" s="12"/>
      <c r="AA292" s="12" t="s">
        <v>3586</v>
      </c>
      <c r="AB292" s="12" t="s">
        <v>130</v>
      </c>
      <c r="AC292" s="14" t="s">
        <v>498</v>
      </c>
      <c r="AD292" s="14" t="s">
        <v>499</v>
      </c>
      <c r="AE292" s="12" t="s">
        <v>638</v>
      </c>
      <c r="AF292" s="27" t="s">
        <v>501</v>
      </c>
      <c r="AG292" s="28"/>
      <c r="AH292" s="27"/>
      <c r="AI292" s="27"/>
      <c r="AJ292" s="27"/>
      <c r="AK292" s="28" t="str">
        <f aca="false">IF(AG292="","",WORKDAY(AG292,5))</f>
        <v/>
      </c>
      <c r="AL292" s="27"/>
      <c r="AM292" s="27"/>
    </row>
    <row r="293" customFormat="false" ht="35.05" hidden="false" customHeight="false" outlineLevel="0" collapsed="false">
      <c r="A293" s="31" t="s">
        <v>3321</v>
      </c>
      <c r="B293" s="32" t="n">
        <v>292</v>
      </c>
      <c r="C293" s="26" t="n">
        <v>3</v>
      </c>
      <c r="D293" s="12" t="s">
        <v>380</v>
      </c>
      <c r="E293" s="12" t="s">
        <v>3587</v>
      </c>
      <c r="F293" s="12" t="s">
        <v>525</v>
      </c>
      <c r="G293" s="14" t="s">
        <v>3588</v>
      </c>
      <c r="H293" s="12" t="s">
        <v>3589</v>
      </c>
      <c r="I293" s="12" t="s">
        <v>3590</v>
      </c>
      <c r="J293" s="12" t="s">
        <v>486</v>
      </c>
      <c r="K293" s="12" t="s">
        <v>1981</v>
      </c>
      <c r="L293" s="12" t="s">
        <v>3591</v>
      </c>
      <c r="M293" s="12"/>
      <c r="N293" s="12"/>
      <c r="O293" s="12" t="s">
        <v>3592</v>
      </c>
      <c r="P293" s="12" t="s">
        <v>3593</v>
      </c>
      <c r="Q293" s="12" t="s">
        <v>490</v>
      </c>
      <c r="R293" s="12" t="s">
        <v>518</v>
      </c>
      <c r="S293" s="12" t="s">
        <v>3594</v>
      </c>
      <c r="T293" s="12" t="s">
        <v>3595</v>
      </c>
      <c r="U293" s="12" t="s">
        <v>494</v>
      </c>
      <c r="V293" s="12" t="s">
        <v>494</v>
      </c>
      <c r="W293" s="12"/>
      <c r="X293" s="12" t="s">
        <v>3596</v>
      </c>
      <c r="Y293" s="12" t="s">
        <v>3597</v>
      </c>
      <c r="Z293" s="12"/>
      <c r="AA293" s="12" t="s">
        <v>536</v>
      </c>
      <c r="AB293" s="12" t="s">
        <v>123</v>
      </c>
      <c r="AC293" s="14" t="s">
        <v>498</v>
      </c>
      <c r="AD293" s="14" t="s">
        <v>499</v>
      </c>
      <c r="AE293" s="12" t="s">
        <v>568</v>
      </c>
      <c r="AF293" s="27" t="s">
        <v>501</v>
      </c>
      <c r="AG293" s="28"/>
      <c r="AH293" s="27"/>
      <c r="AI293" s="27"/>
      <c r="AJ293" s="27"/>
      <c r="AK293" s="28" t="str">
        <f aca="false">IF(AG293="","",WORKDAY(AG293,5))</f>
        <v/>
      </c>
      <c r="AL293" s="27"/>
      <c r="AM293" s="27"/>
    </row>
    <row r="294" customFormat="false" ht="23.85" hidden="false" customHeight="false" outlineLevel="0" collapsed="false">
      <c r="A294" s="31" t="s">
        <v>3321</v>
      </c>
      <c r="B294" s="32" t="n">
        <v>293</v>
      </c>
      <c r="C294" s="26" t="n">
        <v>3</v>
      </c>
      <c r="D294" s="12" t="s">
        <v>380</v>
      </c>
      <c r="E294" s="12" t="s">
        <v>3598</v>
      </c>
      <c r="F294" s="12" t="s">
        <v>525</v>
      </c>
      <c r="G294" s="14" t="s">
        <v>593</v>
      </c>
      <c r="H294" s="12" t="s">
        <v>3599</v>
      </c>
      <c r="I294" s="12"/>
      <c r="J294" s="12" t="s">
        <v>486</v>
      </c>
      <c r="K294" s="12" t="s">
        <v>1981</v>
      </c>
      <c r="L294" s="12" t="s">
        <v>3600</v>
      </c>
      <c r="M294" s="12" t="s">
        <v>3601</v>
      </c>
      <c r="N294" s="12"/>
      <c r="O294" s="12" t="s">
        <v>688</v>
      </c>
      <c r="P294" s="12" t="s">
        <v>3602</v>
      </c>
      <c r="Q294" s="12" t="s">
        <v>1169</v>
      </c>
      <c r="R294" s="12" t="s">
        <v>518</v>
      </c>
      <c r="S294" s="12" t="s">
        <v>3603</v>
      </c>
      <c r="T294" s="12" t="s">
        <v>562</v>
      </c>
      <c r="U294" s="12" t="s">
        <v>494</v>
      </c>
      <c r="V294" s="12" t="s">
        <v>494</v>
      </c>
      <c r="W294" s="12"/>
      <c r="X294" s="12" t="s">
        <v>3604</v>
      </c>
      <c r="Y294" s="12" t="s">
        <v>3605</v>
      </c>
      <c r="Z294" s="12"/>
      <c r="AA294" s="12" t="s">
        <v>661</v>
      </c>
      <c r="AB294" s="12" t="s">
        <v>204</v>
      </c>
      <c r="AC294" s="14" t="s">
        <v>498</v>
      </c>
      <c r="AD294" s="14" t="s">
        <v>499</v>
      </c>
      <c r="AE294" s="12" t="s">
        <v>500</v>
      </c>
      <c r="AF294" s="27" t="s">
        <v>501</v>
      </c>
      <c r="AG294" s="28"/>
      <c r="AH294" s="27"/>
      <c r="AI294" s="27"/>
      <c r="AJ294" s="27"/>
      <c r="AK294" s="28" t="str">
        <f aca="false">IF(AG294="","",WORKDAY(AG294,5))</f>
        <v/>
      </c>
      <c r="AL294" s="27"/>
      <c r="AM294" s="27"/>
    </row>
    <row r="295" customFormat="false" ht="35.05" hidden="false" customHeight="false" outlineLevel="0" collapsed="false">
      <c r="A295" s="31" t="s">
        <v>3321</v>
      </c>
      <c r="B295" s="32" t="n">
        <v>294</v>
      </c>
      <c r="C295" s="26" t="n">
        <v>4</v>
      </c>
      <c r="D295" s="12" t="s">
        <v>405</v>
      </c>
      <c r="E295" s="12" t="s">
        <v>3606</v>
      </c>
      <c r="F295" s="12" t="s">
        <v>483</v>
      </c>
      <c r="G295" s="14" t="s">
        <v>3607</v>
      </c>
      <c r="H295" s="12" t="s">
        <v>3608</v>
      </c>
      <c r="I295" s="12"/>
      <c r="J295" s="12" t="s">
        <v>486</v>
      </c>
      <c r="K295" s="12" t="s">
        <v>1981</v>
      </c>
      <c r="L295" s="12" t="s">
        <v>3609</v>
      </c>
      <c r="M295" s="12"/>
      <c r="N295" s="12"/>
      <c r="O295" s="12" t="s">
        <v>126</v>
      </c>
      <c r="P295" s="12" t="s">
        <v>3610</v>
      </c>
      <c r="Q295" s="12" t="s">
        <v>3071</v>
      </c>
      <c r="R295" s="12" t="s">
        <v>518</v>
      </c>
      <c r="S295" s="12" t="s">
        <v>519</v>
      </c>
      <c r="T295" s="12" t="s">
        <v>2786</v>
      </c>
      <c r="U295" s="12" t="s">
        <v>494</v>
      </c>
      <c r="V295" s="12" t="s">
        <v>494</v>
      </c>
      <c r="W295" s="12"/>
      <c r="X295" s="12" t="s">
        <v>3611</v>
      </c>
      <c r="Y295" s="12"/>
      <c r="Z295" s="12" t="s">
        <v>3612</v>
      </c>
      <c r="AA295" s="12" t="s">
        <v>3613</v>
      </c>
      <c r="AB295" s="12" t="s">
        <v>3614</v>
      </c>
      <c r="AC295" s="14" t="s">
        <v>498</v>
      </c>
      <c r="AD295" s="14" t="s">
        <v>499</v>
      </c>
      <c r="AE295" s="12" t="s">
        <v>500</v>
      </c>
      <c r="AF295" s="27" t="s">
        <v>501</v>
      </c>
      <c r="AG295" s="28"/>
      <c r="AH295" s="27"/>
      <c r="AI295" s="27"/>
      <c r="AJ295" s="27"/>
      <c r="AK295" s="28" t="str">
        <f aca="false">IF(AG295="","",WORKDAY(AG295,5))</f>
        <v/>
      </c>
      <c r="AL295" s="27"/>
      <c r="AM295" s="27"/>
    </row>
    <row r="296" customFormat="false" ht="35.05" hidden="false" customHeight="false" outlineLevel="0" collapsed="false">
      <c r="A296" s="31" t="s">
        <v>3321</v>
      </c>
      <c r="B296" s="32" t="n">
        <v>295</v>
      </c>
      <c r="C296" s="26" t="n">
        <v>4</v>
      </c>
      <c r="D296" s="12" t="s">
        <v>405</v>
      </c>
      <c r="E296" s="12" t="s">
        <v>3615</v>
      </c>
      <c r="F296" s="12" t="s">
        <v>525</v>
      </c>
      <c r="G296" s="14" t="s">
        <v>593</v>
      </c>
      <c r="H296" s="12" t="s">
        <v>3616</v>
      </c>
      <c r="I296" s="12"/>
      <c r="J296" s="12" t="s">
        <v>486</v>
      </c>
      <c r="K296" s="12" t="s">
        <v>1981</v>
      </c>
      <c r="L296" s="12" t="s">
        <v>3617</v>
      </c>
      <c r="M296" s="12"/>
      <c r="N296" s="12"/>
      <c r="O296" s="12" t="s">
        <v>119</v>
      </c>
      <c r="P296" s="12" t="s">
        <v>3618</v>
      </c>
      <c r="Q296" s="12" t="s">
        <v>3619</v>
      </c>
      <c r="R296" s="12" t="s">
        <v>670</v>
      </c>
      <c r="S296" s="12" t="s">
        <v>2860</v>
      </c>
      <c r="T296" s="12" t="s">
        <v>562</v>
      </c>
      <c r="U296" s="12" t="s">
        <v>494</v>
      </c>
      <c r="V296" s="12" t="s">
        <v>494</v>
      </c>
      <c r="W296" s="12" t="s">
        <v>3620</v>
      </c>
      <c r="X296" s="12" t="s">
        <v>3621</v>
      </c>
      <c r="Y296" s="12" t="s">
        <v>3622</v>
      </c>
      <c r="Z296" s="12"/>
      <c r="AA296" s="12" t="s">
        <v>3623</v>
      </c>
      <c r="AB296" s="12" t="s">
        <v>130</v>
      </c>
      <c r="AC296" s="14" t="s">
        <v>498</v>
      </c>
      <c r="AD296" s="14" t="s">
        <v>499</v>
      </c>
      <c r="AE296" s="12" t="s">
        <v>500</v>
      </c>
      <c r="AF296" s="27" t="s">
        <v>501</v>
      </c>
      <c r="AG296" s="28"/>
      <c r="AH296" s="27"/>
      <c r="AI296" s="27"/>
      <c r="AJ296" s="27"/>
      <c r="AK296" s="28" t="str">
        <f aca="false">IF(AG296="","",WORKDAY(AG296,5))</f>
        <v/>
      </c>
      <c r="AL296" s="27"/>
      <c r="AM296" s="27"/>
    </row>
    <row r="297" customFormat="false" ht="35.05" hidden="false" customHeight="false" outlineLevel="0" collapsed="false">
      <c r="A297" s="31" t="s">
        <v>3321</v>
      </c>
      <c r="B297" s="32" t="n">
        <v>296</v>
      </c>
      <c r="C297" s="26" t="n">
        <v>4</v>
      </c>
      <c r="D297" s="12" t="s">
        <v>405</v>
      </c>
      <c r="E297" s="12" t="s">
        <v>3624</v>
      </c>
      <c r="F297" s="12" t="s">
        <v>525</v>
      </c>
      <c r="G297" s="14" t="s">
        <v>3625</v>
      </c>
      <c r="H297" s="12" t="s">
        <v>3626</v>
      </c>
      <c r="I297" s="12"/>
      <c r="J297" s="12" t="s">
        <v>486</v>
      </c>
      <c r="K297" s="12" t="s">
        <v>1981</v>
      </c>
      <c r="L297" s="12" t="s">
        <v>3627</v>
      </c>
      <c r="M297" s="12" t="s">
        <v>3628</v>
      </c>
      <c r="N297" s="12"/>
      <c r="O297" s="12" t="s">
        <v>126</v>
      </c>
      <c r="P297" s="12" t="s">
        <v>3629</v>
      </c>
      <c r="Q297" s="12" t="s">
        <v>3630</v>
      </c>
      <c r="R297" s="12" t="s">
        <v>518</v>
      </c>
      <c r="S297" s="12" t="s">
        <v>3631</v>
      </c>
      <c r="T297" s="12" t="s">
        <v>562</v>
      </c>
      <c r="U297" s="12" t="s">
        <v>494</v>
      </c>
      <c r="V297" s="12" t="s">
        <v>494</v>
      </c>
      <c r="W297" s="12" t="s">
        <v>3632</v>
      </c>
      <c r="X297" s="12" t="s">
        <v>3633</v>
      </c>
      <c r="Y297" s="12" t="s">
        <v>3634</v>
      </c>
      <c r="Z297" s="12"/>
      <c r="AA297" s="12" t="s">
        <v>3635</v>
      </c>
      <c r="AB297" s="12" t="s">
        <v>497</v>
      </c>
      <c r="AC297" s="14" t="s">
        <v>498</v>
      </c>
      <c r="AD297" s="14" t="s">
        <v>499</v>
      </c>
      <c r="AE297" s="12" t="s">
        <v>500</v>
      </c>
      <c r="AF297" s="27" t="s">
        <v>501</v>
      </c>
      <c r="AG297" s="28"/>
      <c r="AH297" s="27"/>
      <c r="AI297" s="27"/>
      <c r="AJ297" s="27"/>
      <c r="AK297" s="28" t="str">
        <f aca="false">IF(AG297="","",WORKDAY(AG297,5))</f>
        <v/>
      </c>
      <c r="AL297" s="27"/>
      <c r="AM297" s="27"/>
    </row>
    <row r="298" customFormat="false" ht="23.85" hidden="false" customHeight="false" outlineLevel="0" collapsed="false">
      <c r="A298" s="31" t="s">
        <v>3321</v>
      </c>
      <c r="B298" s="32" t="n">
        <v>297</v>
      </c>
      <c r="C298" s="26" t="n">
        <v>3</v>
      </c>
      <c r="D298" s="12" t="s">
        <v>405</v>
      </c>
      <c r="E298" s="34" t="s">
        <v>3636</v>
      </c>
      <c r="F298" s="12" t="s">
        <v>525</v>
      </c>
      <c r="G298" s="14" t="s">
        <v>3637</v>
      </c>
      <c r="H298" s="12" t="s">
        <v>3638</v>
      </c>
      <c r="I298" s="12"/>
      <c r="J298" s="12" t="s">
        <v>486</v>
      </c>
      <c r="K298" s="12" t="s">
        <v>1981</v>
      </c>
      <c r="L298" s="12" t="s">
        <v>3639</v>
      </c>
      <c r="M298" s="12" t="s">
        <v>3640</v>
      </c>
      <c r="N298" s="12"/>
      <c r="O298" s="12" t="s">
        <v>688</v>
      </c>
      <c r="P298" s="12" t="s">
        <v>3641</v>
      </c>
      <c r="Q298" s="12" t="s">
        <v>3642</v>
      </c>
      <c r="R298" s="12" t="s">
        <v>518</v>
      </c>
      <c r="S298" s="12" t="s">
        <v>3643</v>
      </c>
      <c r="T298" s="12" t="s">
        <v>562</v>
      </c>
      <c r="U298" s="12" t="s">
        <v>494</v>
      </c>
      <c r="V298" s="12" t="s">
        <v>494</v>
      </c>
      <c r="W298" s="12"/>
      <c r="X298" s="12" t="s">
        <v>3644</v>
      </c>
      <c r="Y298" s="12" t="s">
        <v>3645</v>
      </c>
      <c r="Z298" s="12"/>
      <c r="AA298" s="12" t="s">
        <v>3646</v>
      </c>
      <c r="AB298" s="12" t="s">
        <v>130</v>
      </c>
      <c r="AC298" s="14" t="s">
        <v>498</v>
      </c>
      <c r="AD298" s="14" t="s">
        <v>499</v>
      </c>
      <c r="AE298" s="12" t="s">
        <v>638</v>
      </c>
      <c r="AF298" s="27" t="s">
        <v>501</v>
      </c>
      <c r="AG298" s="28"/>
      <c r="AH298" s="27"/>
      <c r="AI298" s="27"/>
      <c r="AJ298" s="27"/>
      <c r="AK298" s="28" t="str">
        <f aca="false">IF(AG298="","",WORKDAY(AG298,5))</f>
        <v/>
      </c>
      <c r="AL298" s="27"/>
      <c r="AM298" s="27"/>
    </row>
    <row r="299" customFormat="false" ht="23.85" hidden="false" customHeight="false" outlineLevel="0" collapsed="false">
      <c r="A299" s="31" t="s">
        <v>3321</v>
      </c>
      <c r="B299" s="32" t="n">
        <v>298</v>
      </c>
      <c r="C299" s="26" t="n">
        <v>3</v>
      </c>
      <c r="D299" s="12" t="s">
        <v>405</v>
      </c>
      <c r="E299" s="34" t="s">
        <v>3647</v>
      </c>
      <c r="F299" s="12" t="s">
        <v>525</v>
      </c>
      <c r="G299" s="14" t="s">
        <v>3648</v>
      </c>
      <c r="H299" s="12" t="s">
        <v>3649</v>
      </c>
      <c r="I299" s="12"/>
      <c r="J299" s="12" t="s">
        <v>486</v>
      </c>
      <c r="K299" s="12" t="s">
        <v>1981</v>
      </c>
      <c r="L299" s="12" t="s">
        <v>3650</v>
      </c>
      <c r="M299" s="12" t="s">
        <v>3651</v>
      </c>
      <c r="N299" s="12"/>
      <c r="O299" s="12" t="s">
        <v>407</v>
      </c>
      <c r="P299" s="12" t="s">
        <v>3652</v>
      </c>
      <c r="Q299" s="12" t="s">
        <v>3653</v>
      </c>
      <c r="R299" s="12" t="s">
        <v>518</v>
      </c>
      <c r="S299" s="12" t="s">
        <v>3654</v>
      </c>
      <c r="T299" s="12" t="s">
        <v>3655</v>
      </c>
      <c r="U299" s="12" t="s">
        <v>494</v>
      </c>
      <c r="V299" s="12" t="s">
        <v>494</v>
      </c>
      <c r="W299" s="12" t="s">
        <v>3656</v>
      </c>
      <c r="X299" s="12" t="s">
        <v>3657</v>
      </c>
      <c r="Y299" s="12" t="s">
        <v>3658</v>
      </c>
      <c r="Z299" s="12" t="s">
        <v>3659</v>
      </c>
      <c r="AA299" s="12" t="s">
        <v>3660</v>
      </c>
      <c r="AB299" s="12" t="s">
        <v>130</v>
      </c>
      <c r="AC299" s="14" t="s">
        <v>498</v>
      </c>
      <c r="AD299" s="14" t="s">
        <v>499</v>
      </c>
      <c r="AE299" s="12" t="s">
        <v>638</v>
      </c>
      <c r="AF299" s="27" t="s">
        <v>501</v>
      </c>
      <c r="AG299" s="28"/>
      <c r="AH299" s="27"/>
      <c r="AI299" s="27"/>
      <c r="AJ299" s="27"/>
      <c r="AK299" s="28" t="str">
        <f aca="false">IF(AG299="","",WORKDAY(AG299,5))</f>
        <v/>
      </c>
      <c r="AL299" s="27"/>
      <c r="AM299" s="27"/>
    </row>
    <row r="300" customFormat="false" ht="23.85" hidden="false" customHeight="false" outlineLevel="0" collapsed="false">
      <c r="A300" s="31" t="s">
        <v>3321</v>
      </c>
      <c r="B300" s="32" t="n">
        <v>299</v>
      </c>
      <c r="C300" s="26" t="n">
        <v>3</v>
      </c>
      <c r="D300" s="12" t="s">
        <v>405</v>
      </c>
      <c r="E300" s="12" t="s">
        <v>3661</v>
      </c>
      <c r="F300" s="12" t="s">
        <v>525</v>
      </c>
      <c r="G300" s="14" t="s">
        <v>3662</v>
      </c>
      <c r="H300" s="12" t="s">
        <v>3663</v>
      </c>
      <c r="I300" s="12"/>
      <c r="J300" s="12" t="s">
        <v>486</v>
      </c>
      <c r="K300" s="12" t="s">
        <v>1981</v>
      </c>
      <c r="L300" s="12" t="s">
        <v>3664</v>
      </c>
      <c r="M300" s="12"/>
      <c r="N300" s="12"/>
      <c r="O300" s="12" t="s">
        <v>126</v>
      </c>
      <c r="P300" s="12" t="s">
        <v>3665</v>
      </c>
      <c r="Q300" s="12" t="s">
        <v>3666</v>
      </c>
      <c r="R300" s="12" t="s">
        <v>491</v>
      </c>
      <c r="S300" s="12" t="s">
        <v>2209</v>
      </c>
      <c r="T300" s="12" t="s">
        <v>3667</v>
      </c>
      <c r="U300" s="12" t="s">
        <v>494</v>
      </c>
      <c r="V300" s="12" t="s">
        <v>494</v>
      </c>
      <c r="W300" s="12"/>
      <c r="X300" s="12" t="s">
        <v>3668</v>
      </c>
      <c r="Y300" s="12"/>
      <c r="Z300" s="12"/>
      <c r="AA300" s="12" t="s">
        <v>3669</v>
      </c>
      <c r="AB300" s="12" t="s">
        <v>123</v>
      </c>
      <c r="AC300" s="14" t="s">
        <v>498</v>
      </c>
      <c r="AD300" s="14" t="s">
        <v>499</v>
      </c>
      <c r="AE300" s="12" t="s">
        <v>500</v>
      </c>
      <c r="AF300" s="27" t="s">
        <v>501</v>
      </c>
      <c r="AG300" s="28"/>
      <c r="AH300" s="27"/>
      <c r="AI300" s="27"/>
      <c r="AJ300" s="27"/>
      <c r="AK300" s="28" t="str">
        <f aca="false">IF(AG300="","",WORKDAY(AG300,5))</f>
        <v/>
      </c>
      <c r="AL300" s="27"/>
      <c r="AM300" s="27"/>
    </row>
    <row r="301" customFormat="false" ht="23.85" hidden="false" customHeight="false" outlineLevel="0" collapsed="false">
      <c r="A301" s="31" t="s">
        <v>3321</v>
      </c>
      <c r="B301" s="32" t="n">
        <v>300</v>
      </c>
      <c r="C301" s="26" t="n">
        <v>3</v>
      </c>
      <c r="D301" s="12" t="s">
        <v>405</v>
      </c>
      <c r="E301" s="12" t="s">
        <v>3670</v>
      </c>
      <c r="F301" s="12" t="s">
        <v>525</v>
      </c>
      <c r="G301" s="14" t="s">
        <v>593</v>
      </c>
      <c r="H301" s="12" t="s">
        <v>3616</v>
      </c>
      <c r="I301" s="12"/>
      <c r="J301" s="12" t="s">
        <v>486</v>
      </c>
      <c r="K301" s="12" t="s">
        <v>1981</v>
      </c>
      <c r="L301" s="12" t="s">
        <v>3671</v>
      </c>
      <c r="M301" s="12" t="s">
        <v>3672</v>
      </c>
      <c r="N301" s="12"/>
      <c r="O301" s="12" t="s">
        <v>655</v>
      </c>
      <c r="P301" s="12" t="s">
        <v>3673</v>
      </c>
      <c r="Q301" s="12" t="s">
        <v>3674</v>
      </c>
      <c r="R301" s="12" t="s">
        <v>518</v>
      </c>
      <c r="S301" s="12" t="s">
        <v>3675</v>
      </c>
      <c r="T301" s="12" t="s">
        <v>562</v>
      </c>
      <c r="U301" s="12" t="s">
        <v>494</v>
      </c>
      <c r="V301" s="12" t="s">
        <v>494</v>
      </c>
      <c r="W301" s="12"/>
      <c r="X301" s="12" t="s">
        <v>3676</v>
      </c>
      <c r="Y301" s="12" t="s">
        <v>3677</v>
      </c>
      <c r="Z301" s="12"/>
      <c r="AA301" s="12" t="s">
        <v>3678</v>
      </c>
      <c r="AB301" s="12" t="s">
        <v>204</v>
      </c>
      <c r="AC301" s="14" t="s">
        <v>498</v>
      </c>
      <c r="AD301" s="14" t="s">
        <v>499</v>
      </c>
      <c r="AE301" s="12" t="s">
        <v>500</v>
      </c>
      <c r="AF301" s="27" t="s">
        <v>501</v>
      </c>
      <c r="AG301" s="28"/>
      <c r="AH301" s="27"/>
      <c r="AI301" s="27"/>
      <c r="AJ301" s="27"/>
      <c r="AK301" s="28" t="str">
        <f aca="false">IF(AG301="","",WORKDAY(AG301,5))</f>
        <v/>
      </c>
      <c r="AL301" s="27"/>
      <c r="AM301" s="27"/>
    </row>
    <row r="302" customFormat="false" ht="23.85" hidden="false" customHeight="false" outlineLevel="0" collapsed="false">
      <c r="A302" s="19" t="s">
        <v>295</v>
      </c>
      <c r="B302" s="20" t="n">
        <v>301</v>
      </c>
      <c r="C302" s="21" t="n">
        <v>3</v>
      </c>
      <c r="D302" s="8" t="s">
        <v>143</v>
      </c>
      <c r="E302" s="8" t="s">
        <v>3679</v>
      </c>
      <c r="F302" s="8" t="s">
        <v>483</v>
      </c>
      <c r="G302" s="10" t="s">
        <v>3680</v>
      </c>
      <c r="H302" s="8" t="s">
        <v>3681</v>
      </c>
      <c r="I302" s="8"/>
      <c r="J302" s="8" t="s">
        <v>486</v>
      </c>
      <c r="K302" s="8" t="s">
        <v>487</v>
      </c>
      <c r="L302" s="8" t="s">
        <v>3682</v>
      </c>
      <c r="M302" s="8" t="s">
        <v>3683</v>
      </c>
      <c r="N302" s="8"/>
      <c r="O302" s="8" t="s">
        <v>3684</v>
      </c>
      <c r="P302" s="8" t="s">
        <v>3685</v>
      </c>
      <c r="Q302" s="8" t="s">
        <v>3686</v>
      </c>
      <c r="R302" s="8" t="s">
        <v>491</v>
      </c>
      <c r="S302" s="8" t="s">
        <v>3687</v>
      </c>
      <c r="T302" s="8" t="s">
        <v>3688</v>
      </c>
      <c r="U302" s="8" t="s">
        <v>494</v>
      </c>
      <c r="V302" s="8" t="s">
        <v>494</v>
      </c>
      <c r="W302" s="8"/>
      <c r="X302" s="8" t="s">
        <v>3689</v>
      </c>
      <c r="Y302" s="8" t="s">
        <v>3690</v>
      </c>
      <c r="Z302" s="8"/>
      <c r="AA302" s="8" t="s">
        <v>3691</v>
      </c>
      <c r="AB302" s="8" t="s">
        <v>179</v>
      </c>
      <c r="AC302" s="10" t="s">
        <v>498</v>
      </c>
      <c r="AD302" s="10" t="s">
        <v>499</v>
      </c>
      <c r="AE302" s="8" t="s">
        <v>500</v>
      </c>
      <c r="AF302" s="22" t="s">
        <v>501</v>
      </c>
      <c r="AG302" s="23"/>
      <c r="AH302" s="22"/>
      <c r="AI302" s="22"/>
      <c r="AJ302" s="22"/>
      <c r="AK302" s="23" t="str">
        <f aca="false">IF(AG302="","",WORKDAY(AG302,5))</f>
        <v/>
      </c>
      <c r="AL302" s="22"/>
      <c r="AM302" s="22"/>
    </row>
    <row r="303" customFormat="false" ht="35.05" hidden="false" customHeight="false" outlineLevel="0" collapsed="false">
      <c r="A303" s="24" t="s">
        <v>295</v>
      </c>
      <c r="B303" s="25" t="n">
        <v>302</v>
      </c>
      <c r="C303" s="26" t="n">
        <v>3</v>
      </c>
      <c r="D303" s="12" t="s">
        <v>143</v>
      </c>
      <c r="E303" s="12" t="s">
        <v>3692</v>
      </c>
      <c r="F303" s="12" t="s">
        <v>525</v>
      </c>
      <c r="G303" s="14" t="s">
        <v>3693</v>
      </c>
      <c r="H303" s="12" t="s">
        <v>3694</v>
      </c>
      <c r="I303" s="12"/>
      <c r="J303" s="12" t="s">
        <v>486</v>
      </c>
      <c r="K303" s="12" t="s">
        <v>487</v>
      </c>
      <c r="L303" s="12" t="s">
        <v>3695</v>
      </c>
      <c r="M303" s="12"/>
      <c r="N303" s="12"/>
      <c r="O303" s="12" t="s">
        <v>126</v>
      </c>
      <c r="P303" s="12" t="s">
        <v>3696</v>
      </c>
      <c r="Q303" s="12" t="s">
        <v>1308</v>
      </c>
      <c r="R303" s="12" t="s">
        <v>491</v>
      </c>
      <c r="S303" s="12" t="s">
        <v>3697</v>
      </c>
      <c r="T303" s="12" t="s">
        <v>3698</v>
      </c>
      <c r="U303" s="12" t="s">
        <v>494</v>
      </c>
      <c r="V303" s="12" t="s">
        <v>494</v>
      </c>
      <c r="W303" s="12"/>
      <c r="X303" s="12" t="s">
        <v>3699</v>
      </c>
      <c r="Y303" s="12"/>
      <c r="Z303" s="12"/>
      <c r="AA303" s="12" t="s">
        <v>3700</v>
      </c>
      <c r="AB303" s="12" t="s">
        <v>3701</v>
      </c>
      <c r="AC303" s="14" t="s">
        <v>498</v>
      </c>
      <c r="AD303" s="14" t="s">
        <v>499</v>
      </c>
      <c r="AE303" s="12" t="s">
        <v>500</v>
      </c>
      <c r="AF303" s="27" t="s">
        <v>501</v>
      </c>
      <c r="AG303" s="28"/>
      <c r="AH303" s="27"/>
      <c r="AI303" s="27"/>
      <c r="AJ303" s="27"/>
      <c r="AK303" s="28" t="str">
        <f aca="false">IF(AG303="","",WORKDAY(AG303,5))</f>
        <v/>
      </c>
      <c r="AL303" s="27"/>
      <c r="AM303" s="27"/>
    </row>
    <row r="304" customFormat="false" ht="35.05" hidden="false" customHeight="false" outlineLevel="0" collapsed="false">
      <c r="A304" s="24" t="s">
        <v>295</v>
      </c>
      <c r="B304" s="25" t="n">
        <v>303</v>
      </c>
      <c r="C304" s="26" t="n">
        <v>4</v>
      </c>
      <c r="D304" s="12" t="s">
        <v>281</v>
      </c>
      <c r="E304" s="12" t="s">
        <v>294</v>
      </c>
      <c r="F304" s="12" t="s">
        <v>735</v>
      </c>
      <c r="G304" s="14" t="s">
        <v>300</v>
      </c>
      <c r="H304" s="12" t="s">
        <v>3694</v>
      </c>
      <c r="I304" s="12"/>
      <c r="J304" s="12" t="s">
        <v>486</v>
      </c>
      <c r="K304" s="12" t="s">
        <v>487</v>
      </c>
      <c r="L304" s="12" t="s">
        <v>3702</v>
      </c>
      <c r="M304" s="12" t="s">
        <v>298</v>
      </c>
      <c r="N304" s="12" t="s">
        <v>299</v>
      </c>
      <c r="O304" s="12" t="s">
        <v>126</v>
      </c>
      <c r="P304" s="12" t="s">
        <v>296</v>
      </c>
      <c r="Q304" s="12" t="s">
        <v>3703</v>
      </c>
      <c r="R304" s="12" t="s">
        <v>491</v>
      </c>
      <c r="S304" s="12" t="s">
        <v>3704</v>
      </c>
      <c r="T304" s="12" t="s">
        <v>3705</v>
      </c>
      <c r="U304" s="12" t="s">
        <v>494</v>
      </c>
      <c r="V304" s="12" t="s">
        <v>494</v>
      </c>
      <c r="W304" s="12"/>
      <c r="X304" s="12" t="s">
        <v>3706</v>
      </c>
      <c r="Y304" s="12" t="s">
        <v>297</v>
      </c>
      <c r="Z304" s="12"/>
      <c r="AA304" s="12" t="s">
        <v>536</v>
      </c>
      <c r="AB304" s="12" t="s">
        <v>123</v>
      </c>
      <c r="AC304" s="14" t="s">
        <v>498</v>
      </c>
      <c r="AD304" s="14" t="s">
        <v>499</v>
      </c>
      <c r="AE304" s="12" t="s">
        <v>500</v>
      </c>
      <c r="AF304" s="27" t="s">
        <v>501</v>
      </c>
      <c r="AG304" s="28"/>
      <c r="AH304" s="27"/>
      <c r="AI304" s="27"/>
      <c r="AJ304" s="27"/>
      <c r="AK304" s="28" t="str">
        <f aca="false">IF(AG304="","",WORKDAY(AG304,5))</f>
        <v/>
      </c>
      <c r="AL304" s="27"/>
      <c r="AM304" s="27"/>
    </row>
    <row r="305" customFormat="false" ht="23.85" hidden="false" customHeight="false" outlineLevel="0" collapsed="false">
      <c r="A305" s="24" t="s">
        <v>295</v>
      </c>
      <c r="B305" s="25" t="n">
        <v>304</v>
      </c>
      <c r="C305" s="26" t="n">
        <v>3</v>
      </c>
      <c r="D305" s="12" t="s">
        <v>281</v>
      </c>
      <c r="E305" s="12" t="s">
        <v>3707</v>
      </c>
      <c r="F305" s="12" t="s">
        <v>525</v>
      </c>
      <c r="G305" s="14" t="s">
        <v>3708</v>
      </c>
      <c r="H305" s="12" t="s">
        <v>3709</v>
      </c>
      <c r="I305" s="12"/>
      <c r="J305" s="12" t="s">
        <v>486</v>
      </c>
      <c r="K305" s="12" t="s">
        <v>487</v>
      </c>
      <c r="L305" s="12" t="s">
        <v>295</v>
      </c>
      <c r="M305" s="12"/>
      <c r="N305" s="12"/>
      <c r="O305" s="12" t="s">
        <v>126</v>
      </c>
      <c r="P305" s="12" t="s">
        <v>3710</v>
      </c>
      <c r="Q305" s="12" t="s">
        <v>3711</v>
      </c>
      <c r="R305" s="12" t="s">
        <v>491</v>
      </c>
      <c r="S305" s="12" t="s">
        <v>3712</v>
      </c>
      <c r="T305" s="12" t="s">
        <v>3713</v>
      </c>
      <c r="U305" s="12" t="s">
        <v>494</v>
      </c>
      <c r="V305" s="12" t="s">
        <v>494</v>
      </c>
      <c r="W305" s="12"/>
      <c r="X305" s="12" t="s">
        <v>3714</v>
      </c>
      <c r="Y305" s="12" t="s">
        <v>3715</v>
      </c>
      <c r="Z305" s="12"/>
      <c r="AA305" s="12" t="s">
        <v>3716</v>
      </c>
      <c r="AB305" s="12" t="s">
        <v>123</v>
      </c>
      <c r="AC305" s="14" t="s">
        <v>498</v>
      </c>
      <c r="AD305" s="14" t="s">
        <v>499</v>
      </c>
      <c r="AE305" s="12" t="s">
        <v>500</v>
      </c>
      <c r="AF305" s="27" t="s">
        <v>501</v>
      </c>
      <c r="AG305" s="28"/>
      <c r="AH305" s="27"/>
      <c r="AI305" s="27"/>
      <c r="AJ305" s="27"/>
      <c r="AK305" s="28" t="str">
        <f aca="false">IF(AG305="","",WORKDAY(AG305,5))</f>
        <v/>
      </c>
      <c r="AL305" s="27"/>
      <c r="AM305" s="27"/>
    </row>
    <row r="306" customFormat="false" ht="23.85" hidden="false" customHeight="false" outlineLevel="0" collapsed="false">
      <c r="A306" s="24" t="s">
        <v>295</v>
      </c>
      <c r="B306" s="25" t="n">
        <v>305</v>
      </c>
      <c r="C306" s="26" t="n">
        <v>4</v>
      </c>
      <c r="D306" s="12" t="s">
        <v>374</v>
      </c>
      <c r="E306" s="12" t="s">
        <v>3717</v>
      </c>
      <c r="F306" s="12" t="s">
        <v>483</v>
      </c>
      <c r="G306" s="14" t="s">
        <v>3718</v>
      </c>
      <c r="H306" s="12" t="s">
        <v>3719</v>
      </c>
      <c r="I306" s="12"/>
      <c r="J306" s="12" t="s">
        <v>486</v>
      </c>
      <c r="K306" s="12" t="s">
        <v>487</v>
      </c>
      <c r="L306" s="12" t="s">
        <v>3720</v>
      </c>
      <c r="M306" s="12"/>
      <c r="N306" s="12"/>
      <c r="O306" s="12" t="s">
        <v>126</v>
      </c>
      <c r="P306" s="12" t="s">
        <v>3721</v>
      </c>
      <c r="Q306" s="12" t="s">
        <v>3722</v>
      </c>
      <c r="R306" s="12" t="s">
        <v>491</v>
      </c>
      <c r="S306" s="12" t="s">
        <v>3723</v>
      </c>
      <c r="T306" s="12" t="s">
        <v>562</v>
      </c>
      <c r="U306" s="12" t="s">
        <v>494</v>
      </c>
      <c r="V306" s="12" t="s">
        <v>494</v>
      </c>
      <c r="W306" s="12" t="s">
        <v>3724</v>
      </c>
      <c r="X306" s="12" t="s">
        <v>3725</v>
      </c>
      <c r="Y306" s="12" t="s">
        <v>3726</v>
      </c>
      <c r="Z306" s="12"/>
      <c r="AA306" s="12" t="s">
        <v>3727</v>
      </c>
      <c r="AB306" s="12" t="s">
        <v>123</v>
      </c>
      <c r="AC306" s="14" t="s">
        <v>498</v>
      </c>
      <c r="AD306" s="14" t="s">
        <v>499</v>
      </c>
      <c r="AE306" s="12" t="s">
        <v>500</v>
      </c>
      <c r="AF306" s="27" t="s">
        <v>501</v>
      </c>
      <c r="AG306" s="28"/>
      <c r="AH306" s="27"/>
      <c r="AI306" s="27"/>
      <c r="AJ306" s="27"/>
      <c r="AK306" s="28" t="str">
        <f aca="false">IF(AG306="","",WORKDAY(AG306,5))</f>
        <v/>
      </c>
      <c r="AL306" s="27"/>
      <c r="AM306" s="27"/>
    </row>
    <row r="307" customFormat="false" ht="23.85" hidden="false" customHeight="false" outlineLevel="0" collapsed="false">
      <c r="A307" s="24" t="s">
        <v>295</v>
      </c>
      <c r="B307" s="25" t="n">
        <v>306</v>
      </c>
      <c r="C307" s="26" t="n">
        <v>3</v>
      </c>
      <c r="D307" s="12" t="s">
        <v>405</v>
      </c>
      <c r="E307" s="12" t="s">
        <v>448</v>
      </c>
      <c r="F307" s="12" t="s">
        <v>735</v>
      </c>
      <c r="G307" s="14" t="s">
        <v>451</v>
      </c>
      <c r="H307" s="12" t="s">
        <v>3694</v>
      </c>
      <c r="I307" s="12"/>
      <c r="J307" s="12" t="s">
        <v>486</v>
      </c>
      <c r="K307" s="12" t="s">
        <v>487</v>
      </c>
      <c r="L307" s="12" t="s">
        <v>3728</v>
      </c>
      <c r="M307" s="12"/>
      <c r="N307" s="12"/>
      <c r="O307" s="12" t="s">
        <v>192</v>
      </c>
      <c r="P307" s="12" t="s">
        <v>449</v>
      </c>
      <c r="Q307" s="12" t="s">
        <v>1841</v>
      </c>
      <c r="R307" s="12" t="s">
        <v>491</v>
      </c>
      <c r="S307" s="12" t="s">
        <v>3729</v>
      </c>
      <c r="T307" s="12" t="s">
        <v>3730</v>
      </c>
      <c r="U307" s="12" t="s">
        <v>494</v>
      </c>
      <c r="V307" s="12" t="s">
        <v>1238</v>
      </c>
      <c r="W307" s="12"/>
      <c r="X307" s="12" t="s">
        <v>3731</v>
      </c>
      <c r="Y307" s="12" t="s">
        <v>450</v>
      </c>
      <c r="Z307" s="12" t="s">
        <v>3732</v>
      </c>
      <c r="AA307" s="12" t="s">
        <v>3733</v>
      </c>
      <c r="AB307" s="12" t="s">
        <v>123</v>
      </c>
      <c r="AC307" s="14" t="s">
        <v>498</v>
      </c>
      <c r="AD307" s="14" t="s">
        <v>499</v>
      </c>
      <c r="AE307" s="12" t="s">
        <v>500</v>
      </c>
      <c r="AF307" s="27" t="s">
        <v>501</v>
      </c>
      <c r="AG307" s="28"/>
      <c r="AH307" s="27"/>
      <c r="AI307" s="27"/>
      <c r="AJ307" s="27"/>
      <c r="AK307" s="28" t="str">
        <f aca="false">IF(AG307="","",WORKDAY(AG307,5))</f>
        <v/>
      </c>
      <c r="AL307" s="27"/>
      <c r="AM307" s="27"/>
    </row>
    <row r="308" customFormat="false" ht="35.05" hidden="false" customHeight="false" outlineLevel="0" collapsed="false">
      <c r="A308" s="24" t="s">
        <v>295</v>
      </c>
      <c r="B308" s="25" t="n">
        <v>307</v>
      </c>
      <c r="C308" s="26" t="n">
        <v>3</v>
      </c>
      <c r="D308" s="12" t="s">
        <v>405</v>
      </c>
      <c r="E308" s="12" t="s">
        <v>3734</v>
      </c>
      <c r="F308" s="12" t="s">
        <v>525</v>
      </c>
      <c r="G308" s="14" t="s">
        <v>3735</v>
      </c>
      <c r="H308" s="12" t="s">
        <v>3736</v>
      </c>
      <c r="I308" s="12"/>
      <c r="J308" s="12" t="s">
        <v>486</v>
      </c>
      <c r="K308" s="12" t="s">
        <v>487</v>
      </c>
      <c r="L308" s="12" t="s">
        <v>3737</v>
      </c>
      <c r="M308" s="12"/>
      <c r="N308" s="12"/>
      <c r="O308" s="12" t="s">
        <v>126</v>
      </c>
      <c r="P308" s="12" t="s">
        <v>3738</v>
      </c>
      <c r="Q308" s="12" t="s">
        <v>1841</v>
      </c>
      <c r="R308" s="12" t="s">
        <v>518</v>
      </c>
      <c r="S308" s="12" t="s">
        <v>3739</v>
      </c>
      <c r="T308" s="12" t="s">
        <v>3740</v>
      </c>
      <c r="U308" s="12" t="s">
        <v>494</v>
      </c>
      <c r="V308" s="12" t="s">
        <v>494</v>
      </c>
      <c r="W308" s="12"/>
      <c r="X308" s="12" t="s">
        <v>3741</v>
      </c>
      <c r="Y308" s="12"/>
      <c r="Z308" s="12"/>
      <c r="AA308" s="12" t="s">
        <v>3742</v>
      </c>
      <c r="AB308" s="12" t="s">
        <v>130</v>
      </c>
      <c r="AC308" s="14" t="s">
        <v>498</v>
      </c>
      <c r="AD308" s="14" t="s">
        <v>499</v>
      </c>
      <c r="AE308" s="12" t="s">
        <v>500</v>
      </c>
      <c r="AF308" s="27" t="s">
        <v>501</v>
      </c>
      <c r="AG308" s="28"/>
      <c r="AH308" s="27"/>
      <c r="AI308" s="27"/>
      <c r="AJ308" s="27"/>
      <c r="AK308" s="28" t="str">
        <f aca="false">IF(AG308="","",WORKDAY(AG308,5))</f>
        <v/>
      </c>
      <c r="AL308" s="27"/>
      <c r="AM308" s="27"/>
    </row>
    <row r="309" customFormat="false" ht="35.05" hidden="false" customHeight="false" outlineLevel="0" collapsed="false">
      <c r="A309" s="29" t="s">
        <v>3743</v>
      </c>
      <c r="B309" s="30" t="n">
        <v>308</v>
      </c>
      <c r="C309" s="21" t="n">
        <v>3</v>
      </c>
      <c r="D309" s="8" t="s">
        <v>405</v>
      </c>
      <c r="E309" s="8" t="s">
        <v>3744</v>
      </c>
      <c r="F309" s="8" t="s">
        <v>483</v>
      </c>
      <c r="G309" s="10" t="s">
        <v>593</v>
      </c>
      <c r="H309" s="8" t="s">
        <v>3745</v>
      </c>
      <c r="I309" s="8"/>
      <c r="J309" s="8" t="s">
        <v>486</v>
      </c>
      <c r="K309" s="8" t="s">
        <v>3746</v>
      </c>
      <c r="L309" s="8" t="s">
        <v>3747</v>
      </c>
      <c r="M309" s="8"/>
      <c r="N309" s="8"/>
      <c r="O309" s="8" t="s">
        <v>3748</v>
      </c>
      <c r="P309" s="8" t="s">
        <v>3749</v>
      </c>
      <c r="Q309" s="8" t="s">
        <v>3750</v>
      </c>
      <c r="R309" s="8" t="s">
        <v>518</v>
      </c>
      <c r="S309" s="8" t="s">
        <v>3751</v>
      </c>
      <c r="T309" s="8" t="s">
        <v>3752</v>
      </c>
      <c r="U309" s="8" t="s">
        <v>494</v>
      </c>
      <c r="V309" s="8" t="s">
        <v>494</v>
      </c>
      <c r="W309" s="8"/>
      <c r="X309" s="8" t="s">
        <v>3753</v>
      </c>
      <c r="Y309" s="8"/>
      <c r="Z309" s="8" t="s">
        <v>3754</v>
      </c>
      <c r="AA309" s="8" t="s">
        <v>3755</v>
      </c>
      <c r="AB309" s="8" t="s">
        <v>123</v>
      </c>
      <c r="AC309" s="10" t="s">
        <v>498</v>
      </c>
      <c r="AD309" s="10" t="s">
        <v>499</v>
      </c>
      <c r="AE309" s="8" t="s">
        <v>602</v>
      </c>
      <c r="AF309" s="22" t="s">
        <v>501</v>
      </c>
      <c r="AG309" s="23"/>
      <c r="AH309" s="22"/>
      <c r="AI309" s="22"/>
      <c r="AJ309" s="22"/>
      <c r="AK309" s="23" t="str">
        <f aca="false">IF(AG309="","",WORKDAY(AG309,5))</f>
        <v/>
      </c>
      <c r="AL309" s="22"/>
      <c r="AM309" s="22"/>
    </row>
    <row r="310" customFormat="false" ht="35.05" hidden="false" customHeight="false" outlineLevel="0" collapsed="false">
      <c r="A310" s="19" t="s">
        <v>101</v>
      </c>
      <c r="B310" s="20" t="n">
        <v>309</v>
      </c>
      <c r="C310" s="21" t="n">
        <v>5</v>
      </c>
      <c r="D310" s="8" t="s">
        <v>99</v>
      </c>
      <c r="E310" s="8" t="s">
        <v>100</v>
      </c>
      <c r="F310" s="8" t="s">
        <v>735</v>
      </c>
      <c r="G310" s="10" t="s">
        <v>106</v>
      </c>
      <c r="H310" s="8" t="s">
        <v>3756</v>
      </c>
      <c r="I310" s="8"/>
      <c r="J310" s="8" t="s">
        <v>101</v>
      </c>
      <c r="K310" s="8" t="s">
        <v>3757</v>
      </c>
      <c r="L310" s="8"/>
      <c r="M310" s="8"/>
      <c r="N310" s="8" t="s">
        <v>105</v>
      </c>
      <c r="O310" s="8" t="s">
        <v>102</v>
      </c>
      <c r="P310" s="8" t="s">
        <v>103</v>
      </c>
      <c r="Q310" s="8" t="s">
        <v>3758</v>
      </c>
      <c r="R310" s="8" t="s">
        <v>3759</v>
      </c>
      <c r="S310" s="8" t="s">
        <v>3760</v>
      </c>
      <c r="T310" s="8" t="s">
        <v>2381</v>
      </c>
      <c r="U310" s="8" t="s">
        <v>494</v>
      </c>
      <c r="V310" s="8" t="s">
        <v>494</v>
      </c>
      <c r="W310" s="8"/>
      <c r="X310" s="8" t="s">
        <v>3761</v>
      </c>
      <c r="Y310" s="8" t="s">
        <v>104</v>
      </c>
      <c r="Z310" s="8" t="s">
        <v>3762</v>
      </c>
      <c r="AA310" s="8" t="s">
        <v>3763</v>
      </c>
      <c r="AB310" s="8" t="s">
        <v>107</v>
      </c>
      <c r="AC310" s="10" t="s">
        <v>498</v>
      </c>
      <c r="AD310" s="10" t="s">
        <v>499</v>
      </c>
      <c r="AE310" s="8" t="s">
        <v>552</v>
      </c>
      <c r="AF310" s="22" t="s">
        <v>501</v>
      </c>
      <c r="AG310" s="23"/>
      <c r="AH310" s="22"/>
      <c r="AI310" s="22"/>
      <c r="AJ310" s="22"/>
      <c r="AK310" s="23" t="str">
        <f aca="false">IF(AG310="","",WORKDAY(AG310,5))</f>
        <v/>
      </c>
      <c r="AL310" s="22"/>
      <c r="AM310" s="22"/>
    </row>
    <row r="311" customFormat="false" ht="23.85" hidden="false" customHeight="false" outlineLevel="0" collapsed="false">
      <c r="A311" s="24" t="s">
        <v>101</v>
      </c>
      <c r="B311" s="25" t="n">
        <v>310</v>
      </c>
      <c r="C311" s="26" t="n">
        <v>5</v>
      </c>
      <c r="D311" s="12" t="s">
        <v>108</v>
      </c>
      <c r="E311" s="12" t="s">
        <v>109</v>
      </c>
      <c r="F311" s="12" t="s">
        <v>735</v>
      </c>
      <c r="G311" s="14" t="s">
        <v>115</v>
      </c>
      <c r="H311" s="12" t="s">
        <v>3764</v>
      </c>
      <c r="I311" s="12"/>
      <c r="J311" s="12" t="s">
        <v>101</v>
      </c>
      <c r="K311" s="12" t="s">
        <v>3757</v>
      </c>
      <c r="L311" s="12" t="s">
        <v>3765</v>
      </c>
      <c r="M311" s="12" t="s">
        <v>113</v>
      </c>
      <c r="N311" s="12" t="s">
        <v>114</v>
      </c>
      <c r="O311" s="12" t="s">
        <v>110</v>
      </c>
      <c r="P311" s="12" t="s">
        <v>111</v>
      </c>
      <c r="Q311" s="12" t="s">
        <v>3766</v>
      </c>
      <c r="R311" s="12" t="s">
        <v>3767</v>
      </c>
      <c r="S311" s="12" t="s">
        <v>3768</v>
      </c>
      <c r="T311" s="12" t="s">
        <v>2381</v>
      </c>
      <c r="U311" s="12" t="s">
        <v>494</v>
      </c>
      <c r="V311" s="12" t="s">
        <v>494</v>
      </c>
      <c r="W311" s="12" t="s">
        <v>3769</v>
      </c>
      <c r="X311" s="12" t="s">
        <v>3770</v>
      </c>
      <c r="Y311" s="12" t="s">
        <v>112</v>
      </c>
      <c r="Z311" s="12" t="s">
        <v>3771</v>
      </c>
      <c r="AA311" s="12" t="s">
        <v>3772</v>
      </c>
      <c r="AB311" s="12" t="s">
        <v>116</v>
      </c>
      <c r="AC311" s="14" t="s">
        <v>498</v>
      </c>
      <c r="AD311" s="14" t="s">
        <v>499</v>
      </c>
      <c r="AE311" s="12" t="s">
        <v>568</v>
      </c>
      <c r="AF311" s="27" t="s">
        <v>501</v>
      </c>
      <c r="AG311" s="28"/>
      <c r="AH311" s="27"/>
      <c r="AI311" s="27"/>
      <c r="AJ311" s="27"/>
      <c r="AK311" s="28" t="str">
        <f aca="false">IF(AG311="","",WORKDAY(AG311,5))</f>
        <v/>
      </c>
      <c r="AL311" s="27"/>
      <c r="AM311" s="27"/>
    </row>
    <row r="312" customFormat="false" ht="46.25" hidden="false" customHeight="false" outlineLevel="0" collapsed="false">
      <c r="A312" s="24" t="s">
        <v>101</v>
      </c>
      <c r="B312" s="25" t="n">
        <v>311</v>
      </c>
      <c r="C312" s="26" t="n">
        <v>3</v>
      </c>
      <c r="D312" s="12" t="s">
        <v>108</v>
      </c>
      <c r="E312" s="12" t="s">
        <v>3773</v>
      </c>
      <c r="F312" s="12" t="s">
        <v>483</v>
      </c>
      <c r="G312" s="14" t="s">
        <v>3774</v>
      </c>
      <c r="H312" s="12" t="s">
        <v>3775</v>
      </c>
      <c r="I312" s="12"/>
      <c r="J312" s="12" t="s">
        <v>101</v>
      </c>
      <c r="K312" s="12" t="s">
        <v>3757</v>
      </c>
      <c r="L312" s="12" t="s">
        <v>3776</v>
      </c>
      <c r="M312" s="12"/>
      <c r="N312" s="12"/>
      <c r="O312" s="12" t="s">
        <v>3777</v>
      </c>
      <c r="P312" s="12" t="s">
        <v>3778</v>
      </c>
      <c r="Q312" s="12" t="s">
        <v>3779</v>
      </c>
      <c r="R312" s="12" t="s">
        <v>518</v>
      </c>
      <c r="S312" s="12" t="s">
        <v>3780</v>
      </c>
      <c r="T312" s="12" t="s">
        <v>2381</v>
      </c>
      <c r="U312" s="12" t="s">
        <v>3781</v>
      </c>
      <c r="V312" s="12" t="s">
        <v>3782</v>
      </c>
      <c r="W312" s="12"/>
      <c r="X312" s="12" t="s">
        <v>3783</v>
      </c>
      <c r="Y312" s="12" t="s">
        <v>3784</v>
      </c>
      <c r="Z312" s="12"/>
      <c r="AA312" s="12" t="s">
        <v>1251</v>
      </c>
      <c r="AB312" s="12" t="s">
        <v>3785</v>
      </c>
      <c r="AC312" s="14" t="s">
        <v>498</v>
      </c>
      <c r="AD312" s="14" t="s">
        <v>499</v>
      </c>
      <c r="AE312" s="12" t="s">
        <v>568</v>
      </c>
      <c r="AF312" s="27" t="s">
        <v>501</v>
      </c>
      <c r="AG312" s="28"/>
      <c r="AH312" s="27"/>
      <c r="AI312" s="27"/>
      <c r="AJ312" s="27"/>
      <c r="AK312" s="28" t="str">
        <f aca="false">IF(AG312="","",WORKDAY(AG312,5))</f>
        <v/>
      </c>
      <c r="AL312" s="27"/>
      <c r="AM312" s="27"/>
    </row>
    <row r="313" customFormat="false" ht="23.85" hidden="false" customHeight="false" outlineLevel="0" collapsed="false">
      <c r="A313" s="24" t="s">
        <v>101</v>
      </c>
      <c r="B313" s="25" t="n">
        <v>312</v>
      </c>
      <c r="C313" s="26" t="n">
        <v>3</v>
      </c>
      <c r="D313" s="12" t="s">
        <v>108</v>
      </c>
      <c r="E313" s="12" t="s">
        <v>3786</v>
      </c>
      <c r="F313" s="12" t="s">
        <v>525</v>
      </c>
      <c r="G313" s="14" t="s">
        <v>3787</v>
      </c>
      <c r="H313" s="12" t="s">
        <v>3788</v>
      </c>
      <c r="I313" s="12"/>
      <c r="J313" s="12" t="s">
        <v>101</v>
      </c>
      <c r="K313" s="12" t="s">
        <v>3757</v>
      </c>
      <c r="L313" s="12" t="s">
        <v>3789</v>
      </c>
      <c r="M313" s="12"/>
      <c r="N313" s="12"/>
      <c r="O313" s="12" t="s">
        <v>3790</v>
      </c>
      <c r="P313" s="12" t="s">
        <v>3791</v>
      </c>
      <c r="Q313" s="12" t="s">
        <v>3792</v>
      </c>
      <c r="R313" s="12" t="s">
        <v>518</v>
      </c>
      <c r="S313" s="12" t="s">
        <v>1272</v>
      </c>
      <c r="T313" s="12" t="s">
        <v>2381</v>
      </c>
      <c r="U313" s="12" t="s">
        <v>494</v>
      </c>
      <c r="V313" s="12" t="s">
        <v>494</v>
      </c>
      <c r="W313" s="12"/>
      <c r="X313" s="12" t="s">
        <v>3793</v>
      </c>
      <c r="Y313" s="12" t="s">
        <v>3794</v>
      </c>
      <c r="Z313" s="12"/>
      <c r="AA313" s="12" t="s">
        <v>3795</v>
      </c>
      <c r="AB313" s="12" t="s">
        <v>3785</v>
      </c>
      <c r="AC313" s="14" t="s">
        <v>498</v>
      </c>
      <c r="AD313" s="14" t="s">
        <v>499</v>
      </c>
      <c r="AE313" s="12" t="s">
        <v>552</v>
      </c>
      <c r="AF313" s="27" t="s">
        <v>501</v>
      </c>
      <c r="AG313" s="28"/>
      <c r="AH313" s="27"/>
      <c r="AI313" s="27"/>
      <c r="AJ313" s="27"/>
      <c r="AK313" s="28" t="str">
        <f aca="false">IF(AG313="","",WORKDAY(AG313,5))</f>
        <v/>
      </c>
      <c r="AL313" s="27"/>
      <c r="AM313" s="27"/>
    </row>
    <row r="314" customFormat="false" ht="35.05" hidden="false" customHeight="false" outlineLevel="0" collapsed="false">
      <c r="A314" s="24" t="s">
        <v>101</v>
      </c>
      <c r="B314" s="25" t="n">
        <v>313</v>
      </c>
      <c r="C314" s="26" t="n">
        <v>5</v>
      </c>
      <c r="D314" s="12" t="s">
        <v>166</v>
      </c>
      <c r="E314" s="12" t="s">
        <v>167</v>
      </c>
      <c r="F314" s="12" t="s">
        <v>735</v>
      </c>
      <c r="G314" s="14" t="s">
        <v>172</v>
      </c>
      <c r="H314" s="12" t="s">
        <v>3796</v>
      </c>
      <c r="I314" s="12"/>
      <c r="J314" s="12" t="s">
        <v>101</v>
      </c>
      <c r="K314" s="12" t="s">
        <v>3757</v>
      </c>
      <c r="L314" s="12" t="s">
        <v>3797</v>
      </c>
      <c r="M314" s="12" t="s">
        <v>171</v>
      </c>
      <c r="N314" s="12"/>
      <c r="O314" s="12" t="s">
        <v>168</v>
      </c>
      <c r="P314" s="12" t="s">
        <v>169</v>
      </c>
      <c r="Q314" s="12" t="s">
        <v>2689</v>
      </c>
      <c r="R314" s="12" t="s">
        <v>3798</v>
      </c>
      <c r="S314" s="12" t="s">
        <v>3799</v>
      </c>
      <c r="T314" s="12" t="s">
        <v>3800</v>
      </c>
      <c r="U314" s="12" t="s">
        <v>494</v>
      </c>
      <c r="V314" s="12" t="s">
        <v>494</v>
      </c>
      <c r="W314" s="12" t="s">
        <v>3801</v>
      </c>
      <c r="X314" s="12" t="s">
        <v>3802</v>
      </c>
      <c r="Y314" s="12" t="s">
        <v>170</v>
      </c>
      <c r="Z314" s="12" t="s">
        <v>3803</v>
      </c>
      <c r="AA314" s="12" t="s">
        <v>3804</v>
      </c>
      <c r="AB314" s="12" t="s">
        <v>130</v>
      </c>
      <c r="AC314" s="14" t="s">
        <v>498</v>
      </c>
      <c r="AD314" s="14" t="s">
        <v>499</v>
      </c>
      <c r="AE314" s="12" t="s">
        <v>568</v>
      </c>
      <c r="AF314" s="27" t="s">
        <v>501</v>
      </c>
      <c r="AG314" s="28"/>
      <c r="AH314" s="27"/>
      <c r="AI314" s="27"/>
      <c r="AJ314" s="27"/>
      <c r="AK314" s="28" t="str">
        <f aca="false">IF(AG314="","",WORKDAY(AG314,5))</f>
        <v/>
      </c>
      <c r="AL314" s="27"/>
      <c r="AM314" s="27"/>
    </row>
    <row r="315" customFormat="false" ht="35.05" hidden="false" customHeight="false" outlineLevel="0" collapsed="false">
      <c r="A315" s="24" t="s">
        <v>101</v>
      </c>
      <c r="B315" s="25" t="n">
        <v>314</v>
      </c>
      <c r="C315" s="26" t="n">
        <v>4</v>
      </c>
      <c r="D315" s="12" t="s">
        <v>166</v>
      </c>
      <c r="E315" s="12" t="s">
        <v>217</v>
      </c>
      <c r="F315" s="12" t="s">
        <v>735</v>
      </c>
      <c r="G315" s="14" t="s">
        <v>223</v>
      </c>
      <c r="H315" s="12" t="s">
        <v>3805</v>
      </c>
      <c r="I315" s="12"/>
      <c r="J315" s="12" t="s">
        <v>101</v>
      </c>
      <c r="K315" s="12" t="s">
        <v>3757</v>
      </c>
      <c r="L315" s="12" t="s">
        <v>3806</v>
      </c>
      <c r="M315" s="12" t="s">
        <v>221</v>
      </c>
      <c r="N315" s="12" t="s">
        <v>222</v>
      </c>
      <c r="O315" s="12" t="s">
        <v>218</v>
      </c>
      <c r="P315" s="12" t="s">
        <v>219</v>
      </c>
      <c r="Q315" s="12" t="s">
        <v>3807</v>
      </c>
      <c r="R315" s="12" t="s">
        <v>518</v>
      </c>
      <c r="S315" s="12" t="s">
        <v>3808</v>
      </c>
      <c r="T315" s="12" t="s">
        <v>2381</v>
      </c>
      <c r="U315" s="12" t="s">
        <v>494</v>
      </c>
      <c r="V315" s="12" t="s">
        <v>494</v>
      </c>
      <c r="W315" s="12"/>
      <c r="X315" s="12" t="s">
        <v>3809</v>
      </c>
      <c r="Y315" s="12" t="s">
        <v>220</v>
      </c>
      <c r="Z315" s="12" t="s">
        <v>3810</v>
      </c>
      <c r="AA315" s="12" t="s">
        <v>536</v>
      </c>
      <c r="AB315" s="12" t="s">
        <v>123</v>
      </c>
      <c r="AC315" s="14" t="s">
        <v>498</v>
      </c>
      <c r="AD315" s="14" t="s">
        <v>499</v>
      </c>
      <c r="AE315" s="12" t="s">
        <v>568</v>
      </c>
      <c r="AF315" s="27" t="s">
        <v>501</v>
      </c>
      <c r="AG315" s="28"/>
      <c r="AH315" s="27"/>
      <c r="AI315" s="27"/>
      <c r="AJ315" s="27"/>
      <c r="AK315" s="28" t="str">
        <f aca="false">IF(AG315="","",WORKDAY(AG315,5))</f>
        <v/>
      </c>
      <c r="AL315" s="27"/>
      <c r="AM315" s="27"/>
    </row>
    <row r="316" customFormat="false" ht="23.85" hidden="false" customHeight="false" outlineLevel="0" collapsed="false">
      <c r="A316" s="24" t="s">
        <v>101</v>
      </c>
      <c r="B316" s="25" t="n">
        <v>315</v>
      </c>
      <c r="C316" s="26" t="n">
        <v>3</v>
      </c>
      <c r="D316" s="12" t="s">
        <v>166</v>
      </c>
      <c r="E316" s="12" t="s">
        <v>224</v>
      </c>
      <c r="F316" s="12" t="s">
        <v>735</v>
      </c>
      <c r="G316" s="14" t="s">
        <v>227</v>
      </c>
      <c r="H316" s="12" t="s">
        <v>3811</v>
      </c>
      <c r="I316" s="12"/>
      <c r="J316" s="12" t="s">
        <v>101</v>
      </c>
      <c r="K316" s="12" t="s">
        <v>3757</v>
      </c>
      <c r="L316" s="12" t="s">
        <v>3811</v>
      </c>
      <c r="M316" s="12"/>
      <c r="N316" s="12"/>
      <c r="O316" s="12" t="s">
        <v>225</v>
      </c>
      <c r="P316" s="12" t="s">
        <v>226</v>
      </c>
      <c r="Q316" s="12" t="s">
        <v>3812</v>
      </c>
      <c r="R316" s="12" t="s">
        <v>518</v>
      </c>
      <c r="S316" s="12" t="s">
        <v>1272</v>
      </c>
      <c r="T316" s="12" t="s">
        <v>2381</v>
      </c>
      <c r="U316" s="12" t="s">
        <v>494</v>
      </c>
      <c r="V316" s="12" t="s">
        <v>494</v>
      </c>
      <c r="W316" s="12"/>
      <c r="X316" s="12" t="s">
        <v>3813</v>
      </c>
      <c r="Y316" s="12"/>
      <c r="Z316" s="12"/>
      <c r="AA316" s="12" t="s">
        <v>3814</v>
      </c>
      <c r="AB316" s="12" t="s">
        <v>228</v>
      </c>
      <c r="AC316" s="14" t="s">
        <v>498</v>
      </c>
      <c r="AD316" s="14" t="s">
        <v>499</v>
      </c>
      <c r="AE316" s="12" t="s">
        <v>568</v>
      </c>
      <c r="AF316" s="27" t="s">
        <v>501</v>
      </c>
      <c r="AG316" s="28"/>
      <c r="AH316" s="27"/>
      <c r="AI316" s="27"/>
      <c r="AJ316" s="27"/>
      <c r="AK316" s="28" t="str">
        <f aca="false">IF(AG316="","",WORKDAY(AG316,5))</f>
        <v/>
      </c>
      <c r="AL316" s="27"/>
      <c r="AM316" s="27"/>
    </row>
    <row r="317" customFormat="false" ht="35.05" hidden="false" customHeight="false" outlineLevel="0" collapsed="false">
      <c r="A317" s="24" t="s">
        <v>101</v>
      </c>
      <c r="B317" s="25" t="n">
        <v>316</v>
      </c>
      <c r="C317" s="26" t="n">
        <v>3</v>
      </c>
      <c r="D317" s="12" t="s">
        <v>166</v>
      </c>
      <c r="E317" s="12" t="s">
        <v>3815</v>
      </c>
      <c r="F317" s="12" t="s">
        <v>525</v>
      </c>
      <c r="G317" s="14" t="s">
        <v>3816</v>
      </c>
      <c r="H317" s="12" t="s">
        <v>3817</v>
      </c>
      <c r="I317" s="12"/>
      <c r="J317" s="12" t="s">
        <v>101</v>
      </c>
      <c r="K317" s="12" t="s">
        <v>3757</v>
      </c>
      <c r="L317" s="12"/>
      <c r="M317" s="12"/>
      <c r="N317" s="12"/>
      <c r="O317" s="12" t="s">
        <v>3818</v>
      </c>
      <c r="P317" s="12" t="s">
        <v>3819</v>
      </c>
      <c r="Q317" s="12" t="s">
        <v>2689</v>
      </c>
      <c r="R317" s="12" t="s">
        <v>518</v>
      </c>
      <c r="S317" s="12" t="s">
        <v>3820</v>
      </c>
      <c r="T317" s="12" t="s">
        <v>2381</v>
      </c>
      <c r="U317" s="12" t="s">
        <v>2381</v>
      </c>
      <c r="V317" s="12" t="s">
        <v>494</v>
      </c>
      <c r="W317" s="12" t="s">
        <v>3821</v>
      </c>
      <c r="X317" s="12" t="s">
        <v>3822</v>
      </c>
      <c r="Y317" s="12" t="s">
        <v>3823</v>
      </c>
      <c r="Z317" s="12"/>
      <c r="AA317" s="12" t="s">
        <v>3824</v>
      </c>
      <c r="AB317" s="12" t="s">
        <v>3825</v>
      </c>
      <c r="AC317" s="14" t="s">
        <v>498</v>
      </c>
      <c r="AD317" s="14" t="s">
        <v>499</v>
      </c>
      <c r="AE317" s="12" t="s">
        <v>568</v>
      </c>
      <c r="AF317" s="27" t="s">
        <v>501</v>
      </c>
      <c r="AG317" s="28"/>
      <c r="AH317" s="27"/>
      <c r="AI317" s="27"/>
      <c r="AJ317" s="27"/>
      <c r="AK317" s="28" t="str">
        <f aca="false">IF(AG317="","",WORKDAY(AG317,5))</f>
        <v/>
      </c>
      <c r="AL317" s="27"/>
      <c r="AM317" s="27"/>
    </row>
    <row r="318" customFormat="false" ht="46.25" hidden="false" customHeight="false" outlineLevel="0" collapsed="false">
      <c r="A318" s="24" t="s">
        <v>101</v>
      </c>
      <c r="B318" s="25" t="n">
        <v>317</v>
      </c>
      <c r="C318" s="26" t="n">
        <v>5</v>
      </c>
      <c r="D318" s="12" t="s">
        <v>229</v>
      </c>
      <c r="E318" s="12" t="s">
        <v>230</v>
      </c>
      <c r="F318" s="12" t="s">
        <v>735</v>
      </c>
      <c r="G318" s="14" t="s">
        <v>234</v>
      </c>
      <c r="H318" s="12" t="s">
        <v>3826</v>
      </c>
      <c r="I318" s="12"/>
      <c r="J318" s="12" t="s">
        <v>101</v>
      </c>
      <c r="K318" s="12" t="s">
        <v>3757</v>
      </c>
      <c r="L318" s="12" t="s">
        <v>3827</v>
      </c>
      <c r="M318" s="12"/>
      <c r="N318" s="12"/>
      <c r="O318" s="12" t="s">
        <v>231</v>
      </c>
      <c r="P318" s="12" t="s">
        <v>232</v>
      </c>
      <c r="Q318" s="12" t="s">
        <v>3828</v>
      </c>
      <c r="R318" s="12" t="s">
        <v>518</v>
      </c>
      <c r="S318" s="12" t="s">
        <v>1417</v>
      </c>
      <c r="T318" s="12" t="s">
        <v>3829</v>
      </c>
      <c r="U318" s="12" t="s">
        <v>494</v>
      </c>
      <c r="V318" s="12" t="s">
        <v>494</v>
      </c>
      <c r="W318" s="12"/>
      <c r="X318" s="12" t="s">
        <v>3830</v>
      </c>
      <c r="Y318" s="12" t="s">
        <v>233</v>
      </c>
      <c r="Z318" s="12" t="s">
        <v>3831</v>
      </c>
      <c r="AA318" s="12" t="s">
        <v>550</v>
      </c>
      <c r="AB318" s="12" t="s">
        <v>235</v>
      </c>
      <c r="AC318" s="14" t="s">
        <v>498</v>
      </c>
      <c r="AD318" s="14" t="s">
        <v>499</v>
      </c>
      <c r="AE318" s="12" t="s">
        <v>552</v>
      </c>
      <c r="AF318" s="27" t="s">
        <v>501</v>
      </c>
      <c r="AG318" s="28"/>
      <c r="AH318" s="27"/>
      <c r="AI318" s="27"/>
      <c r="AJ318" s="27"/>
      <c r="AK318" s="28" t="str">
        <f aca="false">IF(AG318="","",WORKDAY(AG318,5))</f>
        <v/>
      </c>
      <c r="AL318" s="27"/>
      <c r="AM318" s="27"/>
    </row>
    <row r="319" customFormat="false" ht="46.25" hidden="false" customHeight="false" outlineLevel="0" collapsed="false">
      <c r="A319" s="24" t="s">
        <v>101</v>
      </c>
      <c r="B319" s="25" t="n">
        <v>318</v>
      </c>
      <c r="C319" s="26" t="n">
        <v>4</v>
      </c>
      <c r="D319" s="12" t="s">
        <v>229</v>
      </c>
      <c r="E319" s="12" t="s">
        <v>245</v>
      </c>
      <c r="F319" s="12" t="s">
        <v>735</v>
      </c>
      <c r="G319" s="14" t="s">
        <v>249</v>
      </c>
      <c r="H319" s="12" t="s">
        <v>3832</v>
      </c>
      <c r="I319" s="12"/>
      <c r="J319" s="12" t="s">
        <v>101</v>
      </c>
      <c r="K319" s="12" t="s">
        <v>3757</v>
      </c>
      <c r="L319" s="12" t="s">
        <v>3833</v>
      </c>
      <c r="M319" s="12"/>
      <c r="N319" s="12"/>
      <c r="O319" s="12" t="s">
        <v>246</v>
      </c>
      <c r="P319" s="12" t="s">
        <v>247</v>
      </c>
      <c r="Q319" s="12" t="s">
        <v>3828</v>
      </c>
      <c r="R319" s="12" t="s">
        <v>518</v>
      </c>
      <c r="S319" s="12" t="s">
        <v>1417</v>
      </c>
      <c r="T319" s="12" t="s">
        <v>3834</v>
      </c>
      <c r="U319" s="12" t="s">
        <v>494</v>
      </c>
      <c r="V319" s="12" t="s">
        <v>494</v>
      </c>
      <c r="W319" s="12"/>
      <c r="X319" s="12" t="s">
        <v>3835</v>
      </c>
      <c r="Y319" s="12" t="s">
        <v>248</v>
      </c>
      <c r="Z319" s="12" t="s">
        <v>3836</v>
      </c>
      <c r="AA319" s="12" t="s">
        <v>3837</v>
      </c>
      <c r="AB319" s="12" t="s">
        <v>250</v>
      </c>
      <c r="AC319" s="14" t="s">
        <v>498</v>
      </c>
      <c r="AD319" s="14" t="s">
        <v>499</v>
      </c>
      <c r="AE319" s="12" t="s">
        <v>552</v>
      </c>
      <c r="AF319" s="27" t="s">
        <v>501</v>
      </c>
      <c r="AG319" s="28"/>
      <c r="AH319" s="27"/>
      <c r="AI319" s="27"/>
      <c r="AJ319" s="27"/>
      <c r="AK319" s="28" t="str">
        <f aca="false">IF(AG319="","",WORKDAY(AG319,5))</f>
        <v/>
      </c>
      <c r="AL319" s="27"/>
      <c r="AM319" s="27"/>
    </row>
    <row r="320" customFormat="false" ht="35.05" hidden="false" customHeight="false" outlineLevel="0" collapsed="false">
      <c r="A320" s="24" t="s">
        <v>101</v>
      </c>
      <c r="B320" s="25" t="n">
        <v>319</v>
      </c>
      <c r="C320" s="26" t="n">
        <v>4</v>
      </c>
      <c r="D320" s="12" t="s">
        <v>229</v>
      </c>
      <c r="E320" s="12" t="s">
        <v>3838</v>
      </c>
      <c r="F320" s="12" t="s">
        <v>483</v>
      </c>
      <c r="G320" s="14" t="s">
        <v>3839</v>
      </c>
      <c r="H320" s="12" t="s">
        <v>3840</v>
      </c>
      <c r="I320" s="12"/>
      <c r="J320" s="12" t="s">
        <v>101</v>
      </c>
      <c r="K320" s="12" t="s">
        <v>3757</v>
      </c>
      <c r="L320" s="12" t="s">
        <v>3841</v>
      </c>
      <c r="M320" s="12"/>
      <c r="N320" s="12"/>
      <c r="O320" s="12" t="s">
        <v>231</v>
      </c>
      <c r="P320" s="12" t="s">
        <v>3842</v>
      </c>
      <c r="Q320" s="12" t="s">
        <v>2758</v>
      </c>
      <c r="R320" s="12" t="s">
        <v>518</v>
      </c>
      <c r="S320" s="12" t="s">
        <v>1417</v>
      </c>
      <c r="T320" s="12" t="s">
        <v>3843</v>
      </c>
      <c r="U320" s="12" t="s">
        <v>494</v>
      </c>
      <c r="V320" s="12" t="s">
        <v>494</v>
      </c>
      <c r="W320" s="12"/>
      <c r="X320" s="12" t="s">
        <v>3844</v>
      </c>
      <c r="Y320" s="12" t="s">
        <v>3845</v>
      </c>
      <c r="Z320" s="12" t="s">
        <v>3846</v>
      </c>
      <c r="AA320" s="12" t="s">
        <v>3847</v>
      </c>
      <c r="AB320" s="12" t="s">
        <v>3848</v>
      </c>
      <c r="AC320" s="14" t="s">
        <v>498</v>
      </c>
      <c r="AD320" s="14" t="s">
        <v>499</v>
      </c>
      <c r="AE320" s="12" t="s">
        <v>552</v>
      </c>
      <c r="AF320" s="27" t="s">
        <v>501</v>
      </c>
      <c r="AG320" s="28"/>
      <c r="AH320" s="27"/>
      <c r="AI320" s="27"/>
      <c r="AJ320" s="27"/>
      <c r="AK320" s="28" t="str">
        <f aca="false">IF(AG320="","",WORKDAY(AG320,5))</f>
        <v/>
      </c>
      <c r="AL320" s="27"/>
      <c r="AM320" s="27"/>
    </row>
    <row r="321" customFormat="false" ht="23.85" hidden="false" customHeight="false" outlineLevel="0" collapsed="false">
      <c r="A321" s="24" t="s">
        <v>101</v>
      </c>
      <c r="B321" s="25" t="n">
        <v>320</v>
      </c>
      <c r="C321" s="26" t="n">
        <v>3</v>
      </c>
      <c r="D321" s="12" t="s">
        <v>229</v>
      </c>
      <c r="E321" s="12" t="s">
        <v>3849</v>
      </c>
      <c r="F321" s="12" t="s">
        <v>483</v>
      </c>
      <c r="G321" s="14" t="s">
        <v>3850</v>
      </c>
      <c r="H321" s="12" t="s">
        <v>3851</v>
      </c>
      <c r="I321" s="12"/>
      <c r="J321" s="12" t="s">
        <v>101</v>
      </c>
      <c r="K321" s="12" t="s">
        <v>3757</v>
      </c>
      <c r="L321" s="12" t="s">
        <v>3852</v>
      </c>
      <c r="M321" s="12" t="s">
        <v>3853</v>
      </c>
      <c r="N321" s="12"/>
      <c r="O321" s="12" t="s">
        <v>3854</v>
      </c>
      <c r="P321" s="12" t="s">
        <v>3855</v>
      </c>
      <c r="Q321" s="12" t="s">
        <v>2758</v>
      </c>
      <c r="R321" s="12" t="s">
        <v>518</v>
      </c>
      <c r="S321" s="12" t="s">
        <v>3856</v>
      </c>
      <c r="T321" s="12" t="s">
        <v>3834</v>
      </c>
      <c r="U321" s="12" t="s">
        <v>494</v>
      </c>
      <c r="V321" s="12" t="s">
        <v>494</v>
      </c>
      <c r="W321" s="12"/>
      <c r="X321" s="12" t="s">
        <v>3857</v>
      </c>
      <c r="Y321" s="12" t="s">
        <v>3858</v>
      </c>
      <c r="Z321" s="12" t="s">
        <v>3859</v>
      </c>
      <c r="AA321" s="12" t="s">
        <v>550</v>
      </c>
      <c r="AB321" s="12" t="s">
        <v>3860</v>
      </c>
      <c r="AC321" s="14" t="s">
        <v>498</v>
      </c>
      <c r="AD321" s="14" t="s">
        <v>499</v>
      </c>
      <c r="AE321" s="12" t="s">
        <v>552</v>
      </c>
      <c r="AF321" s="27" t="s">
        <v>501</v>
      </c>
      <c r="AG321" s="28"/>
      <c r="AH321" s="27"/>
      <c r="AI321" s="27"/>
      <c r="AJ321" s="27"/>
      <c r="AK321" s="28" t="str">
        <f aca="false">IF(AG321="","",WORKDAY(AG321,5))</f>
        <v/>
      </c>
      <c r="AL321" s="27"/>
      <c r="AM321" s="27"/>
    </row>
    <row r="322" customFormat="false" ht="23.85" hidden="false" customHeight="false" outlineLevel="0" collapsed="false">
      <c r="A322" s="24" t="s">
        <v>101</v>
      </c>
      <c r="B322" s="25" t="n">
        <v>321</v>
      </c>
      <c r="C322" s="26" t="n">
        <v>4</v>
      </c>
      <c r="D322" s="12" t="s">
        <v>260</v>
      </c>
      <c r="E322" s="12" t="s">
        <v>269</v>
      </c>
      <c r="F322" s="12" t="s">
        <v>735</v>
      </c>
      <c r="G322" s="14" t="s">
        <v>273</v>
      </c>
      <c r="H322" s="12" t="s">
        <v>3861</v>
      </c>
      <c r="I322" s="12"/>
      <c r="J322" s="12" t="s">
        <v>101</v>
      </c>
      <c r="K322" s="12" t="s">
        <v>3757</v>
      </c>
      <c r="L322" s="12" t="s">
        <v>3862</v>
      </c>
      <c r="M322" s="12"/>
      <c r="N322" s="12"/>
      <c r="O322" s="12" t="s">
        <v>270</v>
      </c>
      <c r="P322" s="12" t="s">
        <v>271</v>
      </c>
      <c r="Q322" s="12" t="s">
        <v>3863</v>
      </c>
      <c r="R322" s="12" t="s">
        <v>3864</v>
      </c>
      <c r="S322" s="12" t="s">
        <v>3865</v>
      </c>
      <c r="T322" s="12" t="s">
        <v>2381</v>
      </c>
      <c r="U322" s="12" t="s">
        <v>494</v>
      </c>
      <c r="V322" s="12" t="s">
        <v>494</v>
      </c>
      <c r="W322" s="12"/>
      <c r="X322" s="12" t="s">
        <v>3866</v>
      </c>
      <c r="Y322" s="12" t="s">
        <v>272</v>
      </c>
      <c r="Z322" s="12" t="s">
        <v>3867</v>
      </c>
      <c r="AA322" s="12" t="s">
        <v>3868</v>
      </c>
      <c r="AB322" s="12" t="s">
        <v>123</v>
      </c>
      <c r="AC322" s="14" t="s">
        <v>498</v>
      </c>
      <c r="AD322" s="14" t="s">
        <v>499</v>
      </c>
      <c r="AE322" s="12" t="s">
        <v>552</v>
      </c>
      <c r="AF322" s="27" t="s">
        <v>501</v>
      </c>
      <c r="AG322" s="28"/>
      <c r="AH322" s="27"/>
      <c r="AI322" s="27"/>
      <c r="AJ322" s="27"/>
      <c r="AK322" s="28" t="str">
        <f aca="false">IF(AG322="","",WORKDAY(AG322,5))</f>
        <v/>
      </c>
      <c r="AL322" s="27"/>
      <c r="AM322" s="27"/>
    </row>
    <row r="323" customFormat="false" ht="46.25" hidden="false" customHeight="false" outlineLevel="0" collapsed="false">
      <c r="A323" s="24" t="s">
        <v>101</v>
      </c>
      <c r="B323" s="25" t="n">
        <v>322</v>
      </c>
      <c r="C323" s="26" t="n">
        <v>3</v>
      </c>
      <c r="D323" s="12" t="s">
        <v>260</v>
      </c>
      <c r="E323" s="12" t="s">
        <v>274</v>
      </c>
      <c r="F323" s="12" t="s">
        <v>735</v>
      </c>
      <c r="G323" s="14" t="s">
        <v>279</v>
      </c>
      <c r="H323" s="12" t="s">
        <v>3869</v>
      </c>
      <c r="I323" s="12"/>
      <c r="J323" s="12" t="s">
        <v>101</v>
      </c>
      <c r="K323" s="12" t="s">
        <v>3757</v>
      </c>
      <c r="L323" s="12"/>
      <c r="M323" s="12" t="s">
        <v>278</v>
      </c>
      <c r="N323" s="12"/>
      <c r="O323" s="12" t="s">
        <v>275</v>
      </c>
      <c r="P323" s="12" t="s">
        <v>276</v>
      </c>
      <c r="Q323" s="12" t="s">
        <v>3870</v>
      </c>
      <c r="R323" s="12" t="s">
        <v>3871</v>
      </c>
      <c r="S323" s="12" t="s">
        <v>3872</v>
      </c>
      <c r="T323" s="12" t="s">
        <v>2381</v>
      </c>
      <c r="U323" s="12" t="s">
        <v>494</v>
      </c>
      <c r="V323" s="12" t="s">
        <v>494</v>
      </c>
      <c r="W323" s="12"/>
      <c r="X323" s="12" t="s">
        <v>3873</v>
      </c>
      <c r="Y323" s="12" t="s">
        <v>277</v>
      </c>
      <c r="Z323" s="12"/>
      <c r="AA323" s="12" t="s">
        <v>3874</v>
      </c>
      <c r="AB323" s="12" t="s">
        <v>280</v>
      </c>
      <c r="AC323" s="14" t="s">
        <v>498</v>
      </c>
      <c r="AD323" s="14" t="s">
        <v>499</v>
      </c>
      <c r="AE323" s="12" t="s">
        <v>552</v>
      </c>
      <c r="AF323" s="27" t="s">
        <v>501</v>
      </c>
      <c r="AG323" s="28"/>
      <c r="AH323" s="27"/>
      <c r="AI323" s="27"/>
      <c r="AJ323" s="27"/>
      <c r="AK323" s="28" t="str">
        <f aca="false">IF(AG323="","",WORKDAY(AG323,5))</f>
        <v/>
      </c>
      <c r="AL323" s="27"/>
      <c r="AM323" s="27"/>
    </row>
    <row r="324" customFormat="false" ht="35.05" hidden="false" customHeight="false" outlineLevel="0" collapsed="false">
      <c r="A324" s="24" t="s">
        <v>101</v>
      </c>
      <c r="B324" s="25" t="n">
        <v>323</v>
      </c>
      <c r="C324" s="26" t="n">
        <v>3</v>
      </c>
      <c r="D324" s="12" t="s">
        <v>260</v>
      </c>
      <c r="E324" s="12" t="s">
        <v>3875</v>
      </c>
      <c r="F324" s="12" t="s">
        <v>483</v>
      </c>
      <c r="G324" s="14" t="s">
        <v>3876</v>
      </c>
      <c r="H324" s="12" t="s">
        <v>3877</v>
      </c>
      <c r="I324" s="12"/>
      <c r="J324" s="12" t="s">
        <v>101</v>
      </c>
      <c r="K324" s="12" t="s">
        <v>3757</v>
      </c>
      <c r="L324" s="12" t="s">
        <v>3878</v>
      </c>
      <c r="M324" s="12" t="s">
        <v>3879</v>
      </c>
      <c r="N324" s="12" t="s">
        <v>3880</v>
      </c>
      <c r="O324" s="12" t="s">
        <v>3881</v>
      </c>
      <c r="P324" s="12" t="s">
        <v>3882</v>
      </c>
      <c r="Q324" s="12" t="s">
        <v>3863</v>
      </c>
      <c r="R324" s="12" t="s">
        <v>3883</v>
      </c>
      <c r="S324" s="12" t="s">
        <v>3884</v>
      </c>
      <c r="T324" s="12" t="s">
        <v>2381</v>
      </c>
      <c r="U324" s="12" t="s">
        <v>494</v>
      </c>
      <c r="V324" s="12" t="s">
        <v>494</v>
      </c>
      <c r="W324" s="12"/>
      <c r="X324" s="12" t="s">
        <v>3885</v>
      </c>
      <c r="Y324" s="12"/>
      <c r="Z324" s="12"/>
      <c r="AA324" s="12" t="s">
        <v>3874</v>
      </c>
      <c r="AB324" s="12" t="s">
        <v>130</v>
      </c>
      <c r="AC324" s="14" t="s">
        <v>498</v>
      </c>
      <c r="AD324" s="14" t="s">
        <v>499</v>
      </c>
      <c r="AE324" s="12" t="s">
        <v>552</v>
      </c>
      <c r="AF324" s="27" t="s">
        <v>501</v>
      </c>
      <c r="AG324" s="28"/>
      <c r="AH324" s="27"/>
      <c r="AI324" s="27"/>
      <c r="AJ324" s="27"/>
      <c r="AK324" s="28" t="str">
        <f aca="false">IF(AG324="","",WORKDAY(AG324,5))</f>
        <v/>
      </c>
      <c r="AL324" s="27"/>
      <c r="AM324" s="27"/>
    </row>
    <row r="325" customFormat="false" ht="23.85" hidden="false" customHeight="false" outlineLevel="0" collapsed="false">
      <c r="A325" s="24" t="s">
        <v>101</v>
      </c>
      <c r="B325" s="25" t="n">
        <v>324</v>
      </c>
      <c r="C325" s="26" t="n">
        <v>3</v>
      </c>
      <c r="D325" s="12" t="s">
        <v>260</v>
      </c>
      <c r="E325" s="12" t="s">
        <v>3886</v>
      </c>
      <c r="F325" s="12" t="s">
        <v>483</v>
      </c>
      <c r="G325" s="14" t="s">
        <v>3887</v>
      </c>
      <c r="H325" s="12" t="s">
        <v>3888</v>
      </c>
      <c r="I325" s="12"/>
      <c r="J325" s="12" t="s">
        <v>101</v>
      </c>
      <c r="K325" s="12" t="s">
        <v>3757</v>
      </c>
      <c r="L325" s="12" t="s">
        <v>3889</v>
      </c>
      <c r="M325" s="12" t="s">
        <v>3890</v>
      </c>
      <c r="N325" s="12"/>
      <c r="O325" s="12" t="s">
        <v>3891</v>
      </c>
      <c r="P325" s="12" t="s">
        <v>3882</v>
      </c>
      <c r="Q325" s="12" t="s">
        <v>3863</v>
      </c>
      <c r="R325" s="12" t="s">
        <v>3871</v>
      </c>
      <c r="S325" s="12" t="s">
        <v>3892</v>
      </c>
      <c r="T325" s="12" t="s">
        <v>2381</v>
      </c>
      <c r="U325" s="12" t="s">
        <v>494</v>
      </c>
      <c r="V325" s="12" t="s">
        <v>494</v>
      </c>
      <c r="W325" s="12"/>
      <c r="X325" s="12" t="s">
        <v>3893</v>
      </c>
      <c r="Y325" s="12"/>
      <c r="Z325" s="12"/>
      <c r="AA325" s="12" t="s">
        <v>3894</v>
      </c>
      <c r="AB325" s="12" t="s">
        <v>123</v>
      </c>
      <c r="AC325" s="14" t="s">
        <v>498</v>
      </c>
      <c r="AD325" s="14" t="s">
        <v>499</v>
      </c>
      <c r="AE325" s="12" t="s">
        <v>552</v>
      </c>
      <c r="AF325" s="27" t="s">
        <v>501</v>
      </c>
      <c r="AG325" s="28"/>
      <c r="AH325" s="27"/>
      <c r="AI325" s="27"/>
      <c r="AJ325" s="27"/>
      <c r="AK325" s="28" t="str">
        <f aca="false">IF(AG325="","",WORKDAY(AG325,5))</f>
        <v/>
      </c>
      <c r="AL325" s="27"/>
      <c r="AM325" s="27"/>
    </row>
    <row r="326" customFormat="false" ht="23.85" hidden="false" customHeight="false" outlineLevel="0" collapsed="false">
      <c r="A326" s="24" t="s">
        <v>101</v>
      </c>
      <c r="B326" s="25" t="n">
        <v>325</v>
      </c>
      <c r="C326" s="26" t="n">
        <v>3</v>
      </c>
      <c r="D326" s="12" t="s">
        <v>260</v>
      </c>
      <c r="E326" s="12" t="s">
        <v>3895</v>
      </c>
      <c r="F326" s="12" t="s">
        <v>483</v>
      </c>
      <c r="G326" s="14" t="s">
        <v>3896</v>
      </c>
      <c r="H326" s="12" t="s">
        <v>3897</v>
      </c>
      <c r="I326" s="12"/>
      <c r="J326" s="12" t="s">
        <v>101</v>
      </c>
      <c r="K326" s="12" t="s">
        <v>3757</v>
      </c>
      <c r="L326" s="12" t="s">
        <v>3898</v>
      </c>
      <c r="M326" s="12" t="s">
        <v>3899</v>
      </c>
      <c r="N326" s="12" t="s">
        <v>3900</v>
      </c>
      <c r="O326" s="12" t="s">
        <v>3901</v>
      </c>
      <c r="P326" s="12" t="s">
        <v>3902</v>
      </c>
      <c r="Q326" s="12" t="s">
        <v>1218</v>
      </c>
      <c r="R326" s="12" t="s">
        <v>518</v>
      </c>
      <c r="S326" s="12" t="s">
        <v>1272</v>
      </c>
      <c r="T326" s="12" t="s">
        <v>2381</v>
      </c>
      <c r="U326" s="12" t="s">
        <v>494</v>
      </c>
      <c r="V326" s="12" t="s">
        <v>494</v>
      </c>
      <c r="W326" s="12"/>
      <c r="X326" s="12" t="s">
        <v>3903</v>
      </c>
      <c r="Y326" s="12"/>
      <c r="Z326" s="12" t="s">
        <v>3904</v>
      </c>
      <c r="AA326" s="12" t="s">
        <v>3905</v>
      </c>
      <c r="AB326" s="12" t="s">
        <v>3906</v>
      </c>
      <c r="AC326" s="14" t="s">
        <v>498</v>
      </c>
      <c r="AD326" s="14" t="s">
        <v>499</v>
      </c>
      <c r="AE326" s="12" t="s">
        <v>552</v>
      </c>
      <c r="AF326" s="27" t="s">
        <v>501</v>
      </c>
      <c r="AG326" s="28"/>
      <c r="AH326" s="27"/>
      <c r="AI326" s="27"/>
      <c r="AJ326" s="27"/>
      <c r="AK326" s="28" t="str">
        <f aca="false">IF(AG326="","",WORKDAY(AG326,5))</f>
        <v/>
      </c>
      <c r="AL326" s="27"/>
      <c r="AM326" s="27"/>
    </row>
    <row r="327" customFormat="false" ht="23.85" hidden="false" customHeight="false" outlineLevel="0" collapsed="false">
      <c r="A327" s="24" t="s">
        <v>101</v>
      </c>
      <c r="B327" s="25" t="n">
        <v>326</v>
      </c>
      <c r="C327" s="26" t="n">
        <v>3</v>
      </c>
      <c r="D327" s="12" t="s">
        <v>260</v>
      </c>
      <c r="E327" s="12" t="s">
        <v>3907</v>
      </c>
      <c r="F327" s="12" t="s">
        <v>483</v>
      </c>
      <c r="G327" s="14" t="s">
        <v>3908</v>
      </c>
      <c r="H327" s="12" t="s">
        <v>3909</v>
      </c>
      <c r="I327" s="12"/>
      <c r="J327" s="12" t="s">
        <v>101</v>
      </c>
      <c r="K327" s="12" t="s">
        <v>3757</v>
      </c>
      <c r="L327" s="12" t="s">
        <v>3910</v>
      </c>
      <c r="M327" s="12"/>
      <c r="N327" s="12"/>
      <c r="O327" s="12" t="s">
        <v>3911</v>
      </c>
      <c r="P327" s="12" t="s">
        <v>3912</v>
      </c>
      <c r="Q327" s="12" t="s">
        <v>3913</v>
      </c>
      <c r="R327" s="12" t="s">
        <v>518</v>
      </c>
      <c r="S327" s="12" t="s">
        <v>3914</v>
      </c>
      <c r="T327" s="12" t="s">
        <v>2381</v>
      </c>
      <c r="U327" s="12" t="s">
        <v>494</v>
      </c>
      <c r="V327" s="12" t="s">
        <v>494</v>
      </c>
      <c r="W327" s="12"/>
      <c r="X327" s="12" t="s">
        <v>3915</v>
      </c>
      <c r="Y327" s="12" t="s">
        <v>3916</v>
      </c>
      <c r="Z327" s="12"/>
      <c r="AA327" s="12" t="s">
        <v>3772</v>
      </c>
      <c r="AB327" s="12" t="s">
        <v>130</v>
      </c>
      <c r="AC327" s="14" t="s">
        <v>498</v>
      </c>
      <c r="AD327" s="14" t="s">
        <v>499</v>
      </c>
      <c r="AE327" s="12" t="s">
        <v>552</v>
      </c>
      <c r="AF327" s="27" t="s">
        <v>501</v>
      </c>
      <c r="AG327" s="28"/>
      <c r="AH327" s="27"/>
      <c r="AI327" s="27"/>
      <c r="AJ327" s="27"/>
      <c r="AK327" s="28" t="str">
        <f aca="false">IF(AG327="","",WORKDAY(AG327,5))</f>
        <v/>
      </c>
      <c r="AL327" s="27"/>
      <c r="AM327" s="27"/>
    </row>
    <row r="328" customFormat="false" ht="23.85" hidden="false" customHeight="false" outlineLevel="0" collapsed="false">
      <c r="A328" s="24" t="s">
        <v>101</v>
      </c>
      <c r="B328" s="25" t="n">
        <v>327</v>
      </c>
      <c r="C328" s="26" t="n">
        <v>3</v>
      </c>
      <c r="D328" s="12" t="s">
        <v>260</v>
      </c>
      <c r="E328" s="12" t="s">
        <v>3917</v>
      </c>
      <c r="F328" s="12" t="s">
        <v>483</v>
      </c>
      <c r="G328" s="14" t="s">
        <v>3918</v>
      </c>
      <c r="H328" s="12" t="s">
        <v>3919</v>
      </c>
      <c r="I328" s="12"/>
      <c r="J328" s="12" t="s">
        <v>101</v>
      </c>
      <c r="K328" s="12" t="s">
        <v>3757</v>
      </c>
      <c r="L328" s="12" t="s">
        <v>3920</v>
      </c>
      <c r="M328" s="12" t="s">
        <v>3921</v>
      </c>
      <c r="N328" s="12"/>
      <c r="O328" s="12" t="s">
        <v>3891</v>
      </c>
      <c r="P328" s="12" t="s">
        <v>3922</v>
      </c>
      <c r="Q328" s="12" t="s">
        <v>3863</v>
      </c>
      <c r="R328" s="12" t="s">
        <v>3871</v>
      </c>
      <c r="S328" s="12" t="s">
        <v>3884</v>
      </c>
      <c r="T328" s="12" t="s">
        <v>2381</v>
      </c>
      <c r="U328" s="12" t="s">
        <v>494</v>
      </c>
      <c r="V328" s="12" t="s">
        <v>494</v>
      </c>
      <c r="W328" s="12"/>
      <c r="X328" s="12" t="s">
        <v>3923</v>
      </c>
      <c r="Y328" s="12"/>
      <c r="Z328" s="12"/>
      <c r="AA328" s="12" t="s">
        <v>3795</v>
      </c>
      <c r="AB328" s="12" t="s">
        <v>3924</v>
      </c>
      <c r="AC328" s="14" t="s">
        <v>498</v>
      </c>
      <c r="AD328" s="14" t="s">
        <v>499</v>
      </c>
      <c r="AE328" s="12" t="s">
        <v>552</v>
      </c>
      <c r="AF328" s="27" t="s">
        <v>501</v>
      </c>
      <c r="AG328" s="28"/>
      <c r="AH328" s="27"/>
      <c r="AI328" s="27"/>
      <c r="AJ328" s="27"/>
      <c r="AK328" s="28" t="str">
        <f aca="false">IF(AG328="","",WORKDAY(AG328,5))</f>
        <v/>
      </c>
      <c r="AL328" s="27"/>
      <c r="AM328" s="27"/>
    </row>
    <row r="329" customFormat="false" ht="35.05" hidden="false" customHeight="false" outlineLevel="0" collapsed="false">
      <c r="A329" s="24" t="s">
        <v>101</v>
      </c>
      <c r="B329" s="25" t="n">
        <v>328</v>
      </c>
      <c r="C329" s="26" t="n">
        <v>5</v>
      </c>
      <c r="D329" s="12" t="s">
        <v>281</v>
      </c>
      <c r="E329" s="12" t="s">
        <v>282</v>
      </c>
      <c r="F329" s="12" t="s">
        <v>735</v>
      </c>
      <c r="G329" s="14" t="s">
        <v>286</v>
      </c>
      <c r="H329" s="12" t="s">
        <v>3925</v>
      </c>
      <c r="I329" s="12"/>
      <c r="J329" s="12" t="s">
        <v>101</v>
      </c>
      <c r="K329" s="12" t="s">
        <v>3757</v>
      </c>
      <c r="L329" s="12" t="s">
        <v>3926</v>
      </c>
      <c r="M329" s="12" t="s">
        <v>285</v>
      </c>
      <c r="N329" s="12"/>
      <c r="O329" s="12" t="s">
        <v>252</v>
      </c>
      <c r="P329" s="12" t="s">
        <v>283</v>
      </c>
      <c r="Q329" s="12" t="s">
        <v>3927</v>
      </c>
      <c r="R329" s="12" t="s">
        <v>3928</v>
      </c>
      <c r="S329" s="12" t="s">
        <v>3929</v>
      </c>
      <c r="T329" s="12" t="s">
        <v>3930</v>
      </c>
      <c r="U329" s="12" t="s">
        <v>494</v>
      </c>
      <c r="V329" s="12" t="s">
        <v>494</v>
      </c>
      <c r="W329" s="12"/>
      <c r="X329" s="12" t="s">
        <v>3931</v>
      </c>
      <c r="Y329" s="12" t="s">
        <v>284</v>
      </c>
      <c r="Z329" s="12" t="s">
        <v>3932</v>
      </c>
      <c r="AA329" s="12" t="s">
        <v>536</v>
      </c>
      <c r="AB329" s="12" t="s">
        <v>287</v>
      </c>
      <c r="AC329" s="14" t="s">
        <v>498</v>
      </c>
      <c r="AD329" s="14" t="s">
        <v>499</v>
      </c>
      <c r="AE329" s="12" t="s">
        <v>552</v>
      </c>
      <c r="AF329" s="27" t="s">
        <v>501</v>
      </c>
      <c r="AG329" s="28"/>
      <c r="AH329" s="27"/>
      <c r="AI329" s="27"/>
      <c r="AJ329" s="27"/>
      <c r="AK329" s="28" t="str">
        <f aca="false">IF(AG329="","",WORKDAY(AG329,5))</f>
        <v/>
      </c>
      <c r="AL329" s="27"/>
      <c r="AM329" s="27"/>
    </row>
    <row r="330" customFormat="false" ht="23.85" hidden="false" customHeight="false" outlineLevel="0" collapsed="false">
      <c r="A330" s="24" t="s">
        <v>101</v>
      </c>
      <c r="B330" s="25" t="n">
        <v>329</v>
      </c>
      <c r="C330" s="26" t="n">
        <v>4</v>
      </c>
      <c r="D330" s="12" t="s">
        <v>281</v>
      </c>
      <c r="E330" s="12" t="s">
        <v>3933</v>
      </c>
      <c r="F330" s="12" t="s">
        <v>483</v>
      </c>
      <c r="G330" s="14" t="s">
        <v>3934</v>
      </c>
      <c r="H330" s="12" t="s">
        <v>3935</v>
      </c>
      <c r="I330" s="12"/>
      <c r="J330" s="12" t="s">
        <v>101</v>
      </c>
      <c r="K330" s="12" t="s">
        <v>3757</v>
      </c>
      <c r="L330" s="12" t="s">
        <v>3936</v>
      </c>
      <c r="M330" s="12"/>
      <c r="N330" s="12"/>
      <c r="O330" s="12" t="s">
        <v>2285</v>
      </c>
      <c r="P330" s="12" t="s">
        <v>3937</v>
      </c>
      <c r="Q330" s="12" t="s">
        <v>2287</v>
      </c>
      <c r="R330" s="12" t="s">
        <v>518</v>
      </c>
      <c r="S330" s="12" t="s">
        <v>3938</v>
      </c>
      <c r="T330" s="12" t="s">
        <v>2381</v>
      </c>
      <c r="U330" s="12" t="s">
        <v>494</v>
      </c>
      <c r="V330" s="12" t="s">
        <v>494</v>
      </c>
      <c r="W330" s="12"/>
      <c r="X330" s="12" t="s">
        <v>3939</v>
      </c>
      <c r="Y330" s="12" t="s">
        <v>3940</v>
      </c>
      <c r="Z330" s="12"/>
      <c r="AA330" s="12" t="s">
        <v>3941</v>
      </c>
      <c r="AB330" s="12" t="s">
        <v>3942</v>
      </c>
      <c r="AC330" s="14" t="s">
        <v>498</v>
      </c>
      <c r="AD330" s="14" t="s">
        <v>499</v>
      </c>
      <c r="AE330" s="12" t="s">
        <v>552</v>
      </c>
      <c r="AF330" s="27" t="s">
        <v>501</v>
      </c>
      <c r="AG330" s="28"/>
      <c r="AH330" s="27"/>
      <c r="AI330" s="27"/>
      <c r="AJ330" s="27"/>
      <c r="AK330" s="28" t="str">
        <f aca="false">IF(AG330="","",WORKDAY(AG330,5))</f>
        <v/>
      </c>
      <c r="AL330" s="27"/>
      <c r="AM330" s="27"/>
    </row>
    <row r="331" customFormat="false" ht="46.25" hidden="false" customHeight="false" outlineLevel="0" collapsed="false">
      <c r="A331" s="24" t="s">
        <v>101</v>
      </c>
      <c r="B331" s="25" t="n">
        <v>330</v>
      </c>
      <c r="C331" s="26" t="n">
        <v>3</v>
      </c>
      <c r="D331" s="12" t="s">
        <v>281</v>
      </c>
      <c r="E331" s="12" t="s">
        <v>3943</v>
      </c>
      <c r="F331" s="12" t="s">
        <v>483</v>
      </c>
      <c r="G331" s="14" t="s">
        <v>3944</v>
      </c>
      <c r="H331" s="12" t="s">
        <v>3945</v>
      </c>
      <c r="I331" s="12"/>
      <c r="J331" s="12" t="s">
        <v>101</v>
      </c>
      <c r="K331" s="12" t="s">
        <v>3757</v>
      </c>
      <c r="L331" s="12" t="s">
        <v>3946</v>
      </c>
      <c r="M331" s="12" t="s">
        <v>3947</v>
      </c>
      <c r="N331" s="12" t="s">
        <v>3948</v>
      </c>
      <c r="O331" s="12" t="s">
        <v>231</v>
      </c>
      <c r="P331" s="12" t="s">
        <v>3949</v>
      </c>
      <c r="Q331" s="12" t="s">
        <v>3950</v>
      </c>
      <c r="R331" s="12" t="s">
        <v>518</v>
      </c>
      <c r="S331" s="12" t="s">
        <v>3951</v>
      </c>
      <c r="T331" s="12" t="s">
        <v>3834</v>
      </c>
      <c r="U331" s="12" t="s">
        <v>494</v>
      </c>
      <c r="V331" s="12" t="s">
        <v>494</v>
      </c>
      <c r="W331" s="12"/>
      <c r="X331" s="12" t="s">
        <v>3952</v>
      </c>
      <c r="Y331" s="12" t="s">
        <v>3953</v>
      </c>
      <c r="Z331" s="12" t="s">
        <v>3954</v>
      </c>
      <c r="AA331" s="12" t="s">
        <v>3955</v>
      </c>
      <c r="AB331" s="12" t="s">
        <v>3956</v>
      </c>
      <c r="AC331" s="14" t="s">
        <v>498</v>
      </c>
      <c r="AD331" s="14" t="s">
        <v>499</v>
      </c>
      <c r="AE331" s="12" t="s">
        <v>552</v>
      </c>
      <c r="AF331" s="27" t="s">
        <v>501</v>
      </c>
      <c r="AG331" s="28"/>
      <c r="AH331" s="27"/>
      <c r="AI331" s="27"/>
      <c r="AJ331" s="27"/>
      <c r="AK331" s="28" t="str">
        <f aca="false">IF(AG331="","",WORKDAY(AG331,5))</f>
        <v/>
      </c>
      <c r="AL331" s="27"/>
      <c r="AM331" s="27"/>
    </row>
    <row r="332" customFormat="false" ht="35.05" hidden="false" customHeight="false" outlineLevel="0" collapsed="false">
      <c r="A332" s="24" t="s">
        <v>101</v>
      </c>
      <c r="B332" s="25" t="n">
        <v>331</v>
      </c>
      <c r="C332" s="26" t="n">
        <v>3</v>
      </c>
      <c r="D332" s="12" t="s">
        <v>281</v>
      </c>
      <c r="E332" s="12" t="s">
        <v>3957</v>
      </c>
      <c r="F332" s="12" t="s">
        <v>483</v>
      </c>
      <c r="G332" s="14" t="s">
        <v>593</v>
      </c>
      <c r="H332" s="12" t="s">
        <v>3826</v>
      </c>
      <c r="I332" s="12"/>
      <c r="J332" s="12" t="s">
        <v>101</v>
      </c>
      <c r="K332" s="12" t="s">
        <v>3757</v>
      </c>
      <c r="L332" s="12" t="s">
        <v>3958</v>
      </c>
      <c r="M332" s="12" t="s">
        <v>3959</v>
      </c>
      <c r="N332" s="12"/>
      <c r="O332" s="12" t="s">
        <v>3960</v>
      </c>
      <c r="P332" s="12" t="s">
        <v>3961</v>
      </c>
      <c r="Q332" s="12" t="s">
        <v>3962</v>
      </c>
      <c r="R332" s="12" t="s">
        <v>518</v>
      </c>
      <c r="S332" s="12" t="s">
        <v>3963</v>
      </c>
      <c r="T332" s="12" t="s">
        <v>2381</v>
      </c>
      <c r="U332" s="12" t="s">
        <v>494</v>
      </c>
      <c r="V332" s="12" t="s">
        <v>494</v>
      </c>
      <c r="W332" s="12"/>
      <c r="X332" s="12" t="s">
        <v>3964</v>
      </c>
      <c r="Y332" s="12" t="s">
        <v>3965</v>
      </c>
      <c r="Z332" s="12" t="s">
        <v>3966</v>
      </c>
      <c r="AA332" s="12" t="s">
        <v>3967</v>
      </c>
      <c r="AB332" s="12" t="s">
        <v>3968</v>
      </c>
      <c r="AC332" s="14" t="s">
        <v>498</v>
      </c>
      <c r="AD332" s="14" t="s">
        <v>499</v>
      </c>
      <c r="AE332" s="12" t="s">
        <v>552</v>
      </c>
      <c r="AF332" s="27" t="s">
        <v>501</v>
      </c>
      <c r="AG332" s="28"/>
      <c r="AH332" s="27"/>
      <c r="AI332" s="27"/>
      <c r="AJ332" s="27"/>
      <c r="AK332" s="28" t="str">
        <f aca="false">IF(AG332="","",WORKDAY(AG332,5))</f>
        <v/>
      </c>
      <c r="AL332" s="27"/>
      <c r="AM332" s="27"/>
    </row>
    <row r="333" customFormat="false" ht="35.05" hidden="false" customHeight="false" outlineLevel="0" collapsed="false">
      <c r="A333" s="24" t="s">
        <v>101</v>
      </c>
      <c r="B333" s="25" t="n">
        <v>332</v>
      </c>
      <c r="C333" s="26" t="n">
        <v>4</v>
      </c>
      <c r="D333" s="12" t="s">
        <v>281</v>
      </c>
      <c r="E333" s="12" t="s">
        <v>3969</v>
      </c>
      <c r="F333" s="12" t="s">
        <v>525</v>
      </c>
      <c r="G333" s="14" t="s">
        <v>3970</v>
      </c>
      <c r="H333" s="12" t="s">
        <v>3971</v>
      </c>
      <c r="I333" s="12"/>
      <c r="J333" s="12" t="s">
        <v>101</v>
      </c>
      <c r="K333" s="12" t="s">
        <v>3757</v>
      </c>
      <c r="L333" s="12" t="s">
        <v>3972</v>
      </c>
      <c r="M333" s="12"/>
      <c r="N333" s="12"/>
      <c r="O333" s="12" t="s">
        <v>3973</v>
      </c>
      <c r="P333" s="12" t="s">
        <v>3974</v>
      </c>
      <c r="Q333" s="12" t="s">
        <v>3975</v>
      </c>
      <c r="R333" s="12" t="s">
        <v>518</v>
      </c>
      <c r="S333" s="12" t="s">
        <v>3976</v>
      </c>
      <c r="T333" s="12" t="s">
        <v>2381</v>
      </c>
      <c r="U333" s="12" t="s">
        <v>494</v>
      </c>
      <c r="V333" s="12" t="s">
        <v>494</v>
      </c>
      <c r="W333" s="12"/>
      <c r="X333" s="12" t="s">
        <v>3977</v>
      </c>
      <c r="Y333" s="12" t="s">
        <v>3978</v>
      </c>
      <c r="Z333" s="12"/>
      <c r="AA333" s="12" t="s">
        <v>1251</v>
      </c>
      <c r="AB333" s="12" t="s">
        <v>497</v>
      </c>
      <c r="AC333" s="14" t="s">
        <v>498</v>
      </c>
      <c r="AD333" s="14" t="s">
        <v>499</v>
      </c>
      <c r="AE333" s="12" t="s">
        <v>552</v>
      </c>
      <c r="AF333" s="27" t="s">
        <v>501</v>
      </c>
      <c r="AG333" s="28"/>
      <c r="AH333" s="27"/>
      <c r="AI333" s="27"/>
      <c r="AJ333" s="27"/>
      <c r="AK333" s="28" t="str">
        <f aca="false">IF(AG333="","",WORKDAY(AG333,5))</f>
        <v/>
      </c>
      <c r="AL333" s="27"/>
      <c r="AM333" s="27"/>
    </row>
    <row r="334" customFormat="false" ht="35.05" hidden="false" customHeight="false" outlineLevel="0" collapsed="false">
      <c r="A334" s="24" t="s">
        <v>101</v>
      </c>
      <c r="B334" s="25" t="n">
        <v>333</v>
      </c>
      <c r="C334" s="26" t="n">
        <v>3</v>
      </c>
      <c r="D334" s="12" t="s">
        <v>281</v>
      </c>
      <c r="E334" s="12" t="s">
        <v>3979</v>
      </c>
      <c r="F334" s="12" t="s">
        <v>525</v>
      </c>
      <c r="G334" s="14" t="s">
        <v>3980</v>
      </c>
      <c r="H334" s="12" t="s">
        <v>3981</v>
      </c>
      <c r="I334" s="12"/>
      <c r="J334" s="12" t="s">
        <v>101</v>
      </c>
      <c r="K334" s="12" t="s">
        <v>3757</v>
      </c>
      <c r="L334" s="12" t="s">
        <v>3981</v>
      </c>
      <c r="M334" s="12"/>
      <c r="N334" s="12"/>
      <c r="O334" s="12" t="s">
        <v>3982</v>
      </c>
      <c r="P334" s="12" t="s">
        <v>3983</v>
      </c>
      <c r="Q334" s="12" t="s">
        <v>751</v>
      </c>
      <c r="R334" s="12" t="s">
        <v>518</v>
      </c>
      <c r="S334" s="12" t="s">
        <v>1272</v>
      </c>
      <c r="T334" s="12" t="s">
        <v>2381</v>
      </c>
      <c r="U334" s="12" t="s">
        <v>494</v>
      </c>
      <c r="V334" s="12" t="s">
        <v>494</v>
      </c>
      <c r="W334" s="12"/>
      <c r="X334" s="12" t="s">
        <v>3984</v>
      </c>
      <c r="Y334" s="12"/>
      <c r="Z334" s="12"/>
      <c r="AA334" s="12" t="s">
        <v>3985</v>
      </c>
      <c r="AB334" s="12" t="s">
        <v>3986</v>
      </c>
      <c r="AC334" s="14" t="s">
        <v>498</v>
      </c>
      <c r="AD334" s="14" t="s">
        <v>499</v>
      </c>
      <c r="AE334" s="12" t="s">
        <v>568</v>
      </c>
      <c r="AF334" s="27" t="s">
        <v>501</v>
      </c>
      <c r="AG334" s="28"/>
      <c r="AH334" s="27"/>
      <c r="AI334" s="27"/>
      <c r="AJ334" s="27"/>
      <c r="AK334" s="28" t="str">
        <f aca="false">IF(AG334="","",WORKDAY(AG334,5))</f>
        <v/>
      </c>
      <c r="AL334" s="27"/>
      <c r="AM334" s="27"/>
    </row>
    <row r="335" customFormat="false" ht="35.05" hidden="false" customHeight="false" outlineLevel="0" collapsed="false">
      <c r="A335" s="24" t="s">
        <v>101</v>
      </c>
      <c r="B335" s="25" t="n">
        <v>334</v>
      </c>
      <c r="C335" s="26" t="n">
        <v>5</v>
      </c>
      <c r="D335" s="12" t="s">
        <v>307</v>
      </c>
      <c r="E335" s="12" t="s">
        <v>308</v>
      </c>
      <c r="F335" s="12" t="s">
        <v>735</v>
      </c>
      <c r="G335" s="14" t="s">
        <v>313</v>
      </c>
      <c r="H335" s="12" t="s">
        <v>3987</v>
      </c>
      <c r="I335" s="12"/>
      <c r="J335" s="12" t="s">
        <v>101</v>
      </c>
      <c r="K335" s="12" t="s">
        <v>3757</v>
      </c>
      <c r="L335" s="12" t="s">
        <v>3988</v>
      </c>
      <c r="M335" s="12" t="s">
        <v>311</v>
      </c>
      <c r="N335" s="12" t="s">
        <v>312</v>
      </c>
      <c r="O335" s="12" t="s">
        <v>119</v>
      </c>
      <c r="P335" s="12" t="s">
        <v>309</v>
      </c>
      <c r="Q335" s="12" t="s">
        <v>3989</v>
      </c>
      <c r="R335" s="12" t="s">
        <v>518</v>
      </c>
      <c r="S335" s="12" t="s">
        <v>1195</v>
      </c>
      <c r="T335" s="12" t="s">
        <v>2381</v>
      </c>
      <c r="U335" s="12" t="s">
        <v>494</v>
      </c>
      <c r="V335" s="12" t="s">
        <v>494</v>
      </c>
      <c r="W335" s="12"/>
      <c r="X335" s="12" t="s">
        <v>3990</v>
      </c>
      <c r="Y335" s="12" t="s">
        <v>310</v>
      </c>
      <c r="Z335" s="12"/>
      <c r="AA335" s="12" t="s">
        <v>3991</v>
      </c>
      <c r="AB335" s="12" t="s">
        <v>204</v>
      </c>
      <c r="AC335" s="14" t="s">
        <v>498</v>
      </c>
      <c r="AD335" s="14" t="s">
        <v>499</v>
      </c>
      <c r="AE335" s="12" t="s">
        <v>568</v>
      </c>
      <c r="AF335" s="27" t="s">
        <v>501</v>
      </c>
      <c r="AG335" s="28"/>
      <c r="AH335" s="27"/>
      <c r="AI335" s="27"/>
      <c r="AJ335" s="27"/>
      <c r="AK335" s="28" t="str">
        <f aca="false">IF(AG335="","",WORKDAY(AG335,5))</f>
        <v/>
      </c>
      <c r="AL335" s="27"/>
      <c r="AM335" s="27"/>
    </row>
    <row r="336" customFormat="false" ht="35.05" hidden="false" customHeight="false" outlineLevel="0" collapsed="false">
      <c r="A336" s="24" t="s">
        <v>101</v>
      </c>
      <c r="B336" s="25" t="n">
        <v>335</v>
      </c>
      <c r="C336" s="26" t="n">
        <v>4</v>
      </c>
      <c r="D336" s="12" t="s">
        <v>307</v>
      </c>
      <c r="E336" s="12" t="s">
        <v>319</v>
      </c>
      <c r="F336" s="12" t="s">
        <v>735</v>
      </c>
      <c r="G336" s="14" t="s">
        <v>322</v>
      </c>
      <c r="H336" s="12" t="s">
        <v>3992</v>
      </c>
      <c r="I336" s="12"/>
      <c r="J336" s="12" t="s">
        <v>101</v>
      </c>
      <c r="K336" s="12" t="s">
        <v>3757</v>
      </c>
      <c r="L336" s="12" t="s">
        <v>3993</v>
      </c>
      <c r="M336" s="12"/>
      <c r="N336" s="12"/>
      <c r="O336" s="12" t="s">
        <v>320</v>
      </c>
      <c r="P336" s="12" t="s">
        <v>321</v>
      </c>
      <c r="Q336" s="12" t="s">
        <v>3994</v>
      </c>
      <c r="R336" s="12" t="s">
        <v>518</v>
      </c>
      <c r="S336" s="12" t="s">
        <v>3995</v>
      </c>
      <c r="T336" s="12" t="s">
        <v>2381</v>
      </c>
      <c r="U336" s="12" t="s">
        <v>494</v>
      </c>
      <c r="V336" s="12" t="s">
        <v>494</v>
      </c>
      <c r="W336" s="12"/>
      <c r="X336" s="12" t="s">
        <v>3996</v>
      </c>
      <c r="Y336" s="12"/>
      <c r="Z336" s="12"/>
      <c r="AA336" s="12" t="s">
        <v>3997</v>
      </c>
      <c r="AB336" s="12" t="s">
        <v>323</v>
      </c>
      <c r="AC336" s="14" t="s">
        <v>498</v>
      </c>
      <c r="AD336" s="14" t="s">
        <v>499</v>
      </c>
      <c r="AE336" s="12" t="s">
        <v>568</v>
      </c>
      <c r="AF336" s="27" t="s">
        <v>501</v>
      </c>
      <c r="AG336" s="28"/>
      <c r="AH336" s="27"/>
      <c r="AI336" s="27"/>
      <c r="AJ336" s="27"/>
      <c r="AK336" s="28" t="str">
        <f aca="false">IF(AG336="","",WORKDAY(AG336,5))</f>
        <v/>
      </c>
      <c r="AL336" s="27"/>
      <c r="AM336" s="27"/>
    </row>
    <row r="337" customFormat="false" ht="23.85" hidden="false" customHeight="false" outlineLevel="0" collapsed="false">
      <c r="A337" s="24" t="s">
        <v>101</v>
      </c>
      <c r="B337" s="25" t="n">
        <v>336</v>
      </c>
      <c r="C337" s="26" t="n">
        <v>3</v>
      </c>
      <c r="D337" s="12" t="s">
        <v>307</v>
      </c>
      <c r="E337" s="12" t="s">
        <v>347</v>
      </c>
      <c r="F337" s="12" t="s">
        <v>735</v>
      </c>
      <c r="G337" s="14" t="s">
        <v>593</v>
      </c>
      <c r="H337" s="12" t="s">
        <v>3998</v>
      </c>
      <c r="I337" s="12"/>
      <c r="J337" s="12" t="s">
        <v>101</v>
      </c>
      <c r="K337" s="12" t="s">
        <v>3757</v>
      </c>
      <c r="L337" s="12"/>
      <c r="M337" s="12" t="s">
        <v>350</v>
      </c>
      <c r="N337" s="12" t="s">
        <v>351</v>
      </c>
      <c r="O337" s="12" t="s">
        <v>348</v>
      </c>
      <c r="P337" s="12" t="s">
        <v>349</v>
      </c>
      <c r="Q337" s="12" t="s">
        <v>1498</v>
      </c>
      <c r="R337" s="12" t="s">
        <v>518</v>
      </c>
      <c r="S337" s="12" t="s">
        <v>1195</v>
      </c>
      <c r="T337" s="12" t="s">
        <v>2381</v>
      </c>
      <c r="U337" s="12" t="s">
        <v>494</v>
      </c>
      <c r="V337" s="12" t="s">
        <v>494</v>
      </c>
      <c r="W337" s="12"/>
      <c r="X337" s="12" t="s">
        <v>3999</v>
      </c>
      <c r="Y337" s="12"/>
      <c r="Z337" s="12"/>
      <c r="AA337" s="12" t="s">
        <v>4000</v>
      </c>
      <c r="AB337" s="12" t="s">
        <v>352</v>
      </c>
      <c r="AC337" s="14" t="s">
        <v>498</v>
      </c>
      <c r="AD337" s="14" t="s">
        <v>499</v>
      </c>
      <c r="AE337" s="12" t="s">
        <v>568</v>
      </c>
      <c r="AF337" s="27" t="s">
        <v>501</v>
      </c>
      <c r="AG337" s="28"/>
      <c r="AH337" s="27"/>
      <c r="AI337" s="27"/>
      <c r="AJ337" s="27"/>
      <c r="AK337" s="28" t="str">
        <f aca="false">IF(AG337="","",WORKDAY(AG337,5))</f>
        <v/>
      </c>
      <c r="AL337" s="27"/>
      <c r="AM337" s="27"/>
    </row>
    <row r="338" customFormat="false" ht="23.85" hidden="false" customHeight="false" outlineLevel="0" collapsed="false">
      <c r="A338" s="24" t="s">
        <v>101</v>
      </c>
      <c r="B338" s="25" t="n">
        <v>337</v>
      </c>
      <c r="C338" s="26" t="n">
        <v>3</v>
      </c>
      <c r="D338" s="12" t="s">
        <v>307</v>
      </c>
      <c r="E338" s="12" t="s">
        <v>4001</v>
      </c>
      <c r="F338" s="12" t="s">
        <v>483</v>
      </c>
      <c r="G338" s="14" t="s">
        <v>593</v>
      </c>
      <c r="H338" s="12" t="s">
        <v>4002</v>
      </c>
      <c r="I338" s="12"/>
      <c r="J338" s="12" t="s">
        <v>101</v>
      </c>
      <c r="K338" s="12" t="s">
        <v>3757</v>
      </c>
      <c r="L338" s="12" t="s">
        <v>4003</v>
      </c>
      <c r="M338" s="12"/>
      <c r="N338" s="12" t="s">
        <v>4004</v>
      </c>
      <c r="O338" s="12" t="s">
        <v>4005</v>
      </c>
      <c r="P338" s="12" t="s">
        <v>4006</v>
      </c>
      <c r="Q338" s="12" t="s">
        <v>1486</v>
      </c>
      <c r="R338" s="12" t="s">
        <v>518</v>
      </c>
      <c r="S338" s="12" t="s">
        <v>1195</v>
      </c>
      <c r="T338" s="12" t="s">
        <v>2381</v>
      </c>
      <c r="U338" s="12" t="s">
        <v>494</v>
      </c>
      <c r="V338" s="12" t="s">
        <v>494</v>
      </c>
      <c r="W338" s="12" t="s">
        <v>4007</v>
      </c>
      <c r="X338" s="12" t="s">
        <v>4008</v>
      </c>
      <c r="Y338" s="12"/>
      <c r="Z338" s="12"/>
      <c r="AA338" s="12" t="s">
        <v>601</v>
      </c>
      <c r="AB338" s="12" t="s">
        <v>130</v>
      </c>
      <c r="AC338" s="14" t="s">
        <v>498</v>
      </c>
      <c r="AD338" s="14" t="s">
        <v>499</v>
      </c>
      <c r="AE338" s="12" t="s">
        <v>568</v>
      </c>
      <c r="AF338" s="27" t="s">
        <v>501</v>
      </c>
      <c r="AG338" s="28"/>
      <c r="AH338" s="27"/>
      <c r="AI338" s="27"/>
      <c r="AJ338" s="27"/>
      <c r="AK338" s="28" t="str">
        <f aca="false">IF(AG338="","",WORKDAY(AG338,5))</f>
        <v/>
      </c>
      <c r="AL338" s="27"/>
      <c r="AM338" s="27"/>
    </row>
    <row r="339" customFormat="false" ht="23.85" hidden="false" customHeight="false" outlineLevel="0" collapsed="false">
      <c r="A339" s="24" t="s">
        <v>101</v>
      </c>
      <c r="B339" s="25" t="n">
        <v>338</v>
      </c>
      <c r="C339" s="26" t="n">
        <v>3</v>
      </c>
      <c r="D339" s="12" t="s">
        <v>307</v>
      </c>
      <c r="E339" s="12" t="s">
        <v>4009</v>
      </c>
      <c r="F339" s="12" t="s">
        <v>483</v>
      </c>
      <c r="G339" s="14" t="s">
        <v>4010</v>
      </c>
      <c r="H339" s="12" t="s">
        <v>3987</v>
      </c>
      <c r="I339" s="12"/>
      <c r="J339" s="12" t="s">
        <v>101</v>
      </c>
      <c r="K339" s="12" t="s">
        <v>3757</v>
      </c>
      <c r="L339" s="12" t="s">
        <v>4011</v>
      </c>
      <c r="M339" s="12" t="s">
        <v>4012</v>
      </c>
      <c r="N339" s="12" t="s">
        <v>4013</v>
      </c>
      <c r="O339" s="12" t="s">
        <v>4014</v>
      </c>
      <c r="P339" s="12" t="s">
        <v>4015</v>
      </c>
      <c r="Q339" s="12" t="s">
        <v>4016</v>
      </c>
      <c r="R339" s="12" t="s">
        <v>518</v>
      </c>
      <c r="S339" s="12" t="s">
        <v>4017</v>
      </c>
      <c r="T339" s="12" t="s">
        <v>2381</v>
      </c>
      <c r="U339" s="12" t="s">
        <v>494</v>
      </c>
      <c r="V339" s="12" t="s">
        <v>494</v>
      </c>
      <c r="W339" s="12"/>
      <c r="X339" s="12" t="s">
        <v>4018</v>
      </c>
      <c r="Y339" s="12" t="s">
        <v>4019</v>
      </c>
      <c r="Z339" s="12"/>
      <c r="AA339" s="12" t="s">
        <v>4020</v>
      </c>
      <c r="AB339" s="12" t="s">
        <v>4021</v>
      </c>
      <c r="AC339" s="14" t="s">
        <v>498</v>
      </c>
      <c r="AD339" s="14" t="s">
        <v>499</v>
      </c>
      <c r="AE339" s="12" t="s">
        <v>568</v>
      </c>
      <c r="AF339" s="27" t="s">
        <v>501</v>
      </c>
      <c r="AG339" s="28"/>
      <c r="AH339" s="27"/>
      <c r="AI339" s="27"/>
      <c r="AJ339" s="27"/>
      <c r="AK339" s="28" t="str">
        <f aca="false">IF(AG339="","",WORKDAY(AG339,5))</f>
        <v/>
      </c>
      <c r="AL339" s="27"/>
      <c r="AM339" s="27"/>
    </row>
    <row r="340" customFormat="false" ht="23.85" hidden="false" customHeight="false" outlineLevel="0" collapsed="false">
      <c r="A340" s="24" t="s">
        <v>101</v>
      </c>
      <c r="B340" s="25" t="n">
        <v>339</v>
      </c>
      <c r="C340" s="26" t="n">
        <v>3</v>
      </c>
      <c r="D340" s="12" t="s">
        <v>307</v>
      </c>
      <c r="E340" s="12" t="s">
        <v>4022</v>
      </c>
      <c r="F340" s="12" t="s">
        <v>525</v>
      </c>
      <c r="G340" s="14" t="s">
        <v>4023</v>
      </c>
      <c r="H340" s="12" t="s">
        <v>4024</v>
      </c>
      <c r="I340" s="12"/>
      <c r="J340" s="12" t="s">
        <v>101</v>
      </c>
      <c r="K340" s="12" t="s">
        <v>3757</v>
      </c>
      <c r="L340" s="12" t="s">
        <v>4024</v>
      </c>
      <c r="M340" s="12"/>
      <c r="N340" s="12"/>
      <c r="O340" s="12" t="s">
        <v>4025</v>
      </c>
      <c r="P340" s="12" t="s">
        <v>4026</v>
      </c>
      <c r="Q340" s="12" t="s">
        <v>784</v>
      </c>
      <c r="R340" s="12" t="s">
        <v>518</v>
      </c>
      <c r="S340" s="12" t="s">
        <v>4027</v>
      </c>
      <c r="T340" s="12" t="s">
        <v>2381</v>
      </c>
      <c r="U340" s="12" t="s">
        <v>494</v>
      </c>
      <c r="V340" s="12" t="s">
        <v>494</v>
      </c>
      <c r="W340" s="12" t="s">
        <v>4028</v>
      </c>
      <c r="X340" s="12" t="s">
        <v>4029</v>
      </c>
      <c r="Y340" s="12"/>
      <c r="Z340" s="12"/>
      <c r="AA340" s="12" t="s">
        <v>4030</v>
      </c>
      <c r="AB340" s="12" t="s">
        <v>4031</v>
      </c>
      <c r="AC340" s="14" t="s">
        <v>498</v>
      </c>
      <c r="AD340" s="14" t="s">
        <v>499</v>
      </c>
      <c r="AE340" s="12" t="s">
        <v>568</v>
      </c>
      <c r="AF340" s="27" t="s">
        <v>501</v>
      </c>
      <c r="AG340" s="28"/>
      <c r="AH340" s="27"/>
      <c r="AI340" s="27"/>
      <c r="AJ340" s="27"/>
      <c r="AK340" s="28" t="str">
        <f aca="false">IF(AG340="","",WORKDAY(AG340,5))</f>
        <v/>
      </c>
      <c r="AL340" s="27"/>
      <c r="AM340" s="27"/>
    </row>
    <row r="341" customFormat="false" ht="35.05" hidden="false" customHeight="false" outlineLevel="0" collapsed="false">
      <c r="A341" s="24" t="s">
        <v>101</v>
      </c>
      <c r="B341" s="25" t="n">
        <v>340</v>
      </c>
      <c r="C341" s="26" t="n">
        <v>4</v>
      </c>
      <c r="D341" s="12" t="s">
        <v>353</v>
      </c>
      <c r="E341" s="12" t="s">
        <v>366</v>
      </c>
      <c r="F341" s="12" t="s">
        <v>735</v>
      </c>
      <c r="G341" s="14" t="s">
        <v>372</v>
      </c>
      <c r="H341" s="12" t="s">
        <v>4032</v>
      </c>
      <c r="I341" s="12"/>
      <c r="J341" s="12" t="s">
        <v>101</v>
      </c>
      <c r="K341" s="12" t="s">
        <v>3757</v>
      </c>
      <c r="L341" s="12" t="s">
        <v>4033</v>
      </c>
      <c r="M341" s="12" t="s">
        <v>370</v>
      </c>
      <c r="N341" s="12" t="s">
        <v>371</v>
      </c>
      <c r="O341" s="12" t="s">
        <v>367</v>
      </c>
      <c r="P341" s="12" t="s">
        <v>368</v>
      </c>
      <c r="Q341" s="12" t="s">
        <v>598</v>
      </c>
      <c r="R341" s="12" t="s">
        <v>4034</v>
      </c>
      <c r="S341" s="12" t="s">
        <v>4035</v>
      </c>
      <c r="T341" s="12" t="s">
        <v>2381</v>
      </c>
      <c r="U341" s="12" t="s">
        <v>494</v>
      </c>
      <c r="V341" s="12" t="s">
        <v>494</v>
      </c>
      <c r="W341" s="12"/>
      <c r="X341" s="12" t="s">
        <v>4036</v>
      </c>
      <c r="Y341" s="12" t="s">
        <v>369</v>
      </c>
      <c r="Z341" s="12"/>
      <c r="AA341" s="12" t="s">
        <v>4037</v>
      </c>
      <c r="AB341" s="12" t="s">
        <v>373</v>
      </c>
      <c r="AC341" s="14" t="s">
        <v>498</v>
      </c>
      <c r="AD341" s="14" t="s">
        <v>499</v>
      </c>
      <c r="AE341" s="12" t="s">
        <v>552</v>
      </c>
      <c r="AF341" s="27" t="s">
        <v>501</v>
      </c>
      <c r="AG341" s="28"/>
      <c r="AH341" s="27"/>
      <c r="AI341" s="27"/>
      <c r="AJ341" s="27"/>
      <c r="AK341" s="28" t="str">
        <f aca="false">IF(AG341="","",WORKDAY(AG341,5))</f>
        <v/>
      </c>
      <c r="AL341" s="27"/>
      <c r="AM341" s="27"/>
    </row>
    <row r="342" customFormat="false" ht="35.05" hidden="false" customHeight="false" outlineLevel="0" collapsed="false">
      <c r="A342" s="24" t="s">
        <v>101</v>
      </c>
      <c r="B342" s="25" t="n">
        <v>341</v>
      </c>
      <c r="C342" s="26" t="n">
        <v>3</v>
      </c>
      <c r="D342" s="12" t="s">
        <v>353</v>
      </c>
      <c r="E342" s="12" t="s">
        <v>4038</v>
      </c>
      <c r="F342" s="12" t="s">
        <v>525</v>
      </c>
      <c r="G342" s="14" t="s">
        <v>4039</v>
      </c>
      <c r="H342" s="12" t="s">
        <v>4040</v>
      </c>
      <c r="I342" s="12"/>
      <c r="J342" s="12" t="s">
        <v>101</v>
      </c>
      <c r="K342" s="12" t="s">
        <v>3757</v>
      </c>
      <c r="L342" s="12"/>
      <c r="M342" s="12" t="s">
        <v>4041</v>
      </c>
      <c r="N342" s="12" t="s">
        <v>4042</v>
      </c>
      <c r="O342" s="12" t="s">
        <v>367</v>
      </c>
      <c r="P342" s="12" t="s">
        <v>4043</v>
      </c>
      <c r="Q342" s="12" t="s">
        <v>4044</v>
      </c>
      <c r="R342" s="12" t="s">
        <v>518</v>
      </c>
      <c r="S342" s="12" t="s">
        <v>4045</v>
      </c>
      <c r="T342" s="12" t="s">
        <v>2381</v>
      </c>
      <c r="U342" s="12" t="s">
        <v>494</v>
      </c>
      <c r="V342" s="12" t="s">
        <v>494</v>
      </c>
      <c r="W342" s="12"/>
      <c r="X342" s="12" t="s">
        <v>4046</v>
      </c>
      <c r="Y342" s="12"/>
      <c r="Z342" s="12" t="s">
        <v>4047</v>
      </c>
      <c r="AA342" s="12" t="s">
        <v>4048</v>
      </c>
      <c r="AB342" s="12" t="s">
        <v>4049</v>
      </c>
      <c r="AC342" s="14" t="s">
        <v>498</v>
      </c>
      <c r="AD342" s="14" t="s">
        <v>499</v>
      </c>
      <c r="AE342" s="12" t="s">
        <v>552</v>
      </c>
      <c r="AF342" s="27" t="s">
        <v>501</v>
      </c>
      <c r="AG342" s="28"/>
      <c r="AH342" s="27"/>
      <c r="AI342" s="27"/>
      <c r="AJ342" s="27"/>
      <c r="AK342" s="28" t="str">
        <f aca="false">IF(AG342="","",WORKDAY(AG342,5))</f>
        <v/>
      </c>
      <c r="AL342" s="27"/>
      <c r="AM342" s="27"/>
    </row>
    <row r="343" customFormat="false" ht="23.85" hidden="false" customHeight="false" outlineLevel="0" collapsed="false">
      <c r="A343" s="24" t="s">
        <v>101</v>
      </c>
      <c r="B343" s="25" t="n">
        <v>342</v>
      </c>
      <c r="C343" s="26" t="n">
        <v>3</v>
      </c>
      <c r="D343" s="12" t="s">
        <v>353</v>
      </c>
      <c r="E343" s="12" t="s">
        <v>4050</v>
      </c>
      <c r="F343" s="12" t="s">
        <v>525</v>
      </c>
      <c r="G343" s="14" t="s">
        <v>593</v>
      </c>
      <c r="H343" s="12" t="s">
        <v>101</v>
      </c>
      <c r="I343" s="12"/>
      <c r="J343" s="12" t="s">
        <v>101</v>
      </c>
      <c r="K343" s="12" t="s">
        <v>3757</v>
      </c>
      <c r="L343" s="12" t="s">
        <v>4051</v>
      </c>
      <c r="M343" s="12"/>
      <c r="N343" s="12"/>
      <c r="O343" s="12" t="s">
        <v>4052</v>
      </c>
      <c r="P343" s="12" t="s">
        <v>4053</v>
      </c>
      <c r="Q343" s="12" t="s">
        <v>1540</v>
      </c>
      <c r="R343" s="12" t="s">
        <v>518</v>
      </c>
      <c r="S343" s="12" t="s">
        <v>1272</v>
      </c>
      <c r="T343" s="12" t="s">
        <v>2381</v>
      </c>
      <c r="U343" s="12" t="s">
        <v>494</v>
      </c>
      <c r="V343" s="12" t="s">
        <v>494</v>
      </c>
      <c r="W343" s="12" t="s">
        <v>4054</v>
      </c>
      <c r="X343" s="12" t="s">
        <v>4055</v>
      </c>
      <c r="Y343" s="12"/>
      <c r="Z343" s="12"/>
      <c r="AA343" s="12" t="s">
        <v>4048</v>
      </c>
      <c r="AB343" s="12" t="s">
        <v>130</v>
      </c>
      <c r="AC343" s="14" t="s">
        <v>498</v>
      </c>
      <c r="AD343" s="14" t="s">
        <v>499</v>
      </c>
      <c r="AE343" s="12" t="s">
        <v>568</v>
      </c>
      <c r="AF343" s="27" t="s">
        <v>501</v>
      </c>
      <c r="AG343" s="28"/>
      <c r="AH343" s="27"/>
      <c r="AI343" s="27"/>
      <c r="AJ343" s="27"/>
      <c r="AK343" s="28" t="str">
        <f aca="false">IF(AG343="","",WORKDAY(AG343,5))</f>
        <v/>
      </c>
      <c r="AL343" s="27"/>
      <c r="AM343" s="27"/>
    </row>
    <row r="344" customFormat="false" ht="23.85" hidden="false" customHeight="false" outlineLevel="0" collapsed="false">
      <c r="A344" s="24" t="s">
        <v>101</v>
      </c>
      <c r="B344" s="25" t="n">
        <v>343</v>
      </c>
      <c r="C344" s="26" t="n">
        <v>4</v>
      </c>
      <c r="D344" s="12" t="s">
        <v>374</v>
      </c>
      <c r="E344" s="12" t="s">
        <v>4056</v>
      </c>
      <c r="F344" s="12" t="s">
        <v>483</v>
      </c>
      <c r="G344" s="14" t="s">
        <v>4057</v>
      </c>
      <c r="H344" s="12" t="s">
        <v>4058</v>
      </c>
      <c r="I344" s="12"/>
      <c r="J344" s="12" t="s">
        <v>101</v>
      </c>
      <c r="K344" s="12" t="s">
        <v>3757</v>
      </c>
      <c r="L344" s="12" t="s">
        <v>4059</v>
      </c>
      <c r="M344" s="12" t="s">
        <v>4060</v>
      </c>
      <c r="N344" s="12"/>
      <c r="O344" s="12" t="s">
        <v>4061</v>
      </c>
      <c r="P344" s="12" t="s">
        <v>4062</v>
      </c>
      <c r="Q344" s="12" t="s">
        <v>2973</v>
      </c>
      <c r="R344" s="12" t="s">
        <v>518</v>
      </c>
      <c r="S344" s="12" t="s">
        <v>1272</v>
      </c>
      <c r="T344" s="12" t="s">
        <v>2381</v>
      </c>
      <c r="U344" s="12" t="s">
        <v>494</v>
      </c>
      <c r="V344" s="12" t="s">
        <v>494</v>
      </c>
      <c r="W344" s="12"/>
      <c r="X344" s="12" t="s">
        <v>4063</v>
      </c>
      <c r="Y344" s="12" t="s">
        <v>4064</v>
      </c>
      <c r="Z344" s="12"/>
      <c r="AA344" s="12" t="s">
        <v>4065</v>
      </c>
      <c r="AB344" s="12" t="s">
        <v>4066</v>
      </c>
      <c r="AC344" s="14" t="s">
        <v>498</v>
      </c>
      <c r="AD344" s="14" t="s">
        <v>499</v>
      </c>
      <c r="AE344" s="12" t="s">
        <v>568</v>
      </c>
      <c r="AF344" s="27" t="s">
        <v>501</v>
      </c>
      <c r="AG344" s="28"/>
      <c r="AH344" s="27"/>
      <c r="AI344" s="27"/>
      <c r="AJ344" s="27"/>
      <c r="AK344" s="28" t="str">
        <f aca="false">IF(AG344="","",WORKDAY(AG344,5))</f>
        <v/>
      </c>
      <c r="AL344" s="27"/>
      <c r="AM344" s="27"/>
    </row>
    <row r="345" customFormat="false" ht="23.85" hidden="false" customHeight="false" outlineLevel="0" collapsed="false">
      <c r="A345" s="24" t="s">
        <v>101</v>
      </c>
      <c r="B345" s="25" t="n">
        <v>344</v>
      </c>
      <c r="C345" s="26" t="n">
        <v>3</v>
      </c>
      <c r="D345" s="12" t="s">
        <v>374</v>
      </c>
      <c r="E345" s="12" t="s">
        <v>4067</v>
      </c>
      <c r="F345" s="12" t="s">
        <v>483</v>
      </c>
      <c r="G345" s="14" t="s">
        <v>4068</v>
      </c>
      <c r="H345" s="12" t="s">
        <v>4069</v>
      </c>
      <c r="I345" s="12"/>
      <c r="J345" s="12" t="s">
        <v>101</v>
      </c>
      <c r="K345" s="12" t="s">
        <v>3757</v>
      </c>
      <c r="L345" s="12" t="s">
        <v>4070</v>
      </c>
      <c r="M345" s="12"/>
      <c r="N345" s="12"/>
      <c r="O345" s="12" t="s">
        <v>126</v>
      </c>
      <c r="P345" s="12" t="s">
        <v>4071</v>
      </c>
      <c r="Q345" s="12" t="s">
        <v>4072</v>
      </c>
      <c r="R345" s="12" t="s">
        <v>491</v>
      </c>
      <c r="S345" s="12" t="s">
        <v>4073</v>
      </c>
      <c r="T345" s="12" t="s">
        <v>2381</v>
      </c>
      <c r="U345" s="12" t="s">
        <v>494</v>
      </c>
      <c r="V345" s="12" t="s">
        <v>494</v>
      </c>
      <c r="W345" s="12"/>
      <c r="X345" s="12" t="s">
        <v>4074</v>
      </c>
      <c r="Y345" s="12" t="s">
        <v>4075</v>
      </c>
      <c r="Z345" s="12"/>
      <c r="AA345" s="12" t="s">
        <v>1187</v>
      </c>
      <c r="AB345" s="12" t="s">
        <v>4076</v>
      </c>
      <c r="AC345" s="14" t="s">
        <v>498</v>
      </c>
      <c r="AD345" s="14" t="s">
        <v>499</v>
      </c>
      <c r="AE345" s="12" t="s">
        <v>568</v>
      </c>
      <c r="AF345" s="27" t="s">
        <v>501</v>
      </c>
      <c r="AG345" s="28"/>
      <c r="AH345" s="27"/>
      <c r="AI345" s="27"/>
      <c r="AJ345" s="27"/>
      <c r="AK345" s="28" t="str">
        <f aca="false">IF(AG345="","",WORKDAY(AG345,5))</f>
        <v/>
      </c>
      <c r="AL345" s="27"/>
      <c r="AM345" s="27"/>
    </row>
    <row r="346" customFormat="false" ht="35.05" hidden="false" customHeight="false" outlineLevel="0" collapsed="false">
      <c r="A346" s="24" t="s">
        <v>101</v>
      </c>
      <c r="B346" s="25" t="n">
        <v>345</v>
      </c>
      <c r="C346" s="26" t="n">
        <v>3</v>
      </c>
      <c r="D346" s="12" t="s">
        <v>374</v>
      </c>
      <c r="E346" s="12" t="s">
        <v>4077</v>
      </c>
      <c r="F346" s="12" t="s">
        <v>525</v>
      </c>
      <c r="G346" s="14" t="s">
        <v>4078</v>
      </c>
      <c r="H346" s="12" t="s">
        <v>4079</v>
      </c>
      <c r="I346" s="12"/>
      <c r="J346" s="12" t="s">
        <v>101</v>
      </c>
      <c r="K346" s="12" t="s">
        <v>3757</v>
      </c>
      <c r="L346" s="12" t="s">
        <v>4080</v>
      </c>
      <c r="M346" s="12"/>
      <c r="N346" s="12"/>
      <c r="O346" s="12" t="s">
        <v>4081</v>
      </c>
      <c r="P346" s="12" t="s">
        <v>4082</v>
      </c>
      <c r="Q346" s="12" t="s">
        <v>1701</v>
      </c>
      <c r="R346" s="12" t="s">
        <v>518</v>
      </c>
      <c r="S346" s="12" t="s">
        <v>4083</v>
      </c>
      <c r="T346" s="12" t="s">
        <v>2381</v>
      </c>
      <c r="U346" s="12" t="s">
        <v>494</v>
      </c>
      <c r="V346" s="12" t="s">
        <v>494</v>
      </c>
      <c r="W346" s="12" t="s">
        <v>4084</v>
      </c>
      <c r="X346" s="12" t="s">
        <v>4085</v>
      </c>
      <c r="Y346" s="12"/>
      <c r="Z346" s="12" t="s">
        <v>4086</v>
      </c>
      <c r="AA346" s="12" t="s">
        <v>3772</v>
      </c>
      <c r="AB346" s="12" t="s">
        <v>4087</v>
      </c>
      <c r="AC346" s="14" t="s">
        <v>498</v>
      </c>
      <c r="AD346" s="14" t="s">
        <v>499</v>
      </c>
      <c r="AE346" s="12" t="s">
        <v>568</v>
      </c>
      <c r="AF346" s="27" t="s">
        <v>501</v>
      </c>
      <c r="AG346" s="28"/>
      <c r="AH346" s="27"/>
      <c r="AI346" s="27"/>
      <c r="AJ346" s="27"/>
      <c r="AK346" s="28" t="str">
        <f aca="false">IF(AG346="","",WORKDAY(AG346,5))</f>
        <v/>
      </c>
      <c r="AL346" s="27"/>
      <c r="AM346" s="27"/>
    </row>
    <row r="347" customFormat="false" ht="23.85" hidden="false" customHeight="false" outlineLevel="0" collapsed="false">
      <c r="A347" s="24" t="s">
        <v>101</v>
      </c>
      <c r="B347" s="25" t="n">
        <v>346</v>
      </c>
      <c r="C347" s="26" t="n">
        <v>4</v>
      </c>
      <c r="D347" s="12" t="s">
        <v>380</v>
      </c>
      <c r="E347" s="12" t="s">
        <v>4088</v>
      </c>
      <c r="F347" s="12" t="s">
        <v>483</v>
      </c>
      <c r="G347" s="14" t="s">
        <v>4089</v>
      </c>
      <c r="H347" s="12" t="s">
        <v>4090</v>
      </c>
      <c r="I347" s="12"/>
      <c r="J347" s="12" t="s">
        <v>101</v>
      </c>
      <c r="K347" s="12" t="s">
        <v>3757</v>
      </c>
      <c r="L347" s="12" t="s">
        <v>4091</v>
      </c>
      <c r="M347" s="12"/>
      <c r="N347" s="12"/>
      <c r="O347" s="12" t="s">
        <v>4092</v>
      </c>
      <c r="P347" s="12" t="s">
        <v>4093</v>
      </c>
      <c r="Q347" s="12" t="s">
        <v>4094</v>
      </c>
      <c r="R347" s="12" t="s">
        <v>518</v>
      </c>
      <c r="S347" s="12" t="s">
        <v>4095</v>
      </c>
      <c r="T347" s="12" t="s">
        <v>2381</v>
      </c>
      <c r="U347" s="12" t="s">
        <v>494</v>
      </c>
      <c r="V347" s="12" t="s">
        <v>494</v>
      </c>
      <c r="W347" s="12" t="s">
        <v>4096</v>
      </c>
      <c r="X347" s="12" t="s">
        <v>4097</v>
      </c>
      <c r="Y347" s="12" t="s">
        <v>4098</v>
      </c>
      <c r="Z347" s="12"/>
      <c r="AA347" s="12" t="s">
        <v>4099</v>
      </c>
      <c r="AB347" s="12" t="s">
        <v>4100</v>
      </c>
      <c r="AC347" s="14" t="s">
        <v>498</v>
      </c>
      <c r="AD347" s="14" t="s">
        <v>499</v>
      </c>
      <c r="AE347" s="12" t="s">
        <v>568</v>
      </c>
      <c r="AF347" s="27" t="s">
        <v>501</v>
      </c>
      <c r="AG347" s="28"/>
      <c r="AH347" s="27"/>
      <c r="AI347" s="27"/>
      <c r="AJ347" s="27"/>
      <c r="AK347" s="28" t="str">
        <f aca="false">IF(AG347="","",WORKDAY(AG347,5))</f>
        <v/>
      </c>
      <c r="AL347" s="27"/>
      <c r="AM347" s="27"/>
    </row>
    <row r="348" customFormat="false" ht="23.85" hidden="false" customHeight="false" outlineLevel="0" collapsed="false">
      <c r="A348" s="24" t="s">
        <v>101</v>
      </c>
      <c r="B348" s="25" t="n">
        <v>347</v>
      </c>
      <c r="C348" s="26" t="n">
        <v>4</v>
      </c>
      <c r="D348" s="12" t="s">
        <v>380</v>
      </c>
      <c r="E348" s="12" t="s">
        <v>4101</v>
      </c>
      <c r="F348" s="12" t="s">
        <v>483</v>
      </c>
      <c r="G348" s="14" t="s">
        <v>593</v>
      </c>
      <c r="H348" s="12" t="s">
        <v>4102</v>
      </c>
      <c r="I348" s="12"/>
      <c r="J348" s="12" t="s">
        <v>101</v>
      </c>
      <c r="K348" s="12" t="s">
        <v>3757</v>
      </c>
      <c r="L348" s="12" t="s">
        <v>4103</v>
      </c>
      <c r="M348" s="12"/>
      <c r="N348" s="12"/>
      <c r="O348" s="12" t="s">
        <v>4104</v>
      </c>
      <c r="P348" s="12" t="s">
        <v>4105</v>
      </c>
      <c r="Q348" s="12" t="s">
        <v>4106</v>
      </c>
      <c r="R348" s="12" t="s">
        <v>518</v>
      </c>
      <c r="S348" s="12" t="s">
        <v>4107</v>
      </c>
      <c r="T348" s="12" t="s">
        <v>4108</v>
      </c>
      <c r="U348" s="12" t="s">
        <v>494</v>
      </c>
      <c r="V348" s="12" t="s">
        <v>494</v>
      </c>
      <c r="W348" s="12" t="s">
        <v>4109</v>
      </c>
      <c r="X348" s="12" t="s">
        <v>4110</v>
      </c>
      <c r="Y348" s="12" t="s">
        <v>4111</v>
      </c>
      <c r="Z348" s="12"/>
      <c r="AA348" s="12" t="s">
        <v>3772</v>
      </c>
      <c r="AB348" s="12" t="s">
        <v>130</v>
      </c>
      <c r="AC348" s="14" t="s">
        <v>498</v>
      </c>
      <c r="AD348" s="14" t="s">
        <v>499</v>
      </c>
      <c r="AE348" s="12" t="s">
        <v>568</v>
      </c>
      <c r="AF348" s="27" t="s">
        <v>501</v>
      </c>
      <c r="AG348" s="28"/>
      <c r="AH348" s="27"/>
      <c r="AI348" s="27"/>
      <c r="AJ348" s="27"/>
      <c r="AK348" s="28" t="str">
        <f aca="false">IF(AG348="","",WORKDAY(AG348,5))</f>
        <v/>
      </c>
      <c r="AL348" s="27"/>
      <c r="AM348" s="27"/>
    </row>
    <row r="349" customFormat="false" ht="35.05" hidden="false" customHeight="false" outlineLevel="0" collapsed="false">
      <c r="A349" s="24" t="s">
        <v>101</v>
      </c>
      <c r="B349" s="25" t="n">
        <v>348</v>
      </c>
      <c r="C349" s="26" t="n">
        <v>3</v>
      </c>
      <c r="D349" s="12" t="s">
        <v>380</v>
      </c>
      <c r="E349" s="12" t="s">
        <v>4112</v>
      </c>
      <c r="F349" s="12" t="s">
        <v>525</v>
      </c>
      <c r="G349" s="14" t="s">
        <v>4113</v>
      </c>
      <c r="H349" s="12" t="s">
        <v>4114</v>
      </c>
      <c r="I349" s="12"/>
      <c r="J349" s="12" t="s">
        <v>101</v>
      </c>
      <c r="K349" s="12" t="s">
        <v>3757</v>
      </c>
      <c r="L349" s="12" t="s">
        <v>4115</v>
      </c>
      <c r="M349" s="12"/>
      <c r="N349" s="12"/>
      <c r="O349" s="12" t="s">
        <v>4116</v>
      </c>
      <c r="P349" s="12" t="s">
        <v>4117</v>
      </c>
      <c r="Q349" s="12" t="s">
        <v>4118</v>
      </c>
      <c r="R349" s="12" t="s">
        <v>4119</v>
      </c>
      <c r="S349" s="12" t="s">
        <v>4120</v>
      </c>
      <c r="T349" s="12" t="s">
        <v>2381</v>
      </c>
      <c r="U349" s="12" t="s">
        <v>494</v>
      </c>
      <c r="V349" s="12" t="s">
        <v>494</v>
      </c>
      <c r="W349" s="12"/>
      <c r="X349" s="12" t="s">
        <v>4121</v>
      </c>
      <c r="Y349" s="12" t="s">
        <v>4122</v>
      </c>
      <c r="Z349" s="12"/>
      <c r="AA349" s="12" t="s">
        <v>4123</v>
      </c>
      <c r="AB349" s="12" t="s">
        <v>123</v>
      </c>
      <c r="AC349" s="14" t="s">
        <v>498</v>
      </c>
      <c r="AD349" s="14" t="s">
        <v>499</v>
      </c>
      <c r="AE349" s="12" t="s">
        <v>568</v>
      </c>
      <c r="AF349" s="27" t="s">
        <v>501</v>
      </c>
      <c r="AG349" s="28"/>
      <c r="AH349" s="27"/>
      <c r="AI349" s="27"/>
      <c r="AJ349" s="27"/>
      <c r="AK349" s="28" t="str">
        <f aca="false">IF(AG349="","",WORKDAY(AG349,5))</f>
        <v/>
      </c>
      <c r="AL349" s="27"/>
      <c r="AM349" s="27"/>
    </row>
    <row r="350" customFormat="false" ht="23.85" hidden="false" customHeight="false" outlineLevel="0" collapsed="false">
      <c r="A350" s="24" t="s">
        <v>101</v>
      </c>
      <c r="B350" s="25" t="n">
        <v>349</v>
      </c>
      <c r="C350" s="26" t="n">
        <v>3</v>
      </c>
      <c r="D350" s="12" t="s">
        <v>380</v>
      </c>
      <c r="E350" s="12" t="s">
        <v>4124</v>
      </c>
      <c r="F350" s="12" t="s">
        <v>525</v>
      </c>
      <c r="G350" s="14" t="s">
        <v>593</v>
      </c>
      <c r="H350" s="12" t="s">
        <v>101</v>
      </c>
      <c r="I350" s="12"/>
      <c r="J350" s="12" t="s">
        <v>101</v>
      </c>
      <c r="K350" s="12" t="s">
        <v>3757</v>
      </c>
      <c r="L350" s="12" t="s">
        <v>4125</v>
      </c>
      <c r="M350" s="12" t="s">
        <v>4126</v>
      </c>
      <c r="N350" s="12"/>
      <c r="O350" s="12" t="s">
        <v>4127</v>
      </c>
      <c r="P350" s="12" t="s">
        <v>4128</v>
      </c>
      <c r="Q350" s="12" t="s">
        <v>1026</v>
      </c>
      <c r="R350" s="12" t="s">
        <v>518</v>
      </c>
      <c r="S350" s="12" t="s">
        <v>1417</v>
      </c>
      <c r="T350" s="12" t="s">
        <v>2381</v>
      </c>
      <c r="U350" s="12" t="s">
        <v>494</v>
      </c>
      <c r="V350" s="12" t="s">
        <v>494</v>
      </c>
      <c r="W350" s="12" t="s">
        <v>4129</v>
      </c>
      <c r="X350" s="12" t="s">
        <v>4130</v>
      </c>
      <c r="Y350" s="12" t="s">
        <v>4131</v>
      </c>
      <c r="Z350" s="12"/>
      <c r="AA350" s="12" t="s">
        <v>3795</v>
      </c>
      <c r="AB350" s="12" t="s">
        <v>130</v>
      </c>
      <c r="AC350" s="14" t="s">
        <v>498</v>
      </c>
      <c r="AD350" s="14" t="s">
        <v>499</v>
      </c>
      <c r="AE350" s="12" t="s">
        <v>568</v>
      </c>
      <c r="AF350" s="27" t="s">
        <v>501</v>
      </c>
      <c r="AG350" s="28"/>
      <c r="AH350" s="27"/>
      <c r="AI350" s="27"/>
      <c r="AJ350" s="27"/>
      <c r="AK350" s="28" t="str">
        <f aca="false">IF(AG350="","",WORKDAY(AG350,5))</f>
        <v/>
      </c>
      <c r="AL350" s="27"/>
      <c r="AM350" s="27"/>
    </row>
    <row r="351" customFormat="false" ht="23.85" hidden="false" customHeight="false" outlineLevel="0" collapsed="false">
      <c r="A351" s="24" t="s">
        <v>101</v>
      </c>
      <c r="B351" s="25" t="n">
        <v>350</v>
      </c>
      <c r="C351" s="26" t="n">
        <v>5</v>
      </c>
      <c r="D351" s="12" t="s">
        <v>405</v>
      </c>
      <c r="E351" s="12" t="s">
        <v>413</v>
      </c>
      <c r="F351" s="12" t="s">
        <v>735</v>
      </c>
      <c r="G351" s="14" t="s">
        <v>419</v>
      </c>
      <c r="H351" s="12" t="s">
        <v>4132</v>
      </c>
      <c r="I351" s="12"/>
      <c r="J351" s="12" t="s">
        <v>101</v>
      </c>
      <c r="K351" s="12" t="s">
        <v>3757</v>
      </c>
      <c r="L351" s="12" t="s">
        <v>4133</v>
      </c>
      <c r="M351" s="12" t="s">
        <v>417</v>
      </c>
      <c r="N351" s="12" t="s">
        <v>418</v>
      </c>
      <c r="O351" s="12" t="s">
        <v>414</v>
      </c>
      <c r="P351" s="12" t="s">
        <v>415</v>
      </c>
      <c r="Q351" s="12" t="s">
        <v>508</v>
      </c>
      <c r="R351" s="12" t="s">
        <v>518</v>
      </c>
      <c r="S351" s="12" t="s">
        <v>902</v>
      </c>
      <c r="T351" s="12" t="s">
        <v>2381</v>
      </c>
      <c r="U351" s="12" t="s">
        <v>494</v>
      </c>
      <c r="V351" s="12" t="s">
        <v>494</v>
      </c>
      <c r="W351" s="12"/>
      <c r="X351" s="12" t="s">
        <v>4134</v>
      </c>
      <c r="Y351" s="12" t="s">
        <v>416</v>
      </c>
      <c r="Z351" s="12" t="s">
        <v>4135</v>
      </c>
      <c r="AA351" s="12" t="s">
        <v>3772</v>
      </c>
      <c r="AB351" s="12" t="s">
        <v>130</v>
      </c>
      <c r="AC351" s="14" t="s">
        <v>498</v>
      </c>
      <c r="AD351" s="14" t="s">
        <v>499</v>
      </c>
      <c r="AE351" s="12" t="s">
        <v>552</v>
      </c>
      <c r="AF351" s="27" t="s">
        <v>501</v>
      </c>
      <c r="AG351" s="28"/>
      <c r="AH351" s="27"/>
      <c r="AI351" s="27"/>
      <c r="AJ351" s="27"/>
      <c r="AK351" s="28" t="str">
        <f aca="false">IF(AG351="","",WORKDAY(AG351,5))</f>
        <v/>
      </c>
      <c r="AL351" s="27"/>
      <c r="AM351" s="27"/>
    </row>
    <row r="352" customFormat="false" ht="23.85" hidden="false" customHeight="false" outlineLevel="0" collapsed="false">
      <c r="A352" s="24" t="s">
        <v>101</v>
      </c>
      <c r="B352" s="25" t="n">
        <v>351</v>
      </c>
      <c r="C352" s="26" t="n">
        <v>5</v>
      </c>
      <c r="D352" s="12" t="s">
        <v>405</v>
      </c>
      <c r="E352" s="12" t="s">
        <v>420</v>
      </c>
      <c r="F352" s="12" t="s">
        <v>735</v>
      </c>
      <c r="G352" s="14" t="s">
        <v>424</v>
      </c>
      <c r="H352" s="12" t="s">
        <v>4136</v>
      </c>
      <c r="I352" s="12"/>
      <c r="J352" s="12" t="s">
        <v>101</v>
      </c>
      <c r="K352" s="12" t="s">
        <v>3757</v>
      </c>
      <c r="L352" s="12" t="s">
        <v>4137</v>
      </c>
      <c r="M352" s="12"/>
      <c r="N352" s="12"/>
      <c r="O352" s="12" t="s">
        <v>421</v>
      </c>
      <c r="P352" s="12" t="s">
        <v>422</v>
      </c>
      <c r="Q352" s="12" t="s">
        <v>508</v>
      </c>
      <c r="R352" s="12" t="s">
        <v>518</v>
      </c>
      <c r="S352" s="12" t="s">
        <v>4138</v>
      </c>
      <c r="T352" s="12" t="s">
        <v>2381</v>
      </c>
      <c r="U352" s="12" t="s">
        <v>494</v>
      </c>
      <c r="V352" s="12" t="s">
        <v>494</v>
      </c>
      <c r="W352" s="12"/>
      <c r="X352" s="12" t="s">
        <v>4139</v>
      </c>
      <c r="Y352" s="12" t="s">
        <v>423</v>
      </c>
      <c r="Z352" s="12"/>
      <c r="AA352" s="12" t="s">
        <v>4140</v>
      </c>
      <c r="AB352" s="12" t="s">
        <v>425</v>
      </c>
      <c r="AC352" s="14" t="s">
        <v>498</v>
      </c>
      <c r="AD352" s="14" t="s">
        <v>499</v>
      </c>
      <c r="AE352" s="12" t="s">
        <v>552</v>
      </c>
      <c r="AF352" s="27" t="s">
        <v>501</v>
      </c>
      <c r="AG352" s="28"/>
      <c r="AH352" s="27"/>
      <c r="AI352" s="27"/>
      <c r="AJ352" s="27"/>
      <c r="AK352" s="28" t="str">
        <f aca="false">IF(AG352="","",WORKDAY(AG352,5))</f>
        <v/>
      </c>
      <c r="AL352" s="27"/>
      <c r="AM352" s="27"/>
    </row>
    <row r="353" customFormat="false" ht="35.05" hidden="false" customHeight="false" outlineLevel="0" collapsed="false">
      <c r="A353" s="24" t="s">
        <v>101</v>
      </c>
      <c r="B353" s="25" t="n">
        <v>352</v>
      </c>
      <c r="C353" s="26" t="n">
        <v>5</v>
      </c>
      <c r="D353" s="12" t="s">
        <v>405</v>
      </c>
      <c r="E353" s="12" t="s">
        <v>426</v>
      </c>
      <c r="F353" s="12" t="s">
        <v>735</v>
      </c>
      <c r="G353" s="14" t="s">
        <v>430</v>
      </c>
      <c r="H353" s="12" t="s">
        <v>4141</v>
      </c>
      <c r="I353" s="12"/>
      <c r="J353" s="12" t="s">
        <v>101</v>
      </c>
      <c r="K353" s="12" t="s">
        <v>3757</v>
      </c>
      <c r="L353" s="12" t="s">
        <v>4142</v>
      </c>
      <c r="M353" s="12" t="s">
        <v>429</v>
      </c>
      <c r="N353" s="12"/>
      <c r="O353" s="12" t="s">
        <v>427</v>
      </c>
      <c r="P353" s="12" t="s">
        <v>428</v>
      </c>
      <c r="Q353" s="12" t="s">
        <v>4143</v>
      </c>
      <c r="R353" s="12" t="s">
        <v>4144</v>
      </c>
      <c r="S353" s="12" t="s">
        <v>4145</v>
      </c>
      <c r="T353" s="12" t="s">
        <v>2381</v>
      </c>
      <c r="U353" s="12" t="s">
        <v>494</v>
      </c>
      <c r="V353" s="12" t="s">
        <v>494</v>
      </c>
      <c r="W353" s="12"/>
      <c r="X353" s="12" t="s">
        <v>4146</v>
      </c>
      <c r="Y353" s="12" t="s">
        <v>233</v>
      </c>
      <c r="Z353" s="12" t="s">
        <v>4147</v>
      </c>
      <c r="AA353" s="12" t="s">
        <v>4148</v>
      </c>
      <c r="AB353" s="12" t="s">
        <v>431</v>
      </c>
      <c r="AC353" s="14" t="s">
        <v>498</v>
      </c>
      <c r="AD353" s="14" t="s">
        <v>499</v>
      </c>
      <c r="AE353" s="12" t="s">
        <v>552</v>
      </c>
      <c r="AF353" s="27" t="s">
        <v>501</v>
      </c>
      <c r="AG353" s="28"/>
      <c r="AH353" s="27"/>
      <c r="AI353" s="27"/>
      <c r="AJ353" s="27"/>
      <c r="AK353" s="28" t="str">
        <f aca="false">IF(AG353="","",WORKDAY(AG353,5))</f>
        <v/>
      </c>
      <c r="AL353" s="27"/>
      <c r="AM353" s="27"/>
    </row>
    <row r="354" customFormat="false" ht="35.05" hidden="false" customHeight="false" outlineLevel="0" collapsed="false">
      <c r="A354" s="24" t="s">
        <v>101</v>
      </c>
      <c r="B354" s="25" t="n">
        <v>353</v>
      </c>
      <c r="C354" s="26" t="n">
        <v>4</v>
      </c>
      <c r="D354" s="12" t="s">
        <v>405</v>
      </c>
      <c r="E354" s="12" t="s">
        <v>4149</v>
      </c>
      <c r="F354" s="12" t="s">
        <v>483</v>
      </c>
      <c r="G354" s="14" t="s">
        <v>4150</v>
      </c>
      <c r="H354" s="12" t="s">
        <v>4151</v>
      </c>
      <c r="I354" s="12"/>
      <c r="J354" s="12" t="s">
        <v>101</v>
      </c>
      <c r="K354" s="12" t="s">
        <v>3757</v>
      </c>
      <c r="L354" s="12" t="s">
        <v>4152</v>
      </c>
      <c r="M354" s="12" t="s">
        <v>4153</v>
      </c>
      <c r="N354" s="12"/>
      <c r="O354" s="12" t="s">
        <v>119</v>
      </c>
      <c r="P354" s="12" t="s">
        <v>4154</v>
      </c>
      <c r="Q354" s="12" t="s">
        <v>3750</v>
      </c>
      <c r="R354" s="12" t="s">
        <v>518</v>
      </c>
      <c r="S354" s="12" t="s">
        <v>1272</v>
      </c>
      <c r="T354" s="12" t="s">
        <v>2381</v>
      </c>
      <c r="U354" s="12" t="s">
        <v>494</v>
      </c>
      <c r="V354" s="12" t="s">
        <v>494</v>
      </c>
      <c r="W354" s="12"/>
      <c r="X354" s="12" t="s">
        <v>4155</v>
      </c>
      <c r="Y354" s="12" t="s">
        <v>4156</v>
      </c>
      <c r="Z354" s="12"/>
      <c r="AA354" s="12" t="s">
        <v>4157</v>
      </c>
      <c r="AB354" s="12" t="s">
        <v>130</v>
      </c>
      <c r="AC354" s="14" t="s">
        <v>498</v>
      </c>
      <c r="AD354" s="14" t="s">
        <v>499</v>
      </c>
      <c r="AE354" s="12" t="s">
        <v>552</v>
      </c>
      <c r="AF354" s="27" t="s">
        <v>501</v>
      </c>
      <c r="AG354" s="28"/>
      <c r="AH354" s="27"/>
      <c r="AI354" s="27"/>
      <c r="AJ354" s="27"/>
      <c r="AK354" s="28" t="str">
        <f aca="false">IF(AG354="","",WORKDAY(AG354,5))</f>
        <v/>
      </c>
      <c r="AL354" s="27"/>
      <c r="AM354" s="27"/>
    </row>
    <row r="355" customFormat="false" ht="23.85" hidden="false" customHeight="false" outlineLevel="0" collapsed="false">
      <c r="A355" s="24" t="s">
        <v>101</v>
      </c>
      <c r="B355" s="25" t="n">
        <v>354</v>
      </c>
      <c r="C355" s="26" t="n">
        <v>4</v>
      </c>
      <c r="D355" s="12" t="s">
        <v>405</v>
      </c>
      <c r="E355" s="12" t="s">
        <v>4158</v>
      </c>
      <c r="F355" s="12" t="s">
        <v>483</v>
      </c>
      <c r="G355" s="14" t="s">
        <v>593</v>
      </c>
      <c r="H355" s="12" t="s">
        <v>4159</v>
      </c>
      <c r="I355" s="12"/>
      <c r="J355" s="12" t="s">
        <v>101</v>
      </c>
      <c r="K355" s="12" t="s">
        <v>3757</v>
      </c>
      <c r="L355" s="12" t="s">
        <v>4160</v>
      </c>
      <c r="M355" s="12" t="s">
        <v>4161</v>
      </c>
      <c r="N355" s="12"/>
      <c r="O355" s="12" t="s">
        <v>4162</v>
      </c>
      <c r="P355" s="12" t="s">
        <v>4163</v>
      </c>
      <c r="Q355" s="12" t="s">
        <v>4164</v>
      </c>
      <c r="R355" s="12" t="s">
        <v>518</v>
      </c>
      <c r="S355" s="12" t="s">
        <v>1272</v>
      </c>
      <c r="T355" s="12" t="s">
        <v>2381</v>
      </c>
      <c r="U355" s="12" t="s">
        <v>494</v>
      </c>
      <c r="V355" s="12" t="s">
        <v>494</v>
      </c>
      <c r="W355" s="12"/>
      <c r="X355" s="12" t="s">
        <v>4165</v>
      </c>
      <c r="Y355" s="12"/>
      <c r="Z355" s="12" t="s">
        <v>4166</v>
      </c>
      <c r="AA355" s="12" t="s">
        <v>4167</v>
      </c>
      <c r="AB355" s="12" t="s">
        <v>4168</v>
      </c>
      <c r="AC355" s="14" t="s">
        <v>498</v>
      </c>
      <c r="AD355" s="14" t="s">
        <v>499</v>
      </c>
      <c r="AE355" s="12" t="s">
        <v>552</v>
      </c>
      <c r="AF355" s="27" t="s">
        <v>501</v>
      </c>
      <c r="AG355" s="28"/>
      <c r="AH355" s="27"/>
      <c r="AI355" s="27"/>
      <c r="AJ355" s="27"/>
      <c r="AK355" s="28" t="str">
        <f aca="false">IF(AG355="","",WORKDAY(AG355,5))</f>
        <v/>
      </c>
      <c r="AL355" s="27"/>
      <c r="AM355" s="27"/>
    </row>
    <row r="356" customFormat="false" ht="23.85" hidden="false" customHeight="false" outlineLevel="0" collapsed="false">
      <c r="A356" s="24" t="s">
        <v>101</v>
      </c>
      <c r="B356" s="25" t="n">
        <v>355</v>
      </c>
      <c r="C356" s="26" t="n">
        <v>4</v>
      </c>
      <c r="D356" s="12" t="s">
        <v>405</v>
      </c>
      <c r="E356" s="12" t="s">
        <v>4169</v>
      </c>
      <c r="F356" s="12" t="s">
        <v>483</v>
      </c>
      <c r="G356" s="14" t="s">
        <v>4170</v>
      </c>
      <c r="H356" s="12" t="s">
        <v>4171</v>
      </c>
      <c r="I356" s="12"/>
      <c r="J356" s="12" t="s">
        <v>101</v>
      </c>
      <c r="K356" s="12" t="s">
        <v>3757</v>
      </c>
      <c r="L356" s="12" t="s">
        <v>4172</v>
      </c>
      <c r="M356" s="12"/>
      <c r="N356" s="12" t="s">
        <v>4173</v>
      </c>
      <c r="O356" s="12" t="s">
        <v>852</v>
      </c>
      <c r="P356" s="12" t="s">
        <v>4174</v>
      </c>
      <c r="Q356" s="12" t="s">
        <v>508</v>
      </c>
      <c r="R356" s="12" t="s">
        <v>518</v>
      </c>
      <c r="S356" s="12" t="s">
        <v>4175</v>
      </c>
      <c r="T356" s="12" t="s">
        <v>2381</v>
      </c>
      <c r="U356" s="12" t="s">
        <v>494</v>
      </c>
      <c r="V356" s="12" t="s">
        <v>494</v>
      </c>
      <c r="W356" s="12"/>
      <c r="X356" s="12" t="s">
        <v>4176</v>
      </c>
      <c r="Y356" s="12" t="s">
        <v>4177</v>
      </c>
      <c r="Z356" s="12"/>
      <c r="AA356" s="12" t="s">
        <v>3772</v>
      </c>
      <c r="AB356" s="12" t="s">
        <v>130</v>
      </c>
      <c r="AC356" s="14" t="s">
        <v>498</v>
      </c>
      <c r="AD356" s="14" t="s">
        <v>499</v>
      </c>
      <c r="AE356" s="12" t="s">
        <v>552</v>
      </c>
      <c r="AF356" s="27" t="s">
        <v>501</v>
      </c>
      <c r="AG356" s="28"/>
      <c r="AH356" s="27"/>
      <c r="AI356" s="27"/>
      <c r="AJ356" s="27"/>
      <c r="AK356" s="28" t="str">
        <f aca="false">IF(AG356="","",WORKDAY(AG356,5))</f>
        <v/>
      </c>
      <c r="AL356" s="27"/>
      <c r="AM356" s="27"/>
    </row>
    <row r="357" customFormat="false" ht="23.85" hidden="false" customHeight="false" outlineLevel="0" collapsed="false">
      <c r="A357" s="24" t="s">
        <v>101</v>
      </c>
      <c r="B357" s="25" t="n">
        <v>356</v>
      </c>
      <c r="C357" s="26" t="n">
        <v>3</v>
      </c>
      <c r="D357" s="12" t="s">
        <v>405</v>
      </c>
      <c r="E357" s="12" t="s">
        <v>4178</v>
      </c>
      <c r="F357" s="12" t="s">
        <v>483</v>
      </c>
      <c r="G357" s="14" t="s">
        <v>4179</v>
      </c>
      <c r="H357" s="12" t="s">
        <v>4180</v>
      </c>
      <c r="I357" s="12"/>
      <c r="J357" s="12" t="s">
        <v>101</v>
      </c>
      <c r="K357" s="12" t="s">
        <v>3757</v>
      </c>
      <c r="L357" s="12" t="s">
        <v>4181</v>
      </c>
      <c r="M357" s="12" t="s">
        <v>4182</v>
      </c>
      <c r="N357" s="12"/>
      <c r="O357" s="12" t="s">
        <v>119</v>
      </c>
      <c r="P357" s="12" t="s">
        <v>4183</v>
      </c>
      <c r="Q357" s="12" t="s">
        <v>4184</v>
      </c>
      <c r="R357" s="12" t="s">
        <v>518</v>
      </c>
      <c r="S357" s="12" t="s">
        <v>4185</v>
      </c>
      <c r="T357" s="12" t="s">
        <v>2381</v>
      </c>
      <c r="U357" s="12" t="s">
        <v>494</v>
      </c>
      <c r="V357" s="12" t="s">
        <v>494</v>
      </c>
      <c r="W357" s="12"/>
      <c r="X357" s="12" t="s">
        <v>4186</v>
      </c>
      <c r="Y357" s="12"/>
      <c r="Z357" s="12" t="s">
        <v>4187</v>
      </c>
      <c r="AA357" s="12" t="s">
        <v>4188</v>
      </c>
      <c r="AB357" s="12" t="s">
        <v>179</v>
      </c>
      <c r="AC357" s="14" t="s">
        <v>498</v>
      </c>
      <c r="AD357" s="14" t="s">
        <v>499</v>
      </c>
      <c r="AE357" s="12" t="s">
        <v>552</v>
      </c>
      <c r="AF357" s="27" t="s">
        <v>501</v>
      </c>
      <c r="AG357" s="28"/>
      <c r="AH357" s="27"/>
      <c r="AI357" s="27"/>
      <c r="AJ357" s="27"/>
      <c r="AK357" s="28" t="str">
        <f aca="false">IF(AG357="","",WORKDAY(AG357,5))</f>
        <v/>
      </c>
      <c r="AL357" s="27"/>
      <c r="AM357" s="27"/>
    </row>
    <row r="358" customFormat="false" ht="23.85" hidden="false" customHeight="false" outlineLevel="0" collapsed="false">
      <c r="A358" s="24" t="s">
        <v>101</v>
      </c>
      <c r="B358" s="25" t="n">
        <v>357</v>
      </c>
      <c r="C358" s="26" t="n">
        <v>3</v>
      </c>
      <c r="D358" s="12" t="s">
        <v>405</v>
      </c>
      <c r="E358" s="12" t="s">
        <v>4189</v>
      </c>
      <c r="F358" s="12" t="s">
        <v>483</v>
      </c>
      <c r="G358" s="14" t="s">
        <v>4190</v>
      </c>
      <c r="H358" s="12" t="s">
        <v>4191</v>
      </c>
      <c r="I358" s="12" t="s">
        <v>118</v>
      </c>
      <c r="J358" s="12" t="s">
        <v>101</v>
      </c>
      <c r="K358" s="12" t="s">
        <v>3757</v>
      </c>
      <c r="L358" s="12" t="s">
        <v>4192</v>
      </c>
      <c r="M358" s="12" t="s">
        <v>4193</v>
      </c>
      <c r="N358" s="12"/>
      <c r="O358" s="12" t="s">
        <v>586</v>
      </c>
      <c r="P358" s="12" t="s">
        <v>4194</v>
      </c>
      <c r="Q358" s="12" t="s">
        <v>4195</v>
      </c>
      <c r="R358" s="12" t="s">
        <v>4196</v>
      </c>
      <c r="S358" s="12" t="s">
        <v>902</v>
      </c>
      <c r="T358" s="12" t="s">
        <v>2381</v>
      </c>
      <c r="U358" s="12" t="s">
        <v>494</v>
      </c>
      <c r="V358" s="12" t="s">
        <v>494</v>
      </c>
      <c r="W358" s="12"/>
      <c r="X358" s="12" t="s">
        <v>4197</v>
      </c>
      <c r="Y358" s="12" t="s">
        <v>4198</v>
      </c>
      <c r="Z358" s="12"/>
      <c r="AA358" s="12" t="s">
        <v>4199</v>
      </c>
      <c r="AB358" s="12" t="s">
        <v>123</v>
      </c>
      <c r="AC358" s="14" t="s">
        <v>498</v>
      </c>
      <c r="AD358" s="14" t="s">
        <v>499</v>
      </c>
      <c r="AE358" s="12" t="s">
        <v>552</v>
      </c>
      <c r="AF358" s="27" t="s">
        <v>501</v>
      </c>
      <c r="AG358" s="28"/>
      <c r="AH358" s="27"/>
      <c r="AI358" s="27"/>
      <c r="AJ358" s="27"/>
      <c r="AK358" s="28" t="str">
        <f aca="false">IF(AG358="","",WORKDAY(AG358,5))</f>
        <v/>
      </c>
      <c r="AL358" s="27"/>
      <c r="AM358" s="27"/>
    </row>
    <row r="359" customFormat="false" ht="35.05" hidden="false" customHeight="false" outlineLevel="0" collapsed="false">
      <c r="A359" s="24" t="s">
        <v>101</v>
      </c>
      <c r="B359" s="25" t="n">
        <v>358</v>
      </c>
      <c r="C359" s="26" t="n">
        <v>3</v>
      </c>
      <c r="D359" s="12" t="s">
        <v>405</v>
      </c>
      <c r="E359" s="12" t="s">
        <v>4200</v>
      </c>
      <c r="F359" s="12" t="s">
        <v>525</v>
      </c>
      <c r="G359" s="14" t="s">
        <v>4201</v>
      </c>
      <c r="H359" s="12" t="s">
        <v>4202</v>
      </c>
      <c r="I359" s="12"/>
      <c r="J359" s="12" t="s">
        <v>101</v>
      </c>
      <c r="K359" s="12" t="s">
        <v>3757</v>
      </c>
      <c r="L359" s="12" t="s">
        <v>4203</v>
      </c>
      <c r="M359" s="12"/>
      <c r="N359" s="12"/>
      <c r="O359" s="12" t="s">
        <v>4204</v>
      </c>
      <c r="P359" s="12" t="s">
        <v>4205</v>
      </c>
      <c r="Q359" s="12" t="s">
        <v>4206</v>
      </c>
      <c r="R359" s="12" t="s">
        <v>4207</v>
      </c>
      <c r="S359" s="12" t="s">
        <v>4208</v>
      </c>
      <c r="T359" s="12" t="s">
        <v>2381</v>
      </c>
      <c r="U359" s="12" t="s">
        <v>494</v>
      </c>
      <c r="V359" s="12" t="s">
        <v>494</v>
      </c>
      <c r="W359" s="12"/>
      <c r="X359" s="12" t="s">
        <v>4209</v>
      </c>
      <c r="Y359" s="12" t="s">
        <v>4210</v>
      </c>
      <c r="Z359" s="12"/>
      <c r="AA359" s="12" t="s">
        <v>536</v>
      </c>
      <c r="AB359" s="12" t="s">
        <v>204</v>
      </c>
      <c r="AC359" s="14" t="s">
        <v>498</v>
      </c>
      <c r="AD359" s="14" t="s">
        <v>499</v>
      </c>
      <c r="AE359" s="12" t="s">
        <v>552</v>
      </c>
      <c r="AF359" s="27" t="s">
        <v>501</v>
      </c>
      <c r="AG359" s="28"/>
      <c r="AH359" s="27"/>
      <c r="AI359" s="27"/>
      <c r="AJ359" s="27"/>
      <c r="AK359" s="28" t="str">
        <f aca="false">IF(AG359="","",WORKDAY(AG359,5))</f>
        <v/>
      </c>
      <c r="AL359" s="27"/>
      <c r="AM359" s="27"/>
    </row>
  </sheetData>
  <autoFilter ref="A1:AM359"/>
  <conditionalFormatting sqref="C2:C359">
    <cfRule type="cellIs" priority="2" operator="equal" aboveAverage="0" equalAverage="0" bottom="0" percent="0" rank="0" text="" dxfId="16">
      <formula>5</formula>
    </cfRule>
    <cfRule type="cellIs" priority="3" operator="equal" aboveAverage="0" equalAverage="0" bottom="0" percent="0" rank="0" text="" dxfId="17">
      <formula>4</formula>
    </cfRule>
    <cfRule type="cellIs" priority="4" operator="equal" aboveAverage="0" equalAverage="0" bottom="0" percent="0" rank="0" text="" dxfId="18">
      <formula>1</formula>
    </cfRule>
  </conditionalFormatting>
  <conditionalFormatting sqref="AK2:AK359">
    <cfRule type="expression" priority="5" aboveAverage="0" equalAverage="0" bottom="0" percent="0" rank="0" text="" dxfId="19">
      <formula>AND(AK2&lt;&gt;"",AK2&lt;=TODAY(),OR(AF2="Contacted",AF2="Follow-up sent"))</formula>
    </cfRule>
  </conditionalFormatting>
  <conditionalFormatting sqref="AB2:AB359">
    <cfRule type="expression" priority="6" aboveAverage="0" equalAverage="0" bottom="0" percent="0" rank="0" text="" dxfId="20">
      <formula>LEFT(AB2,4)="PASS"</formula>
    </cfRule>
    <cfRule type="expression" priority="7" aboveAverage="0" equalAverage="0" bottom="0" percent="0" rank="0" text="" dxfId="21">
      <formula>LEFT(AB2,5)="CHECK"</formula>
    </cfRule>
    <cfRule type="expression" priority="8" aboveAverage="0" equalAverage="0" bottom="0" percent="0" rank="0" text="" dxfId="22">
      <formula>LEFT(AB2,7)="CAUTION"</formula>
    </cfRule>
  </conditionalFormatting>
  <conditionalFormatting sqref="F2:F359">
    <cfRule type="expression" priority="9" aboveAverage="0" equalAverage="0" bottom="0" percent="0" rank="0" text="" dxfId="16">
      <formula>LEFT(F2,1)="A"</formula>
    </cfRule>
    <cfRule type="expression" priority="10" aboveAverage="0" equalAverage="0" bottom="0" percent="0" rank="0" text="" dxfId="21">
      <formula>LEFT(F2,1)="B"</formula>
    </cfRule>
    <cfRule type="expression" priority="11" aboveAverage="0" equalAverage="0" bottom="0" percent="0" rank="0" text="" dxfId="23">
      <formula>LEFT(F2,1)="C"</formula>
    </cfRule>
  </conditionalFormatting>
  <conditionalFormatting sqref="K2:K359">
    <cfRule type="cellIs" priority="12" operator="equal" aboveAverage="0" equalAverage="0" bottom="0" percent="0" rank="0" text="" dxfId="20">
      <formula>"Low-cost"</formula>
    </cfRule>
    <cfRule type="cellIs" priority="13" operator="equal" aboveAverage="0" equalAverage="0" bottom="0" percent="0" rank="0" text="" dxfId="21">
      <formula>"Mid"</formula>
    </cfRule>
  </conditionalFormatting>
  <conditionalFormatting sqref="Z2:Z359">
    <cfRule type="expression" priority="14" aboveAverage="0" equalAverage="0" bottom="0" percent="0" rank="0" text="" dxfId="24">
      <formula>OR(ISNUMBER(SEARCH("RED FLAG",Z2)),ISNUMBER(SEARCH("NOT SUITABLE",Y2)))</formula>
    </cfRule>
  </conditionalFormatting>
  <conditionalFormatting sqref="U2:U359">
    <cfRule type="expression" priority="15" aboveAverage="0" equalAverage="0" bottom="0" percent="0" rank="0" text="" dxfId="20">
      <formula>ISNUMBER(SEARCH("Yes",U2))</formula>
    </cfRule>
    <cfRule type="expression" priority="16" aboveAverage="0" equalAverage="0" bottom="0" percent="0" rank="0" text="" dxfId="25">
      <formula>ISNUMBER(SEARCH("estrict",U2))</formula>
    </cfRule>
  </conditionalFormatting>
  <dataValidations count="4">
    <dataValidation allowBlank="true" errorStyle="stop" operator="between" showDropDown="false" showErrorMessage="false" showInputMessage="false" sqref="AF2:AF359" type="list">
      <formula1>"Not contacted,Contacted,Follow-up sent,Replied,Application submitted,Account approved,Price list received,First order placed,Rejected,Not suitable"</formula1>
      <formula2>0</formula2>
    </dataValidation>
    <dataValidation allowBlank="true" errorStyle="stop" operator="between" showDropDown="false" showErrorMessage="false" showInputMessage="false" sqref="AH2:AH359" type="list">
      <formula1>"Email,LinkedIn,Phone,Website form,WhatsApp,Trade show,In person"</formula1>
      <formula2>0</formula2>
    </dataValidation>
    <dataValidation allowBlank="true" errorStyle="stop" operator="between" showDropDown="false" showErrorMessage="false" showInputMessage="false" sqref="AL2:AL359" type="list">
      <formula1>"Yes,No,Pending"</formula1>
      <formula2>0</formula2>
    </dataValidation>
    <dataValidation allowBlank="true" errorStyle="stop" operator="greaterThan" showDropDown="false" showErrorMessage="false" showInputMessage="false" sqref="AG2:AG359" type="date">
      <formula1>DATE(2020,1,1)</formula1>
      <formula2>0</formula2>
    </dataValidation>
  </dataValidations>
  <hyperlinks>
    <hyperlink ref="G2" r:id="rId1" display="https://www.kores.com"/>
    <hyperlink ref="AC2" r:id="rId2" display="Source link"/>
    <hyperlink ref="AD2" r:id="rId3" display="Search LinkedIn"/>
    <hyperlink ref="G3" r:id="rId4" display="https://www.stadlbauer.at"/>
    <hyperlink ref="AC3" r:id="rId5" display="Source link"/>
    <hyperlink ref="AD3" r:id="rId6" display="Search LinkedIn"/>
    <hyperlink ref="G4" r:id="rId7" display="https://www.piatnik.com"/>
    <hyperlink ref="AC4" r:id="rId8" display="Source link"/>
    <hyperlink ref="AD4" r:id="rId9" display="Search LinkedIn"/>
    <hyperlink ref="G5" r:id="rId10" display="https://varo.com/contact"/>
    <hyperlink ref="AC5" r:id="rId11" display="Source link"/>
    <hyperlink ref="AD5" r:id="rId12" display="Search LinkedIn"/>
    <hyperlink ref="G6" r:id="rId13" display="https://www.beautylux.be"/>
    <hyperlink ref="AC6" r:id="rId14" display="Source link"/>
    <hyperlink ref="AD6" r:id="rId15" display="Search LinkedIn"/>
    <hyperlink ref="G7" r:id="rId16" display="https://galico.be"/>
    <hyperlink ref="AC7" r:id="rId17" display="Source link"/>
    <hyperlink ref="AD7" r:id="rId18" display="Search LinkedIn"/>
    <hyperlink ref="G8" r:id="rId19" display="https://www.savic.be"/>
    <hyperlink ref="AC8" r:id="rId20" display="Source link"/>
    <hyperlink ref="AD8" r:id="rId21" display="Search LinkedIn"/>
    <hyperlink ref="G9" r:id="rId22" display="https://www.flamingo.be/en/for-companies"/>
    <hyperlink ref="AC9" r:id="rId23" display="Source link"/>
    <hyperlink ref="AD9" r:id="rId24" display="Search LinkedIn"/>
    <hyperlink ref="G10" r:id="rId25" display="Not confirmed - click to search"/>
    <hyperlink ref="AC10" r:id="rId26" display="Source link"/>
    <hyperlink ref="AD10" r:id="rId27" display="Search LinkedIn"/>
    <hyperlink ref="G11" r:id="rId28" display="https://www.modernaproducts.com"/>
    <hyperlink ref="AC11" r:id="rId29" display="Source link"/>
    <hyperlink ref="AD11" r:id="rId30" display="Search LinkedIn"/>
    <hyperlink ref="G12" r:id="rId31" display="https://www.vadigran.com"/>
    <hyperlink ref="AC12" r:id="rId32" display="Source link"/>
    <hyperlink ref="AD12" r:id="rId33" display="Search LinkedIn"/>
    <hyperlink ref="G13" r:id="rId34" display="Not confirmed - click to search"/>
    <hyperlink ref="AC13" r:id="rId35" display="Source link"/>
    <hyperlink ref="AD13" r:id="rId36" display="Search LinkedIn"/>
    <hyperlink ref="G14" r:id="rId37" display="http://www.lemabg.com"/>
    <hyperlink ref="AC14" r:id="rId38" display="Source link"/>
    <hyperlink ref="AD14" r:id="rId39" display="Search LinkedIn"/>
    <hyperlink ref="G15" r:id="rId40" display="Not confirmed - click to search"/>
    <hyperlink ref="AC15" r:id="rId41" display="Source link"/>
    <hyperlink ref="AD15" r:id="rId42" display="Search LinkedIn"/>
    <hyperlink ref="G16" r:id="rId43" display="https://www.saponia.hr"/>
    <hyperlink ref="AC16" r:id="rId44" display="Source link"/>
    <hyperlink ref="AD16" r:id="rId45" display="Search LinkedIn"/>
    <hyperlink ref="G17" r:id="rId46" display="https://www.dermacol.cz"/>
    <hyperlink ref="AC17" r:id="rId47" display="Source link"/>
    <hyperlink ref="AD17" r:id="rId48" display="Search LinkedIn"/>
    <hyperlink ref="G18" r:id="rId49" display="Not confirmed - click to search"/>
    <hyperlink ref="AC18" r:id="rId50" display="Source link"/>
    <hyperlink ref="AD18" r:id="rId51" display="Search LinkedIn"/>
    <hyperlink ref="G19" r:id="rId52" display="https://en.hecht.cz"/>
    <hyperlink ref="AC19" r:id="rId53" display="Source link"/>
    <hyperlink ref="AD19" r:id="rId54" display="Search LinkedIn"/>
    <hyperlink ref="G20" r:id="rId55" display="https://www.narex.cz"/>
    <hyperlink ref="AC20" r:id="rId56" display="Source link"/>
    <hyperlink ref="AD20" r:id="rId57" display="Search LinkedIn"/>
    <hyperlink ref="G21" r:id="rId58" display="http://www.pilanametal.cz"/>
    <hyperlink ref="AC21" r:id="rId59" display="Source link"/>
    <hyperlink ref="AD21" r:id="rId60" display="Search LinkedIn"/>
    <hyperlink ref="G22" r:id="rId61" display="https://www.bjutip.com"/>
    <hyperlink ref="AC22" r:id="rId62" display="Source link"/>
    <hyperlink ref="AD22" r:id="rId63" display="Search LinkedIn"/>
    <hyperlink ref="G23" r:id="rId64" display="https://www.nutrend-supplements.com"/>
    <hyperlink ref="AC23" r:id="rId65" display="Source link"/>
    <hyperlink ref="AD23" r:id="rId66" display="Search LinkedIn"/>
    <hyperlink ref="G24" r:id="rId67" display="http://www.spokar.com"/>
    <hyperlink ref="AC24" r:id="rId68" display="Source link"/>
    <hyperlink ref="AD24" r:id="rId69" display="Search LinkedIn"/>
    <hyperlink ref="G25" r:id="rId70" display="Not confirmed - click to search"/>
    <hyperlink ref="AC25" r:id="rId71" display="Source link"/>
    <hyperlink ref="AD25" r:id="rId72" display="Search LinkedIn"/>
    <hyperlink ref="G26" r:id="rId73" display="https://www.tescoma.cz"/>
    <hyperlink ref="AC26" r:id="rId74" display="Source link"/>
    <hyperlink ref="AD26" r:id="rId75" display="Search LinkedIn"/>
    <hyperlink ref="G27" r:id="rId76" display="Not confirmed - click to search"/>
    <hyperlink ref="AC27" r:id="rId77" display="Source link"/>
    <hyperlink ref="AD27" r:id="rId78" display="Search LinkedIn"/>
    <hyperlink ref="G28" r:id="rId79" display="https://www.plastia.cz"/>
    <hyperlink ref="AC28" r:id="rId80" display="Source link"/>
    <hyperlink ref="AD28" r:id="rId81" display="Search LinkedIn"/>
    <hyperlink ref="G29" r:id="rId82" display="Not confirmed - click to search"/>
    <hyperlink ref="AC29" r:id="rId83" display="Source link"/>
    <hyperlink ref="AD29" r:id="rId84" display="Search LinkedIn"/>
    <hyperlink ref="G30" r:id="rId85" display="https://www.drevotvar.cz"/>
    <hyperlink ref="AC30" r:id="rId86" display="Source link"/>
    <hyperlink ref="AD30" r:id="rId87" display="Search LinkedIn"/>
    <hyperlink ref="G31" r:id="rId88" display="Not confirmed - click to search"/>
    <hyperlink ref="AC31" r:id="rId89" display="Source link"/>
    <hyperlink ref="AD31" r:id="rId90" display="Search LinkedIn"/>
    <hyperlink ref="G32" r:id="rId91" display="http://www.tommicz.eu"/>
    <hyperlink ref="AC32" r:id="rId92" display="Source link"/>
    <hyperlink ref="AD32" r:id="rId93" display="Search LinkedIn"/>
    <hyperlink ref="G33" r:id="rId94" display="https://www.gala.cz"/>
    <hyperlink ref="AC33" r:id="rId95" display="Source link"/>
    <hyperlink ref="AD33" r:id="rId96" display="Search LinkedIn"/>
    <hyperlink ref="G34" r:id="rId97" display="http://www.plastkon.cz"/>
    <hyperlink ref="AC34" r:id="rId98" display="Source link"/>
    <hyperlink ref="AD34" r:id="rId99" display="Search LinkedIn"/>
    <hyperlink ref="G35" r:id="rId100" display="Not confirmed - click to search"/>
    <hyperlink ref="AC35" r:id="rId101" display="Source link"/>
    <hyperlink ref="AD35" r:id="rId102" display="Search LinkedIn"/>
    <hyperlink ref="G36" r:id="rId103" display="Not confirmed - click to search"/>
    <hyperlink ref="AC36" r:id="rId104" display="Source link"/>
    <hyperlink ref="AD36" r:id="rId105" display="Search LinkedIn"/>
    <hyperlink ref="G37" r:id="rId106" display="https://www.koh-i-noor.cz"/>
    <hyperlink ref="AC37" r:id="rId107" display="Source link"/>
    <hyperlink ref="AD37" r:id="rId108" display="Search LinkedIn"/>
    <hyperlink ref="G38" r:id="rId109" display="https://www.dinotoys.cz"/>
    <hyperlink ref="AC38" r:id="rId110" display="Source link"/>
    <hyperlink ref="AD38" r:id="rId111" display="Search LinkedIn"/>
    <hyperlink ref="G39" r:id="rId112" display="https://www.albi.cz"/>
    <hyperlink ref="AC39" r:id="rId113" display="Source link"/>
    <hyperlink ref="AD39" r:id="rId114" display="Search LinkedIn"/>
    <hyperlink ref="G40" r:id="rId115" display="Not confirmed - click to search"/>
    <hyperlink ref="AC40" r:id="rId116" display="Source link"/>
    <hyperlink ref="AD40" r:id="rId117" display="Search LinkedIn"/>
    <hyperlink ref="G41" r:id="rId118" display="https://www.babydan.com"/>
    <hyperlink ref="AC41" r:id="rId119" display="Source link"/>
    <hyperlink ref="AD41" r:id="rId120" display="Search LinkedIn"/>
    <hyperlink ref="G42" r:id="rId121" display="https://www.liewood.com"/>
    <hyperlink ref="AC42" r:id="rId122" display="Source link"/>
    <hyperlink ref="AD42" r:id="rId123" display="Search LinkedIn"/>
    <hyperlink ref="G43" r:id="rId124" display="https://www.ecooking.com"/>
    <hyperlink ref="AC43" r:id="rId125" display="Source link"/>
    <hyperlink ref="AD43" r:id="rId126" display="Search LinkedIn"/>
    <hyperlink ref="G44" r:id="rId127" display="https://kruuse.com/frontpage/welcome-at-kruuse/about-kruuse"/>
    <hyperlink ref="AC44" r:id="rId128" display="Source link"/>
    <hyperlink ref="AD44" r:id="rId129" display="Search LinkedIn"/>
    <hyperlink ref="G45" r:id="rId130" display="https://www.oase-outdoors.dk"/>
    <hyperlink ref="AC45" r:id="rId131" display="Source link"/>
    <hyperlink ref="AD45" r:id="rId132" display="Search LinkedIn"/>
    <hyperlink ref="G46" r:id="rId133" display="https://www.select-sport.com"/>
    <hyperlink ref="AC46" r:id="rId134" display="Source link"/>
    <hyperlink ref="AD46" r:id="rId135" display="Search LinkedIn"/>
    <hyperlink ref="G47" r:id="rId136" display="Not confirmed - click to search"/>
    <hyperlink ref="AC47" r:id="rId137" display="Source link"/>
    <hyperlink ref="AD47" r:id="rId138" display="Search LinkedIn"/>
    <hyperlink ref="G48" r:id="rId139" display="https://www.plusplus.com"/>
    <hyperlink ref="AC48" r:id="rId140" display="Source link"/>
    <hyperlink ref="AD48" r:id="rId141" display="Search LinkedIn"/>
    <hyperlink ref="G49" r:id="rId142" display="https://www.lumene.com"/>
    <hyperlink ref="AC49" r:id="rId143" display="Source link"/>
    <hyperlink ref="AD49" r:id="rId144" display="Search LinkedIn"/>
    <hyperlink ref="G50" r:id="rId145" display="https://www.fiskarsgroup.com"/>
    <hyperlink ref="AC50" r:id="rId146" display="Source link"/>
    <hyperlink ref="AD50" r:id="rId147" display="Search LinkedIn"/>
    <hyperlink ref="G51" r:id="rId148" display="https://www.orthexgroup.com"/>
    <hyperlink ref="AC51" r:id="rId149" display="Source link"/>
    <hyperlink ref="AD51" r:id="rId150" display="Search LinkedIn"/>
    <hyperlink ref="G52" r:id="rId151" display="https://www.tactic.net"/>
    <hyperlink ref="AC52" r:id="rId152" display="Source link"/>
    <hyperlink ref="AD52" r:id="rId153" display="Search LinkedIn"/>
    <hyperlink ref="G53" r:id="rId154" display="https://www.beaba.com"/>
    <hyperlink ref="AC53" r:id="rId155" display="Source link"/>
    <hyperlink ref="AD53" r:id="rId156" display="Search LinkedIn"/>
    <hyperlink ref="G54" r:id="rId157" display="https://www.babymoov.com"/>
    <hyperlink ref="AC54" r:id="rId158" display="Source link"/>
    <hyperlink ref="AD54" r:id="rId159" display="Search LinkedIn"/>
    <hyperlink ref="G55" r:id="rId160" display="https://www.expanscience.com/en/expanscience/company"/>
    <hyperlink ref="AC55" r:id="rId161" display="Source link"/>
    <hyperlink ref="AD55" r:id="rId162" display="Search LinkedIn"/>
    <hyperlink ref="G56" r:id="rId163" display="https://www.arkopharma.com"/>
    <hyperlink ref="AC56" r:id="rId164" display="Source link"/>
    <hyperlink ref="AD56" r:id="rId165" display="Search LinkedIn"/>
    <hyperlink ref="G57" r:id="rId166" display="https://en.zolux.com"/>
    <hyperlink ref="AC57" r:id="rId167" display="Source link"/>
    <hyperlink ref="AD57" r:id="rId168" display="Search LinkedIn"/>
    <hyperlink ref="G58" r:id="rId169" display="https://www.zefal.com"/>
    <hyperlink ref="AC58" r:id="rId170" display="Source link"/>
    <hyperlink ref="AD58" r:id="rId171" display="Search LinkedIn"/>
    <hyperlink ref="G59" r:id="rId172" display="https://www.hamelinbrands.com"/>
    <hyperlink ref="AC59" r:id="rId173" display="Source link"/>
    <hyperlink ref="AD59" r:id="rId174" display="Search LinkedIn"/>
    <hyperlink ref="G60" r:id="rId175" display="https://www.maped.com"/>
    <hyperlink ref="AC60" r:id="rId176" display="Source link"/>
    <hyperlink ref="AD60" r:id="rId177" display="Search LinkedIn"/>
    <hyperlink ref="G61" r:id="rId178" display="https://exaclair.com/about_exaclair.php"/>
    <hyperlink ref="AC61" r:id="rId179" display="Source link"/>
    <hyperlink ref="AD61" r:id="rId180" display="Search LinkedIn"/>
    <hyperlink ref="G62" r:id="rId181" display="https://www.janod.com"/>
    <hyperlink ref="AC62" r:id="rId182" display="Source link"/>
    <hyperlink ref="AD62" r:id="rId183" display="Search LinkedIn"/>
    <hyperlink ref="G63" r:id="rId184" display="Not confirmed - click to search"/>
    <hyperlink ref="AC63" r:id="rId185" display="Source link"/>
    <hyperlink ref="AD63" r:id="rId186" display="Search LinkedIn"/>
    <hyperlink ref="G64" r:id="rId187" display="https://www.zentrada.eu"/>
    <hyperlink ref="AC64" r:id="rId188" display="Source link"/>
    <hyperlink ref="AD64" r:id="rId189" display="Search LinkedIn"/>
    <hyperlink ref="G65" r:id="rId190" display="https://www.mapa.de"/>
    <hyperlink ref="AC65" r:id="rId191" display="Source link"/>
    <hyperlink ref="AD65" r:id="rId192" display="Search LinkedIn"/>
    <hyperlink ref="G66" r:id="rId193" display="https://www.mambaby.com"/>
    <hyperlink ref="AC66" r:id="rId194" display="Source link"/>
    <hyperlink ref="AD66" r:id="rId195" display="Search LinkedIn"/>
    <hyperlink ref="G67" r:id="rId196" display="https://www.hauck.de"/>
    <hyperlink ref="AC67" r:id="rId197" display="Source link"/>
    <hyperlink ref="AD67" r:id="rId198" display="Search LinkedIn"/>
    <hyperlink ref="G68" r:id="rId199" display="https://www.laessig-fashion.de"/>
    <hyperlink ref="AC68" r:id="rId200" display="Source link"/>
    <hyperlink ref="AD68" r:id="rId201" display="Search LinkedIn"/>
    <hyperlink ref="G69" r:id="rId202" display="https://www.2e-vertrieb.de"/>
    <hyperlink ref="AC69" r:id="rId203" display="Source link"/>
    <hyperlink ref="AD69" r:id="rId204" display="Search LinkedIn"/>
    <hyperlink ref="G70" r:id="rId205" display="https://www.reer.de"/>
    <hyperlink ref="AC70" r:id="rId206" display="Source link"/>
    <hyperlink ref="AD70" r:id="rId207" display="Search LinkedIn"/>
    <hyperlink ref="G71" r:id="rId208" display="https://www.cosnova.com"/>
    <hyperlink ref="AC71" r:id="rId209" display="Source link"/>
    <hyperlink ref="AD71" r:id="rId210" display="Search LinkedIn"/>
    <hyperlink ref="G72" r:id="rId211" display="https://www.weleda.de"/>
    <hyperlink ref="AC72" r:id="rId212" display="Source link"/>
    <hyperlink ref="AD72" r:id="rId213" display="Search LinkedIn"/>
    <hyperlink ref="G73" r:id="rId214" display="https://www.artdeco.de"/>
    <hyperlink ref="AC73" r:id="rId215" display="Source link"/>
    <hyperlink ref="AD73" r:id="rId216" display="Search LinkedIn"/>
    <hyperlink ref="G74" r:id="rId217" display="https://www.sante.de"/>
    <hyperlink ref="AC74" r:id="rId218" display="Source link"/>
    <hyperlink ref="AD74" r:id="rId219" display="Search LinkedIn"/>
    <hyperlink ref="G75" r:id="rId220" display="https://www.einhell.com/einhell-worldwide/"/>
    <hyperlink ref="AC75" r:id="rId221" display="Source link"/>
    <hyperlink ref="AD75" r:id="rId222" display="Search LinkedIn"/>
    <hyperlink ref="G76" r:id="rId223" display="https://www.fischer.de"/>
    <hyperlink ref="AC76" r:id="rId224" display="Source link"/>
    <hyperlink ref="AD76" r:id="rId225" display="Search LinkedIn"/>
    <hyperlink ref="G77" r:id="rId226" display="https://www.gardena.com"/>
    <hyperlink ref="AC77" r:id="rId227" display="Source link"/>
    <hyperlink ref="AD77" r:id="rId228" display="Search LinkedIn"/>
    <hyperlink ref="G78" r:id="rId229" display="https://www.knipex.com"/>
    <hyperlink ref="AC78" r:id="rId230" display="Source link"/>
    <hyperlink ref="AD78" r:id="rId231" display="Search LinkedIn"/>
    <hyperlink ref="G79" r:id="rId232" display="https://www.wera.de"/>
    <hyperlink ref="AC79" r:id="rId233" display="Source link"/>
    <hyperlink ref="AD79" r:id="rId234" display="Search LinkedIn"/>
    <hyperlink ref="G80" r:id="rId235" display="https://www.wiha.com"/>
    <hyperlink ref="AC80" r:id="rId236" display="Source link"/>
    <hyperlink ref="AD80" r:id="rId237" display="Search LinkedIn"/>
    <hyperlink ref="G81" r:id="rId238" display="https://www.kwb.eu"/>
    <hyperlink ref="AC81" r:id="rId239" display="Source link"/>
    <hyperlink ref="AD81" r:id="rId240" display="Search LinkedIn"/>
    <hyperlink ref="G82" r:id="rId241" display="https://www.scheppach.com"/>
    <hyperlink ref="AC82" r:id="rId242" display="Source link"/>
    <hyperlink ref="AD82" r:id="rId243" display="Search LinkedIn"/>
    <hyperlink ref="G83" r:id="rId244" display="https://www.guede.com"/>
    <hyperlink ref="AC83" r:id="rId245" display="Source link"/>
    <hyperlink ref="AD83" r:id="rId246" display="Search LinkedIn"/>
    <hyperlink ref="G84" r:id="rId247" display="https://www.wolfcraft.com"/>
    <hyperlink ref="AC84" r:id="rId248" display="Source link"/>
    <hyperlink ref="AD84" r:id="rId249" display="Search LinkedIn"/>
    <hyperlink ref="G85" r:id="rId250" display="Not confirmed - click to search"/>
    <hyperlink ref="AC85" r:id="rId251" display="Source link"/>
    <hyperlink ref="AD85" r:id="rId252" display="Search LinkedIn"/>
    <hyperlink ref="G86" r:id="rId253" display="https://www.beurer.com/uk/facts/"/>
    <hyperlink ref="AC86" r:id="rId254" display="Source link"/>
    <hyperlink ref="AD86" r:id="rId255" display="Search LinkedIn"/>
    <hyperlink ref="G87" r:id="rId256" display="https://www.medisana.de"/>
    <hyperlink ref="AC87" r:id="rId257" display="Source link"/>
    <hyperlink ref="AD87" r:id="rId258" display="Search LinkedIn"/>
    <hyperlink ref="G88" r:id="rId259" display="https://www.kneipp.com"/>
    <hyperlink ref="AC88" r:id="rId260" display="Source link"/>
    <hyperlink ref="AD88" r:id="rId261" display="Search LinkedIn"/>
    <hyperlink ref="G89" r:id="rId262" display="https://www.hartmann.info"/>
    <hyperlink ref="AC89" r:id="rId263" display="Source link"/>
    <hyperlink ref="AD89" r:id="rId264" display="Search LinkedIn"/>
    <hyperlink ref="G90" r:id="rId265" display="https://www.naturwaren-theiss.de"/>
    <hyperlink ref="AC90" r:id="rId266" display="Source link"/>
    <hyperlink ref="AD90" r:id="rId267" display="Search LinkedIn"/>
    <hyperlink ref="G91" r:id="rId268" display="https://www.leifheit.com"/>
    <hyperlink ref="AC91" r:id="rId269" display="Source link"/>
    <hyperlink ref="AD91" r:id="rId270" display="Search LinkedIn"/>
    <hyperlink ref="G92" r:id="rId271" display="https://www.ifa-berlin.com/exhibitors/wolfsohn"/>
    <hyperlink ref="AC92" r:id="rId272" display="Source link"/>
    <hyperlink ref="AD92" r:id="rId273" display="Search LinkedIn"/>
    <hyperlink ref="G93" r:id="rId274" display="https://www.gefu.com"/>
    <hyperlink ref="AC93" r:id="rId275" display="Source link"/>
    <hyperlink ref="AD93" r:id="rId276" display="Search LinkedIn"/>
    <hyperlink ref="G94" r:id="rId277" display="https://www.severin.com"/>
    <hyperlink ref="AC94" r:id="rId278" display="Source link"/>
    <hyperlink ref="AD94" r:id="rId279" display="Search LinkedIn"/>
    <hyperlink ref="G95" r:id="rId280" display="https://www.westmark.de"/>
    <hyperlink ref="AC95" r:id="rId281" display="Source link"/>
    <hyperlink ref="AD95" r:id="rId282" display="Search LinkedIn"/>
    <hyperlink ref="G96" r:id="rId283" display="https://www.clatronic.de"/>
    <hyperlink ref="AC96" r:id="rId284" display="Source link"/>
    <hyperlink ref="AD96" r:id="rId285" display="Search LinkedIn"/>
    <hyperlink ref="G97" r:id="rId286" display="https://www.trixie.de"/>
    <hyperlink ref="AC97" r:id="rId287" display="Source link"/>
    <hyperlink ref="AD97" r:id="rId288" display="Search LinkedIn"/>
    <hyperlink ref="G98" r:id="rId289" display="https://www.kerbl.com"/>
    <hyperlink ref="AC98" r:id="rId290" display="Source link"/>
    <hyperlink ref="AD98" r:id="rId291" display="Search LinkedIn"/>
    <hyperlink ref="G99" r:id="rId292" display="https://www.gimborn.eu"/>
    <hyperlink ref="AC99" r:id="rId293" display="Source link"/>
    <hyperlink ref="AD99" r:id="rId294" display="Search LinkedIn"/>
    <hyperlink ref="G100" r:id="rId295" display="https://www.hunter.de"/>
    <hyperlink ref="AC100" r:id="rId296" display="Source link"/>
    <hyperlink ref="AD100" r:id="rId297" display="Search LinkedIn"/>
    <hyperlink ref="G101" r:id="rId298" display="https://www.nobby.de"/>
    <hyperlink ref="AC101" r:id="rId299" display="Source link"/>
    <hyperlink ref="AD101" r:id="rId300" display="Search LinkedIn"/>
    <hyperlink ref="G102" r:id="rId301" display="https://www.vitakraft.com"/>
    <hyperlink ref="AC102" r:id="rId302" display="Source link"/>
    <hyperlink ref="AD102" r:id="rId303" display="Search LinkedIn"/>
    <hyperlink ref="G103" r:id="rId304" display="https://www.portapet.de"/>
    <hyperlink ref="AC103" r:id="rId305" display="Source link"/>
    <hyperlink ref="AD103" r:id="rId306" display="Search LinkedIn"/>
    <hyperlink ref="G104" r:id="rId307" display="https://josera-importers.com"/>
    <hyperlink ref="AC104" r:id="rId308" display="Source link"/>
    <hyperlink ref="AD104" r:id="rId309" display="Search LinkedIn"/>
    <hyperlink ref="G105" r:id="rId310" display="Not confirmed - click to search"/>
    <hyperlink ref="AC105" r:id="rId311" display="Source link"/>
    <hyperlink ref="AD105" r:id="rId312" display="Search LinkedIn"/>
    <hyperlink ref="G106" r:id="rId313" display="https://www.paul-lange.de"/>
    <hyperlink ref="AC106" r:id="rId314" display="Source link"/>
    <hyperlink ref="AD106" r:id="rId315" display="Search LinkedIn"/>
    <hyperlink ref="G107" r:id="rId316" display="https://sigma.bike"/>
    <hyperlink ref="AC107" r:id="rId317" display="Source link"/>
    <hyperlink ref="AD107" r:id="rId318" display="Search LinkedIn"/>
    <hyperlink ref="G108" r:id="rId319" display="https://www.sks-germany.com"/>
    <hyperlink ref="AC108" r:id="rId320" display="Source link"/>
    <hyperlink ref="AD108" r:id="rId321" display="Search LinkedIn"/>
    <hyperlink ref="G109" r:id="rId322" display="https://kettlersport.com/en-dk/about-us/"/>
    <hyperlink ref="AC109" r:id="rId323" display="Source link"/>
    <hyperlink ref="AD109" r:id="rId324" display="Search LinkedIn"/>
    <hyperlink ref="G110" r:id="rId325" display="https://www.hudora.de"/>
    <hyperlink ref="AC110" r:id="rId326" display="Source link"/>
    <hyperlink ref="AD110" r:id="rId327" display="Search LinkedIn"/>
    <hyperlink ref="G111" r:id="rId328" display="https://hartje.de/en/company/"/>
    <hyperlink ref="AC111" r:id="rId329" display="Source link"/>
    <hyperlink ref="AD111" r:id="rId330" display="Search LinkedIn"/>
    <hyperlink ref="G112" r:id="rId331" display="https://sportimport.de"/>
    <hyperlink ref="AC112" r:id="rId332" display="Source link"/>
    <hyperlink ref="AD112" r:id="rId333" display="Search LinkedIn"/>
    <hyperlink ref="G113" r:id="rId334" display="Not confirmed - click to search"/>
    <hyperlink ref="AC113" r:id="rId335" display="Source link"/>
    <hyperlink ref="AD113" r:id="rId336" display="Search LinkedIn"/>
    <hyperlink ref="G114" r:id="rId337" display="https://www.provenexpert.com/acecamp-gmbh/"/>
    <hyperlink ref="AC114" r:id="rId338" display="Source link"/>
    <hyperlink ref="AD114" r:id="rId339" display="Search LinkedIn"/>
    <hyperlink ref="G115" r:id="rId340" display="https://www.hammer.de"/>
    <hyperlink ref="AC115" r:id="rId341" display="Source link"/>
    <hyperlink ref="AD115" r:id="rId342" display="Search LinkedIn"/>
    <hyperlink ref="G116" r:id="rId343" display="https://www.sport-thieme.de"/>
    <hyperlink ref="AC116" r:id="rId344" display="Source link"/>
    <hyperlink ref="AD116" r:id="rId345" display="Search LinkedIn"/>
    <hyperlink ref="G117" r:id="rId346" display="https://www.edding.com/en-uk/"/>
    <hyperlink ref="AC117" r:id="rId347" display="Source link"/>
    <hyperlink ref="AD117" r:id="rId348" display="Search LinkedIn"/>
    <hyperlink ref="G118" r:id="rId349" display="https://www.staedtler.com/intl/en/company"/>
    <hyperlink ref="AC118" r:id="rId350" display="Source link"/>
    <hyperlink ref="AD118" r:id="rId351" display="Search LinkedIn"/>
    <hyperlink ref="G119" r:id="rId352" display="https://www.durable.eu"/>
    <hyperlink ref="AC119" r:id="rId353" display="Source link"/>
    <hyperlink ref="AD119" r:id="rId354" display="Search LinkedIn"/>
    <hyperlink ref="G120" r:id="rId355" display="https://www.schneiderpen.com"/>
    <hyperlink ref="AC120" r:id="rId356" display="Source link"/>
    <hyperlink ref="AD120" r:id="rId357" display="Search LinkedIn"/>
    <hyperlink ref="G121" r:id="rId358" display="https://pelikan.com/int/company/pelikan-group-gmbh.html"/>
    <hyperlink ref="AC121" r:id="rId359" display="Source link"/>
    <hyperlink ref="AD121" r:id="rId360" display="Search LinkedIn"/>
    <hyperlink ref="G122" r:id="rId361" display="https://www.kosmos.de"/>
    <hyperlink ref="AC122" r:id="rId362" display="Source link"/>
    <hyperlink ref="AD122" r:id="rId363" display="Search LinkedIn"/>
    <hyperlink ref="G123" r:id="rId364" display="https://www.carrera-revell-toys.com"/>
    <hyperlink ref="AC123" r:id="rId365" display="Source link"/>
    <hyperlink ref="AD123" r:id="rId366" display="Search LinkedIn"/>
    <hyperlink ref="G124" r:id="rId367" display="https://www.simba-dickie-group.com"/>
    <hyperlink ref="AC124" r:id="rId368" display="Source link"/>
    <hyperlink ref="AD124" r:id="rId369" display="Search LinkedIn"/>
    <hyperlink ref="G125" r:id="rId370" display="https://depesche.com"/>
    <hyperlink ref="AC125" r:id="rId371" display="Source link"/>
    <hyperlink ref="AD125" r:id="rId372" display="Search LinkedIn"/>
    <hyperlink ref="G126" r:id="rId373" display="https://www.goki.eu"/>
    <hyperlink ref="AC126" r:id="rId374" display="Source link"/>
    <hyperlink ref="AD126" r:id="rId375" display="Search LinkedIn"/>
    <hyperlink ref="G127" r:id="rId376" display="https://b2b.small-foot.de/en/"/>
    <hyperlink ref="AC127" r:id="rId377" display="Source link"/>
    <hyperlink ref="AD127" r:id="rId378" display="Search LinkedIn"/>
    <hyperlink ref="G128" r:id="rId379" display="https://pegasus.de/en/about/"/>
    <hyperlink ref="AC128" r:id="rId380" display="Source link"/>
    <hyperlink ref="AD128" r:id="rId381" display="Search LinkedIn"/>
    <hyperlink ref="G129" r:id="rId382" display="https://www.vedes-gruppe.de"/>
    <hyperlink ref="AC129" r:id="rId383" display="Source link"/>
    <hyperlink ref="AD129" r:id="rId384" display="Search LinkedIn"/>
    <hyperlink ref="G130" r:id="rId385" display="https://www.korres.com"/>
    <hyperlink ref="AC130" r:id="rId386" display="Source link"/>
    <hyperlink ref="AD130" r:id="rId387" display="Search LinkedIn"/>
    <hyperlink ref="G131" r:id="rId388" display="https://www.apivita.com"/>
    <hyperlink ref="AC131" r:id="rId389" display="Source link"/>
    <hyperlink ref="AD131" r:id="rId390" display="Search LinkedIn"/>
    <hyperlink ref="G132" r:id="rId391" display="https://www.papoutsanis.gr"/>
    <hyperlink ref="AC132" r:id="rId392" display="Source link"/>
    <hyperlink ref="AD132" r:id="rId393" display="Search LinkedIn"/>
    <hyperlink ref="G133" r:id="rId394" display="https://www.frezyderm.com"/>
    <hyperlink ref="AC133" r:id="rId395" display="Source link"/>
    <hyperlink ref="AD133" r:id="rId396" display="Search LinkedIn"/>
    <hyperlink ref="G134" r:id="rId397" display="https://www.helia-d.hu"/>
    <hyperlink ref="AC134" r:id="rId398" display="Source link"/>
    <hyperlink ref="AD134" r:id="rId399" display="Search LinkedIn"/>
    <hyperlink ref="G135" r:id="rId400" display="https://www.biotechusa.hu"/>
    <hyperlink ref="AC135" r:id="rId401" display="Source link"/>
    <hyperlink ref="AD135" r:id="rId402" display="Search LinkedIn"/>
    <hyperlink ref="G136" r:id="rId403" display="https://www.herbaria.hu"/>
    <hyperlink ref="AC136" r:id="rId404" display="Source link"/>
    <hyperlink ref="AD136" r:id="rId405" display="Search LinkedIn"/>
    <hyperlink ref="G137" r:id="rId406" display="https://www.nationalbeauty.ie"/>
    <hyperlink ref="AC137" r:id="rId407" display="Source link"/>
    <hyperlink ref="AD137" r:id="rId408" display="Search LinkedIn"/>
    <hyperlink ref="G138" r:id="rId409" display="https://uniphar.ie"/>
    <hyperlink ref="AC138" r:id="rId410" display="Source link"/>
    <hyperlink ref="AD138" r:id="rId411" display="Search LinkedIn"/>
    <hyperlink ref="G139" r:id="rId412" display="https://www.artsana.com"/>
    <hyperlink ref="AC139" r:id="rId413" display="Source link"/>
    <hyperlink ref="AD139" r:id="rId414" display="Search LinkedIn"/>
    <hyperlink ref="G140" r:id="rId415" display="https://www.foppapedretti.it"/>
    <hyperlink ref="AC140" r:id="rId416" display="Source link"/>
    <hyperlink ref="AD140" r:id="rId417" display="Search LinkedIn"/>
    <hyperlink ref="G141" r:id="rId418" display="https://www.inglesina.com"/>
    <hyperlink ref="AC141" r:id="rId419" display="Source link"/>
    <hyperlink ref="AD141" r:id="rId420" display="Search LinkedIn"/>
    <hyperlink ref="G142" r:id="rId421" display="https://deborahmilano.com/en/about-us"/>
    <hyperlink ref="AC142" r:id="rId422" display="Source link"/>
    <hyperlink ref="AD142" r:id="rId423" display="Search LinkedIn"/>
    <hyperlink ref="G143" r:id="rId424" display="https://www.beta-tools.com"/>
    <hyperlink ref="AC143" r:id="rId425" display="Source link"/>
    <hyperlink ref="AD143" r:id="rId426" display="Search LinkedIn"/>
    <hyperlink ref="G144" r:id="rId427" display="https://www.fervi.com"/>
    <hyperlink ref="AC144" r:id="rId428" display="Source link"/>
    <hyperlink ref="AD144" r:id="rId429" display="Search LinkedIn"/>
    <hyperlink ref="G145" r:id="rId430" display="https://www.aboca.com"/>
    <hyperlink ref="AC145" r:id="rId431" display="Source link"/>
    <hyperlink ref="AD145" r:id="rId432" display="Search LinkedIn"/>
    <hyperlink ref="G146" r:id="rId433" display="https://www.laica.com"/>
    <hyperlink ref="AC146" r:id="rId434" display="Source link"/>
    <hyperlink ref="AD146" r:id="rId435" display="Search LinkedIn"/>
    <hyperlink ref="G147" r:id="rId436" display="https://www.bialetti.it"/>
    <hyperlink ref="AC147" r:id="rId437" display="Source link"/>
    <hyperlink ref="AD147" r:id="rId438" display="Search LinkedIn"/>
    <hyperlink ref="G148" r:id="rId439" display="https://www.imetec.com"/>
    <hyperlink ref="AC148" r:id="rId440" display="Source link"/>
    <hyperlink ref="AD148" r:id="rId441" display="Search LinkedIn"/>
    <hyperlink ref="G149" r:id="rId442" display="https://www.alessi.com"/>
    <hyperlink ref="AC149" r:id="rId443" display="Source link"/>
    <hyperlink ref="AD149" r:id="rId444" display="Search LinkedIn"/>
    <hyperlink ref="G150" r:id="rId445" display="https://www.ariete.net/en/profile"/>
    <hyperlink ref="AC150" r:id="rId446" display="Source link"/>
    <hyperlink ref="AD150" r:id="rId447" display="Search LinkedIn"/>
    <hyperlink ref="G151" r:id="rId448" display="http://www.guardini.com"/>
    <hyperlink ref="AC151" r:id="rId449" display="Source link"/>
    <hyperlink ref="AD151" r:id="rId450" display="Search LinkedIn"/>
    <hyperlink ref="G152" r:id="rId451" display="https://www.ferplast.com"/>
    <hyperlink ref="AC152" r:id="rId452" display="Source link"/>
    <hyperlink ref="AD152" r:id="rId453" display="Search LinkedIn"/>
    <hyperlink ref="G153" r:id="rId454" display="https://www.georplast.it"/>
    <hyperlink ref="AC153" r:id="rId455" display="Source link"/>
    <hyperlink ref="AD153" r:id="rId456" display="Search LinkedIn"/>
    <hyperlink ref="G154" r:id="rId457" display="https://croci-group.com"/>
    <hyperlink ref="AC154" r:id="rId458" display="Source link"/>
    <hyperlink ref="AD154" r:id="rId459" display="Search LinkedIn"/>
    <hyperlink ref="G155" r:id="rId460" display="https://www.imac.it"/>
    <hyperlink ref="AC155" r:id="rId461" display="Source link"/>
    <hyperlink ref="AD155" r:id="rId462" display="Search LinkedIn"/>
    <hyperlink ref="G156" r:id="rId463" display="https://www.unitedpets.com"/>
    <hyperlink ref="AC156" r:id="rId464" display="Source link"/>
    <hyperlink ref="AD156" r:id="rId465" display="Search LinkedIn"/>
    <hyperlink ref="G157" r:id="rId466" display="https://www.cressi.it"/>
    <hyperlink ref="AC157" r:id="rId467" display="Source link"/>
    <hyperlink ref="AD157" r:id="rId468" display="Search LinkedIn"/>
    <hyperlink ref="G158" r:id="rId469" display="https://www.fierabolzano.it/en/tempo-libero/exhibitor/brunner-gmbh"/>
    <hyperlink ref="AC158" r:id="rId470" display="Source link"/>
    <hyperlink ref="AD158" r:id="rId471" display="Search LinkedIn"/>
    <hyperlink ref="G159" r:id="rId472" display="https://www.fila.it"/>
    <hyperlink ref="AC159" r:id="rId473" display="Source link"/>
    <hyperlink ref="AD159" r:id="rId474" display="Search LinkedIn"/>
    <hyperlink ref="G160" r:id="rId475" display="https://www.carioca.com"/>
    <hyperlink ref="AC160" r:id="rId476" display="Source link"/>
    <hyperlink ref="AD160" r:id="rId477" display="Search LinkedIn"/>
    <hyperlink ref="G161" r:id="rId478" display="https://www.clementoni.com"/>
    <hyperlink ref="AC161" r:id="rId479" display="Source link"/>
    <hyperlink ref="AD161" r:id="rId480" display="Search LinkedIn"/>
    <hyperlink ref="G162" r:id="rId481" display="https://www.quercetti.com"/>
    <hyperlink ref="AC162" r:id="rId482" display="Source link"/>
    <hyperlink ref="AD162" r:id="rId483" display="Search LinkedIn"/>
    <hyperlink ref="G163" r:id="rId484" display="https://www.liscianigiochi.it"/>
    <hyperlink ref="AC163" r:id="rId485" display="Source link"/>
    <hyperlink ref="AD163" r:id="rId486" display="Search LinkedIn"/>
    <hyperlink ref="G164" r:id="rId487" display="https://madaracosmetics.lv/investors/"/>
    <hyperlink ref="AC164" r:id="rId488" display="Source link"/>
    <hyperlink ref="AD164" r:id="rId489" display="Search LinkedIn"/>
    <hyperlink ref="G165" r:id="rId490" display="https://bioklab.com"/>
    <hyperlink ref="AC165" r:id="rId491" display="Source link"/>
    <hyperlink ref="AD165" r:id="rId492" display="Search LinkedIn"/>
    <hyperlink ref="G166" r:id="rId493" display="https://www.curver.com"/>
    <hyperlink ref="AC166" r:id="rId494" display="Source link"/>
    <hyperlink ref="AD166" r:id="rId495" display="Search LinkedIn"/>
    <hyperlink ref="G167" r:id="rId496" display="https://difrax.com/en/pages/about-us"/>
    <hyperlink ref="AC167" r:id="rId497" display="Source link"/>
    <hyperlink ref="AD167" r:id="rId498" display="Search LinkedIn"/>
    <hyperlink ref="G168" r:id="rId499" display="https://www.bebe-jou.com"/>
    <hyperlink ref="AC168" r:id="rId500" display="Source link"/>
    <hyperlink ref="AD168" r:id="rId501" display="Search LinkedIn"/>
    <hyperlink ref="G169" r:id="rId502" display="https://www.westcoastsupplygroup.com"/>
    <hyperlink ref="AC169" r:id="rId503" display="Source link"/>
    <hyperlink ref="AD169" r:id="rId504" display="Search LinkedIn"/>
    <hyperlink ref="G170" r:id="rId505" display="https://www.naskorsports.com"/>
    <hyperlink ref="AC170" r:id="rId506" display="Source link"/>
    <hyperlink ref="AD170" r:id="rId507" display="Search LinkedIn"/>
    <hyperlink ref="G171" r:id="rId508" display="https://parallelbroker.com"/>
    <hyperlink ref="AC171" r:id="rId509" display="Source link"/>
    <hyperlink ref="AD171" r:id="rId510" display="Search LinkedIn"/>
    <hyperlink ref="G172" r:id="rId511" display="https://www.brabantia.com/uk/offices"/>
    <hyperlink ref="AC172" r:id="rId512" display="Source link"/>
    <hyperlink ref="AD172" r:id="rId513" display="Search LinkedIn"/>
    <hyperlink ref="G173" r:id="rId514" display="https://www.bolsius.com"/>
    <hyperlink ref="AC173" r:id="rId515" display="Source link"/>
    <hyperlink ref="AD173" r:id="rId516" display="Search LinkedIn"/>
    <hyperlink ref="G174" r:id="rId517" display="https://www.koopmanint.com/en/"/>
    <hyperlink ref="AC174" r:id="rId518" display="Source link"/>
    <hyperlink ref="AD174" r:id="rId519" display="Search LinkedIn"/>
    <hyperlink ref="G175" r:id="rId520" display="https://www.mepal.com"/>
    <hyperlink ref="AC175" r:id="rId521" display="Source link"/>
    <hyperlink ref="AD175" r:id="rId522" display="Search LinkedIn"/>
    <hyperlink ref="G176" r:id="rId523" display="https://www.tristar.eu"/>
    <hyperlink ref="AC176" r:id="rId524" display="Source link"/>
    <hyperlink ref="AD176" r:id="rId525" display="Search LinkedIn"/>
    <hyperlink ref="G177" r:id="rId526" display="https://www.sunware.nl"/>
    <hyperlink ref="AC177" r:id="rId527" display="Source link"/>
    <hyperlink ref="AD177" r:id="rId528" display="Search LinkedIn"/>
    <hyperlink ref="G178" r:id="rId529" display="https://www.vidaxl.com"/>
    <hyperlink ref="AC178" r:id="rId530" display="Source link"/>
    <hyperlink ref="AD178" r:id="rId531" display="Search LinkedIn"/>
    <hyperlink ref="G179" r:id="rId532" display="https://www.beaphar.com"/>
    <hyperlink ref="AC179" r:id="rId533" display="Source link"/>
    <hyperlink ref="AD179" r:id="rId534" display="Search LinkedIn"/>
    <hyperlink ref="G180" r:id="rId535" display="https://www.vandermeerrotterdam.nl"/>
    <hyperlink ref="AC180" r:id="rId536" display="Source link"/>
    <hyperlink ref="AD180" r:id="rId537" display="Search LinkedIn"/>
    <hyperlink ref="G181" r:id="rId538" display="https://www.beeztees.nl"/>
    <hyperlink ref="AC181" r:id="rId539" display="Source link"/>
    <hyperlink ref="AD181" r:id="rId540" display="Search LinkedIn"/>
    <hyperlink ref="G182" r:id="rId541" display="https://www.decathlon.nl/mp/seller/nrg-fitness-bv/14f44405-4091-46fe-a1eb-7c464a2aad45"/>
    <hyperlink ref="AC182" r:id="rId542" display="Source link"/>
    <hyperlink ref="AD182" r:id="rId543" display="Search LinkedIn"/>
    <hyperlink ref="G183" r:id="rId544" display="https://www.also.com/ec/cms5/en_2420/2420/index.jsp"/>
    <hyperlink ref="AC183" r:id="rId545" display="Source link"/>
    <hyperlink ref="AD183" r:id="rId546" display="Search LinkedIn"/>
    <hyperlink ref="G184" r:id="rId547" display="https://wisepim.com/suppliers/complies"/>
    <hyperlink ref="AC184" r:id="rId548" display="Source link"/>
    <hyperlink ref="AD184" r:id="rId549" display="Search LinkedIn"/>
    <hyperlink ref="G185" r:id="rId550" display="https://epngames.com"/>
    <hyperlink ref="AC185" r:id="rId551" display="Source link"/>
    <hyperlink ref="AD185" r:id="rId552" display="Search LinkedIn"/>
    <hyperlink ref="G186" r:id="rId553" display="https://www.jumbo.eu/en/about/"/>
    <hyperlink ref="AC186" r:id="rId554" display="Source link"/>
    <hyperlink ref="AD186" r:id="rId555" display="Search LinkedIn"/>
    <hyperlink ref="G187" r:id="rId556" display="https://www.spectrontoys.com"/>
    <hyperlink ref="AC187" r:id="rId557" display="Source link"/>
    <hyperlink ref="AD187" r:id="rId558" display="Search LinkedIn"/>
    <hyperlink ref="G188" r:id="rId559" display="https://www.ses-creative.com"/>
    <hyperlink ref="AC188" r:id="rId560" display="Source link"/>
    <hyperlink ref="AD188" r:id="rId561" display="Search LinkedIn"/>
    <hyperlink ref="G189" r:id="rId562" display="Not confirmed - click to search"/>
    <hyperlink ref="AC189" r:id="rId563" display="Source link"/>
    <hyperlink ref="AD189" r:id="rId564" display="Search LinkedIn"/>
    <hyperlink ref="G190" r:id="rId565" display="https://www.lionelo.com"/>
    <hyperlink ref="AC190" r:id="rId566" display="Source link"/>
    <hyperlink ref="AD190" r:id="rId567" display="Search LinkedIn"/>
    <hyperlink ref="G191" r:id="rId568" display="https://www.kinderkraft.com"/>
    <hyperlink ref="AC191" r:id="rId569" display="Source link"/>
    <hyperlink ref="AD191" r:id="rId570" display="Search LinkedIn"/>
    <hyperlink ref="G192" r:id="rId571" display="https://trade.gov.pl/en/?p=63431"/>
    <hyperlink ref="AC192" r:id="rId572" display="Source link"/>
    <hyperlink ref="AD192" r:id="rId573" display="Search LinkedIn"/>
    <hyperlink ref="G193" r:id="rId574" display="https://canpolbabies.com/gb_EN/about-us"/>
    <hyperlink ref="AC193" r:id="rId575" display="Source link"/>
    <hyperlink ref="AD193" r:id="rId576" display="Search LinkedIn"/>
    <hyperlink ref="G194" r:id="rId577" display="Not confirmed - click to search"/>
    <hyperlink ref="AC194" r:id="rId578" display="Source link"/>
    <hyperlink ref="AD194" r:id="rId579" display="Search LinkedIn"/>
    <hyperlink ref="G195" r:id="rId580" display="Not confirmed - click to search"/>
    <hyperlink ref="AC195" r:id="rId581" display="Source link"/>
    <hyperlink ref="AD195" r:id="rId582" display="Search LinkedIn"/>
    <hyperlink ref="G196" r:id="rId583" display="Not confirmed - click to search"/>
    <hyperlink ref="AC196" r:id="rId584" display="Source link"/>
    <hyperlink ref="AD196" r:id="rId585" display="Search LinkedIn"/>
    <hyperlink ref="G197" r:id="rId586" display="https://www.eveline.com.pl"/>
    <hyperlink ref="AC197" r:id="rId587" display="Source link"/>
    <hyperlink ref="AD197" r:id="rId588" display="Search LinkedIn"/>
    <hyperlink ref="G198" r:id="rId589" display="https://www.ziaja.com"/>
    <hyperlink ref="AC198" r:id="rId590" display="Source link"/>
    <hyperlink ref="AD198" r:id="rId591" display="Search LinkedIn"/>
    <hyperlink ref="G199" r:id="rId592" display="https://www.bielenda.pl/en/about-us"/>
    <hyperlink ref="AC199" r:id="rId593" display="Source link"/>
    <hyperlink ref="AD199" r:id="rId594" display="Search LinkedIn"/>
    <hyperlink ref="G200" r:id="rId595" display="https://www.delia.pl"/>
    <hyperlink ref="AC200" r:id="rId596" display="Source link"/>
    <hyperlink ref="AD200" r:id="rId597" display="Search LinkedIn"/>
    <hyperlink ref="G201" r:id="rId598" display="https://www.drirenaerissa.pl"/>
    <hyperlink ref="AC201" r:id="rId599" display="Source link"/>
    <hyperlink ref="AD201" r:id="rId600" display="Search LinkedIn"/>
    <hyperlink ref="G202" r:id="rId601" display="https://farmona.pl/en/company/export/"/>
    <hyperlink ref="AC202" r:id="rId602" display="Source link"/>
    <hyperlink ref="AD202" r:id="rId603" display="Search LinkedIn"/>
    <hyperlink ref="G203" r:id="rId604" display="Not confirmed - click to search"/>
    <hyperlink ref="AC203" r:id="rId605" display="Source link"/>
    <hyperlink ref="AD203" r:id="rId606" display="Search LinkedIn"/>
    <hyperlink ref="G204" r:id="rId607" display="https://corp.inglotcosmetics.com/about-us/company-overview/"/>
    <hyperlink ref="AC204" r:id="rId608" display="Source link"/>
    <hyperlink ref="AD204" r:id="rId609" display="Search LinkedIn"/>
    <hyperlink ref="G205" r:id="rId610" display="Not confirmed - click to search"/>
    <hyperlink ref="AC205" r:id="rId611" display="Source link"/>
    <hyperlink ref="AD205" r:id="rId612" display="Search LinkedIn"/>
    <hyperlink ref="G206" r:id="rId613" display="http://www.oceanic.com.pl"/>
    <hyperlink ref="AC206" r:id="rId614" display="Source link"/>
    <hyperlink ref="AD206" r:id="rId615" display="Search LinkedIn"/>
    <hyperlink ref="G207" r:id="rId616" display="https://toya.pl/en/toya-group"/>
    <hyperlink ref="AC207" r:id="rId617" display="Source link"/>
    <hyperlink ref="AD207" r:id="rId618" display="Search LinkedIn"/>
    <hyperlink ref="G208" r:id="rId619" display="https://logo-tools.pl"/>
    <hyperlink ref="AC208" r:id="rId620" display="Source link"/>
    <hyperlink ref="AD208" r:id="rId621" display="Search LinkedIn"/>
    <hyperlink ref="G209" r:id="rId622" display="https://www.greenmill.pl"/>
    <hyperlink ref="AC209" r:id="rId623" display="Source link"/>
    <hyperlink ref="AD209" r:id="rId624" display="Search LinkedIn"/>
    <hyperlink ref="G210" r:id="rId625" display="https://www.gtx-group.com/en/about-the-company/"/>
    <hyperlink ref="AC210" r:id="rId626" display="Source link"/>
    <hyperlink ref="AD210" r:id="rId627" display="Search LinkedIn"/>
    <hyperlink ref="G211" r:id="rId628" display="https://www.dedra.pl"/>
    <hyperlink ref="AC211" r:id="rId629" display="Source link"/>
    <hyperlink ref="AD211" r:id="rId630" display="Search LinkedIn"/>
    <hyperlink ref="G212" r:id="rId631" display="https://www.stalco.pl"/>
    <hyperlink ref="AC212" r:id="rId632" display="Source link"/>
    <hyperlink ref="AD212" r:id="rId633" display="Search LinkedIn"/>
    <hyperlink ref="G213" r:id="rId634" display="Not confirmed - click to search"/>
    <hyperlink ref="AC213" r:id="rId635" display="Source link"/>
    <hyperlink ref="AD213" r:id="rId636" display="Search LinkedIn"/>
    <hyperlink ref="G214" r:id="rId637" display="Not confirmed - click to search"/>
    <hyperlink ref="AC214" r:id="rId638" display="Source link"/>
    <hyperlink ref="AD214" r:id="rId639" display="Search LinkedIn"/>
    <hyperlink ref="G215" r:id="rId640" display="https://larive-parfums.com"/>
    <hyperlink ref="AC215" r:id="rId641" display="Source link"/>
    <hyperlink ref="AD215" r:id="rId642" display="Search LinkedIn"/>
    <hyperlink ref="G216" r:id="rId643" display="https://www.olimp-supplements.com"/>
    <hyperlink ref="AC216" r:id="rId644" display="Source link"/>
    <hyperlink ref="AD216" r:id="rId645" display="Search LinkedIn"/>
    <hyperlink ref="G217" r:id="rId646" display="https://www.trade.gov.pl/en/?p=51061"/>
    <hyperlink ref="AC217" r:id="rId647" display="Source link"/>
    <hyperlink ref="AD217" r:id="rId648" display="Search LinkedIn"/>
    <hyperlink ref="G218" r:id="rId649" display="https://olivit.pl"/>
    <hyperlink ref="AC218" r:id="rId650" display="Source link"/>
    <hyperlink ref="AD218" r:id="rId651" display="Search LinkedIn"/>
    <hyperlink ref="G219" r:id="rId652" display="Not confirmed - click to search"/>
    <hyperlink ref="AC219" r:id="rId653" display="Source link"/>
    <hyperlink ref="AD219" r:id="rId654" display="Search LinkedIn"/>
    <hyperlink ref="G220" r:id="rId655" display="https://sfdsa.pl"/>
    <hyperlink ref="AC220" r:id="rId656" display="Source link"/>
    <hyperlink ref="AD220" r:id="rId657" display="Search LinkedIn"/>
    <hyperlink ref="G221" r:id="rId658" display="https://www.trec.pl"/>
    <hyperlink ref="AC221" r:id="rId659" display="Source link"/>
    <hyperlink ref="AD221" r:id="rId660" display="Search LinkedIn"/>
    <hyperlink ref="G222" r:id="rId661" display="https://www.konex.pl"/>
    <hyperlink ref="AC222" r:id="rId662" display="Source link"/>
    <hyperlink ref="AD222" r:id="rId663" display="Search LinkedIn"/>
    <hyperlink ref="G223" r:id="rId664" display="https://florina.pl"/>
    <hyperlink ref="AC223" r:id="rId665" display="Source link"/>
    <hyperlink ref="AD223" r:id="rId666" display="Search LinkedIn"/>
    <hyperlink ref="G224" r:id="rId667" display="https://www.gerlach.pl"/>
    <hyperlink ref="AC224" r:id="rId668" display="Source link"/>
    <hyperlink ref="AD224" r:id="rId669" display="Search LinkedIn"/>
    <hyperlink ref="G225" r:id="rId670" display="Not confirmed - click to search"/>
    <hyperlink ref="AC225" r:id="rId671" display="Source link"/>
    <hyperlink ref="AD225" r:id="rId672" display="Search LinkedIn"/>
    <hyperlink ref="G226" r:id="rId673" display="https://www.trade.gov.pl/en/?p=150252"/>
    <hyperlink ref="AC226" r:id="rId674" display="Source link"/>
    <hyperlink ref="AD226" r:id="rId675" display="Search LinkedIn"/>
    <hyperlink ref="G227" r:id="rId676" display="https://www.amiplay.eu"/>
    <hyperlink ref="AC227" r:id="rId677" display="Source link"/>
    <hyperlink ref="AD227" r:id="rId678" display="Search LinkedIn"/>
    <hyperlink ref="G228" r:id="rId679" display="https://cazo.eu"/>
    <hyperlink ref="AC228" r:id="rId680" display="Source link"/>
    <hyperlink ref="AD228" r:id="rId681" display="Search LinkedIn"/>
    <hyperlink ref="G229" r:id="rId682" display="https://www.empets.pl"/>
    <hyperlink ref="AC229" r:id="rId683" display="Source link"/>
    <hyperlink ref="AD229" r:id="rId684" display="Search LinkedIn"/>
    <hyperlink ref="G230" r:id="rId685" display="https://dermapharm.com.pl/en/"/>
    <hyperlink ref="AC230" r:id="rId686" display="Source link"/>
    <hyperlink ref="AD230" r:id="rId687" display="Search LinkedIn"/>
    <hyperlink ref="G231" r:id="rId688" display="https://vetexpert.eu"/>
    <hyperlink ref="AC231" r:id="rId689" display="Source link"/>
    <hyperlink ref="AD231" r:id="rId690" display="Search LinkedIn"/>
    <hyperlink ref="G232" r:id="rId691" display="https://www.interzoo.com/en/exhibitors/dingo-sp-z-oo-2498563"/>
    <hyperlink ref="AC232" r:id="rId692" display="Source link"/>
    <hyperlink ref="AD232" r:id="rId693" display="Search LinkedIn"/>
    <hyperlink ref="G233" r:id="rId694" display="Not confirmed - click to search"/>
    <hyperlink ref="AC233" r:id="rId695" display="Source link"/>
    <hyperlink ref="AD233" r:id="rId696" display="Search LinkedIn"/>
    <hyperlink ref="G234" r:id="rId697" display="https://hobby.bydgoszcz.pl/en/about-us/"/>
    <hyperlink ref="AC234" r:id="rId698" display="Source link"/>
    <hyperlink ref="AD234" r:id="rId699" display="Search LinkedIn"/>
    <hyperlink ref="G235" r:id="rId700" display="https://www.decathlon.pl/mp/seller/bacha-sport/4aef1923-5ee8-4c39-8d70-d4fa38144749"/>
    <hyperlink ref="AC235" r:id="rId701" display="Source link"/>
    <hyperlink ref="AD235" r:id="rId702" display="Search LinkedIn"/>
    <hyperlink ref="G236" r:id="rId703" display="https://www.larix.com.pl"/>
    <hyperlink ref="AC236" r:id="rId704" display="Source link"/>
    <hyperlink ref="AD236" r:id="rId705" display="Search LinkedIn"/>
    <hyperlink ref="G237" r:id="rId706" display="https://cumulus.equipment"/>
    <hyperlink ref="AC237" r:id="rId707" display="Source link"/>
    <hyperlink ref="AD237" r:id="rId708" display="Search LinkedIn"/>
    <hyperlink ref="G238" r:id="rId709" display="https://www.meteor.pl"/>
    <hyperlink ref="AC238" r:id="rId710" display="Source link"/>
    <hyperlink ref="AD238" r:id="rId711" display="Search LinkedIn"/>
    <hyperlink ref="G239" r:id="rId712" display="https://www.spokey.pl"/>
    <hyperlink ref="AC239" r:id="rId713" display="Source link"/>
    <hyperlink ref="AD239" r:id="rId714" display="Search LinkedIn"/>
    <hyperlink ref="G240" r:id="rId715" display="Not confirmed - click to search"/>
    <hyperlink ref="AC240" r:id="rId716" display="Source link"/>
    <hyperlink ref="AD240" r:id="rId717" display="Search LinkedIn"/>
    <hyperlink ref="G241" r:id="rId718" display="Not confirmed - click to search"/>
    <hyperlink ref="AC241" r:id="rId719" display="Source link"/>
    <hyperlink ref="AD241" r:id="rId720" display="Search LinkedIn"/>
    <hyperlink ref="G242" r:id="rId721" display="http://www.interdruk.com.pl"/>
    <hyperlink ref="AC242" r:id="rId722" display="Source link"/>
    <hyperlink ref="AD242" r:id="rId723" display="Search LinkedIn"/>
    <hyperlink ref="G243" r:id="rId724" display="https://www.cobi.pl"/>
    <hyperlink ref="AC243" r:id="rId725" display="Source link"/>
    <hyperlink ref="AD243" r:id="rId726" display="Search LinkedIn"/>
    <hyperlink ref="G244" r:id="rId727" display="https://www.trefl.com/en/"/>
    <hyperlink ref="AC244" r:id="rId728" display="Source link"/>
    <hyperlink ref="AD244" r:id="rId729" display="Search LinkedIn"/>
    <hyperlink ref="G245" r:id="rId730" display="Not confirmed - click to search"/>
    <hyperlink ref="AC245" r:id="rId731" display="Source link"/>
    <hyperlink ref="AD245" r:id="rId732" display="Search LinkedIn"/>
    <hyperlink ref="G246" r:id="rId733" display="https://anek.com.pl"/>
    <hyperlink ref="AC246" r:id="rId734" display="Source link"/>
    <hyperlink ref="AD246" r:id="rId735" display="Search LinkedIn"/>
    <hyperlink ref="G247" r:id="rId736" display="https://www.granna.pl"/>
    <hyperlink ref="AC247" r:id="rId737" display="Source link"/>
    <hyperlink ref="AD247" r:id="rId738" display="Search LinkedIn"/>
    <hyperlink ref="G248" r:id="rId739" display="https://www.wader.toys"/>
    <hyperlink ref="AC248" r:id="rId740" display="Source link"/>
    <hyperlink ref="AD248" r:id="rId741" display="Search LinkedIn"/>
    <hyperlink ref="G249" r:id="rId742" display="Not confirmed - click to search"/>
    <hyperlink ref="AC249" r:id="rId743" display="Source link"/>
    <hyperlink ref="AD249" r:id="rId744" display="Search LinkedIn"/>
    <hyperlink ref="G250" r:id="rId745" display="https://tmtoys.pl"/>
    <hyperlink ref="AC250" r:id="rId746" display="Source link"/>
    <hyperlink ref="AD250" r:id="rId747" display="Search LinkedIn"/>
    <hyperlink ref="G251" r:id="rId748" display="https://suchanek-zabawki.pl"/>
    <hyperlink ref="AC251" r:id="rId749" display="Source link"/>
    <hyperlink ref="AD251" r:id="rId750" display="Search LinkedIn"/>
    <hyperlink ref="G252" r:id="rId751" display="https://achbrito.com"/>
    <hyperlink ref="AC252" r:id="rId752" display="Source link"/>
    <hyperlink ref="AD252" r:id="rId753" display="Search LinkedIn"/>
    <hyperlink ref="G253" r:id="rId754" display="Not confirmed - click to search"/>
    <hyperlink ref="AC253" r:id="rId755" display="Source link"/>
    <hyperlink ref="AD253" r:id="rId756" display="Search LinkedIn"/>
    <hyperlink ref="G254" r:id="rId757" display="Not confirmed - click to search"/>
    <hyperlink ref="AC254" r:id="rId758" display="Source link"/>
    <hyperlink ref="AD254" r:id="rId759" display="Search LinkedIn"/>
    <hyperlink ref="G255" r:id="rId760" display="Not confirmed - click to search"/>
    <hyperlink ref="AC255" r:id="rId761" display="Source link"/>
    <hyperlink ref="AD255" r:id="rId762" display="Search LinkedIn"/>
    <hyperlink ref="G256" r:id="rId763" display="Not confirmed - click to search"/>
    <hyperlink ref="AC256" r:id="rId764" display="Source link"/>
    <hyperlink ref="AD256" r:id="rId765" display="Search LinkedIn"/>
    <hyperlink ref="G257" r:id="rId766" display="http://www.grilofactory.com"/>
    <hyperlink ref="AC257" r:id="rId767" display="Source link"/>
    <hyperlink ref="AD257" r:id="rId768" display="Search LinkedIn"/>
    <hyperlink ref="G258" r:id="rId769" display="https://www.valentinibianco.com"/>
    <hyperlink ref="AC258" r:id="rId770" display="Source link"/>
    <hyperlink ref="AD258" r:id="rId771" display="Search LinkedIn"/>
    <hyperlink ref="G259" r:id="rId772" display="Not confirmed - click to search"/>
    <hyperlink ref="AC259" r:id="rId773" display="Source link"/>
    <hyperlink ref="AD259" r:id="rId774" display="Search LinkedIn"/>
    <hyperlink ref="G260" r:id="rId775" display="https://silampos.pt"/>
    <hyperlink ref="AC260" r:id="rId776" display="Source link"/>
    <hyperlink ref="AD260" r:id="rId777" display="Search LinkedIn"/>
    <hyperlink ref="G261" r:id="rId778" display="Not confirmed - click to search"/>
    <hyperlink ref="AC261" r:id="rId779" display="Source link"/>
    <hyperlink ref="AD261" r:id="rId780" display="Search LinkedIn"/>
    <hyperlink ref="G262" r:id="rId781" display="Not confirmed - click to search"/>
    <hyperlink ref="AC262" r:id="rId782" display="Source link"/>
    <hyperlink ref="AD262" r:id="rId783" display="Search LinkedIn"/>
    <hyperlink ref="G263" r:id="rId784" display="Not confirmed - click to search"/>
    <hyperlink ref="AC263" r:id="rId785" display="Source link"/>
    <hyperlink ref="AD263" r:id="rId786" display="Search LinkedIn"/>
    <hyperlink ref="G264" r:id="rId787" display="https://qudobeauty.com"/>
    <hyperlink ref="AC264" r:id="rId788" display="Source link"/>
    <hyperlink ref="AD264" r:id="rId789" display="Search LinkedIn"/>
    <hyperlink ref="G265" r:id="rId790" display="https://www.farmec.ro"/>
    <hyperlink ref="AC265" r:id="rId791" display="Source link"/>
    <hyperlink ref="AD265" r:id="rId792" display="Search LinkedIn"/>
    <hyperlink ref="G266" r:id="rId793" display="https://www.hofigal.eu"/>
    <hyperlink ref="AC266" r:id="rId794" display="Source link"/>
    <hyperlink ref="AD266" r:id="rId795" display="Search LinkedIn"/>
    <hyperlink ref="G267" r:id="rId796" display="https://www.tosama.si"/>
    <hyperlink ref="AC267" r:id="rId797" display="Source link"/>
    <hyperlink ref="AD267" r:id="rId798" display="Search LinkedIn"/>
    <hyperlink ref="G268" r:id="rId799" display="https://www.bigbuy.eu"/>
    <hyperlink ref="AC268" r:id="rId800" display="Source link"/>
    <hyperlink ref="AD268" r:id="rId801" display="Search LinkedIn"/>
    <hyperlink ref="G269" r:id="rId802" display="Not confirmed - click to search"/>
    <hyperlink ref="AC269" r:id="rId803" display="Source link"/>
    <hyperlink ref="AD269" r:id="rId804" display="Search LinkedIn"/>
    <hyperlink ref="G270" r:id="rId805" display="Not confirmed - click to search"/>
    <hyperlink ref="AC270" r:id="rId806" display="Source link"/>
    <hyperlink ref="AD270" r:id="rId807" display="Search LinkedIn"/>
    <hyperlink ref="G271" r:id="rId808" display="https://www.jane.es"/>
    <hyperlink ref="AC271" r:id="rId809" display="Source link"/>
    <hyperlink ref="AD271" r:id="rId810" display="Search LinkedIn"/>
    <hyperlink ref="G272" r:id="rId811" display="https://www.suavinex.com/en/about-us"/>
    <hyperlink ref="AC272" r:id="rId812" display="Source link"/>
    <hyperlink ref="AD272" r:id="rId813" display="Search LinkedIn"/>
    <hyperlink ref="G273" r:id="rId814" display="https://www.isdin.com"/>
    <hyperlink ref="AC273" r:id="rId815" display="Source link"/>
    <hyperlink ref="AD273" r:id="rId816" display="Search LinkedIn"/>
    <hyperlink ref="G274" r:id="rId817" display="Not confirmed - click to search"/>
    <hyperlink ref="AC274" r:id="rId818" display="Source link"/>
    <hyperlink ref="AD274" r:id="rId819" display="Search LinkedIn"/>
    <hyperlink ref="G275" r:id="rId820" display="https://www.babaria.es"/>
    <hyperlink ref="AC275" r:id="rId821" display="Source link"/>
    <hyperlink ref="AD275" r:id="rId822" display="Search LinkedIn"/>
    <hyperlink ref="G276" r:id="rId823" display="https://www.institutoespanol.com"/>
    <hyperlink ref="AC276" r:id="rId824" display="Source link"/>
    <hyperlink ref="AD276" r:id="rId825" display="Search LinkedIn"/>
    <hyperlink ref="G277" r:id="rId826" display="https://www.rubi.com/en/group"/>
    <hyperlink ref="AC277" r:id="rId827" display="Source link"/>
    <hyperlink ref="AD277" r:id="rId828" display="Search LinkedIn"/>
    <hyperlink ref="G278" r:id="rId829" display="https://www.bellota.com"/>
    <hyperlink ref="AC278" r:id="rId830" display="Source link"/>
    <hyperlink ref="AD278" r:id="rId831" display="Search LinkedIn"/>
    <hyperlink ref="G279" r:id="rId832" display="https://www.egamaster.com"/>
    <hyperlink ref="AC279" r:id="rId833" display="Source link"/>
    <hyperlink ref="AD279" r:id="rId834" display="Search LinkedIn"/>
    <hyperlink ref="G280" r:id="rId835" display="Not confirmed - click to search"/>
    <hyperlink ref="AC280" r:id="rId836" display="Source link"/>
    <hyperlink ref="AD280" r:id="rId837" display="Search LinkedIn"/>
    <hyperlink ref="G281" r:id="rId838" display="Not confirmed - click to search"/>
    <hyperlink ref="AC281" r:id="rId839" display="Source link"/>
    <hyperlink ref="AD281" r:id="rId840" display="Search LinkedIn"/>
    <hyperlink ref="G282" r:id="rId841" display="https://www.lekue.com"/>
    <hyperlink ref="AC282" r:id="rId842" display="Source link"/>
    <hyperlink ref="AD282" r:id="rId843" display="Search LinkedIn"/>
    <hyperlink ref="G283" r:id="rId844" display="https://www.cecotec.es"/>
    <hyperlink ref="AC283" r:id="rId845" display="Source link"/>
    <hyperlink ref="AD283" r:id="rId846" display="Search LinkedIn"/>
    <hyperlink ref="G284" r:id="rId847" display="https://ibilimenaje.com/es"/>
    <hyperlink ref="AC284" r:id="rId848" display="Source link"/>
    <hyperlink ref="AD284" r:id="rId849" display="Search LinkedIn"/>
    <hyperlink ref="G285" r:id="rId850" display="https://www.arquivet.com"/>
    <hyperlink ref="AC285" r:id="rId851" display="Source link"/>
    <hyperlink ref="AD285" r:id="rId852" display="Search LinkedIn"/>
    <hyperlink ref="G286" r:id="rId853" display="https://www.gaunsa.com"/>
    <hyperlink ref="AC286" r:id="rId854" display="Source link"/>
    <hyperlink ref="AD286" r:id="rId855" display="Search LinkedIn"/>
    <hyperlink ref="G287" r:id="rId856" display="https://www.gosbi.com"/>
    <hyperlink ref="AC287" r:id="rId857" display="Source link"/>
    <hyperlink ref="AD287" r:id="rId858" display="Search LinkedIn"/>
    <hyperlink ref="G288" r:id="rId859" display="https://www.nayeco.com/es"/>
    <hyperlink ref="AC288" r:id="rId860" display="Source link"/>
    <hyperlink ref="AD288" r:id="rId861" display="Search LinkedIn"/>
    <hyperlink ref="G289" r:id="rId862" display="https://www.jimsports.com"/>
    <hyperlink ref="AC289" r:id="rId863" display="Source link"/>
    <hyperlink ref="AD289" r:id="rId864" display="Search LinkedIn"/>
    <hyperlink ref="G290" r:id="rId865" display="https://www.apli.com"/>
    <hyperlink ref="AC290" r:id="rId866" display="Source link"/>
    <hyperlink ref="AD290" r:id="rId867" display="Search LinkedIn"/>
    <hyperlink ref="G291" r:id="rId868" display="https://www.milan.es"/>
    <hyperlink ref="AC291" r:id="rId869" display="Source link"/>
    <hyperlink ref="AD291" r:id="rId870" display="Search LinkedIn"/>
    <hyperlink ref="G292" r:id="rId871" display="https://www.jovi.es"/>
    <hyperlink ref="AC292" r:id="rId872" display="Source link"/>
    <hyperlink ref="AD292" r:id="rId873" display="Search LinkedIn"/>
    <hyperlink ref="G293" r:id="rId874" display="https://www.cspapeleria.com"/>
    <hyperlink ref="AC293" r:id="rId875" display="Source link"/>
    <hyperlink ref="AD293" r:id="rId876" display="Search LinkedIn"/>
    <hyperlink ref="G294" r:id="rId877" display="Not confirmed - click to search"/>
    <hyperlink ref="AC294" r:id="rId878" display="Source link"/>
    <hyperlink ref="AD294" r:id="rId879" display="Search LinkedIn"/>
    <hyperlink ref="G295" r:id="rId880" display="https://www.educaborras.com"/>
    <hyperlink ref="AC295" r:id="rId881" display="Source link"/>
    <hyperlink ref="AD295" r:id="rId882" display="Search LinkedIn"/>
    <hyperlink ref="G296" r:id="rId883" display="Not confirmed - click to search"/>
    <hyperlink ref="AC296" r:id="rId884" display="Source link"/>
    <hyperlink ref="AD296" r:id="rId885" display="Search LinkedIn"/>
    <hyperlink ref="G297" r:id="rId886" display="https://www.minilandgroup.com"/>
    <hyperlink ref="AC297" r:id="rId887" display="Source link"/>
    <hyperlink ref="AD297" r:id="rId888" display="Search LinkedIn"/>
    <hyperlink ref="G298" r:id="rId889" display="https://cefatoys.com"/>
    <hyperlink ref="AC298" r:id="rId890" display="Source link"/>
    <hyperlink ref="AD298" r:id="rId891" display="Search LinkedIn"/>
    <hyperlink ref="G299" r:id="rId892" display="https://www.diset.com"/>
    <hyperlink ref="AC299" r:id="rId893" display="Source link"/>
    <hyperlink ref="AD299" r:id="rId894" display="Search LinkedIn"/>
    <hyperlink ref="G300" r:id="rId895" display="https://www.famosa.es"/>
    <hyperlink ref="AC300" r:id="rId896" display="Source link"/>
    <hyperlink ref="AD300" r:id="rId897" display="Search LinkedIn"/>
    <hyperlink ref="G301" r:id="rId898" display="Not confirmed - click to search"/>
    <hyperlink ref="AC301" r:id="rId899" display="Source link"/>
    <hyperlink ref="AD301" r:id="rId900" display="Search LinkedIn"/>
    <hyperlink ref="G302" r:id="rId901" display="https://www.scandinaviancosmetics.se"/>
    <hyperlink ref="AC302" r:id="rId902" display="Source link"/>
    <hyperlink ref="AD302" r:id="rId903" display="Search LinkedIn"/>
    <hyperlink ref="G303" r:id="rId904" display="https://www.isadora.com"/>
    <hyperlink ref="AC303" r:id="rId905" display="Source link"/>
    <hyperlink ref="AD303" r:id="rId906" display="Search LinkedIn"/>
    <hyperlink ref="G304" r:id="rId907" display="https://tepe.com/global/contact"/>
    <hyperlink ref="AC304" r:id="rId908" display="Source link"/>
    <hyperlink ref="AD304" r:id="rId909" display="Search LinkedIn"/>
    <hyperlink ref="G305" r:id="rId910" display="https://www.cederroth.com"/>
    <hyperlink ref="AC305" r:id="rId911" display="Source link"/>
    <hyperlink ref="AD305" r:id="rId912" display="Search LinkedIn"/>
    <hyperlink ref="G306" r:id="rId913" display="https://www.stigasports.com"/>
    <hyperlink ref="AC306" r:id="rId914" display="Source link"/>
    <hyperlink ref="AD306" r:id="rId915" display="Search LinkedIn"/>
    <hyperlink ref="G307" r:id="rId916" display="https://www.brio.eu"/>
    <hyperlink ref="AC307" r:id="rId917" display="Source link"/>
    <hyperlink ref="AD307" r:id="rId918" display="Search LinkedIn"/>
    <hyperlink ref="G308" r:id="rId919" display="https://mickiofsweden.com/en/b2b/"/>
    <hyperlink ref="AC308" r:id="rId920" display="Source link"/>
    <hyperlink ref="AD308" r:id="rId921" display="Search LinkedIn"/>
    <hyperlink ref="G309" r:id="rId922" display="Not confirmed - click to search"/>
    <hyperlink ref="AC309" r:id="rId923" display="Source link"/>
    <hyperlink ref="AD309" r:id="rId924" display="Search LinkedIn"/>
    <hyperlink ref="G310" r:id="rId925" display="https://www.qogita.com"/>
    <hyperlink ref="AC310" r:id="rId926" display="Source link"/>
    <hyperlink ref="AD310" r:id="rId927" display="Search LinkedIn"/>
    <hyperlink ref="G311" r:id="rId928" display="https://www.babybase.co.uk"/>
    <hyperlink ref="AC311" r:id="rId929" display="Source link"/>
    <hyperlink ref="AD311" r:id="rId930" display="Search LinkedIn"/>
    <hyperlink ref="G312" r:id="rId931" display="https://www.babybrandsdirect.co.uk"/>
    <hyperlink ref="AC312" r:id="rId932" display="Source link"/>
    <hyperlink ref="AD312" r:id="rId933" display="Search LinkedIn"/>
    <hyperlink ref="G313" r:id="rId934" display="https://www.wholesalebabyproducts.co.uk"/>
    <hyperlink ref="AC313" r:id="rId935" display="Source link"/>
    <hyperlink ref="AD313" r:id="rId936" display="Search LinkedIn"/>
    <hyperlink ref="G314" r:id="rId937" display="https://www.toolbank.com"/>
    <hyperlink ref="AC314" r:id="rId938" display="Source link"/>
    <hyperlink ref="AD314" r:id="rId939" display="Search LinkedIn"/>
    <hyperlink ref="G315" r:id="rId940" display="https://www.drapertools.com"/>
    <hyperlink ref="AC315" r:id="rId941" display="Source link"/>
    <hyperlink ref="AD315" r:id="rId942" display="Search LinkedIn"/>
    <hyperlink ref="G316" r:id="rId943" display="https://bosch-pt.com/uk_bssdealer/uk/en/start/bss_acct/dealers_list/campbell_miller.htm"/>
    <hyperlink ref="AC316" r:id="rId944" display="Source link"/>
    <hyperlink ref="AD316" r:id="rId945" display="Search LinkedIn"/>
    <hyperlink ref="G317" r:id="rId946" display="https://www.ebay.com/str/toolstek"/>
    <hyperlink ref="AC317" r:id="rId947" display="Source link"/>
    <hyperlink ref="AD317" r:id="rId948" display="Search LinkedIn"/>
    <hyperlink ref="G318" r:id="rId949" display="https://www.knights-fragrances.co.uk"/>
    <hyperlink ref="AC318" r:id="rId950" display="Source link"/>
    <hyperlink ref="AD318" r:id="rId951" display="Search LinkedIn"/>
    <hyperlink ref="G319" r:id="rId952" display="https://www.shaneel.com/shaneel-enterprises"/>
    <hyperlink ref="AC319" r:id="rId953" display="Source link"/>
    <hyperlink ref="AD319" r:id="rId954" display="Search LinkedIn"/>
    <hyperlink ref="G320" r:id="rId955" display="https://www.affinityfragrances.com"/>
    <hyperlink ref="AC320" r:id="rId956" display="Source link"/>
    <hyperlink ref="AD320" r:id="rId957" display="Search LinkedIn"/>
    <hyperlink ref="G321" r:id="rId958" display="https://www.agencedeparfumerie.co.uk"/>
    <hyperlink ref="AC321" r:id="rId959" display="Source link"/>
    <hyperlink ref="AD321" r:id="rId960" display="Search LinkedIn"/>
    <hyperlink ref="G322" r:id="rId961" display="https://www.booker.co.uk"/>
    <hyperlink ref="AC322" r:id="rId962" display="Source link"/>
    <hyperlink ref="AD322" r:id="rId963" display="Search LinkedIn"/>
    <hyperlink ref="G323" r:id="rId964" display="https://www.costco.co.uk"/>
    <hyperlink ref="AC323" r:id="rId965" display="Source link"/>
    <hyperlink ref="AD323" r:id="rId966" display="Search LinkedIn"/>
    <hyperlink ref="G324" r:id="rId967" display="https://www.bestwaywholesale.co.uk"/>
    <hyperlink ref="AC324" r:id="rId968" display="Source link"/>
    <hyperlink ref="AD324" r:id="rId969" display="Search LinkedIn"/>
    <hyperlink ref="G325" r:id="rId970" display="https://www.dhamecha.com"/>
    <hyperlink ref="AC325" r:id="rId971" display="Source link"/>
    <hyperlink ref="AD325" r:id="rId972" display="Search LinkedIn"/>
    <hyperlink ref="G326" r:id="rId973" display="https://www.dkwholesale.com"/>
    <hyperlink ref="AC326" r:id="rId974" display="Source link"/>
    <hyperlink ref="AD326" r:id="rId975" display="Search LinkedIn"/>
    <hyperlink ref="G327" r:id="rId976" display="https://www.hancocks.co.uk"/>
    <hyperlink ref="AC327" r:id="rId977" display="Source link"/>
    <hyperlink ref="AD327" r:id="rId978" display="Search LinkedIn"/>
    <hyperlink ref="G328" r:id="rId979" display="https://www.parfetts.co.uk"/>
    <hyperlink ref="AC328" r:id="rId980" display="Source link"/>
    <hyperlink ref="AD328" r:id="rId981" display="Search LinkedIn"/>
    <hyperlink ref="G329" r:id="rId982" display="https://www.harrisonsdirect.co.uk"/>
    <hyperlink ref="AC329" r:id="rId983" display="Source link"/>
    <hyperlink ref="AD329" r:id="rId984" display="Search LinkedIn"/>
    <hyperlink ref="G330" r:id="rId985" display="https://www.proteinbargainwholesale.co.uk"/>
    <hyperlink ref="AC330" r:id="rId986" display="Source link"/>
    <hyperlink ref="AD330" r:id="rId987" display="Search LinkedIn"/>
    <hyperlink ref="G331" r:id="rId988" display="https://www.clfdistribution.com"/>
    <hyperlink ref="AC331" r:id="rId989" display="Source link"/>
    <hyperlink ref="AD331" r:id="rId990" display="Search LinkedIn"/>
    <hyperlink ref="G332" r:id="rId991" display="Not confirmed - click to search"/>
    <hyperlink ref="AC332" r:id="rId992" display="Source link"/>
    <hyperlink ref="AD332" r:id="rId993" display="Search LinkedIn"/>
    <hyperlink ref="G333" r:id="rId994" display="https://www.reliancemedical.co.uk"/>
    <hyperlink ref="AC333" r:id="rId995" display="Source link"/>
    <hyperlink ref="AD333" r:id="rId996" display="Search LinkedIn"/>
    <hyperlink ref="G334" r:id="rId997" display="https://www.predatornutrition.com"/>
    <hyperlink ref="AC334" r:id="rId998" display="Source link"/>
    <hyperlink ref="AD334" r:id="rId999" display="Search LinkedIn"/>
    <hyperlink ref="G335" r:id="rId1000" display="https://www.rkwltd.com"/>
    <hyperlink ref="AC335" r:id="rId1001" display="Source link"/>
    <hyperlink ref="AD335" r:id="rId1002" display="Search LinkedIn"/>
    <hyperlink ref="G336" r:id="rId1003" display="https://www.epeinternational.com"/>
    <hyperlink ref="AC336" r:id="rId1004" display="Source link"/>
    <hyperlink ref="AD336" r:id="rId1005" display="Search LinkedIn"/>
    <hyperlink ref="G337" r:id="rId1006" display="Not confirmed - click to search"/>
    <hyperlink ref="AC337" r:id="rId1007" display="Source link"/>
    <hyperlink ref="AD337" r:id="rId1008" display="Search LinkedIn"/>
    <hyperlink ref="G338" r:id="rId1009" display="Not confirmed - click to search"/>
    <hyperlink ref="AC338" r:id="rId1010" display="Source link"/>
    <hyperlink ref="AD338" r:id="rId1011" display="Search LinkedIn"/>
    <hyperlink ref="G339" r:id="rId1012" display="https://hauswares.co.uk"/>
    <hyperlink ref="AC339" r:id="rId1013" display="Source link"/>
    <hyperlink ref="AD339" r:id="rId1014" display="Search LinkedIn"/>
    <hyperlink ref="G340" r:id="rId1015" display="https://www.great.gov.uk/international/buy-from-the-uk/find-a-supplier/supplier/07179010"/>
    <hyperlink ref="AC340" r:id="rId1016" display="Source link"/>
    <hyperlink ref="AD340" r:id="rId1017" display="Search LinkedIn"/>
    <hyperlink ref="G341" r:id="rId1018" display="https://www.petproducts.co.uk"/>
    <hyperlink ref="AC341" r:id="rId1019" display="Source link"/>
    <hyperlink ref="AD341" r:id="rId1020" display="Search LinkedIn"/>
    <hyperlink ref="G342" r:id="rId1021" display="https://www.pawsproducts.com"/>
    <hyperlink ref="AC342" r:id="rId1022" display="Source link"/>
    <hyperlink ref="AD342" r:id="rId1023" display="Search LinkedIn"/>
    <hyperlink ref="G343" r:id="rId1024" display="Not confirmed - click to search"/>
    <hyperlink ref="AC343" r:id="rId1025" display="Source link"/>
    <hyperlink ref="AD343" r:id="rId1026" display="Search LinkedIn"/>
    <hyperlink ref="G344" r:id="rId1027" display="https://www.gymkituk.com"/>
    <hyperlink ref="AC344" r:id="rId1028" display="Source link"/>
    <hyperlink ref="AD344" r:id="rId1029" display="Search LinkedIn"/>
    <hyperlink ref="G345" r:id="rId1030" display="https://www.vango.co.uk"/>
    <hyperlink ref="AC345" r:id="rId1031" display="Source link"/>
    <hyperlink ref="AD345" r:id="rId1032" display="Search LinkedIn"/>
    <hyperlink ref="G346" r:id="rId1033" display="https://hykew-hykehamwholesale.dc02.gob2b.com"/>
    <hyperlink ref="AC346" r:id="rId1034" display="Source link"/>
    <hyperlink ref="AD346" r:id="rId1035" display="Search LinkedIn"/>
    <hyperlink ref="G347" r:id="rId1036" display="https://supplier-directory.betterretailing.com/suppliers/galaxy-wholesalers/"/>
    <hyperlink ref="AC347" r:id="rId1037" display="Source link"/>
    <hyperlink ref="AD347" r:id="rId1038" display="Search LinkedIn"/>
    <hyperlink ref="G348" r:id="rId1039" display="Not confirmed - click to search"/>
    <hyperlink ref="AC348" r:id="rId1040" display="Source link"/>
    <hyperlink ref="AD348" r:id="rId1041" display="Search LinkedIn"/>
    <hyperlink ref="G349" r:id="rId1042" display="https://supplier-directory.betterretailing.com/?p=1293"/>
    <hyperlink ref="AC349" r:id="rId1043" display="Source link"/>
    <hyperlink ref="AD349" r:id="rId1044" display="Search LinkedIn"/>
    <hyperlink ref="G350" r:id="rId1045" display="Not confirmed - click to search"/>
    <hyperlink ref="AC350" r:id="rId1046" display="Source link"/>
    <hyperlink ref="AD350" r:id="rId1047" display="Search LinkedIn"/>
    <hyperlink ref="G351" r:id="rId1048" display="https://www.abgee.co.uk"/>
    <hyperlink ref="AC351" r:id="rId1049" display="Source link"/>
    <hyperlink ref="AD351" r:id="rId1050" display="Search LinkedIn"/>
    <hyperlink ref="G352" r:id="rId1051" display="https://www.nda-toys.com"/>
    <hyperlink ref="AC352" r:id="rId1052" display="Source link"/>
    <hyperlink ref="AD352" r:id="rId1053" display="Search LinkedIn"/>
    <hyperlink ref="G353" r:id="rId1054" display="https://www.wind-designs.com"/>
    <hyperlink ref="AC353" r:id="rId1055" display="Source link"/>
    <hyperlink ref="AD353" r:id="rId1056" display="Search LinkedIn"/>
    <hyperlink ref="G354" r:id="rId1057" display="https://www.johnadams.co.uk"/>
    <hyperlink ref="AC354" r:id="rId1058" display="Source link"/>
    <hyperlink ref="AD354" r:id="rId1059" display="Search LinkedIn"/>
    <hyperlink ref="G355" r:id="rId1060" display="Not confirmed - click to search"/>
    <hyperlink ref="AC355" r:id="rId1061" display="Source link"/>
    <hyperlink ref="AD355" r:id="rId1062" display="Search LinkedIn"/>
    <hyperlink ref="G356" r:id="rId1063" display="https://www.peterkin.co.uk"/>
    <hyperlink ref="AC356" r:id="rId1064" display="Source link"/>
    <hyperlink ref="AD356" r:id="rId1065" display="Search LinkedIn"/>
    <hyperlink ref="G357" r:id="rId1066" display="https://www.character-online.com"/>
    <hyperlink ref="AC357" r:id="rId1067" display="Source link"/>
    <hyperlink ref="AD357" r:id="rId1068" display="Search LinkedIn"/>
    <hyperlink ref="G358" r:id="rId1069" display="https://gb.keycraftglobal.com"/>
    <hyperlink ref="AC358" r:id="rId1070" display="Source link"/>
    <hyperlink ref="AD358" r:id="rId1071" display="Search LinkedIn"/>
    <hyperlink ref="G359" r:id="rId1072" display="https://www.puckator.co.uk"/>
    <hyperlink ref="AC359" r:id="rId1073" display="Source link"/>
    <hyperlink ref="AD359" r:id="rId1074" display="Search LinkedI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7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9"/>
    <col collapsed="false" customWidth="true" hidden="false" outlineLevel="0" max="4" min="4" style="0" width="32"/>
    <col collapsed="false" customWidth="true" hidden="false" outlineLevel="0" max="5" min="5" style="0" width="30"/>
    <col collapsed="false" customWidth="true" hidden="false" outlineLevel="0" max="6" min="6" style="0" width="18"/>
    <col collapsed="false" customWidth="true" hidden="false" outlineLevel="0" max="7" min="7" style="0" width="28"/>
    <col collapsed="false" customWidth="true" hidden="false" outlineLevel="0" max="8" min="8" style="0" width="22"/>
    <col collapsed="false" customWidth="true" hidden="false" outlineLevel="0" max="9" min="9" style="0" width="34"/>
    <col collapsed="false" customWidth="true" hidden="false" outlineLevel="0" max="10" min="10" style="0" width="50"/>
    <col collapsed="false" customWidth="true" hidden="false" outlineLevel="0" max="11" min="11" style="0" width="40"/>
    <col collapsed="false" customWidth="true" hidden="false" outlineLevel="0" max="12" min="12" style="0" width="30"/>
  </cols>
  <sheetData>
    <row r="1" customFormat="false" ht="19.7" hidden="false" customHeight="false" outlineLevel="0" collapsed="false">
      <c r="A1" s="1" t="s">
        <v>4211</v>
      </c>
    </row>
    <row r="2" customFormat="false" ht="30" hidden="false" customHeight="true" outlineLevel="0" collapsed="false">
      <c r="A2" s="6" t="s">
        <v>4212</v>
      </c>
      <c r="B2" s="6"/>
      <c r="C2" s="6"/>
      <c r="D2" s="6"/>
      <c r="E2" s="6"/>
      <c r="F2" s="6"/>
      <c r="G2" s="6"/>
      <c r="H2" s="6"/>
      <c r="I2" s="6"/>
      <c r="J2" s="6"/>
      <c r="K2" s="6"/>
      <c r="L2" s="6"/>
    </row>
    <row r="4" customFormat="false" ht="31.5" hidden="false" customHeight="true" outlineLevel="0" collapsed="false">
      <c r="A4" s="7" t="s">
        <v>90</v>
      </c>
      <c r="B4" s="7" t="s">
        <v>87</v>
      </c>
      <c r="C4" s="7" t="s">
        <v>88</v>
      </c>
      <c r="D4" s="7" t="s">
        <v>89</v>
      </c>
      <c r="E4" s="7" t="s">
        <v>96</v>
      </c>
      <c r="F4" s="7" t="s">
        <v>94</v>
      </c>
      <c r="G4" s="7" t="s">
        <v>95</v>
      </c>
      <c r="H4" s="7" t="s">
        <v>91</v>
      </c>
      <c r="I4" s="7" t="s">
        <v>4213</v>
      </c>
      <c r="J4" s="7" t="s">
        <v>4214</v>
      </c>
      <c r="K4" s="7" t="s">
        <v>97</v>
      </c>
      <c r="L4" s="7" t="s">
        <v>470</v>
      </c>
    </row>
    <row r="5" customFormat="false" ht="23.85" hidden="false" customHeight="false" outlineLevel="0" collapsed="false">
      <c r="A5" s="12" t="s">
        <v>481</v>
      </c>
      <c r="B5" s="12" t="s">
        <v>374</v>
      </c>
      <c r="C5" s="12" t="n">
        <v>2</v>
      </c>
      <c r="D5" s="12" t="s">
        <v>4215</v>
      </c>
      <c r="E5" s="14" t="s">
        <v>4216</v>
      </c>
      <c r="F5" s="12" t="s">
        <v>4217</v>
      </c>
      <c r="G5" s="12" t="s">
        <v>4218</v>
      </c>
      <c r="H5" s="12" t="s">
        <v>126</v>
      </c>
      <c r="I5" s="12" t="s">
        <v>4219</v>
      </c>
      <c r="J5" s="12" t="s">
        <v>4220</v>
      </c>
      <c r="K5" s="15" t="s">
        <v>123</v>
      </c>
      <c r="L5" s="14" t="s">
        <v>4221</v>
      </c>
    </row>
    <row r="6" customFormat="false" ht="35.05" hidden="false" customHeight="false" outlineLevel="0" collapsed="false">
      <c r="A6" s="12" t="s">
        <v>523</v>
      </c>
      <c r="B6" s="12" t="s">
        <v>143</v>
      </c>
      <c r="C6" s="12" t="n">
        <v>2</v>
      </c>
      <c r="D6" s="12" t="s">
        <v>4222</v>
      </c>
      <c r="E6" s="14" t="s">
        <v>4223</v>
      </c>
      <c r="F6" s="12" t="s">
        <v>4224</v>
      </c>
      <c r="G6" s="12"/>
      <c r="H6" s="12" t="s">
        <v>4225</v>
      </c>
      <c r="I6" s="12" t="s">
        <v>4226</v>
      </c>
      <c r="J6" s="12"/>
      <c r="K6" s="16" t="s">
        <v>4227</v>
      </c>
      <c r="L6" s="14" t="s">
        <v>4228</v>
      </c>
    </row>
    <row r="7" customFormat="false" ht="23.85" hidden="false" customHeight="false" outlineLevel="0" collapsed="false">
      <c r="A7" s="12" t="s">
        <v>624</v>
      </c>
      <c r="B7" s="12" t="s">
        <v>108</v>
      </c>
      <c r="C7" s="12" t="n">
        <v>2</v>
      </c>
      <c r="D7" s="12" t="s">
        <v>4229</v>
      </c>
      <c r="E7" s="14" t="s">
        <v>4230</v>
      </c>
      <c r="F7" s="12"/>
      <c r="G7" s="12"/>
      <c r="H7" s="12" t="s">
        <v>4231</v>
      </c>
      <c r="I7" s="12" t="s">
        <v>4232</v>
      </c>
      <c r="J7" s="12"/>
      <c r="K7" s="16" t="s">
        <v>4233</v>
      </c>
      <c r="L7" s="14" t="s">
        <v>4230</v>
      </c>
    </row>
    <row r="8" customFormat="false" ht="35.05" hidden="false" customHeight="false" outlineLevel="0" collapsed="false">
      <c r="A8" s="12" t="s">
        <v>237</v>
      </c>
      <c r="B8" s="12" t="s">
        <v>353</v>
      </c>
      <c r="C8" s="12" t="n">
        <v>2</v>
      </c>
      <c r="D8" s="12" t="s">
        <v>4234</v>
      </c>
      <c r="E8" s="14" t="s">
        <v>4235</v>
      </c>
      <c r="F8" s="12"/>
      <c r="G8" s="12"/>
      <c r="H8" s="12" t="s">
        <v>4236</v>
      </c>
      <c r="I8" s="12" t="s">
        <v>4237</v>
      </c>
      <c r="J8" s="12"/>
      <c r="K8" s="15" t="s">
        <v>4238</v>
      </c>
      <c r="L8" s="14" t="s">
        <v>4235</v>
      </c>
    </row>
    <row r="9" customFormat="false" ht="23.85" hidden="false" customHeight="false" outlineLevel="0" collapsed="false">
      <c r="A9" s="12" t="s">
        <v>237</v>
      </c>
      <c r="B9" s="12" t="s">
        <v>405</v>
      </c>
      <c r="C9" s="12" t="n">
        <v>2</v>
      </c>
      <c r="D9" s="12" t="s">
        <v>4239</v>
      </c>
      <c r="E9" s="12"/>
      <c r="F9" s="12"/>
      <c r="G9" s="12"/>
      <c r="H9" s="12" t="s">
        <v>4240</v>
      </c>
      <c r="I9" s="12" t="s">
        <v>4241</v>
      </c>
      <c r="J9" s="12"/>
      <c r="K9" s="15" t="s">
        <v>4242</v>
      </c>
      <c r="L9" s="14" t="s">
        <v>4243</v>
      </c>
    </row>
    <row r="10" customFormat="false" ht="23.85" hidden="false" customHeight="false" outlineLevel="0" collapsed="false">
      <c r="A10" s="12" t="s">
        <v>118</v>
      </c>
      <c r="B10" s="12" t="s">
        <v>99</v>
      </c>
      <c r="C10" s="12" t="n">
        <v>2</v>
      </c>
      <c r="D10" s="12" t="s">
        <v>4244</v>
      </c>
      <c r="E10" s="14" t="s">
        <v>4245</v>
      </c>
      <c r="F10" s="12"/>
      <c r="G10" s="12"/>
      <c r="H10" s="12" t="s">
        <v>4246</v>
      </c>
      <c r="I10" s="12" t="s">
        <v>4247</v>
      </c>
      <c r="J10" s="12" t="s">
        <v>4248</v>
      </c>
      <c r="K10" s="15" t="s">
        <v>4249</v>
      </c>
      <c r="L10" s="14" t="s">
        <v>4250</v>
      </c>
    </row>
    <row r="11" customFormat="false" ht="35.05" hidden="false" customHeight="false" outlineLevel="0" collapsed="false">
      <c r="A11" s="12" t="s">
        <v>118</v>
      </c>
      <c r="B11" s="12" t="s">
        <v>99</v>
      </c>
      <c r="C11" s="12" t="n">
        <v>2</v>
      </c>
      <c r="D11" s="12" t="s">
        <v>4251</v>
      </c>
      <c r="E11" s="14" t="s">
        <v>4252</v>
      </c>
      <c r="F11" s="12"/>
      <c r="G11" s="12"/>
      <c r="H11" s="12" t="s">
        <v>4253</v>
      </c>
      <c r="I11" s="12" t="s">
        <v>4254</v>
      </c>
      <c r="J11" s="12" t="s">
        <v>4255</v>
      </c>
      <c r="K11" s="15" t="s">
        <v>4256</v>
      </c>
      <c r="L11" s="14" t="s">
        <v>4257</v>
      </c>
    </row>
    <row r="12" customFormat="false" ht="35.05" hidden="false" customHeight="false" outlineLevel="0" collapsed="false">
      <c r="A12" s="12" t="s">
        <v>118</v>
      </c>
      <c r="B12" s="12" t="s">
        <v>143</v>
      </c>
      <c r="C12" s="12" t="n">
        <v>2</v>
      </c>
      <c r="D12" s="12" t="s">
        <v>4258</v>
      </c>
      <c r="E12" s="14" t="s">
        <v>4259</v>
      </c>
      <c r="F12" s="12" t="s">
        <v>4260</v>
      </c>
      <c r="G12" s="12"/>
      <c r="H12" s="12" t="s">
        <v>4261</v>
      </c>
      <c r="I12" s="12" t="s">
        <v>4262</v>
      </c>
      <c r="J12" s="12" t="s">
        <v>4263</v>
      </c>
      <c r="K12" s="16" t="s">
        <v>4264</v>
      </c>
      <c r="L12" s="14" t="s">
        <v>4265</v>
      </c>
    </row>
    <row r="13" customFormat="false" ht="35.05" hidden="false" customHeight="false" outlineLevel="0" collapsed="false">
      <c r="A13" s="12" t="s">
        <v>125</v>
      </c>
      <c r="B13" s="12" t="s">
        <v>229</v>
      </c>
      <c r="C13" s="12" t="n">
        <v>2</v>
      </c>
      <c r="D13" s="12" t="s">
        <v>4266</v>
      </c>
      <c r="E13" s="12"/>
      <c r="F13" s="12"/>
      <c r="G13" s="12"/>
      <c r="H13" s="12" t="s">
        <v>4267</v>
      </c>
      <c r="I13" s="12" t="s">
        <v>4268</v>
      </c>
      <c r="J13" s="12" t="s">
        <v>4269</v>
      </c>
      <c r="K13" s="15" t="s">
        <v>4270</v>
      </c>
      <c r="L13" s="14" t="s">
        <v>4271</v>
      </c>
    </row>
    <row r="14" customFormat="false" ht="35.05" hidden="false" customHeight="false" outlineLevel="0" collapsed="false">
      <c r="A14" s="12" t="s">
        <v>125</v>
      </c>
      <c r="B14" s="12" t="s">
        <v>281</v>
      </c>
      <c r="C14" s="12" t="n">
        <v>2</v>
      </c>
      <c r="D14" s="12" t="s">
        <v>4272</v>
      </c>
      <c r="E14" s="14" t="s">
        <v>4273</v>
      </c>
      <c r="F14" s="12"/>
      <c r="G14" s="12"/>
      <c r="H14" s="12" t="s">
        <v>4274</v>
      </c>
      <c r="I14" s="12" t="s">
        <v>4275</v>
      </c>
      <c r="J14" s="12"/>
      <c r="K14" s="16" t="s">
        <v>4276</v>
      </c>
      <c r="L14" s="14" t="s">
        <v>4273</v>
      </c>
    </row>
    <row r="15" customFormat="false" ht="23.85" hidden="false" customHeight="false" outlineLevel="0" collapsed="false">
      <c r="A15" s="12" t="s">
        <v>125</v>
      </c>
      <c r="B15" s="12" t="s">
        <v>405</v>
      </c>
      <c r="C15" s="12" t="n">
        <v>2</v>
      </c>
      <c r="D15" s="12" t="s">
        <v>4277</v>
      </c>
      <c r="E15" s="12"/>
      <c r="F15" s="12"/>
      <c r="G15" s="12"/>
      <c r="H15" s="12" t="s">
        <v>4278</v>
      </c>
      <c r="I15" s="12" t="s">
        <v>4279</v>
      </c>
      <c r="J15" s="12"/>
      <c r="K15" s="15" t="s">
        <v>4280</v>
      </c>
      <c r="L15" s="14" t="s">
        <v>4281</v>
      </c>
    </row>
    <row r="16" customFormat="false" ht="23.85" hidden="false" customHeight="false" outlineLevel="0" collapsed="false">
      <c r="A16" s="12" t="s">
        <v>1952</v>
      </c>
      <c r="B16" s="12" t="s">
        <v>143</v>
      </c>
      <c r="C16" s="12" t="n">
        <v>1</v>
      </c>
      <c r="D16" s="12" t="s">
        <v>4282</v>
      </c>
      <c r="E16" s="14" t="s">
        <v>4283</v>
      </c>
      <c r="F16" s="12"/>
      <c r="G16" s="12"/>
      <c r="H16" s="12" t="s">
        <v>4284</v>
      </c>
      <c r="I16" s="12" t="s">
        <v>4285</v>
      </c>
      <c r="J16" s="12" t="s">
        <v>4286</v>
      </c>
      <c r="K16" s="15" t="s">
        <v>4287</v>
      </c>
      <c r="L16" s="14" t="s">
        <v>4283</v>
      </c>
    </row>
    <row r="17" customFormat="false" ht="23.85" hidden="false" customHeight="false" outlineLevel="0" collapsed="false">
      <c r="A17" s="12" t="s">
        <v>138</v>
      </c>
      <c r="B17" s="12" t="s">
        <v>99</v>
      </c>
      <c r="C17" s="12" t="n">
        <v>2</v>
      </c>
      <c r="D17" s="12" t="s">
        <v>4288</v>
      </c>
      <c r="E17" s="14" t="s">
        <v>4289</v>
      </c>
      <c r="F17" s="12" t="s">
        <v>4290</v>
      </c>
      <c r="G17" s="12"/>
      <c r="H17" s="12" t="s">
        <v>4291</v>
      </c>
      <c r="I17" s="12" t="s">
        <v>4292</v>
      </c>
      <c r="J17" s="12" t="s">
        <v>4293</v>
      </c>
      <c r="K17" s="15" t="s">
        <v>4294</v>
      </c>
      <c r="L17" s="14" t="s">
        <v>4295</v>
      </c>
    </row>
    <row r="18" customFormat="false" ht="35.05" hidden="false" customHeight="false" outlineLevel="0" collapsed="false">
      <c r="A18" s="12" t="s">
        <v>138</v>
      </c>
      <c r="B18" s="12" t="s">
        <v>229</v>
      </c>
      <c r="C18" s="12" t="n">
        <v>2</v>
      </c>
      <c r="D18" s="12" t="s">
        <v>4296</v>
      </c>
      <c r="E18" s="14" t="s">
        <v>4297</v>
      </c>
      <c r="F18" s="12"/>
      <c r="G18" s="12"/>
      <c r="H18" s="12" t="s">
        <v>4298</v>
      </c>
      <c r="I18" s="12" t="s">
        <v>4299</v>
      </c>
      <c r="J18" s="12"/>
      <c r="K18" s="16" t="s">
        <v>4300</v>
      </c>
      <c r="L18" s="14" t="s">
        <v>4301</v>
      </c>
    </row>
    <row r="19" customFormat="false" ht="23.85" hidden="false" customHeight="false" outlineLevel="0" collapsed="false">
      <c r="A19" s="12" t="s">
        <v>138</v>
      </c>
      <c r="B19" s="12" t="s">
        <v>405</v>
      </c>
      <c r="C19" s="12" t="n">
        <v>2</v>
      </c>
      <c r="D19" s="12" t="s">
        <v>4302</v>
      </c>
      <c r="E19" s="12"/>
      <c r="F19" s="12"/>
      <c r="G19" s="12"/>
      <c r="H19" s="12" t="s">
        <v>4303</v>
      </c>
      <c r="I19" s="12" t="s">
        <v>4304</v>
      </c>
      <c r="J19" s="12" t="s">
        <v>2158</v>
      </c>
      <c r="K19" s="15" t="s">
        <v>4305</v>
      </c>
      <c r="L19" s="14" t="s">
        <v>4306</v>
      </c>
    </row>
    <row r="20" customFormat="false" ht="35.05" hidden="false" customHeight="false" outlineLevel="0" collapsed="false">
      <c r="A20" s="12" t="s">
        <v>2234</v>
      </c>
      <c r="B20" s="12" t="s">
        <v>166</v>
      </c>
      <c r="C20" s="12" t="n">
        <v>2</v>
      </c>
      <c r="D20" s="12" t="s">
        <v>4307</v>
      </c>
      <c r="E20" s="14" t="s">
        <v>4308</v>
      </c>
      <c r="F20" s="12"/>
      <c r="G20" s="12"/>
      <c r="H20" s="12" t="s">
        <v>4309</v>
      </c>
      <c r="I20" s="12" t="s">
        <v>4310</v>
      </c>
      <c r="J20" s="12" t="s">
        <v>4311</v>
      </c>
      <c r="K20" s="16" t="s">
        <v>4312</v>
      </c>
      <c r="L20" s="14" t="s">
        <v>4308</v>
      </c>
    </row>
    <row r="21" customFormat="false" ht="23.85" hidden="false" customHeight="false" outlineLevel="0" collapsed="false">
      <c r="A21" s="12" t="s">
        <v>262</v>
      </c>
      <c r="B21" s="12" t="s">
        <v>229</v>
      </c>
      <c r="C21" s="12" t="n">
        <v>2</v>
      </c>
      <c r="D21" s="12" t="s">
        <v>4313</v>
      </c>
      <c r="E21" s="12"/>
      <c r="F21" s="12" t="s">
        <v>4314</v>
      </c>
      <c r="G21" s="12"/>
      <c r="H21" s="12" t="s">
        <v>4315</v>
      </c>
      <c r="I21" s="12" t="s">
        <v>4316</v>
      </c>
      <c r="J21" s="12" t="s">
        <v>4317</v>
      </c>
      <c r="K21" s="15" t="s">
        <v>4318</v>
      </c>
      <c r="L21" s="14" t="s">
        <v>4319</v>
      </c>
    </row>
    <row r="22" customFormat="false" ht="35.05" hidden="false" customHeight="false" outlineLevel="0" collapsed="false">
      <c r="A22" s="12" t="s">
        <v>262</v>
      </c>
      <c r="B22" s="12" t="s">
        <v>229</v>
      </c>
      <c r="C22" s="12" t="n">
        <v>2</v>
      </c>
      <c r="D22" s="12" t="s">
        <v>4320</v>
      </c>
      <c r="E22" s="14" t="s">
        <v>4321</v>
      </c>
      <c r="F22" s="12" t="s">
        <v>4322</v>
      </c>
      <c r="G22" s="12" t="s">
        <v>4323</v>
      </c>
      <c r="H22" s="12" t="s">
        <v>3854</v>
      </c>
      <c r="I22" s="12" t="s">
        <v>4324</v>
      </c>
      <c r="J22" s="12" t="s">
        <v>4325</v>
      </c>
      <c r="K22" s="16" t="s">
        <v>4326</v>
      </c>
      <c r="L22" s="14" t="s">
        <v>4321</v>
      </c>
    </row>
    <row r="23" customFormat="false" ht="23.85" hidden="false" customHeight="false" outlineLevel="0" collapsed="false">
      <c r="A23" s="12" t="s">
        <v>262</v>
      </c>
      <c r="B23" s="12" t="s">
        <v>260</v>
      </c>
      <c r="C23" s="12" t="n">
        <v>2</v>
      </c>
      <c r="D23" s="12" t="s">
        <v>4327</v>
      </c>
      <c r="E23" s="14" t="s">
        <v>4328</v>
      </c>
      <c r="F23" s="12"/>
      <c r="G23" s="12"/>
      <c r="H23" s="12" t="s">
        <v>3891</v>
      </c>
      <c r="I23" s="12" t="s">
        <v>4329</v>
      </c>
      <c r="J23" s="12" t="s">
        <v>4330</v>
      </c>
      <c r="K23" s="15" t="s">
        <v>123</v>
      </c>
      <c r="L23" s="14" t="s">
        <v>4331</v>
      </c>
    </row>
    <row r="24" customFormat="false" ht="35.05" hidden="false" customHeight="false" outlineLevel="0" collapsed="false">
      <c r="A24" s="12" t="s">
        <v>262</v>
      </c>
      <c r="B24" s="12" t="s">
        <v>281</v>
      </c>
      <c r="C24" s="12" t="n">
        <v>2</v>
      </c>
      <c r="D24" s="12" t="s">
        <v>4332</v>
      </c>
      <c r="E24" s="14" t="s">
        <v>4333</v>
      </c>
      <c r="F24" s="12"/>
      <c r="G24" s="12" t="s">
        <v>4334</v>
      </c>
      <c r="H24" s="12" t="s">
        <v>4335</v>
      </c>
      <c r="I24" s="12" t="s">
        <v>4336</v>
      </c>
      <c r="J24" s="12" t="s">
        <v>4337</v>
      </c>
      <c r="K24" s="15" t="s">
        <v>4338</v>
      </c>
      <c r="L24" s="14" t="s">
        <v>4339</v>
      </c>
    </row>
    <row r="25" customFormat="false" ht="23.85" hidden="false" customHeight="false" outlineLevel="0" collapsed="false">
      <c r="A25" s="12" t="s">
        <v>262</v>
      </c>
      <c r="B25" s="12" t="s">
        <v>281</v>
      </c>
      <c r="C25" s="12" t="n">
        <v>2</v>
      </c>
      <c r="D25" s="12" t="s">
        <v>4340</v>
      </c>
      <c r="E25" s="14" t="s">
        <v>4341</v>
      </c>
      <c r="F25" s="12"/>
      <c r="G25" s="12"/>
      <c r="H25" s="12" t="s">
        <v>4342</v>
      </c>
      <c r="I25" s="12" t="s">
        <v>4343</v>
      </c>
      <c r="J25" s="12" t="s">
        <v>4344</v>
      </c>
      <c r="K25" s="15" t="s">
        <v>4345</v>
      </c>
      <c r="L25" s="14" t="s">
        <v>4346</v>
      </c>
    </row>
    <row r="26" customFormat="false" ht="23.85" hidden="false" customHeight="false" outlineLevel="0" collapsed="false">
      <c r="A26" s="12" t="s">
        <v>262</v>
      </c>
      <c r="B26" s="12" t="s">
        <v>353</v>
      </c>
      <c r="C26" s="12" t="n">
        <v>2</v>
      </c>
      <c r="D26" s="12" t="s">
        <v>4347</v>
      </c>
      <c r="E26" s="14" t="s">
        <v>4348</v>
      </c>
      <c r="F26" s="12" t="s">
        <v>4349</v>
      </c>
      <c r="G26" s="12" t="s">
        <v>4350</v>
      </c>
      <c r="H26" s="12" t="s">
        <v>4052</v>
      </c>
      <c r="I26" s="12" t="s">
        <v>4351</v>
      </c>
      <c r="J26" s="12"/>
      <c r="K26" s="15" t="s">
        <v>4352</v>
      </c>
      <c r="L26" s="14" t="s">
        <v>4353</v>
      </c>
    </row>
    <row r="27" customFormat="false" ht="23.85" hidden="false" customHeight="false" outlineLevel="0" collapsed="false">
      <c r="A27" s="12" t="s">
        <v>262</v>
      </c>
      <c r="B27" s="12" t="s">
        <v>405</v>
      </c>
      <c r="C27" s="12" t="n">
        <v>2</v>
      </c>
      <c r="D27" s="12" t="s">
        <v>4354</v>
      </c>
      <c r="E27" s="14" t="s">
        <v>4355</v>
      </c>
      <c r="F27" s="12"/>
      <c r="G27" s="12"/>
      <c r="H27" s="12" t="s">
        <v>4278</v>
      </c>
      <c r="I27" s="12" t="s">
        <v>4356</v>
      </c>
      <c r="J27" s="12"/>
      <c r="K27" s="16" t="s">
        <v>4357</v>
      </c>
      <c r="L27" s="14" t="s">
        <v>4355</v>
      </c>
    </row>
    <row r="28" customFormat="false" ht="23.85" hidden="false" customHeight="false" outlineLevel="0" collapsed="false">
      <c r="A28" s="12" t="s">
        <v>262</v>
      </c>
      <c r="B28" s="12" t="s">
        <v>405</v>
      </c>
      <c r="C28" s="12" t="n">
        <v>2</v>
      </c>
      <c r="D28" s="12" t="s">
        <v>4358</v>
      </c>
      <c r="E28" s="14" t="s">
        <v>4359</v>
      </c>
      <c r="F28" s="12" t="s">
        <v>4360</v>
      </c>
      <c r="G28" s="12"/>
      <c r="H28" s="12" t="s">
        <v>4361</v>
      </c>
      <c r="I28" s="12" t="s">
        <v>4362</v>
      </c>
      <c r="J28" s="12"/>
      <c r="K28" s="15" t="s">
        <v>4363</v>
      </c>
      <c r="L28" s="14" t="s">
        <v>4364</v>
      </c>
    </row>
    <row r="29" customFormat="false" ht="23.85" hidden="false" customHeight="false" outlineLevel="0" collapsed="false">
      <c r="A29" s="12" t="s">
        <v>255</v>
      </c>
      <c r="B29" s="12" t="s">
        <v>99</v>
      </c>
      <c r="C29" s="12" t="n">
        <v>1</v>
      </c>
      <c r="D29" s="12" t="s">
        <v>4365</v>
      </c>
      <c r="E29" s="14" t="s">
        <v>4366</v>
      </c>
      <c r="F29" s="12"/>
      <c r="G29" s="12"/>
      <c r="H29" s="12" t="s">
        <v>4367</v>
      </c>
      <c r="I29" s="12" t="s">
        <v>4368</v>
      </c>
      <c r="J29" s="12" t="s">
        <v>4369</v>
      </c>
      <c r="K29" s="16" t="s">
        <v>4370</v>
      </c>
      <c r="L29" s="14" t="s">
        <v>4371</v>
      </c>
    </row>
    <row r="30" customFormat="false" ht="23.85" hidden="false" customHeight="false" outlineLevel="0" collapsed="false">
      <c r="A30" s="12" t="s">
        <v>255</v>
      </c>
      <c r="B30" s="12" t="s">
        <v>166</v>
      </c>
      <c r="C30" s="12" t="n">
        <v>2</v>
      </c>
      <c r="D30" s="12" t="s">
        <v>4372</v>
      </c>
      <c r="E30" s="12"/>
      <c r="F30" s="12"/>
      <c r="G30" s="12"/>
      <c r="H30" s="12" t="s">
        <v>4373</v>
      </c>
      <c r="I30" s="12" t="s">
        <v>4374</v>
      </c>
      <c r="J30" s="12"/>
      <c r="K30" s="15" t="s">
        <v>4375</v>
      </c>
      <c r="L30" s="14" t="s">
        <v>4376</v>
      </c>
    </row>
    <row r="31" customFormat="false" ht="23.85" hidden="false" customHeight="false" outlineLevel="0" collapsed="false">
      <c r="A31" s="12" t="s">
        <v>255</v>
      </c>
      <c r="B31" s="12" t="s">
        <v>281</v>
      </c>
      <c r="C31" s="12" t="n">
        <v>2</v>
      </c>
      <c r="D31" s="12" t="s">
        <v>4377</v>
      </c>
      <c r="E31" s="12"/>
      <c r="F31" s="12"/>
      <c r="G31" s="12"/>
      <c r="H31" s="12" t="s">
        <v>4378</v>
      </c>
      <c r="I31" s="12" t="s">
        <v>4379</v>
      </c>
      <c r="J31" s="12"/>
      <c r="K31" s="15" t="s">
        <v>4380</v>
      </c>
      <c r="L31" s="14" t="s">
        <v>4381</v>
      </c>
    </row>
    <row r="32" customFormat="false" ht="23.85" hidden="false" customHeight="false" outlineLevel="0" collapsed="false">
      <c r="A32" s="12" t="s">
        <v>255</v>
      </c>
      <c r="B32" s="12" t="s">
        <v>353</v>
      </c>
      <c r="C32" s="12" t="n">
        <v>2</v>
      </c>
      <c r="D32" s="12" t="s">
        <v>4382</v>
      </c>
      <c r="E32" s="14" t="s">
        <v>4383</v>
      </c>
      <c r="F32" s="12"/>
      <c r="G32" s="12"/>
      <c r="H32" s="12" t="s">
        <v>4384</v>
      </c>
      <c r="I32" s="12" t="s">
        <v>4385</v>
      </c>
      <c r="J32" s="12"/>
      <c r="K32" s="15" t="s">
        <v>4386</v>
      </c>
      <c r="L32" s="14" t="s">
        <v>4387</v>
      </c>
    </row>
    <row r="33" customFormat="false" ht="23.85" hidden="false" customHeight="false" outlineLevel="0" collapsed="false">
      <c r="A33" s="12" t="s">
        <v>255</v>
      </c>
      <c r="B33" s="12" t="s">
        <v>374</v>
      </c>
      <c r="C33" s="12" t="n">
        <v>2</v>
      </c>
      <c r="D33" s="12" t="s">
        <v>4388</v>
      </c>
      <c r="E33" s="14" t="s">
        <v>4389</v>
      </c>
      <c r="F33" s="12"/>
      <c r="G33" s="12"/>
      <c r="H33" s="12" t="s">
        <v>4390</v>
      </c>
      <c r="I33" s="12" t="s">
        <v>4391</v>
      </c>
      <c r="J33" s="12"/>
      <c r="K33" s="15" t="s">
        <v>4392</v>
      </c>
      <c r="L33" s="14" t="s">
        <v>4393</v>
      </c>
    </row>
    <row r="34" customFormat="false" ht="23.85" hidden="false" customHeight="false" outlineLevel="0" collapsed="false">
      <c r="A34" s="12" t="s">
        <v>255</v>
      </c>
      <c r="B34" s="12" t="s">
        <v>405</v>
      </c>
      <c r="C34" s="12" t="n">
        <v>2</v>
      </c>
      <c r="D34" s="12" t="s">
        <v>4394</v>
      </c>
      <c r="E34" s="14" t="s">
        <v>4395</v>
      </c>
      <c r="F34" s="12"/>
      <c r="G34" s="12"/>
      <c r="H34" s="12" t="s">
        <v>4396</v>
      </c>
      <c r="I34" s="12" t="s">
        <v>4397</v>
      </c>
      <c r="J34" s="12" t="s">
        <v>4398</v>
      </c>
      <c r="K34" s="16" t="s">
        <v>4399</v>
      </c>
      <c r="L34" s="14" t="s">
        <v>4400</v>
      </c>
    </row>
    <row r="35" customFormat="false" ht="23.85" hidden="false" customHeight="false" outlineLevel="0" collapsed="false">
      <c r="A35" s="12" t="s">
        <v>3321</v>
      </c>
      <c r="B35" s="12" t="s">
        <v>108</v>
      </c>
      <c r="C35" s="12" t="n">
        <v>2</v>
      </c>
      <c r="D35" s="12" t="s">
        <v>4401</v>
      </c>
      <c r="E35" s="12"/>
      <c r="F35" s="12"/>
      <c r="G35" s="12"/>
      <c r="H35" s="12" t="s">
        <v>4402</v>
      </c>
      <c r="I35" s="12" t="s">
        <v>4403</v>
      </c>
      <c r="J35" s="12" t="s">
        <v>4404</v>
      </c>
      <c r="K35" s="15" t="s">
        <v>4405</v>
      </c>
      <c r="L35" s="14" t="s">
        <v>4406</v>
      </c>
    </row>
    <row r="36" customFormat="false" ht="23.85" hidden="false" customHeight="false" outlineLevel="0" collapsed="false">
      <c r="A36" s="12" t="s">
        <v>3321</v>
      </c>
      <c r="B36" s="12" t="s">
        <v>108</v>
      </c>
      <c r="C36" s="12" t="n">
        <v>2</v>
      </c>
      <c r="D36" s="12" t="s">
        <v>4407</v>
      </c>
      <c r="E36" s="12"/>
      <c r="F36" s="12"/>
      <c r="G36" s="12"/>
      <c r="H36" s="12" t="s">
        <v>238</v>
      </c>
      <c r="I36" s="12" t="s">
        <v>4408</v>
      </c>
      <c r="J36" s="12"/>
      <c r="K36" s="16" t="s">
        <v>4409</v>
      </c>
      <c r="L36" s="14" t="s">
        <v>4410</v>
      </c>
    </row>
    <row r="37" customFormat="false" ht="23.85" hidden="false" customHeight="false" outlineLevel="0" collapsed="false">
      <c r="A37" s="12" t="s">
        <v>3321</v>
      </c>
      <c r="B37" s="12" t="s">
        <v>405</v>
      </c>
      <c r="C37" s="12" t="n">
        <v>2</v>
      </c>
      <c r="D37" s="12" t="s">
        <v>4411</v>
      </c>
      <c r="E37" s="14" t="s">
        <v>4412</v>
      </c>
      <c r="F37" s="12" t="s">
        <v>4413</v>
      </c>
      <c r="G37" s="12"/>
      <c r="H37" s="12" t="s">
        <v>4414</v>
      </c>
      <c r="I37" s="12" t="s">
        <v>4415</v>
      </c>
      <c r="J37" s="12"/>
      <c r="K37" s="15" t="s">
        <v>130</v>
      </c>
      <c r="L37" s="14" t="s">
        <v>4416</v>
      </c>
    </row>
    <row r="38" customFormat="false" ht="23.85" hidden="false" customHeight="false" outlineLevel="0" collapsed="false">
      <c r="A38" s="12" t="s">
        <v>3321</v>
      </c>
      <c r="B38" s="12" t="s">
        <v>405</v>
      </c>
      <c r="C38" s="12" t="n">
        <v>2</v>
      </c>
      <c r="D38" s="12" t="s">
        <v>4417</v>
      </c>
      <c r="E38" s="12"/>
      <c r="F38" s="12" t="s">
        <v>4418</v>
      </c>
      <c r="G38" s="12"/>
      <c r="H38" s="12" t="s">
        <v>4261</v>
      </c>
      <c r="I38" s="12" t="s">
        <v>4419</v>
      </c>
      <c r="J38" s="12"/>
      <c r="K38" s="15" t="s">
        <v>4420</v>
      </c>
      <c r="L38" s="14" t="s">
        <v>4421</v>
      </c>
    </row>
    <row r="39" customFormat="false" ht="35.05" hidden="false" customHeight="false" outlineLevel="0" collapsed="false">
      <c r="A39" s="12" t="s">
        <v>101</v>
      </c>
      <c r="B39" s="12" t="s">
        <v>143</v>
      </c>
      <c r="C39" s="12" t="n">
        <v>2</v>
      </c>
      <c r="D39" s="12" t="s">
        <v>4422</v>
      </c>
      <c r="E39" s="14" t="s">
        <v>4423</v>
      </c>
      <c r="F39" s="12"/>
      <c r="G39" s="12"/>
      <c r="H39" s="12" t="s">
        <v>4424</v>
      </c>
      <c r="I39" s="12" t="s">
        <v>4425</v>
      </c>
      <c r="J39" s="12" t="s">
        <v>4426</v>
      </c>
      <c r="K39" s="15" t="s">
        <v>4427</v>
      </c>
      <c r="L39" s="14" t="s">
        <v>4428</v>
      </c>
    </row>
    <row r="40" customFormat="false" ht="23.85" hidden="false" customHeight="false" outlineLevel="0" collapsed="false">
      <c r="A40" s="12" t="s">
        <v>101</v>
      </c>
      <c r="B40" s="12" t="s">
        <v>143</v>
      </c>
      <c r="C40" s="12" t="n">
        <v>2</v>
      </c>
      <c r="D40" s="12" t="s">
        <v>4429</v>
      </c>
      <c r="E40" s="14" t="s">
        <v>4430</v>
      </c>
      <c r="F40" s="12" t="s">
        <v>4431</v>
      </c>
      <c r="G40" s="12"/>
      <c r="H40" s="12" t="s">
        <v>4424</v>
      </c>
      <c r="I40" s="12" t="s">
        <v>4432</v>
      </c>
      <c r="J40" s="12" t="s">
        <v>4433</v>
      </c>
      <c r="K40" s="15" t="s">
        <v>4434</v>
      </c>
      <c r="L40" s="14" t="s">
        <v>4435</v>
      </c>
    </row>
    <row r="41" customFormat="false" ht="23.85" hidden="false" customHeight="false" outlineLevel="0" collapsed="false">
      <c r="A41" s="12" t="s">
        <v>101</v>
      </c>
      <c r="B41" s="12" t="s">
        <v>143</v>
      </c>
      <c r="C41" s="12" t="n">
        <v>2</v>
      </c>
      <c r="D41" s="12" t="s">
        <v>4436</v>
      </c>
      <c r="E41" s="14" t="s">
        <v>4437</v>
      </c>
      <c r="F41" s="12"/>
      <c r="G41" s="12"/>
      <c r="H41" s="12" t="s">
        <v>252</v>
      </c>
      <c r="I41" s="12" t="s">
        <v>4438</v>
      </c>
      <c r="J41" s="12"/>
      <c r="K41" s="15" t="s">
        <v>4439</v>
      </c>
      <c r="L41" s="14" t="s">
        <v>4440</v>
      </c>
    </row>
    <row r="42" customFormat="false" ht="23.85" hidden="false" customHeight="false" outlineLevel="0" collapsed="false">
      <c r="A42" s="12" t="s">
        <v>101</v>
      </c>
      <c r="B42" s="12" t="s">
        <v>260</v>
      </c>
      <c r="C42" s="12" t="n">
        <v>2</v>
      </c>
      <c r="D42" s="12" t="s">
        <v>4441</v>
      </c>
      <c r="E42" s="14" t="s">
        <v>4442</v>
      </c>
      <c r="F42" s="12"/>
      <c r="G42" s="12"/>
      <c r="H42" s="12" t="s">
        <v>4443</v>
      </c>
      <c r="I42" s="12" t="s">
        <v>4444</v>
      </c>
      <c r="J42" s="12" t="s">
        <v>4445</v>
      </c>
      <c r="K42" s="15" t="s">
        <v>4446</v>
      </c>
      <c r="L42" s="14" t="s">
        <v>4447</v>
      </c>
    </row>
    <row r="43" customFormat="false" ht="23.85" hidden="false" customHeight="false" outlineLevel="0" collapsed="false">
      <c r="A43" s="12" t="s">
        <v>101</v>
      </c>
      <c r="B43" s="12" t="s">
        <v>281</v>
      </c>
      <c r="C43" s="12" t="n">
        <v>2</v>
      </c>
      <c r="D43" s="12" t="s">
        <v>4448</v>
      </c>
      <c r="E43" s="14" t="s">
        <v>4449</v>
      </c>
      <c r="F43" s="12"/>
      <c r="G43" s="12"/>
      <c r="H43" s="12" t="s">
        <v>238</v>
      </c>
      <c r="I43" s="12" t="s">
        <v>4450</v>
      </c>
      <c r="J43" s="12" t="s">
        <v>4451</v>
      </c>
      <c r="K43" s="15" t="s">
        <v>4452</v>
      </c>
      <c r="L43" s="14" t="s">
        <v>4453</v>
      </c>
    </row>
    <row r="44" customFormat="false" ht="23.85" hidden="false" customHeight="false" outlineLevel="0" collapsed="false">
      <c r="A44" s="12" t="s">
        <v>101</v>
      </c>
      <c r="B44" s="12" t="s">
        <v>281</v>
      </c>
      <c r="C44" s="12" t="n">
        <v>2</v>
      </c>
      <c r="D44" s="12" t="s">
        <v>4454</v>
      </c>
      <c r="E44" s="14" t="s">
        <v>4455</v>
      </c>
      <c r="F44" s="12"/>
      <c r="G44" s="12"/>
      <c r="H44" s="12" t="s">
        <v>4456</v>
      </c>
      <c r="I44" s="12" t="s">
        <v>4457</v>
      </c>
      <c r="J44" s="12"/>
      <c r="K44" s="15" t="s">
        <v>4458</v>
      </c>
      <c r="L44" s="14" t="s">
        <v>4459</v>
      </c>
    </row>
    <row r="45" customFormat="false" ht="35.05" hidden="false" customHeight="false" outlineLevel="0" collapsed="false">
      <c r="A45" s="12" t="s">
        <v>4460</v>
      </c>
      <c r="B45" s="12" t="s">
        <v>99</v>
      </c>
      <c r="C45" s="12" t="n">
        <v>2</v>
      </c>
      <c r="D45" s="12" t="s">
        <v>4461</v>
      </c>
      <c r="E45" s="14" t="s">
        <v>4462</v>
      </c>
      <c r="F45" s="12"/>
      <c r="G45" s="12"/>
      <c r="H45" s="12" t="s">
        <v>4463</v>
      </c>
      <c r="I45" s="12" t="s">
        <v>4464</v>
      </c>
      <c r="J45" s="12" t="s">
        <v>4465</v>
      </c>
      <c r="K45" s="15" t="s">
        <v>4466</v>
      </c>
      <c r="L45" s="14" t="s">
        <v>4462</v>
      </c>
    </row>
    <row r="46" customFormat="false" ht="35.05" hidden="false" customHeight="false" outlineLevel="0" collapsed="false">
      <c r="A46" s="12" t="s">
        <v>4460</v>
      </c>
      <c r="B46" s="12" t="s">
        <v>99</v>
      </c>
      <c r="C46" s="12" t="n">
        <v>1</v>
      </c>
      <c r="D46" s="12" t="s">
        <v>4467</v>
      </c>
      <c r="E46" s="14" t="s">
        <v>4468</v>
      </c>
      <c r="F46" s="12"/>
      <c r="G46" s="12"/>
      <c r="H46" s="12" t="s">
        <v>4469</v>
      </c>
      <c r="I46" s="12" t="s">
        <v>4470</v>
      </c>
      <c r="J46" s="12" t="s">
        <v>4471</v>
      </c>
      <c r="K46" s="16" t="s">
        <v>4472</v>
      </c>
      <c r="L46" s="14" t="s">
        <v>4473</v>
      </c>
    </row>
  </sheetData>
  <autoFilter ref="A4:L46"/>
  <mergeCells count="1">
    <mergeCell ref="A2:L2"/>
  </mergeCells>
  <hyperlinks>
    <hyperlink ref="E5" r:id="rId1" display="https://www.swarovskioptik.com"/>
    <hyperlink ref="L5" r:id="rId2" display="https://swarovskioptik.com/ch/en/hunting/about-us/quality-and-innovation/facts-and-figures"/>
    <hyperlink ref="E6" r:id="rId3" display="https://www.eurocosmetic.be"/>
    <hyperlink ref="L6" r:id="rId4" display="https://oncosmetics.com/company/eurocosmetic-international/"/>
    <hyperlink ref="E7" r:id="rId5" display="https://bulmedica.bg/en/main/iventas-2/"/>
    <hyperlink ref="L7" r:id="rId6" display="https://bulmedica.bg/en/main/iventas-2/"/>
    <hyperlink ref="E8" r:id="rId7" display="https://samohyl.cz/?lang=en"/>
    <hyperlink ref="L8" r:id="rId8" display="https://samohyl.cz/?lang=en"/>
    <hyperlink ref="L9" r:id="rId9" display="https://www.emis.cn/php/company-profile/CZ/Teddies_SRO_en_6714203.html"/>
    <hyperlink ref="E10" r:id="rId10" display="https://www.ankorstore.com"/>
    <hyperlink ref="L10" r:id="rId11" display="https://alven.co/news/ankorstore-reaches-unicorn-status-in-only-two-years-with-its-last-e250-million-series-c-funding-round"/>
    <hyperlink ref="E11" r:id="rId12" display="https://www.stocklear.com"/>
    <hyperlink ref="L11" r:id="rId13" display="https://app.dealroom.co/companies/stocklear_1"/>
    <hyperlink ref="E12" r:id="rId14" display="https://www.cspcosmetics.com"/>
    <hyperlink ref="L12" r:id="rId15" display="https://oncosmetics.com/company/csp-cosmetics/"/>
    <hyperlink ref="L13" r:id="rId16" display="https://fashionunited.de/nachrichten/business/lacoste-gibt-parfum-vertrieb-fuer-dach-region-an-die-nobilis-group-ab/2024010554623"/>
    <hyperlink ref="E14" r:id="rId17" display="https://www.odoo.com/ar/customers/ihtct-gmbh-6263453"/>
    <hyperlink ref="L14" r:id="rId18" display="https://www.odoo.com/ar/customers/ihtct-gmbh-6263453"/>
    <hyperlink ref="L15" r:id="rId19" display="https://www.ausbildung.de/unternehmen/landahl-baumann-spielwaren-gmbh/stellen/"/>
    <hyperlink ref="E16" r:id="rId20" display="https://www.irishbeauty.ie/Xpert-Professional-expand-Olaplex-distribution.html"/>
    <hyperlink ref="L16" r:id="rId21" display="https://www.irishbeauty.ie/Xpert-Professional-expand-Olaplex-distribution.html"/>
    <hyperlink ref="E17" r:id="rId22" display="https://www.brandsdistribution.com"/>
    <hyperlink ref="L17" r:id="rId23" display="https://www.cbinsights.com/company/brandsdistributioncom/"/>
    <hyperlink ref="E18" r:id="rId24" display="https://www.profumeriepep.it"/>
    <hyperlink ref="L18" r:id="rId25" display="https://atoka.io/public/it/azienda/profumerie-p-p-srl/b936935a4339"/>
    <hyperlink ref="L19" r:id="rId26" display="https://faire.com/brand/b_th6zdpbbr9"/>
    <hyperlink ref="E20" r:id="rId27" display="https://linkedin.com/company/do-ho"/>
    <hyperlink ref="L20" r:id="rId28" display="https://linkedin.com/company/do-ho"/>
    <hyperlink ref="L21" r:id="rId29" display="https://www.morningstar.com.au/investments/security/fra/70B"/>
    <hyperlink ref="E22" r:id="rId30" display="https://beautinow.com/wholesale-perfume-supplier-europe/"/>
    <hyperlink ref="L22" r:id="rId31" display="https://beautinow.com/wholesale-perfume-supplier-europe/"/>
    <hyperlink ref="E23" r:id="rId32" display="https://www.makro.nl"/>
    <hyperlink ref="L23" r:id="rId33" display="https://help.makro.nl/en/support/solutions/articles/77000586989-can-i-use-a-foreign-makro-or-metro-card-"/>
    <hyperlink ref="E24" r:id="rId34" display="https://www.topbrands.nl"/>
    <hyperlink ref="L24" r:id="rId35" display="https://www.topbrands.nl/faq/"/>
    <hyperlink ref="E25" r:id="rId36" display="https://www.cosmeticapartijen.nl"/>
    <hyperlink ref="L25" r:id="rId37" display="https://oncosmetics.com/company/van-der-tang-trading/"/>
    <hyperlink ref="E26" r:id="rId38" display="https://www.papillonpetproducts.com"/>
    <hyperlink ref="L26" r:id="rId39" display="https://www.interzoo.com/en/exhibitors/papillon-pet-products-bv-2227601"/>
    <hyperlink ref="E27" r:id="rId40" display="https://iaapa.org/partners/marketplace/bellus-toys-bv"/>
    <hyperlink ref="L27" r:id="rId41" display="https://iaapa.org/partners/marketplace/bellus-toys-bv"/>
    <hyperlink ref="E28" r:id="rId42" display="https://www.channeldistribution.nl"/>
    <hyperlink ref="L28" r:id="rId43" display="https://www.ampliz.com/company/channel-distribution-bv/90357002"/>
    <hyperlink ref="E29" r:id="rId44" display="https://merkandi.com"/>
    <hyperlink ref="L29" r:id="rId45" display="https://tr-web.dev.trustradius.com/products/merkandi-com"/>
    <hyperlink ref="L30" r:id="rId46" display="https://www.aplikuj.pl/pracodawca/159889/alpex-tools/opinie"/>
    <hyperlink ref="L31" r:id="rId47" display="https://www.cede.pl/2019/en/exhibition/exhibitors-catalogue/?exh=5799"/>
    <hyperlink ref="E32" r:id="rId48" display="https://hurtowniakarm.pl"/>
    <hyperlink ref="L32" r:id="rId49" display="https://business.google.com/v/_/08939480399253784979/a394/_"/>
    <hyperlink ref="E33" r:id="rId50" display="https://e-hurtowniasportowa.pl"/>
    <hyperlink ref="L33" r:id="rId51" display="https://www.pracuj.pl/praca/specjalista-specjalistka-ds-obslugi-klienta-b2b-miszewko-pow-kartuski-gdynska-69a,oferta,1003183320"/>
    <hyperlink ref="E34" r:id="rId52" display="https://ikonka.pl"/>
    <hyperlink ref="L34" r:id="rId53" display="https://www.aplikuj.pl/pracodawca/412938/hurtownia-ikonka"/>
    <hyperlink ref="L35" r:id="rId54" display="https://www.interempresas.net/Puericultura/609658-Smart-Baby-Brands-se-refuerza-en-Espana-y-Portugal.html"/>
    <hyperlink ref="L36" r:id="rId55" display="https://www.arounddeal.com/c/tata-batata/e1vibvmjrt"/>
    <hyperlink ref="E37" r:id="rId56" display="https://www.bizak.es"/>
    <hyperlink ref="L37" r:id="rId57" display="https://www.iberinform.es/empresa/17738/bizak"/>
    <hyperlink ref="L38" r:id="rId58" display="https://proveedores.com/proveedores/nomaco/"/>
    <hyperlink ref="E39" r:id="rId59" display="https://www.astonandfincher.co.uk"/>
    <hyperlink ref="L39" r:id="rId60" display="https://www.astonandfincher.co.uk/pages/new-customers"/>
    <hyperlink ref="E40" r:id="rId61" display="https://www.capitalhairandbeauty.co.uk"/>
    <hyperlink ref="L40" r:id="rId62" display="https://pay.company-information.service.gov.uk/company/00530201"/>
    <hyperlink ref="E41" r:id="rId63" display="https://www.exquisitecosmetics.co.uk"/>
    <hyperlink ref="L41" r:id="rId64" display="https://pay.company-information.service.gov.uk/company/01315797"/>
    <hyperlink ref="E42" r:id="rId65" display="https://www.wholesaleclearance.co.uk"/>
    <hyperlink ref="L42" r:id="rId66" display="https://wholesalehelper.io/es/blog/Los-10-principales-proveedores-mayoristas-del-Reino-Unido/"/>
    <hyperlink ref="E43" r:id="rId67" display="https://www.kinetic4health.co.uk"/>
    <hyperlink ref="L43" r:id="rId68" display="https://cosmeticsbusiness.com/kinetic-natural-products-distributor-120192"/>
    <hyperlink ref="E44" r:id="rId69" display="https://www.suma.coop"/>
    <hyperlink ref="L44" r:id="rId70" display="https://de.trustpilot.com/review/www.suma.coop?page=3"/>
    <hyperlink ref="E45" r:id="rId71" display="https://bstock.com/amazoneu/about/"/>
    <hyperlink ref="L45" r:id="rId72" display="https://bstock.com/amazoneu/about/"/>
    <hyperlink ref="E46" r:id="rId73" display="https://www.faire.com"/>
    <hyperlink ref="L46" r:id="rId74" display="https://faire.com/support/articles/2988131407413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
    <col collapsed="false" customWidth="true" hidden="false" outlineLevel="0" max="3" min="3" style="0" width="32"/>
    <col collapsed="false" customWidth="true" hidden="false" outlineLevel="0" max="4" min="4" style="0" width="18"/>
    <col collapsed="false" customWidth="true" hidden="false" outlineLevel="0" max="5" min="5" style="0" width="16"/>
    <col collapsed="false" customWidth="true" hidden="false" outlineLevel="0" max="8" min="6" style="0" width="20"/>
    <col collapsed="false" customWidth="true" hidden="false" outlineLevel="0" max="9" min="9" style="0" width="28"/>
    <col collapsed="false" customWidth="true" hidden="false" outlineLevel="0" max="10" min="10" style="0" width="12"/>
    <col collapsed="false" customWidth="true" hidden="false" outlineLevel="0" max="11" min="11" style="0" width="10"/>
    <col collapsed="false" customWidth="true" hidden="false" outlineLevel="0" max="12" min="12" style="0" width="12"/>
    <col collapsed="false" customWidth="true" hidden="false" outlineLevel="0" max="13" min="13" style="0" width="10"/>
    <col collapsed="false" customWidth="true" hidden="false" outlineLevel="0" max="14" min="14" style="0" width="34"/>
  </cols>
  <sheetData>
    <row r="1" customFormat="false" ht="31.5" hidden="false" customHeight="true" outlineLevel="0" collapsed="false">
      <c r="A1" s="7" t="s">
        <v>90</v>
      </c>
      <c r="B1" s="7" t="s">
        <v>452</v>
      </c>
      <c r="C1" s="7" t="s">
        <v>89</v>
      </c>
      <c r="D1" s="7" t="s">
        <v>87</v>
      </c>
      <c r="E1" s="7" t="s">
        <v>4474</v>
      </c>
      <c r="F1" s="7" t="s">
        <v>4475</v>
      </c>
      <c r="G1" s="18" t="s">
        <v>4476</v>
      </c>
      <c r="H1" s="18" t="s">
        <v>4477</v>
      </c>
      <c r="I1" s="18" t="s">
        <v>4478</v>
      </c>
      <c r="J1" s="18" t="s">
        <v>4479</v>
      </c>
      <c r="K1" s="18" t="s">
        <v>4480</v>
      </c>
      <c r="L1" s="18" t="s">
        <v>4481</v>
      </c>
      <c r="M1" s="18" t="s">
        <v>4482</v>
      </c>
      <c r="N1" s="18" t="s">
        <v>4483</v>
      </c>
    </row>
    <row r="2" customFormat="false" ht="15" hidden="false" customHeight="false" outlineLevel="0" collapsed="false">
      <c r="A2" s="35" t="str">
        <f aca="false">Suppliers!A2</f>
        <v>Austria</v>
      </c>
      <c r="B2" s="35" t="n">
        <f aca="false">Suppliers!B2</f>
        <v>1</v>
      </c>
      <c r="C2" s="35" t="str">
        <f aca="false">Suppliers!E2</f>
        <v>KORES GmbH</v>
      </c>
      <c r="D2" s="35" t="str">
        <f aca="false">Suppliers!D2</f>
        <v>Stationery &amp; Office</v>
      </c>
      <c r="E2" s="36" t="s">
        <v>4484</v>
      </c>
      <c r="F2" s="36" t="s">
        <v>4485</v>
      </c>
      <c r="G2" s="27"/>
      <c r="H2" s="27"/>
      <c r="I2" s="27"/>
      <c r="J2" s="28"/>
      <c r="K2" s="27"/>
      <c r="L2" s="28"/>
      <c r="M2" s="27"/>
      <c r="N2" s="27"/>
    </row>
    <row r="3" customFormat="false" ht="15" hidden="false" customHeight="false" outlineLevel="0" collapsed="false">
      <c r="A3" s="35" t="str">
        <f aca="false">Suppliers!A3</f>
        <v>Austria</v>
      </c>
      <c r="B3" s="35" t="n">
        <f aca="false">Suppliers!B3</f>
        <v>2</v>
      </c>
      <c r="C3" s="35" t="str">
        <f aca="false">Suppliers!E3</f>
        <v>Stadlbauer Marketing + Vertrieb GmbH</v>
      </c>
      <c r="D3" s="35" t="str">
        <f aca="false">Suppliers!D3</f>
        <v>Toys &amp; Games</v>
      </c>
      <c r="E3" s="36" t="s">
        <v>4484</v>
      </c>
      <c r="F3" s="36" t="s">
        <v>4485</v>
      </c>
      <c r="G3" s="27"/>
      <c r="H3" s="27"/>
      <c r="I3" s="27"/>
      <c r="J3" s="28"/>
      <c r="K3" s="27"/>
      <c r="L3" s="28"/>
      <c r="M3" s="27"/>
      <c r="N3" s="27"/>
    </row>
    <row r="4" customFormat="false" ht="23.85" hidden="false" customHeight="false" outlineLevel="0" collapsed="false">
      <c r="A4" s="35" t="str">
        <f aca="false">Suppliers!A4</f>
        <v>Austria</v>
      </c>
      <c r="B4" s="35" t="n">
        <f aca="false">Suppliers!B4</f>
        <v>3</v>
      </c>
      <c r="C4" s="35" t="str">
        <f aca="false">Suppliers!E4</f>
        <v>Wiener Spielkartenfabrik Ferd. Piatnik &amp; Söhne</v>
      </c>
      <c r="D4" s="35" t="str">
        <f aca="false">Suppliers!D4</f>
        <v>Toys &amp; Games</v>
      </c>
      <c r="E4" s="36" t="s">
        <v>4484</v>
      </c>
      <c r="F4" s="36" t="s">
        <v>4485</v>
      </c>
      <c r="G4" s="27"/>
      <c r="H4" s="27"/>
      <c r="I4" s="27"/>
      <c r="J4" s="28"/>
      <c r="K4" s="27"/>
      <c r="L4" s="28"/>
      <c r="M4" s="27"/>
      <c r="N4" s="27"/>
    </row>
    <row r="5" customFormat="false" ht="15" hidden="false" customHeight="false" outlineLevel="0" collapsed="false">
      <c r="A5" s="35" t="str">
        <f aca="false">Suppliers!A5</f>
        <v>Belgium</v>
      </c>
      <c r="B5" s="35" t="n">
        <f aca="false">Suppliers!B5</f>
        <v>4</v>
      </c>
      <c r="C5" s="35" t="str">
        <f aca="false">Suppliers!E5</f>
        <v>Varo (Vic Van Rompuy NV)</v>
      </c>
      <c r="D5" s="35" t="str">
        <f aca="false">Suppliers!D5</f>
        <v>DIY &amp; Tools</v>
      </c>
      <c r="E5" s="36" t="s">
        <v>4484</v>
      </c>
      <c r="F5" s="36" t="s">
        <v>4485</v>
      </c>
      <c r="G5" s="27"/>
      <c r="H5" s="27"/>
      <c r="I5" s="27"/>
      <c r="J5" s="28"/>
      <c r="K5" s="27"/>
      <c r="L5" s="28"/>
      <c r="M5" s="27"/>
      <c r="N5" s="27"/>
    </row>
    <row r="6" customFormat="false" ht="15" hidden="false" customHeight="false" outlineLevel="0" collapsed="false">
      <c r="A6" s="35" t="str">
        <f aca="false">Suppliers!A6</f>
        <v>Belgium</v>
      </c>
      <c r="B6" s="35" t="n">
        <f aca="false">Suppliers!B6</f>
        <v>5</v>
      </c>
      <c r="C6" s="35" t="str">
        <f aca="false">Suppliers!E6</f>
        <v>Beautylux</v>
      </c>
      <c r="D6" s="35" t="str">
        <f aca="false">Suppliers!D6</f>
        <v>Fragrance</v>
      </c>
      <c r="E6" s="36" t="s">
        <v>4484</v>
      </c>
      <c r="F6" s="36" t="s">
        <v>4485</v>
      </c>
      <c r="G6" s="27"/>
      <c r="H6" s="27"/>
      <c r="I6" s="27"/>
      <c r="J6" s="28"/>
      <c r="K6" s="27"/>
      <c r="L6" s="28"/>
      <c r="M6" s="27"/>
      <c r="N6" s="27"/>
    </row>
    <row r="7" customFormat="false" ht="15" hidden="false" customHeight="false" outlineLevel="0" collapsed="false">
      <c r="A7" s="35" t="str">
        <f aca="false">Suppliers!A7</f>
        <v>Belgium</v>
      </c>
      <c r="B7" s="35" t="n">
        <f aca="false">Suppliers!B7</f>
        <v>6</v>
      </c>
      <c r="C7" s="35" t="str">
        <f aca="false">Suppliers!E7</f>
        <v>Galico NV</v>
      </c>
      <c r="D7" s="35" t="str">
        <f aca="false">Suppliers!D7</f>
        <v>Home &amp; Kitchen</v>
      </c>
      <c r="E7" s="36" t="s">
        <v>4484</v>
      </c>
      <c r="F7" s="36" t="s">
        <v>4485</v>
      </c>
      <c r="G7" s="27"/>
      <c r="H7" s="27"/>
      <c r="I7" s="27"/>
      <c r="J7" s="28"/>
      <c r="K7" s="27"/>
      <c r="L7" s="28"/>
      <c r="M7" s="27"/>
      <c r="N7" s="27"/>
    </row>
    <row r="8" customFormat="false" ht="15" hidden="false" customHeight="false" outlineLevel="0" collapsed="false">
      <c r="A8" s="35" t="str">
        <f aca="false">Suppliers!A8</f>
        <v>Belgium</v>
      </c>
      <c r="B8" s="35" t="n">
        <f aca="false">Suppliers!B8</f>
        <v>7</v>
      </c>
      <c r="C8" s="35" t="str">
        <f aca="false">Suppliers!E8</f>
        <v>Savic NV</v>
      </c>
      <c r="D8" s="35" t="str">
        <f aca="false">Suppliers!D8</f>
        <v>Pet Supplies</v>
      </c>
      <c r="E8" s="36" t="s">
        <v>4484</v>
      </c>
      <c r="F8" s="36" t="s">
        <v>4485</v>
      </c>
      <c r="G8" s="27"/>
      <c r="H8" s="27"/>
      <c r="I8" s="27"/>
      <c r="J8" s="28"/>
      <c r="K8" s="27"/>
      <c r="L8" s="28"/>
      <c r="M8" s="27"/>
      <c r="N8" s="27"/>
    </row>
    <row r="9" customFormat="false" ht="15" hidden="false" customHeight="false" outlineLevel="0" collapsed="false">
      <c r="A9" s="35" t="str">
        <f aca="false">Suppliers!A9</f>
        <v>Belgium</v>
      </c>
      <c r="B9" s="35" t="n">
        <f aca="false">Suppliers!B9</f>
        <v>8</v>
      </c>
      <c r="C9" s="35" t="str">
        <f aca="false">Suppliers!E9</f>
        <v>Flamingo Pet Products NV</v>
      </c>
      <c r="D9" s="35" t="str">
        <f aca="false">Suppliers!D9</f>
        <v>Pet Supplies</v>
      </c>
      <c r="E9" s="36" t="s">
        <v>4484</v>
      </c>
      <c r="F9" s="36" t="s">
        <v>4485</v>
      </c>
      <c r="G9" s="27"/>
      <c r="H9" s="27"/>
      <c r="I9" s="27"/>
      <c r="J9" s="28"/>
      <c r="K9" s="27"/>
      <c r="L9" s="28"/>
      <c r="M9" s="27"/>
      <c r="N9" s="27"/>
    </row>
    <row r="10" customFormat="false" ht="15" hidden="false" customHeight="false" outlineLevel="0" collapsed="false">
      <c r="A10" s="35" t="str">
        <f aca="false">Suppliers!A10</f>
        <v>Belgium</v>
      </c>
      <c r="B10" s="35" t="n">
        <f aca="false">Suppliers!B10</f>
        <v>9</v>
      </c>
      <c r="C10" s="35" t="str">
        <f aca="false">Suppliers!E10</f>
        <v>Laroy Group (Duvo+)</v>
      </c>
      <c r="D10" s="35" t="str">
        <f aca="false">Suppliers!D10</f>
        <v>Pet Supplies</v>
      </c>
      <c r="E10" s="36" t="s">
        <v>4484</v>
      </c>
      <c r="F10" s="36" t="s">
        <v>4485</v>
      </c>
      <c r="G10" s="27"/>
      <c r="H10" s="27"/>
      <c r="I10" s="27"/>
      <c r="J10" s="28"/>
      <c r="K10" s="27"/>
      <c r="L10" s="28"/>
      <c r="M10" s="27"/>
      <c r="N10" s="27"/>
    </row>
    <row r="11" customFormat="false" ht="15" hidden="false" customHeight="false" outlineLevel="0" collapsed="false">
      <c r="A11" s="35" t="str">
        <f aca="false">Suppliers!A11</f>
        <v>Belgium</v>
      </c>
      <c r="B11" s="35" t="n">
        <f aca="false">Suppliers!B11</f>
        <v>10</v>
      </c>
      <c r="C11" s="35" t="str">
        <f aca="false">Suppliers!E11</f>
        <v>Moderna Products NV</v>
      </c>
      <c r="D11" s="35" t="str">
        <f aca="false">Suppliers!D11</f>
        <v>Pet Supplies</v>
      </c>
      <c r="E11" s="36" t="s">
        <v>4484</v>
      </c>
      <c r="F11" s="36" t="s">
        <v>4485</v>
      </c>
      <c r="G11" s="27"/>
      <c r="H11" s="27"/>
      <c r="I11" s="27"/>
      <c r="J11" s="28"/>
      <c r="K11" s="27"/>
      <c r="L11" s="28"/>
      <c r="M11" s="27"/>
      <c r="N11" s="27"/>
    </row>
    <row r="12" customFormat="false" ht="15" hidden="false" customHeight="false" outlineLevel="0" collapsed="false">
      <c r="A12" s="35" t="str">
        <f aca="false">Suppliers!A12</f>
        <v>Belgium</v>
      </c>
      <c r="B12" s="35" t="n">
        <f aca="false">Suppliers!B12</f>
        <v>11</v>
      </c>
      <c r="C12" s="35" t="str">
        <f aca="false">Suppliers!E12</f>
        <v>Vadigran NV</v>
      </c>
      <c r="D12" s="35" t="str">
        <f aca="false">Suppliers!D12</f>
        <v>Pet Supplies</v>
      </c>
      <c r="E12" s="36" t="s">
        <v>4484</v>
      </c>
      <c r="F12" s="36" t="s">
        <v>4485</v>
      </c>
      <c r="G12" s="27"/>
      <c r="H12" s="27"/>
      <c r="I12" s="27"/>
      <c r="J12" s="28"/>
      <c r="K12" s="27"/>
      <c r="L12" s="28"/>
      <c r="M12" s="27"/>
      <c r="N12" s="27"/>
    </row>
    <row r="13" customFormat="false" ht="23.85" hidden="false" customHeight="false" outlineLevel="0" collapsed="false">
      <c r="A13" s="35" t="str">
        <f aca="false">Suppliers!A13</f>
        <v>Bulgaria</v>
      </c>
      <c r="B13" s="35" t="n">
        <f aca="false">Suppliers!B13</f>
        <v>12</v>
      </c>
      <c r="C13" s="35" t="str">
        <f aca="false">Suppliers!E13</f>
        <v>Bulgarian Rose AD (Bulgarska Roza Karlovo)</v>
      </c>
      <c r="D13" s="35" t="str">
        <f aca="false">Suppliers!D13</f>
        <v>Beauty</v>
      </c>
      <c r="E13" s="36" t="s">
        <v>4484</v>
      </c>
      <c r="F13" s="36" t="s">
        <v>4485</v>
      </c>
      <c r="G13" s="27"/>
      <c r="H13" s="27"/>
      <c r="I13" s="27"/>
      <c r="J13" s="28"/>
      <c r="K13" s="27"/>
      <c r="L13" s="28"/>
      <c r="M13" s="27"/>
      <c r="N13" s="27"/>
    </row>
    <row r="14" customFormat="false" ht="15" hidden="false" customHeight="false" outlineLevel="0" collapsed="false">
      <c r="A14" s="35" t="str">
        <f aca="false">Suppliers!A14</f>
        <v>Bulgaria</v>
      </c>
      <c r="B14" s="35" t="n">
        <f aca="false">Suppliers!B14</f>
        <v>13</v>
      </c>
      <c r="C14" s="35" t="str">
        <f aca="false">Suppliers!E14</f>
        <v>Lema Kazanlak (rose distillery)</v>
      </c>
      <c r="D14" s="35" t="str">
        <f aca="false">Suppliers!D14</f>
        <v>Beauty</v>
      </c>
      <c r="E14" s="36" t="s">
        <v>4484</v>
      </c>
      <c r="F14" s="36" t="s">
        <v>4485</v>
      </c>
      <c r="G14" s="27"/>
      <c r="H14" s="27"/>
      <c r="I14" s="27"/>
      <c r="J14" s="28"/>
      <c r="K14" s="27"/>
      <c r="L14" s="28"/>
      <c r="M14" s="27"/>
      <c r="N14" s="27"/>
    </row>
    <row r="15" customFormat="false" ht="15" hidden="false" customHeight="false" outlineLevel="0" collapsed="false">
      <c r="A15" s="35" t="str">
        <f aca="false">Suppliers!A15</f>
        <v>Bulgaria</v>
      </c>
      <c r="B15" s="35" t="n">
        <f aca="false">Suppliers!B15</f>
        <v>14</v>
      </c>
      <c r="C15" s="35" t="str">
        <f aca="false">Suppliers!E15</f>
        <v>Parmash AD</v>
      </c>
      <c r="D15" s="35" t="str">
        <f aca="false">Suppliers!D15</f>
        <v>Home &amp; Kitchen</v>
      </c>
      <c r="E15" s="36" t="s">
        <v>4484</v>
      </c>
      <c r="F15" s="36" t="s">
        <v>4485</v>
      </c>
      <c r="G15" s="27"/>
      <c r="H15" s="27"/>
      <c r="I15" s="27"/>
      <c r="J15" s="28"/>
      <c r="K15" s="27"/>
      <c r="L15" s="28"/>
      <c r="M15" s="27"/>
      <c r="N15" s="27"/>
    </row>
    <row r="16" customFormat="false" ht="23.85" hidden="false" customHeight="false" outlineLevel="0" collapsed="false">
      <c r="A16" s="35" t="str">
        <f aca="false">Suppliers!A16</f>
        <v>Croatia</v>
      </c>
      <c r="B16" s="35" t="n">
        <f aca="false">Suppliers!B16</f>
        <v>15</v>
      </c>
      <c r="C16" s="35" t="str">
        <f aca="false">Suppliers!E16</f>
        <v>Saponia d.d.</v>
      </c>
      <c r="D16" s="35" t="str">
        <f aca="false">Suppliers!D16</f>
        <v>Health &amp; Personal Care</v>
      </c>
      <c r="E16" s="36" t="s">
        <v>4484</v>
      </c>
      <c r="F16" s="36" t="s">
        <v>4485</v>
      </c>
      <c r="G16" s="27"/>
      <c r="H16" s="27"/>
      <c r="I16" s="27"/>
      <c r="J16" s="28"/>
      <c r="K16" s="27"/>
      <c r="L16" s="28"/>
      <c r="M16" s="27"/>
      <c r="N16" s="27"/>
    </row>
    <row r="17" customFormat="false" ht="15" hidden="false" customHeight="false" outlineLevel="0" collapsed="false">
      <c r="A17" s="35" t="str">
        <f aca="false">Suppliers!A17</f>
        <v>Czech Republic</v>
      </c>
      <c r="B17" s="35" t="n">
        <f aca="false">Suppliers!B17</f>
        <v>16</v>
      </c>
      <c r="C17" s="35" t="str">
        <f aca="false">Suppliers!E17</f>
        <v>Dermacol a.s.</v>
      </c>
      <c r="D17" s="35" t="str">
        <f aca="false">Suppliers!D17</f>
        <v>Beauty</v>
      </c>
      <c r="E17" s="36" t="s">
        <v>4484</v>
      </c>
      <c r="F17" s="36" t="s">
        <v>4485</v>
      </c>
      <c r="G17" s="27"/>
      <c r="H17" s="27"/>
      <c r="I17" s="27"/>
      <c r="J17" s="28"/>
      <c r="K17" s="27"/>
      <c r="L17" s="28"/>
      <c r="M17" s="27"/>
      <c r="N17" s="27"/>
    </row>
    <row r="18" customFormat="false" ht="15" hidden="false" customHeight="false" outlineLevel="0" collapsed="false">
      <c r="A18" s="35" t="str">
        <f aca="false">Suppliers!A18</f>
        <v>Czech Republic</v>
      </c>
      <c r="B18" s="35" t="n">
        <f aca="false">Suppliers!B18</f>
        <v>17</v>
      </c>
      <c r="C18" s="35" t="str">
        <f aca="false">Suppliers!E18</f>
        <v>MANUFAKTURA (Czech cosmetics)</v>
      </c>
      <c r="D18" s="35" t="str">
        <f aca="false">Suppliers!D18</f>
        <v>Beauty</v>
      </c>
      <c r="E18" s="36" t="s">
        <v>4484</v>
      </c>
      <c r="F18" s="36" t="s">
        <v>4485</v>
      </c>
      <c r="G18" s="27"/>
      <c r="H18" s="27"/>
      <c r="I18" s="27"/>
      <c r="J18" s="28"/>
      <c r="K18" s="27"/>
      <c r="L18" s="28"/>
      <c r="M18" s="27"/>
      <c r="N18" s="27"/>
    </row>
    <row r="19" customFormat="false" ht="15" hidden="false" customHeight="false" outlineLevel="0" collapsed="false">
      <c r="A19" s="35" t="str">
        <f aca="false">Suppliers!A19</f>
        <v>Czech Republic</v>
      </c>
      <c r="B19" s="35" t="n">
        <f aca="false">Suppliers!B19</f>
        <v>18</v>
      </c>
      <c r="C19" s="35" t="str">
        <f aca="false">Suppliers!E19</f>
        <v>HECHT MOTORS s.r.o.</v>
      </c>
      <c r="D19" s="35" t="str">
        <f aca="false">Suppliers!D19</f>
        <v>DIY &amp; Tools</v>
      </c>
      <c r="E19" s="36" t="s">
        <v>4484</v>
      </c>
      <c r="F19" s="36" t="s">
        <v>4485</v>
      </c>
      <c r="G19" s="27"/>
      <c r="H19" s="27"/>
      <c r="I19" s="27"/>
      <c r="J19" s="28"/>
      <c r="K19" s="27"/>
      <c r="L19" s="28"/>
      <c r="M19" s="27"/>
      <c r="N19" s="27"/>
    </row>
    <row r="20" customFormat="false" ht="15" hidden="false" customHeight="false" outlineLevel="0" collapsed="false">
      <c r="A20" s="35" t="str">
        <f aca="false">Suppliers!A20</f>
        <v>Czech Republic</v>
      </c>
      <c r="B20" s="35" t="n">
        <f aca="false">Suppliers!B20</f>
        <v>19</v>
      </c>
      <c r="C20" s="35" t="str">
        <f aca="false">Suppliers!E20</f>
        <v>NAREX s.r.o.</v>
      </c>
      <c r="D20" s="35" t="str">
        <f aca="false">Suppliers!D20</f>
        <v>DIY &amp; Tools</v>
      </c>
      <c r="E20" s="36" t="s">
        <v>4484</v>
      </c>
      <c r="F20" s="36" t="s">
        <v>4485</v>
      </c>
      <c r="G20" s="27"/>
      <c r="H20" s="27"/>
      <c r="I20" s="27"/>
      <c r="J20" s="28"/>
      <c r="K20" s="27"/>
      <c r="L20" s="28"/>
      <c r="M20" s="27"/>
      <c r="N20" s="27"/>
    </row>
    <row r="21" customFormat="false" ht="15" hidden="false" customHeight="false" outlineLevel="0" collapsed="false">
      <c r="A21" s="35" t="str">
        <f aca="false">Suppliers!A21</f>
        <v>Czech Republic</v>
      </c>
      <c r="B21" s="35" t="n">
        <f aca="false">Suppliers!B21</f>
        <v>20</v>
      </c>
      <c r="C21" s="35" t="str">
        <f aca="false">Suppliers!E21</f>
        <v>PILANA Metal spol. s r.o.</v>
      </c>
      <c r="D21" s="35" t="str">
        <f aca="false">Suppliers!D21</f>
        <v>DIY &amp; Tools</v>
      </c>
      <c r="E21" s="36" t="s">
        <v>4484</v>
      </c>
      <c r="F21" s="36" t="s">
        <v>4485</v>
      </c>
      <c r="G21" s="27"/>
      <c r="H21" s="27"/>
      <c r="I21" s="27"/>
      <c r="J21" s="28"/>
      <c r="K21" s="27"/>
      <c r="L21" s="28"/>
      <c r="M21" s="27"/>
      <c r="N21" s="27"/>
    </row>
    <row r="22" customFormat="false" ht="15" hidden="false" customHeight="false" outlineLevel="0" collapsed="false">
      <c r="A22" s="35" t="str">
        <f aca="false">Suppliers!A22</f>
        <v>Czech Republic</v>
      </c>
      <c r="B22" s="35" t="n">
        <f aca="false">Suppliers!B22</f>
        <v>21</v>
      </c>
      <c r="C22" s="35" t="str">
        <f aca="false">Suppliers!E22</f>
        <v>BJUTIP a.s.</v>
      </c>
      <c r="D22" s="35" t="str">
        <f aca="false">Suppliers!D22</f>
        <v>Fragrance</v>
      </c>
      <c r="E22" s="36" t="s">
        <v>4484</v>
      </c>
      <c r="F22" s="36" t="s">
        <v>4485</v>
      </c>
      <c r="G22" s="27"/>
      <c r="H22" s="27"/>
      <c r="I22" s="27"/>
      <c r="J22" s="28"/>
      <c r="K22" s="27"/>
      <c r="L22" s="28"/>
      <c r="M22" s="27"/>
      <c r="N22" s="27"/>
    </row>
    <row r="23" customFormat="false" ht="23.85" hidden="false" customHeight="false" outlineLevel="0" collapsed="false">
      <c r="A23" s="35" t="str">
        <f aca="false">Suppliers!A23</f>
        <v>Czech Republic</v>
      </c>
      <c r="B23" s="35" t="n">
        <f aca="false">Suppliers!B23</f>
        <v>22</v>
      </c>
      <c r="C23" s="35" t="str">
        <f aca="false">Suppliers!E23</f>
        <v>NUTREND D.S., a.s.</v>
      </c>
      <c r="D23" s="35" t="str">
        <f aca="false">Suppliers!D23</f>
        <v>Health &amp; Personal Care</v>
      </c>
      <c r="E23" s="36" t="s">
        <v>4484</v>
      </c>
      <c r="F23" s="36" t="s">
        <v>4485</v>
      </c>
      <c r="G23" s="27"/>
      <c r="H23" s="27"/>
      <c r="I23" s="27"/>
      <c r="J23" s="28"/>
      <c r="K23" s="27"/>
      <c r="L23" s="28"/>
      <c r="M23" s="27"/>
      <c r="N23" s="27"/>
    </row>
    <row r="24" customFormat="false" ht="23.85" hidden="false" customHeight="false" outlineLevel="0" collapsed="false">
      <c r="A24" s="35" t="str">
        <f aca="false">Suppliers!A24</f>
        <v>Czech Republic</v>
      </c>
      <c r="B24" s="35" t="n">
        <f aca="false">Suppliers!B24</f>
        <v>23</v>
      </c>
      <c r="C24" s="35" t="str">
        <f aca="false">Suppliers!E24</f>
        <v>SPOKAR a.s.</v>
      </c>
      <c r="D24" s="35" t="str">
        <f aca="false">Suppliers!D24</f>
        <v>Health &amp; Personal Care</v>
      </c>
      <c r="E24" s="36" t="s">
        <v>4484</v>
      </c>
      <c r="F24" s="36" t="s">
        <v>4485</v>
      </c>
      <c r="G24" s="27"/>
      <c r="H24" s="27"/>
      <c r="I24" s="27"/>
      <c r="J24" s="28"/>
      <c r="K24" s="27"/>
      <c r="L24" s="28"/>
      <c r="M24" s="27"/>
      <c r="N24" s="27"/>
    </row>
    <row r="25" customFormat="false" ht="23.85" hidden="false" customHeight="false" outlineLevel="0" collapsed="false">
      <c r="A25" s="35" t="str">
        <f aca="false">Suppliers!A25</f>
        <v>Czech Republic</v>
      </c>
      <c r="B25" s="35" t="n">
        <f aca="false">Suppliers!B25</f>
        <v>24</v>
      </c>
      <c r="C25" s="35" t="str">
        <f aca="false">Suppliers!E25</f>
        <v>ALPA, a.s.</v>
      </c>
      <c r="D25" s="35" t="str">
        <f aca="false">Suppliers!D25</f>
        <v>Health &amp; Personal Care</v>
      </c>
      <c r="E25" s="36" t="s">
        <v>4484</v>
      </c>
      <c r="F25" s="36" t="s">
        <v>4485</v>
      </c>
      <c r="G25" s="27"/>
      <c r="H25" s="27"/>
      <c r="I25" s="27"/>
      <c r="J25" s="28"/>
      <c r="K25" s="27"/>
      <c r="L25" s="28"/>
      <c r="M25" s="27"/>
      <c r="N25" s="27"/>
    </row>
    <row r="26" customFormat="false" ht="23.85" hidden="false" customHeight="false" outlineLevel="0" collapsed="false">
      <c r="A26" s="35" t="str">
        <f aca="false">Suppliers!A26</f>
        <v>Czech Republic</v>
      </c>
      <c r="B26" s="35" t="n">
        <f aca="false">Suppliers!B26</f>
        <v>25</v>
      </c>
      <c r="C26" s="35" t="str">
        <f aca="false">Suppliers!E26</f>
        <v>Tescoma s.r.o. (export centre Tescoma S.p.A., Italy)</v>
      </c>
      <c r="D26" s="35" t="str">
        <f aca="false">Suppliers!D26</f>
        <v>Home &amp; Kitchen</v>
      </c>
      <c r="E26" s="36" t="s">
        <v>4484</v>
      </c>
      <c r="F26" s="36" t="s">
        <v>4485</v>
      </c>
      <c r="G26" s="27"/>
      <c r="H26" s="27"/>
      <c r="I26" s="27"/>
      <c r="J26" s="28"/>
      <c r="K26" s="27"/>
      <c r="L26" s="28"/>
      <c r="M26" s="27"/>
      <c r="N26" s="27"/>
    </row>
    <row r="27" customFormat="false" ht="15" hidden="false" customHeight="false" outlineLevel="0" collapsed="false">
      <c r="A27" s="35" t="str">
        <f aca="false">Suppliers!A27</f>
        <v>Czech Republic</v>
      </c>
      <c r="B27" s="35" t="n">
        <f aca="false">Suppliers!B27</f>
        <v>26</v>
      </c>
      <c r="C27" s="35" t="str">
        <f aca="false">Suppliers!E27</f>
        <v>Remoska s.r.o.</v>
      </c>
      <c r="D27" s="35" t="str">
        <f aca="false">Suppliers!D27</f>
        <v>Home &amp; Kitchen</v>
      </c>
      <c r="E27" s="36" t="s">
        <v>4484</v>
      </c>
      <c r="F27" s="36" t="s">
        <v>4485</v>
      </c>
      <c r="G27" s="27"/>
      <c r="H27" s="27"/>
      <c r="I27" s="27"/>
      <c r="J27" s="28"/>
      <c r="K27" s="27"/>
      <c r="L27" s="28"/>
      <c r="M27" s="27"/>
      <c r="N27" s="27"/>
    </row>
    <row r="28" customFormat="false" ht="15" hidden="false" customHeight="false" outlineLevel="0" collapsed="false">
      <c r="A28" s="35" t="str">
        <f aca="false">Suppliers!A28</f>
        <v>Czech Republic</v>
      </c>
      <c r="B28" s="35" t="n">
        <f aca="false">Suppliers!B28</f>
        <v>27</v>
      </c>
      <c r="C28" s="35" t="str">
        <f aca="false">Suppliers!E28</f>
        <v>PLASTIA s.r.o. (Urbalive)</v>
      </c>
      <c r="D28" s="35" t="str">
        <f aca="false">Suppliers!D28</f>
        <v>Home &amp; Kitchen</v>
      </c>
      <c r="E28" s="36" t="s">
        <v>4484</v>
      </c>
      <c r="F28" s="36" t="s">
        <v>4485</v>
      </c>
      <c r="G28" s="27"/>
      <c r="H28" s="27"/>
      <c r="I28" s="27"/>
      <c r="J28" s="28"/>
      <c r="K28" s="27"/>
      <c r="L28" s="28"/>
      <c r="M28" s="27"/>
      <c r="N28" s="27"/>
    </row>
    <row r="29" customFormat="false" ht="15" hidden="false" customHeight="false" outlineLevel="0" collapsed="false">
      <c r="A29" s="35" t="str">
        <f aca="false">Suppliers!A29</f>
        <v>Czech Republic</v>
      </c>
      <c r="B29" s="35" t="n">
        <f aca="false">Suppliers!B29</f>
        <v>28</v>
      </c>
      <c r="C29" s="35" t="str">
        <f aca="false">Suppliers!E29</f>
        <v>BLEX, a.s.</v>
      </c>
      <c r="D29" s="35" t="str">
        <f aca="false">Suppliers!D29</f>
        <v>Home &amp; Kitchen</v>
      </c>
      <c r="E29" s="36" t="s">
        <v>4484</v>
      </c>
      <c r="F29" s="36" t="s">
        <v>4485</v>
      </c>
      <c r="G29" s="27"/>
      <c r="H29" s="27"/>
      <c r="I29" s="27"/>
      <c r="J29" s="28"/>
      <c r="K29" s="27"/>
      <c r="L29" s="28"/>
      <c r="M29" s="27"/>
      <c r="N29" s="27"/>
    </row>
    <row r="30" customFormat="false" ht="15" hidden="false" customHeight="false" outlineLevel="0" collapsed="false">
      <c r="A30" s="35" t="str">
        <f aca="false">Suppliers!A30</f>
        <v>Czech Republic</v>
      </c>
      <c r="B30" s="35" t="n">
        <f aca="false">Suppliers!B30</f>
        <v>29</v>
      </c>
      <c r="C30" s="35" t="str">
        <f aca="false">Suppliers!E30</f>
        <v>Dřevotvar družstvo</v>
      </c>
      <c r="D30" s="35" t="str">
        <f aca="false">Suppliers!D30</f>
        <v>Home &amp; Kitchen</v>
      </c>
      <c r="E30" s="36" t="s">
        <v>4484</v>
      </c>
      <c r="F30" s="36" t="s">
        <v>4485</v>
      </c>
      <c r="G30" s="27"/>
      <c r="H30" s="27"/>
      <c r="I30" s="27"/>
      <c r="J30" s="28"/>
      <c r="K30" s="27"/>
      <c r="L30" s="28"/>
      <c r="M30" s="27"/>
      <c r="N30" s="27"/>
    </row>
    <row r="31" customFormat="false" ht="23.85" hidden="false" customHeight="false" outlineLevel="0" collapsed="false">
      <c r="A31" s="35" t="str">
        <f aca="false">Suppliers!A31</f>
        <v>Czech Republic</v>
      </c>
      <c r="B31" s="35" t="n">
        <f aca="false">Suppliers!B31</f>
        <v>30</v>
      </c>
      <c r="C31" s="35" t="str">
        <f aca="false">Suppliers!E31</f>
        <v>Funky Dog (Czech eco pet accessories)</v>
      </c>
      <c r="D31" s="35" t="str">
        <f aca="false">Suppliers!D31</f>
        <v>Pet Supplies</v>
      </c>
      <c r="E31" s="36" t="s">
        <v>4484</v>
      </c>
      <c r="F31" s="36" t="s">
        <v>4485</v>
      </c>
      <c r="G31" s="27"/>
      <c r="H31" s="27"/>
      <c r="I31" s="27"/>
      <c r="J31" s="28"/>
      <c r="K31" s="27"/>
      <c r="L31" s="28"/>
      <c r="M31" s="27"/>
      <c r="N31" s="27"/>
    </row>
    <row r="32" customFormat="false" ht="15" hidden="false" customHeight="false" outlineLevel="0" collapsed="false">
      <c r="A32" s="35" t="str">
        <f aca="false">Suppliers!A32</f>
        <v>Czech Republic</v>
      </c>
      <c r="B32" s="35" t="n">
        <f aca="false">Suppliers!B32</f>
        <v>31</v>
      </c>
      <c r="C32" s="35" t="str">
        <f aca="false">Suppliers!E32</f>
        <v>Tommi CZ s.r.o. (Tommiland B2B)</v>
      </c>
      <c r="D32" s="35" t="str">
        <f aca="false">Suppliers!D32</f>
        <v>Pet Supplies</v>
      </c>
      <c r="E32" s="36" t="s">
        <v>4484</v>
      </c>
      <c r="F32" s="36" t="s">
        <v>4485</v>
      </c>
      <c r="G32" s="27"/>
      <c r="H32" s="27"/>
      <c r="I32" s="27"/>
      <c r="J32" s="28"/>
      <c r="K32" s="27"/>
      <c r="L32" s="28"/>
      <c r="M32" s="27"/>
      <c r="N32" s="27"/>
    </row>
    <row r="33" customFormat="false" ht="15" hidden="false" customHeight="false" outlineLevel="0" collapsed="false">
      <c r="A33" s="35" t="str">
        <f aca="false">Suppliers!A33</f>
        <v>Czech Republic</v>
      </c>
      <c r="B33" s="35" t="n">
        <f aca="false">Suppliers!B33</f>
        <v>32</v>
      </c>
      <c r="C33" s="35" t="str">
        <f aca="false">Suppliers!E33</f>
        <v>GALA a.s.</v>
      </c>
      <c r="D33" s="35" t="str">
        <f aca="false">Suppliers!D33</f>
        <v>Sports &amp; Outdoors</v>
      </c>
      <c r="E33" s="36" t="s">
        <v>4484</v>
      </c>
      <c r="F33" s="36" t="s">
        <v>4485</v>
      </c>
      <c r="G33" s="27"/>
      <c r="H33" s="27"/>
      <c r="I33" s="27"/>
      <c r="J33" s="28"/>
      <c r="K33" s="27"/>
      <c r="L33" s="28"/>
      <c r="M33" s="27"/>
      <c r="N33" s="27"/>
    </row>
    <row r="34" customFormat="false" ht="15" hidden="false" customHeight="false" outlineLevel="0" collapsed="false">
      <c r="A34" s="35" t="str">
        <f aca="false">Suppliers!A34</f>
        <v>Czech Republic</v>
      </c>
      <c r="B34" s="35" t="n">
        <f aca="false">Suppliers!B34</f>
        <v>33</v>
      </c>
      <c r="C34" s="35" t="str">
        <f aca="false">Suppliers!E34</f>
        <v>Plastkon product s.r.o. (Gizmo Riders)</v>
      </c>
      <c r="D34" s="35" t="str">
        <f aca="false">Suppliers!D34</f>
        <v>Sports &amp; Outdoors</v>
      </c>
      <c r="E34" s="36" t="s">
        <v>4484</v>
      </c>
      <c r="F34" s="36" t="s">
        <v>4485</v>
      </c>
      <c r="G34" s="27"/>
      <c r="H34" s="27"/>
      <c r="I34" s="27"/>
      <c r="J34" s="28"/>
      <c r="K34" s="27"/>
      <c r="L34" s="28"/>
      <c r="M34" s="27"/>
      <c r="N34" s="27"/>
    </row>
    <row r="35" customFormat="false" ht="15" hidden="false" customHeight="false" outlineLevel="0" collapsed="false">
      <c r="A35" s="35" t="str">
        <f aca="false">Suppliers!A35</f>
        <v>Czech Republic</v>
      </c>
      <c r="B35" s="35" t="n">
        <f aca="false">Suppliers!B35</f>
        <v>34</v>
      </c>
      <c r="C35" s="35" t="str">
        <f aca="false">Suppliers!E35</f>
        <v>BP Lumen s.r.o.</v>
      </c>
      <c r="D35" s="35" t="str">
        <f aca="false">Suppliers!D35</f>
        <v>Sports &amp; Outdoors</v>
      </c>
      <c r="E35" s="36" t="s">
        <v>4484</v>
      </c>
      <c r="F35" s="36" t="s">
        <v>4485</v>
      </c>
      <c r="G35" s="27"/>
      <c r="H35" s="27"/>
      <c r="I35" s="27"/>
      <c r="J35" s="28"/>
      <c r="K35" s="27"/>
      <c r="L35" s="28"/>
      <c r="M35" s="27"/>
      <c r="N35" s="27"/>
    </row>
    <row r="36" customFormat="false" ht="15" hidden="false" customHeight="false" outlineLevel="0" collapsed="false">
      <c r="A36" s="35" t="str">
        <f aca="false">Suppliers!A36</f>
        <v>Czech Republic</v>
      </c>
      <c r="B36" s="35" t="n">
        <f aca="false">Suppliers!B36</f>
        <v>35</v>
      </c>
      <c r="C36" s="35" t="str">
        <f aca="false">Suppliers!E36</f>
        <v>Sedco s.r.o.</v>
      </c>
      <c r="D36" s="35" t="str">
        <f aca="false">Suppliers!D36</f>
        <v>Sports &amp; Outdoors</v>
      </c>
      <c r="E36" s="36" t="s">
        <v>4484</v>
      </c>
      <c r="F36" s="36" t="s">
        <v>4485</v>
      </c>
      <c r="G36" s="27"/>
      <c r="H36" s="27"/>
      <c r="I36" s="27"/>
      <c r="J36" s="28"/>
      <c r="K36" s="27"/>
      <c r="L36" s="28"/>
      <c r="M36" s="27"/>
      <c r="N36" s="27"/>
    </row>
    <row r="37" customFormat="false" ht="15" hidden="false" customHeight="false" outlineLevel="0" collapsed="false">
      <c r="A37" s="35" t="str">
        <f aca="false">Suppliers!A37</f>
        <v>Czech Republic</v>
      </c>
      <c r="B37" s="35" t="n">
        <f aca="false">Suppliers!B37</f>
        <v>36</v>
      </c>
      <c r="C37" s="35" t="str">
        <f aca="false">Suppliers!E37</f>
        <v>KOH-I-NOOR HARDTMUTH a.s.</v>
      </c>
      <c r="D37" s="35" t="str">
        <f aca="false">Suppliers!D37</f>
        <v>Stationery &amp; Office</v>
      </c>
      <c r="E37" s="36" t="s">
        <v>4484</v>
      </c>
      <c r="F37" s="36" t="s">
        <v>4485</v>
      </c>
      <c r="G37" s="27"/>
      <c r="H37" s="27"/>
      <c r="I37" s="27"/>
      <c r="J37" s="28"/>
      <c r="K37" s="27"/>
      <c r="L37" s="28"/>
      <c r="M37" s="27"/>
      <c r="N37" s="27"/>
    </row>
    <row r="38" customFormat="false" ht="15" hidden="false" customHeight="false" outlineLevel="0" collapsed="false">
      <c r="A38" s="35" t="str">
        <f aca="false">Suppliers!A38</f>
        <v>Czech Republic</v>
      </c>
      <c r="B38" s="35" t="n">
        <f aca="false">Suppliers!B38</f>
        <v>37</v>
      </c>
      <c r="C38" s="35" t="str">
        <f aca="false">Suppliers!E38</f>
        <v>Dino Toys s.r.o.</v>
      </c>
      <c r="D38" s="35" t="str">
        <f aca="false">Suppliers!D38</f>
        <v>Toys &amp; Games</v>
      </c>
      <c r="E38" s="36" t="s">
        <v>4484</v>
      </c>
      <c r="F38" s="36" t="s">
        <v>4485</v>
      </c>
      <c r="G38" s="27"/>
      <c r="H38" s="27"/>
      <c r="I38" s="27"/>
      <c r="J38" s="28"/>
      <c r="K38" s="27"/>
      <c r="L38" s="28"/>
      <c r="M38" s="27"/>
      <c r="N38" s="27"/>
    </row>
    <row r="39" customFormat="false" ht="15" hidden="false" customHeight="false" outlineLevel="0" collapsed="false">
      <c r="A39" s="35" t="str">
        <f aca="false">Suppliers!A39</f>
        <v>Czech Republic</v>
      </c>
      <c r="B39" s="35" t="n">
        <f aca="false">Suppliers!B39</f>
        <v>38</v>
      </c>
      <c r="C39" s="35" t="str">
        <f aca="false">Suppliers!E39</f>
        <v>Albi Česká republika a.s.</v>
      </c>
      <c r="D39" s="35" t="str">
        <f aca="false">Suppliers!D39</f>
        <v>Toys &amp; Games</v>
      </c>
      <c r="E39" s="36" t="s">
        <v>4484</v>
      </c>
      <c r="F39" s="36" t="s">
        <v>4485</v>
      </c>
      <c r="G39" s="27"/>
      <c r="H39" s="27"/>
      <c r="I39" s="27"/>
      <c r="J39" s="28"/>
      <c r="K39" s="27"/>
      <c r="L39" s="28"/>
      <c r="M39" s="27"/>
      <c r="N39" s="27"/>
    </row>
    <row r="40" customFormat="false" ht="15" hidden="false" customHeight="false" outlineLevel="0" collapsed="false">
      <c r="A40" s="35" t="str">
        <f aca="false">Suppliers!A40</f>
        <v>Czech Republic</v>
      </c>
      <c r="B40" s="35" t="n">
        <f aca="false">Suppliers!B40</f>
        <v>39</v>
      </c>
      <c r="C40" s="35" t="str">
        <f aca="false">Suppliers!E40</f>
        <v>Bino Europe k.s.</v>
      </c>
      <c r="D40" s="35" t="str">
        <f aca="false">Suppliers!D40</f>
        <v>Toys &amp; Games</v>
      </c>
      <c r="E40" s="36" t="s">
        <v>4484</v>
      </c>
      <c r="F40" s="36" t="s">
        <v>4485</v>
      </c>
      <c r="G40" s="27"/>
      <c r="H40" s="27"/>
      <c r="I40" s="27"/>
      <c r="J40" s="28"/>
      <c r="K40" s="27"/>
      <c r="L40" s="28"/>
      <c r="M40" s="27"/>
      <c r="N40" s="27"/>
    </row>
    <row r="41" customFormat="false" ht="15" hidden="false" customHeight="false" outlineLevel="0" collapsed="false">
      <c r="A41" s="35" t="str">
        <f aca="false">Suppliers!A41</f>
        <v>Denmark</v>
      </c>
      <c r="B41" s="35" t="n">
        <f aca="false">Suppliers!B41</f>
        <v>40</v>
      </c>
      <c r="C41" s="35" t="str">
        <f aca="false">Suppliers!E41</f>
        <v>BabyDan A/S</v>
      </c>
      <c r="D41" s="35" t="str">
        <f aca="false">Suppliers!D41</f>
        <v>Baby Products</v>
      </c>
      <c r="E41" s="36" t="s">
        <v>4484</v>
      </c>
      <c r="F41" s="36" t="s">
        <v>4485</v>
      </c>
      <c r="G41" s="27"/>
      <c r="H41" s="27"/>
      <c r="I41" s="27"/>
      <c r="J41" s="28"/>
      <c r="K41" s="27"/>
      <c r="L41" s="28"/>
      <c r="M41" s="27"/>
      <c r="N41" s="27"/>
    </row>
    <row r="42" customFormat="false" ht="15" hidden="false" customHeight="false" outlineLevel="0" collapsed="false">
      <c r="A42" s="35" t="str">
        <f aca="false">Suppliers!A42</f>
        <v>Denmark</v>
      </c>
      <c r="B42" s="35" t="n">
        <f aca="false">Suppliers!B42</f>
        <v>41</v>
      </c>
      <c r="C42" s="35" t="str">
        <f aca="false">Suppliers!E42</f>
        <v>Liewood A/S</v>
      </c>
      <c r="D42" s="35" t="str">
        <f aca="false">Suppliers!D42</f>
        <v>Baby Products</v>
      </c>
      <c r="E42" s="36" t="s">
        <v>4484</v>
      </c>
      <c r="F42" s="36" t="s">
        <v>4485</v>
      </c>
      <c r="G42" s="27"/>
      <c r="H42" s="27"/>
      <c r="I42" s="27"/>
      <c r="J42" s="28"/>
      <c r="K42" s="27"/>
      <c r="L42" s="28"/>
      <c r="M42" s="27"/>
      <c r="N42" s="27"/>
    </row>
    <row r="43" customFormat="false" ht="15" hidden="false" customHeight="false" outlineLevel="0" collapsed="false">
      <c r="A43" s="35" t="str">
        <f aca="false">Suppliers!A43</f>
        <v>Denmark</v>
      </c>
      <c r="B43" s="35" t="n">
        <f aca="false">Suppliers!B43</f>
        <v>42</v>
      </c>
      <c r="C43" s="35" t="str">
        <f aca="false">Suppliers!E43</f>
        <v>ECOOKING A/S</v>
      </c>
      <c r="D43" s="35" t="str">
        <f aca="false">Suppliers!D43</f>
        <v>Beauty</v>
      </c>
      <c r="E43" s="36" t="s">
        <v>4484</v>
      </c>
      <c r="F43" s="36" t="s">
        <v>4485</v>
      </c>
      <c r="G43" s="27"/>
      <c r="H43" s="27"/>
      <c r="I43" s="27"/>
      <c r="J43" s="28"/>
      <c r="K43" s="27"/>
      <c r="L43" s="28"/>
      <c r="M43" s="27"/>
      <c r="N43" s="27"/>
    </row>
    <row r="44" customFormat="false" ht="23.85" hidden="false" customHeight="false" outlineLevel="0" collapsed="false">
      <c r="A44" s="35" t="str">
        <f aca="false">Suppliers!A44</f>
        <v>Denmark</v>
      </c>
      <c r="B44" s="35" t="n">
        <f aca="false">Suppliers!B44</f>
        <v>43</v>
      </c>
      <c r="C44" s="35" t="str">
        <f aca="false">Suppliers!E44</f>
        <v>Jørgen Kruuse A/S (KRUUSE, BUSTER)</v>
      </c>
      <c r="D44" s="35" t="str">
        <f aca="false">Suppliers!D44</f>
        <v>Pet Supplies</v>
      </c>
      <c r="E44" s="36" t="s">
        <v>4484</v>
      </c>
      <c r="F44" s="36" t="s">
        <v>4485</v>
      </c>
      <c r="G44" s="27"/>
      <c r="H44" s="27"/>
      <c r="I44" s="27"/>
      <c r="J44" s="28"/>
      <c r="K44" s="27"/>
      <c r="L44" s="28"/>
      <c r="M44" s="27"/>
      <c r="N44" s="27"/>
    </row>
    <row r="45" customFormat="false" ht="23.85" hidden="false" customHeight="false" outlineLevel="0" collapsed="false">
      <c r="A45" s="35" t="str">
        <f aca="false">Suppliers!A45</f>
        <v>Denmark</v>
      </c>
      <c r="B45" s="35" t="n">
        <f aca="false">Suppliers!B45</f>
        <v>44</v>
      </c>
      <c r="C45" s="35" t="str">
        <f aca="false">Suppliers!E45</f>
        <v>Oase Outdoors ApS (Outwell, Easy Camp, Robens)</v>
      </c>
      <c r="D45" s="35" t="str">
        <f aca="false">Suppliers!D45</f>
        <v>Sports &amp; Outdoors</v>
      </c>
      <c r="E45" s="36" t="s">
        <v>4484</v>
      </c>
      <c r="F45" s="36" t="s">
        <v>4485</v>
      </c>
      <c r="G45" s="27"/>
      <c r="H45" s="27"/>
      <c r="I45" s="27"/>
      <c r="J45" s="28"/>
      <c r="K45" s="27"/>
      <c r="L45" s="28"/>
      <c r="M45" s="27"/>
      <c r="N45" s="27"/>
    </row>
    <row r="46" customFormat="false" ht="15" hidden="false" customHeight="false" outlineLevel="0" collapsed="false">
      <c r="A46" s="35" t="str">
        <f aca="false">Suppliers!A46</f>
        <v>Denmark</v>
      </c>
      <c r="B46" s="35" t="n">
        <f aca="false">Suppliers!B46</f>
        <v>45</v>
      </c>
      <c r="C46" s="35" t="str">
        <f aca="false">Suppliers!E46</f>
        <v>Select Sport A/S (incl. Derbystar)</v>
      </c>
      <c r="D46" s="35" t="str">
        <f aca="false">Suppliers!D46</f>
        <v>Sports &amp; Outdoors</v>
      </c>
      <c r="E46" s="36" t="s">
        <v>4484</v>
      </c>
      <c r="F46" s="36" t="s">
        <v>4485</v>
      </c>
      <c r="G46" s="27"/>
      <c r="H46" s="27"/>
      <c r="I46" s="27"/>
      <c r="J46" s="28"/>
      <c r="K46" s="27"/>
      <c r="L46" s="28"/>
      <c r="M46" s="27"/>
      <c r="N46" s="27"/>
    </row>
    <row r="47" customFormat="false" ht="15" hidden="false" customHeight="false" outlineLevel="0" collapsed="false">
      <c r="A47" s="35" t="str">
        <f aca="false">Suppliers!A47</f>
        <v>Denmark</v>
      </c>
      <c r="B47" s="35" t="n">
        <f aca="false">Suppliers!B47</f>
        <v>46</v>
      </c>
      <c r="C47" s="35" t="str">
        <f aca="false">Suppliers!E47</f>
        <v>Creativ Company A/S</v>
      </c>
      <c r="D47" s="35" t="str">
        <f aca="false">Suppliers!D47</f>
        <v>Stationery &amp; Office</v>
      </c>
      <c r="E47" s="36" t="s">
        <v>4484</v>
      </c>
      <c r="F47" s="36" t="s">
        <v>4485</v>
      </c>
      <c r="G47" s="27"/>
      <c r="H47" s="27"/>
      <c r="I47" s="27"/>
      <c r="J47" s="28"/>
      <c r="K47" s="27"/>
      <c r="L47" s="28"/>
      <c r="M47" s="27"/>
      <c r="N47" s="27"/>
    </row>
    <row r="48" customFormat="false" ht="15" hidden="false" customHeight="false" outlineLevel="0" collapsed="false">
      <c r="A48" s="35" t="str">
        <f aca="false">Suppliers!A48</f>
        <v>Denmark</v>
      </c>
      <c r="B48" s="35" t="n">
        <f aca="false">Suppliers!B48</f>
        <v>47</v>
      </c>
      <c r="C48" s="35" t="str">
        <f aca="false">Suppliers!E48</f>
        <v>Plus-Plus A/S</v>
      </c>
      <c r="D48" s="35" t="str">
        <f aca="false">Suppliers!D48</f>
        <v>Toys &amp; Games</v>
      </c>
      <c r="E48" s="36" t="s">
        <v>4484</v>
      </c>
      <c r="F48" s="36" t="s">
        <v>4485</v>
      </c>
      <c r="G48" s="27"/>
      <c r="H48" s="27"/>
      <c r="I48" s="27"/>
      <c r="J48" s="28"/>
      <c r="K48" s="27"/>
      <c r="L48" s="28"/>
      <c r="M48" s="27"/>
      <c r="N48" s="27"/>
    </row>
    <row r="49" customFormat="false" ht="15" hidden="false" customHeight="false" outlineLevel="0" collapsed="false">
      <c r="A49" s="35" t="str">
        <f aca="false">Suppliers!A49</f>
        <v>Finland</v>
      </c>
      <c r="B49" s="35" t="n">
        <f aca="false">Suppliers!B49</f>
        <v>48</v>
      </c>
      <c r="C49" s="35" t="str">
        <f aca="false">Suppliers!E49</f>
        <v>Lumene Oy</v>
      </c>
      <c r="D49" s="35" t="str">
        <f aca="false">Suppliers!D49</f>
        <v>Beauty</v>
      </c>
      <c r="E49" s="36" t="s">
        <v>4484</v>
      </c>
      <c r="F49" s="36" t="s">
        <v>4485</v>
      </c>
      <c r="G49" s="27"/>
      <c r="H49" s="27"/>
      <c r="I49" s="27"/>
      <c r="J49" s="28"/>
      <c r="K49" s="27"/>
      <c r="L49" s="28"/>
      <c r="M49" s="27"/>
      <c r="N49" s="27"/>
    </row>
    <row r="50" customFormat="false" ht="15" hidden="false" customHeight="false" outlineLevel="0" collapsed="false">
      <c r="A50" s="35" t="str">
        <f aca="false">Suppliers!A50</f>
        <v>Finland</v>
      </c>
      <c r="B50" s="35" t="n">
        <f aca="false">Suppliers!B50</f>
        <v>49</v>
      </c>
      <c r="C50" s="35" t="str">
        <f aca="false">Suppliers!E50</f>
        <v>Fiskars Group (Fiskars Finland Oy Ab)</v>
      </c>
      <c r="D50" s="35" t="str">
        <f aca="false">Suppliers!D50</f>
        <v>DIY &amp; Tools</v>
      </c>
      <c r="E50" s="36" t="s">
        <v>4484</v>
      </c>
      <c r="F50" s="36" t="s">
        <v>4485</v>
      </c>
      <c r="G50" s="27"/>
      <c r="H50" s="27"/>
      <c r="I50" s="27"/>
      <c r="J50" s="28"/>
      <c r="K50" s="27"/>
      <c r="L50" s="28"/>
      <c r="M50" s="27"/>
      <c r="N50" s="27"/>
    </row>
    <row r="51" customFormat="false" ht="15" hidden="false" customHeight="false" outlineLevel="0" collapsed="false">
      <c r="A51" s="35" t="str">
        <f aca="false">Suppliers!A51</f>
        <v>Finland</v>
      </c>
      <c r="B51" s="35" t="n">
        <f aca="false">Suppliers!B51</f>
        <v>50</v>
      </c>
      <c r="C51" s="35" t="str">
        <f aca="false">Suppliers!E51</f>
        <v>Orthex Finland Ab Oy (SmartStore)</v>
      </c>
      <c r="D51" s="35" t="str">
        <f aca="false">Suppliers!D51</f>
        <v>Home &amp; Kitchen</v>
      </c>
      <c r="E51" s="36" t="s">
        <v>4484</v>
      </c>
      <c r="F51" s="36" t="s">
        <v>4485</v>
      </c>
      <c r="G51" s="27"/>
      <c r="H51" s="27"/>
      <c r="I51" s="27"/>
      <c r="J51" s="28"/>
      <c r="K51" s="27"/>
      <c r="L51" s="28"/>
      <c r="M51" s="27"/>
      <c r="N51" s="27"/>
    </row>
    <row r="52" customFormat="false" ht="15" hidden="false" customHeight="false" outlineLevel="0" collapsed="false">
      <c r="A52" s="35" t="str">
        <f aca="false">Suppliers!A52</f>
        <v>Finland</v>
      </c>
      <c r="B52" s="35" t="n">
        <f aca="false">Suppliers!B52</f>
        <v>51</v>
      </c>
      <c r="C52" s="35" t="str">
        <f aca="false">Suppliers!E52</f>
        <v>Tactic Games Oy</v>
      </c>
      <c r="D52" s="35" t="str">
        <f aca="false">Suppliers!D52</f>
        <v>Toys &amp; Games</v>
      </c>
      <c r="E52" s="36" t="s">
        <v>4484</v>
      </c>
      <c r="F52" s="36" t="s">
        <v>4485</v>
      </c>
      <c r="G52" s="27"/>
      <c r="H52" s="27"/>
      <c r="I52" s="27"/>
      <c r="J52" s="28"/>
      <c r="K52" s="27"/>
      <c r="L52" s="28"/>
      <c r="M52" s="27"/>
      <c r="N52" s="27"/>
    </row>
    <row r="53" customFormat="false" ht="15" hidden="false" customHeight="false" outlineLevel="0" collapsed="false">
      <c r="A53" s="35" t="str">
        <f aca="false">Suppliers!A53</f>
        <v>France</v>
      </c>
      <c r="B53" s="35" t="n">
        <f aca="false">Suppliers!B53</f>
        <v>52</v>
      </c>
      <c r="C53" s="35" t="str">
        <f aca="false">Suppliers!E53</f>
        <v>Béaba Group (incl. Childhome)</v>
      </c>
      <c r="D53" s="35" t="str">
        <f aca="false">Suppliers!D53</f>
        <v>Baby Products</v>
      </c>
      <c r="E53" s="36" t="s">
        <v>4484</v>
      </c>
      <c r="F53" s="36" t="s">
        <v>4485</v>
      </c>
      <c r="G53" s="27"/>
      <c r="H53" s="27"/>
      <c r="I53" s="27"/>
      <c r="J53" s="28"/>
      <c r="K53" s="27"/>
      <c r="L53" s="28"/>
      <c r="M53" s="27"/>
      <c r="N53" s="27"/>
    </row>
    <row r="54" customFormat="false" ht="15" hidden="false" customHeight="false" outlineLevel="0" collapsed="false">
      <c r="A54" s="35" t="str">
        <f aca="false">Suppliers!A54</f>
        <v>France</v>
      </c>
      <c r="B54" s="35" t="n">
        <f aca="false">Suppliers!B54</f>
        <v>53</v>
      </c>
      <c r="C54" s="35" t="str">
        <f aca="false">Suppliers!E54</f>
        <v>Babymoov Group</v>
      </c>
      <c r="D54" s="35" t="str">
        <f aca="false">Suppliers!D54</f>
        <v>Baby Products</v>
      </c>
      <c r="E54" s="36" t="s">
        <v>4484</v>
      </c>
      <c r="F54" s="36" t="s">
        <v>4485</v>
      </c>
      <c r="G54" s="27"/>
      <c r="H54" s="27"/>
      <c r="I54" s="27"/>
      <c r="J54" s="28"/>
      <c r="K54" s="27"/>
      <c r="L54" s="28"/>
      <c r="M54" s="27"/>
      <c r="N54" s="27"/>
    </row>
    <row r="55" customFormat="false" ht="15" hidden="false" customHeight="false" outlineLevel="0" collapsed="false">
      <c r="A55" s="35" t="str">
        <f aca="false">Suppliers!A55</f>
        <v>France</v>
      </c>
      <c r="B55" s="35" t="n">
        <f aca="false">Suppliers!B55</f>
        <v>54</v>
      </c>
      <c r="C55" s="35" t="str">
        <f aca="false">Suppliers!E55</f>
        <v>Laboratoires Expanscience (Mustela)</v>
      </c>
      <c r="D55" s="35" t="str">
        <f aca="false">Suppliers!D55</f>
        <v>Baby Products</v>
      </c>
      <c r="E55" s="36" t="s">
        <v>4484</v>
      </c>
      <c r="F55" s="36" t="s">
        <v>4485</v>
      </c>
      <c r="G55" s="27"/>
      <c r="H55" s="27"/>
      <c r="I55" s="27"/>
      <c r="J55" s="28"/>
      <c r="K55" s="27"/>
      <c r="L55" s="28"/>
      <c r="M55" s="27"/>
      <c r="N55" s="27"/>
    </row>
    <row r="56" customFormat="false" ht="23.85" hidden="false" customHeight="false" outlineLevel="0" collapsed="false">
      <c r="A56" s="35" t="str">
        <f aca="false">Suppliers!A56</f>
        <v>France</v>
      </c>
      <c r="B56" s="35" t="n">
        <f aca="false">Suppliers!B56</f>
        <v>55</v>
      </c>
      <c r="C56" s="35" t="str">
        <f aca="false">Suppliers!E56</f>
        <v>Laboratoires Arkopharma</v>
      </c>
      <c r="D56" s="35" t="str">
        <f aca="false">Suppliers!D56</f>
        <v>Health &amp; Personal Care</v>
      </c>
      <c r="E56" s="36" t="s">
        <v>4484</v>
      </c>
      <c r="F56" s="36" t="s">
        <v>4485</v>
      </c>
      <c r="G56" s="27"/>
      <c r="H56" s="27"/>
      <c r="I56" s="27"/>
      <c r="J56" s="28"/>
      <c r="K56" s="27"/>
      <c r="L56" s="28"/>
      <c r="M56" s="27"/>
      <c r="N56" s="27"/>
    </row>
    <row r="57" customFormat="false" ht="15" hidden="false" customHeight="false" outlineLevel="0" collapsed="false">
      <c r="A57" s="35" t="str">
        <f aca="false">Suppliers!A57</f>
        <v>France</v>
      </c>
      <c r="B57" s="35" t="n">
        <f aca="false">Suppliers!B57</f>
        <v>56</v>
      </c>
      <c r="C57" s="35" t="str">
        <f aca="false">Suppliers!E57</f>
        <v>Zolux SAS</v>
      </c>
      <c r="D57" s="35" t="str">
        <f aca="false">Suppliers!D57</f>
        <v>Pet Supplies</v>
      </c>
      <c r="E57" s="36" t="s">
        <v>4484</v>
      </c>
      <c r="F57" s="36" t="s">
        <v>4485</v>
      </c>
      <c r="G57" s="27"/>
      <c r="H57" s="27"/>
      <c r="I57" s="27"/>
      <c r="J57" s="28"/>
      <c r="K57" s="27"/>
      <c r="L57" s="28"/>
      <c r="M57" s="27"/>
      <c r="N57" s="27"/>
    </row>
    <row r="58" customFormat="false" ht="15" hidden="false" customHeight="false" outlineLevel="0" collapsed="false">
      <c r="A58" s="35" t="str">
        <f aca="false">Suppliers!A58</f>
        <v>France</v>
      </c>
      <c r="B58" s="35" t="n">
        <f aca="false">Suppliers!B58</f>
        <v>57</v>
      </c>
      <c r="C58" s="35" t="str">
        <f aca="false">Suppliers!E58</f>
        <v>Zéfal SAS</v>
      </c>
      <c r="D58" s="35" t="str">
        <f aca="false">Suppliers!D58</f>
        <v>Sports &amp; Outdoors</v>
      </c>
      <c r="E58" s="36" t="s">
        <v>4484</v>
      </c>
      <c r="F58" s="36" t="s">
        <v>4485</v>
      </c>
      <c r="G58" s="27"/>
      <c r="H58" s="27"/>
      <c r="I58" s="27"/>
      <c r="J58" s="28"/>
      <c r="K58" s="27"/>
      <c r="L58" s="28"/>
      <c r="M58" s="27"/>
      <c r="N58" s="27"/>
    </row>
    <row r="59" customFormat="false" ht="23.85" hidden="false" customHeight="false" outlineLevel="0" collapsed="false">
      <c r="A59" s="35" t="str">
        <f aca="false">Suppliers!A59</f>
        <v>France</v>
      </c>
      <c r="B59" s="35" t="n">
        <f aca="false">Suppliers!B59</f>
        <v>58</v>
      </c>
      <c r="C59" s="35" t="str">
        <f aca="false">Suppliers!E59</f>
        <v>Groupe Hamelin (Oxford, ELBA) - Hamelin GmbH export arm</v>
      </c>
      <c r="D59" s="35" t="str">
        <f aca="false">Suppliers!D59</f>
        <v>Stationery &amp; Office</v>
      </c>
      <c r="E59" s="36" t="s">
        <v>4484</v>
      </c>
      <c r="F59" s="36" t="s">
        <v>4485</v>
      </c>
      <c r="G59" s="27"/>
      <c r="H59" s="27"/>
      <c r="I59" s="27"/>
      <c r="J59" s="28"/>
      <c r="K59" s="27"/>
      <c r="L59" s="28"/>
      <c r="M59" s="27"/>
      <c r="N59" s="27"/>
    </row>
    <row r="60" customFormat="false" ht="15" hidden="false" customHeight="false" outlineLevel="0" collapsed="false">
      <c r="A60" s="35" t="str">
        <f aca="false">Suppliers!A60</f>
        <v>France</v>
      </c>
      <c r="B60" s="35" t="n">
        <f aca="false">Suppliers!B60</f>
        <v>59</v>
      </c>
      <c r="C60" s="35" t="str">
        <f aca="false">Suppliers!E60</f>
        <v>Maped SAS</v>
      </c>
      <c r="D60" s="35" t="str">
        <f aca="false">Suppliers!D60</f>
        <v>Stationery &amp; Office</v>
      </c>
      <c r="E60" s="36" t="s">
        <v>4484</v>
      </c>
      <c r="F60" s="36" t="s">
        <v>4485</v>
      </c>
      <c r="G60" s="27"/>
      <c r="H60" s="27"/>
      <c r="I60" s="27"/>
      <c r="J60" s="28"/>
      <c r="K60" s="27"/>
      <c r="L60" s="28"/>
      <c r="M60" s="27"/>
      <c r="N60" s="27"/>
    </row>
    <row r="61" customFormat="false" ht="23.85" hidden="false" customHeight="false" outlineLevel="0" collapsed="false">
      <c r="A61" s="35" t="str">
        <f aca="false">Suppliers!A61</f>
        <v>France</v>
      </c>
      <c r="B61" s="35" t="n">
        <f aca="false">Suppliers!B61</f>
        <v>60</v>
      </c>
      <c r="C61" s="35" t="str">
        <f aca="false">Suppliers!E61</f>
        <v>Exacompta Clairefontaine (ExaClair Ltd UK)</v>
      </c>
      <c r="D61" s="35" t="str">
        <f aca="false">Suppliers!D61</f>
        <v>Stationery &amp; Office</v>
      </c>
      <c r="E61" s="36" t="s">
        <v>4484</v>
      </c>
      <c r="F61" s="36" t="s">
        <v>4485</v>
      </c>
      <c r="G61" s="27"/>
      <c r="H61" s="27"/>
      <c r="I61" s="27"/>
      <c r="J61" s="28"/>
      <c r="K61" s="27"/>
      <c r="L61" s="28"/>
      <c r="M61" s="27"/>
      <c r="N61" s="27"/>
    </row>
    <row r="62" customFormat="false" ht="23.85" hidden="false" customHeight="false" outlineLevel="0" collapsed="false">
      <c r="A62" s="35" t="str">
        <f aca="false">Suppliers!A62</f>
        <v>France</v>
      </c>
      <c r="B62" s="35" t="n">
        <f aca="false">Suppliers!B62</f>
        <v>61</v>
      </c>
      <c r="C62" s="35" t="str">
        <f aca="false">Suppliers!E62</f>
        <v>Juratoys SAS (Janod, Kaloo, Lilliputiens)</v>
      </c>
      <c r="D62" s="35" t="str">
        <f aca="false">Suppliers!D62</f>
        <v>Toys &amp; Games</v>
      </c>
      <c r="E62" s="36" t="s">
        <v>4484</v>
      </c>
      <c r="F62" s="36" t="s">
        <v>4485</v>
      </c>
      <c r="G62" s="27"/>
      <c r="H62" s="27"/>
      <c r="I62" s="27"/>
      <c r="J62" s="28"/>
      <c r="K62" s="27"/>
      <c r="L62" s="28"/>
      <c r="M62" s="27"/>
      <c r="N62" s="27"/>
    </row>
    <row r="63" customFormat="false" ht="15" hidden="false" customHeight="false" outlineLevel="0" collapsed="false">
      <c r="A63" s="35" t="str">
        <f aca="false">Suppliers!A63</f>
        <v>France</v>
      </c>
      <c r="B63" s="35" t="n">
        <f aca="false">Suppliers!B63</f>
        <v>62</v>
      </c>
      <c r="C63" s="35" t="str">
        <f aca="false">Suppliers!E63</f>
        <v>WDK Groupe Partner</v>
      </c>
      <c r="D63" s="35" t="str">
        <f aca="false">Suppliers!D63</f>
        <v>Toys &amp; Games</v>
      </c>
      <c r="E63" s="36" t="s">
        <v>4484</v>
      </c>
      <c r="F63" s="36" t="s">
        <v>4485</v>
      </c>
      <c r="G63" s="27"/>
      <c r="H63" s="27"/>
      <c r="I63" s="27"/>
      <c r="J63" s="28"/>
      <c r="K63" s="27"/>
      <c r="L63" s="28"/>
      <c r="M63" s="27"/>
      <c r="N63" s="27"/>
    </row>
    <row r="64" customFormat="false" ht="15" hidden="false" customHeight="false" outlineLevel="0" collapsed="false">
      <c r="A64" s="35" t="str">
        <f aca="false">Suppliers!A64</f>
        <v>Germany</v>
      </c>
      <c r="B64" s="35" t="n">
        <f aca="false">Suppliers!B64</f>
        <v>63</v>
      </c>
      <c r="C64" s="35" t="str">
        <f aca="false">Suppliers!E64</f>
        <v>zentrada</v>
      </c>
      <c r="D64" s="35" t="str">
        <f aca="false">Suppliers!D64</f>
        <v>B2B Marketplace</v>
      </c>
      <c r="E64" s="36" t="s">
        <v>4484</v>
      </c>
      <c r="F64" s="36" t="s">
        <v>4485</v>
      </c>
      <c r="G64" s="27"/>
      <c r="H64" s="27"/>
      <c r="I64" s="27"/>
      <c r="J64" s="28"/>
      <c r="K64" s="27"/>
      <c r="L64" s="28"/>
      <c r="M64" s="27"/>
      <c r="N64" s="27"/>
    </row>
    <row r="65" customFormat="false" ht="15" hidden="false" customHeight="false" outlineLevel="0" collapsed="false">
      <c r="A65" s="35" t="str">
        <f aca="false">Suppliers!A65</f>
        <v>Germany</v>
      </c>
      <c r="B65" s="35" t="n">
        <f aca="false">Suppliers!B65</f>
        <v>64</v>
      </c>
      <c r="C65" s="35" t="str">
        <f aca="false">Suppliers!E65</f>
        <v>MAPA GmbH (NUK)</v>
      </c>
      <c r="D65" s="35" t="str">
        <f aca="false">Suppliers!D65</f>
        <v>Baby Products</v>
      </c>
      <c r="E65" s="36" t="s">
        <v>4484</v>
      </c>
      <c r="F65" s="36" t="s">
        <v>4485</v>
      </c>
      <c r="G65" s="27"/>
      <c r="H65" s="27"/>
      <c r="I65" s="27"/>
      <c r="J65" s="28"/>
      <c r="K65" s="27"/>
      <c r="L65" s="28"/>
      <c r="M65" s="27"/>
      <c r="N65" s="27"/>
    </row>
    <row r="66" customFormat="false" ht="15" hidden="false" customHeight="false" outlineLevel="0" collapsed="false">
      <c r="A66" s="35" t="str">
        <f aca="false">Suppliers!A66</f>
        <v>Germany</v>
      </c>
      <c r="B66" s="35" t="n">
        <f aca="false">Suppliers!B66</f>
        <v>65</v>
      </c>
      <c r="C66" s="35" t="str">
        <f aca="false">Suppliers!E66</f>
        <v>MAM Babyartikel GmbH</v>
      </c>
      <c r="D66" s="35" t="str">
        <f aca="false">Suppliers!D66</f>
        <v>Baby Products</v>
      </c>
      <c r="E66" s="36" t="s">
        <v>4484</v>
      </c>
      <c r="F66" s="36" t="s">
        <v>4485</v>
      </c>
      <c r="G66" s="27"/>
      <c r="H66" s="27"/>
      <c r="I66" s="27"/>
      <c r="J66" s="28"/>
      <c r="K66" s="27"/>
      <c r="L66" s="28"/>
      <c r="M66" s="27"/>
      <c r="N66" s="27"/>
    </row>
    <row r="67" customFormat="false" ht="15" hidden="false" customHeight="false" outlineLevel="0" collapsed="false">
      <c r="A67" s="35" t="str">
        <f aca="false">Suppliers!A67</f>
        <v>Germany</v>
      </c>
      <c r="B67" s="35" t="n">
        <f aca="false">Suppliers!B67</f>
        <v>66</v>
      </c>
      <c r="C67" s="35" t="str">
        <f aca="false">Suppliers!E67</f>
        <v>hauck GmbH &amp; Co. KG</v>
      </c>
      <c r="D67" s="35" t="str">
        <f aca="false">Suppliers!D67</f>
        <v>Baby Products</v>
      </c>
      <c r="E67" s="36" t="s">
        <v>4484</v>
      </c>
      <c r="F67" s="36" t="s">
        <v>4485</v>
      </c>
      <c r="G67" s="27"/>
      <c r="H67" s="27"/>
      <c r="I67" s="27"/>
      <c r="J67" s="28"/>
      <c r="K67" s="27"/>
      <c r="L67" s="28"/>
      <c r="M67" s="27"/>
      <c r="N67" s="27"/>
    </row>
    <row r="68" customFormat="false" ht="15" hidden="false" customHeight="false" outlineLevel="0" collapsed="false">
      <c r="A68" s="35" t="str">
        <f aca="false">Suppliers!A68</f>
        <v>Germany</v>
      </c>
      <c r="B68" s="35" t="n">
        <f aca="false">Suppliers!B68</f>
        <v>67</v>
      </c>
      <c r="C68" s="35" t="str">
        <f aca="false">Suppliers!E68</f>
        <v>Lässig GmbH</v>
      </c>
      <c r="D68" s="35" t="str">
        <f aca="false">Suppliers!D68</f>
        <v>Baby Products</v>
      </c>
      <c r="E68" s="36" t="s">
        <v>4484</v>
      </c>
      <c r="F68" s="36" t="s">
        <v>4485</v>
      </c>
      <c r="G68" s="27"/>
      <c r="H68" s="27"/>
      <c r="I68" s="27"/>
      <c r="J68" s="28"/>
      <c r="K68" s="27"/>
      <c r="L68" s="28"/>
      <c r="M68" s="27"/>
      <c r="N68" s="27"/>
    </row>
    <row r="69" customFormat="false" ht="15" hidden="false" customHeight="false" outlineLevel="0" collapsed="false">
      <c r="A69" s="35" t="str">
        <f aca="false">Suppliers!A69</f>
        <v>Germany</v>
      </c>
      <c r="B69" s="35" t="n">
        <f aca="false">Suppliers!B69</f>
        <v>68</v>
      </c>
      <c r="C69" s="35" t="str">
        <f aca="false">Suppliers!E69</f>
        <v>2E Vertriebs-GmbH (Simple Parenting)</v>
      </c>
      <c r="D69" s="35" t="str">
        <f aca="false">Suppliers!D69</f>
        <v>Baby Products</v>
      </c>
      <c r="E69" s="36" t="s">
        <v>4484</v>
      </c>
      <c r="F69" s="36" t="s">
        <v>4485</v>
      </c>
      <c r="G69" s="27"/>
      <c r="H69" s="27"/>
      <c r="I69" s="27"/>
      <c r="J69" s="28"/>
      <c r="K69" s="27"/>
      <c r="L69" s="28"/>
      <c r="M69" s="27"/>
      <c r="N69" s="27"/>
    </row>
    <row r="70" customFormat="false" ht="15" hidden="false" customHeight="false" outlineLevel="0" collapsed="false">
      <c r="A70" s="35" t="str">
        <f aca="false">Suppliers!A70</f>
        <v>Germany</v>
      </c>
      <c r="B70" s="35" t="n">
        <f aca="false">Suppliers!B70</f>
        <v>69</v>
      </c>
      <c r="C70" s="35" t="str">
        <f aca="false">Suppliers!E70</f>
        <v>reer GmbH</v>
      </c>
      <c r="D70" s="35" t="str">
        <f aca="false">Suppliers!D70</f>
        <v>Baby Products</v>
      </c>
      <c r="E70" s="36" t="s">
        <v>4484</v>
      </c>
      <c r="F70" s="36" t="s">
        <v>4485</v>
      </c>
      <c r="G70" s="27"/>
      <c r="H70" s="27"/>
      <c r="I70" s="27"/>
      <c r="J70" s="28"/>
      <c r="K70" s="27"/>
      <c r="L70" s="28"/>
      <c r="M70" s="27"/>
      <c r="N70" s="27"/>
    </row>
    <row r="71" customFormat="false" ht="15" hidden="false" customHeight="false" outlineLevel="0" collapsed="false">
      <c r="A71" s="35" t="str">
        <f aca="false">Suppliers!A71</f>
        <v>Germany</v>
      </c>
      <c r="B71" s="35" t="n">
        <f aca="false">Suppliers!B71</f>
        <v>70</v>
      </c>
      <c r="C71" s="35" t="str">
        <f aca="false">Suppliers!E71</f>
        <v>cosnova GmbH (essence, CATRICE)</v>
      </c>
      <c r="D71" s="35" t="str">
        <f aca="false">Suppliers!D71</f>
        <v>Beauty</v>
      </c>
      <c r="E71" s="36" t="s">
        <v>4484</v>
      </c>
      <c r="F71" s="36" t="s">
        <v>4485</v>
      </c>
      <c r="G71" s="27"/>
      <c r="H71" s="27"/>
      <c r="I71" s="27"/>
      <c r="J71" s="28"/>
      <c r="K71" s="27"/>
      <c r="L71" s="28"/>
      <c r="M71" s="27"/>
      <c r="N71" s="27"/>
    </row>
    <row r="72" customFormat="false" ht="15" hidden="false" customHeight="false" outlineLevel="0" collapsed="false">
      <c r="A72" s="35" t="str">
        <f aca="false">Suppliers!A72</f>
        <v>Germany</v>
      </c>
      <c r="B72" s="35" t="n">
        <f aca="false">Suppliers!B72</f>
        <v>71</v>
      </c>
      <c r="C72" s="35" t="str">
        <f aca="false">Suppliers!E72</f>
        <v>Weleda AG (German branch)</v>
      </c>
      <c r="D72" s="35" t="str">
        <f aca="false">Suppliers!D72</f>
        <v>Beauty</v>
      </c>
      <c r="E72" s="36" t="s">
        <v>4484</v>
      </c>
      <c r="F72" s="36" t="s">
        <v>4485</v>
      </c>
      <c r="G72" s="27"/>
      <c r="H72" s="27"/>
      <c r="I72" s="27"/>
      <c r="J72" s="28"/>
      <c r="K72" s="27"/>
      <c r="L72" s="28"/>
      <c r="M72" s="27"/>
      <c r="N72" s="27"/>
    </row>
    <row r="73" customFormat="false" ht="15" hidden="false" customHeight="false" outlineLevel="0" collapsed="false">
      <c r="A73" s="35" t="str">
        <f aca="false">Suppliers!A73</f>
        <v>Germany</v>
      </c>
      <c r="B73" s="35" t="n">
        <f aca="false">Suppliers!B73</f>
        <v>72</v>
      </c>
      <c r="C73" s="35" t="str">
        <f aca="false">Suppliers!E73</f>
        <v>ARTDECO cosmetic GmbH</v>
      </c>
      <c r="D73" s="35" t="str">
        <f aca="false">Suppliers!D73</f>
        <v>Beauty</v>
      </c>
      <c r="E73" s="36" t="s">
        <v>4484</v>
      </c>
      <c r="F73" s="36" t="s">
        <v>4485</v>
      </c>
      <c r="G73" s="27"/>
      <c r="H73" s="27"/>
      <c r="I73" s="27"/>
      <c r="J73" s="28"/>
      <c r="K73" s="27"/>
      <c r="L73" s="28"/>
      <c r="M73" s="27"/>
      <c r="N73" s="27"/>
    </row>
    <row r="74" customFormat="false" ht="23.85" hidden="false" customHeight="false" outlineLevel="0" collapsed="false">
      <c r="A74" s="35" t="str">
        <f aca="false">Suppliers!A74</f>
        <v>Germany</v>
      </c>
      <c r="B74" s="35" t="n">
        <f aca="false">Suppliers!B74</f>
        <v>73</v>
      </c>
      <c r="C74" s="35" t="str">
        <f aca="false">Suppliers!E74</f>
        <v>LOGOCOS Naturkosmetik GmbH &amp; Co. KG (Sante, Logona)</v>
      </c>
      <c r="D74" s="35" t="str">
        <f aca="false">Suppliers!D74</f>
        <v>Beauty</v>
      </c>
      <c r="E74" s="36" t="s">
        <v>4484</v>
      </c>
      <c r="F74" s="36" t="s">
        <v>4485</v>
      </c>
      <c r="G74" s="27"/>
      <c r="H74" s="27"/>
      <c r="I74" s="27"/>
      <c r="J74" s="28"/>
      <c r="K74" s="27"/>
      <c r="L74" s="28"/>
      <c r="M74" s="27"/>
      <c r="N74" s="27"/>
    </row>
    <row r="75" customFormat="false" ht="15" hidden="false" customHeight="false" outlineLevel="0" collapsed="false">
      <c r="A75" s="35" t="str">
        <f aca="false">Suppliers!A75</f>
        <v>Germany</v>
      </c>
      <c r="B75" s="35" t="n">
        <f aca="false">Suppliers!B75</f>
        <v>74</v>
      </c>
      <c r="C75" s="35" t="str">
        <f aca="false">Suppliers!E75</f>
        <v>Einhell Germany AG</v>
      </c>
      <c r="D75" s="35" t="str">
        <f aca="false">Suppliers!D75</f>
        <v>DIY &amp; Tools</v>
      </c>
      <c r="E75" s="36" t="s">
        <v>4484</v>
      </c>
      <c r="F75" s="36" t="s">
        <v>4485</v>
      </c>
      <c r="G75" s="27"/>
      <c r="H75" s="27"/>
      <c r="I75" s="27"/>
      <c r="J75" s="28"/>
      <c r="K75" s="27"/>
      <c r="L75" s="28"/>
      <c r="M75" s="27"/>
      <c r="N75" s="27"/>
    </row>
    <row r="76" customFormat="false" ht="15" hidden="false" customHeight="false" outlineLevel="0" collapsed="false">
      <c r="A76" s="35" t="str">
        <f aca="false">Suppliers!A76</f>
        <v>Germany</v>
      </c>
      <c r="B76" s="35" t="n">
        <f aca="false">Suppliers!B76</f>
        <v>75</v>
      </c>
      <c r="C76" s="35" t="str">
        <f aca="false">Suppliers!E76</f>
        <v>fischerwerke GmbH &amp; Co. KG</v>
      </c>
      <c r="D76" s="35" t="str">
        <f aca="false">Suppliers!D76</f>
        <v>DIY &amp; Tools</v>
      </c>
      <c r="E76" s="36" t="s">
        <v>4484</v>
      </c>
      <c r="F76" s="36" t="s">
        <v>4485</v>
      </c>
      <c r="G76" s="27"/>
      <c r="H76" s="27"/>
      <c r="I76" s="27"/>
      <c r="J76" s="28"/>
      <c r="K76" s="27"/>
      <c r="L76" s="28"/>
      <c r="M76" s="27"/>
      <c r="N76" s="27"/>
    </row>
    <row r="77" customFormat="false" ht="23.85" hidden="false" customHeight="false" outlineLevel="0" collapsed="false">
      <c r="A77" s="35" t="str">
        <f aca="false">Suppliers!A77</f>
        <v>Germany</v>
      </c>
      <c r="B77" s="35" t="n">
        <f aca="false">Suppliers!B77</f>
        <v>76</v>
      </c>
      <c r="C77" s="35" t="str">
        <f aca="false">Suppliers!E77</f>
        <v>GARDENA Deutschland GmbH (Husqvarna Group)</v>
      </c>
      <c r="D77" s="35" t="str">
        <f aca="false">Suppliers!D77</f>
        <v>DIY &amp; Tools</v>
      </c>
      <c r="E77" s="36" t="s">
        <v>4484</v>
      </c>
      <c r="F77" s="36" t="s">
        <v>4485</v>
      </c>
      <c r="G77" s="27"/>
      <c r="H77" s="27"/>
      <c r="I77" s="27"/>
      <c r="J77" s="28"/>
      <c r="K77" s="27"/>
      <c r="L77" s="28"/>
      <c r="M77" s="27"/>
      <c r="N77" s="27"/>
    </row>
    <row r="78" customFormat="false" ht="15" hidden="false" customHeight="false" outlineLevel="0" collapsed="false">
      <c r="A78" s="35" t="str">
        <f aca="false">Suppliers!A78</f>
        <v>Germany</v>
      </c>
      <c r="B78" s="35" t="n">
        <f aca="false">Suppliers!B78</f>
        <v>77</v>
      </c>
      <c r="C78" s="35" t="str">
        <f aca="false">Suppliers!E78</f>
        <v>KNIPEX-Werk C. Gustav Putsch KG</v>
      </c>
      <c r="D78" s="35" t="str">
        <f aca="false">Suppliers!D78</f>
        <v>DIY &amp; Tools</v>
      </c>
      <c r="E78" s="36" t="s">
        <v>4484</v>
      </c>
      <c r="F78" s="36" t="s">
        <v>4485</v>
      </c>
      <c r="G78" s="27"/>
      <c r="H78" s="27"/>
      <c r="I78" s="27"/>
      <c r="J78" s="28"/>
      <c r="K78" s="27"/>
      <c r="L78" s="28"/>
      <c r="M78" s="27"/>
      <c r="N78" s="27"/>
    </row>
    <row r="79" customFormat="false" ht="15" hidden="false" customHeight="false" outlineLevel="0" collapsed="false">
      <c r="A79" s="35" t="str">
        <f aca="false">Suppliers!A79</f>
        <v>Germany</v>
      </c>
      <c r="B79" s="35" t="n">
        <f aca="false">Suppliers!B79</f>
        <v>78</v>
      </c>
      <c r="C79" s="35" t="str">
        <f aca="false">Suppliers!E79</f>
        <v>Wera Werkzeuge GmbH</v>
      </c>
      <c r="D79" s="35" t="str">
        <f aca="false">Suppliers!D79</f>
        <v>DIY &amp; Tools</v>
      </c>
      <c r="E79" s="36" t="s">
        <v>4484</v>
      </c>
      <c r="F79" s="36" t="s">
        <v>4485</v>
      </c>
      <c r="G79" s="27"/>
      <c r="H79" s="27"/>
      <c r="I79" s="27"/>
      <c r="J79" s="28"/>
      <c r="K79" s="27"/>
      <c r="L79" s="28"/>
      <c r="M79" s="27"/>
      <c r="N79" s="27"/>
    </row>
    <row r="80" customFormat="false" ht="15" hidden="false" customHeight="false" outlineLevel="0" collapsed="false">
      <c r="A80" s="35" t="str">
        <f aca="false">Suppliers!A80</f>
        <v>Germany</v>
      </c>
      <c r="B80" s="35" t="n">
        <f aca="false">Suppliers!B80</f>
        <v>79</v>
      </c>
      <c r="C80" s="35" t="str">
        <f aca="false">Suppliers!E80</f>
        <v>Wiha Werkzeuge GmbH</v>
      </c>
      <c r="D80" s="35" t="str">
        <f aca="false">Suppliers!D80</f>
        <v>DIY &amp; Tools</v>
      </c>
      <c r="E80" s="36" t="s">
        <v>4484</v>
      </c>
      <c r="F80" s="36" t="s">
        <v>4485</v>
      </c>
      <c r="G80" s="27"/>
      <c r="H80" s="27"/>
      <c r="I80" s="27"/>
      <c r="J80" s="28"/>
      <c r="K80" s="27"/>
      <c r="L80" s="28"/>
      <c r="M80" s="27"/>
      <c r="N80" s="27"/>
    </row>
    <row r="81" customFormat="false" ht="15" hidden="false" customHeight="false" outlineLevel="0" collapsed="false">
      <c r="A81" s="35" t="str">
        <f aca="false">Suppliers!A81</f>
        <v>Germany</v>
      </c>
      <c r="B81" s="35" t="n">
        <f aca="false">Suppliers!B81</f>
        <v>80</v>
      </c>
      <c r="C81" s="35" t="str">
        <f aca="false">Suppliers!E81</f>
        <v>kwb Germany GmbH (Einhell group)</v>
      </c>
      <c r="D81" s="35" t="str">
        <f aca="false">Suppliers!D81</f>
        <v>DIY &amp; Tools</v>
      </c>
      <c r="E81" s="36" t="s">
        <v>4484</v>
      </c>
      <c r="F81" s="36" t="s">
        <v>4485</v>
      </c>
      <c r="G81" s="27"/>
      <c r="H81" s="27"/>
      <c r="I81" s="27"/>
      <c r="J81" s="28"/>
      <c r="K81" s="27"/>
      <c r="L81" s="28"/>
      <c r="M81" s="27"/>
      <c r="N81" s="27"/>
    </row>
    <row r="82" customFormat="false" ht="15" hidden="false" customHeight="false" outlineLevel="0" collapsed="false">
      <c r="A82" s="35" t="str">
        <f aca="false">Suppliers!A82</f>
        <v>Germany</v>
      </c>
      <c r="B82" s="35" t="n">
        <f aca="false">Suppliers!B82</f>
        <v>81</v>
      </c>
      <c r="C82" s="35" t="str">
        <f aca="false">Suppliers!E82</f>
        <v>Scheppach GmbH</v>
      </c>
      <c r="D82" s="35" t="str">
        <f aca="false">Suppliers!D82</f>
        <v>DIY &amp; Tools</v>
      </c>
      <c r="E82" s="36" t="s">
        <v>4484</v>
      </c>
      <c r="F82" s="36" t="s">
        <v>4485</v>
      </c>
      <c r="G82" s="27"/>
      <c r="H82" s="27"/>
      <c r="I82" s="27"/>
      <c r="J82" s="28"/>
      <c r="K82" s="27"/>
      <c r="L82" s="28"/>
      <c r="M82" s="27"/>
      <c r="N82" s="27"/>
    </row>
    <row r="83" customFormat="false" ht="15" hidden="false" customHeight="false" outlineLevel="0" collapsed="false">
      <c r="A83" s="35" t="str">
        <f aca="false">Suppliers!A83</f>
        <v>Germany</v>
      </c>
      <c r="B83" s="35" t="n">
        <f aca="false">Suppliers!B83</f>
        <v>82</v>
      </c>
      <c r="C83" s="35" t="str">
        <f aca="false">Suppliers!E83</f>
        <v>GÜDE GmbH &amp; Co. KG</v>
      </c>
      <c r="D83" s="35" t="str">
        <f aca="false">Suppliers!D83</f>
        <v>DIY &amp; Tools</v>
      </c>
      <c r="E83" s="36" t="s">
        <v>4484</v>
      </c>
      <c r="F83" s="36" t="s">
        <v>4485</v>
      </c>
      <c r="G83" s="27"/>
      <c r="H83" s="27"/>
      <c r="I83" s="27"/>
      <c r="J83" s="28"/>
      <c r="K83" s="27"/>
      <c r="L83" s="28"/>
      <c r="M83" s="27"/>
      <c r="N83" s="27"/>
    </row>
    <row r="84" customFormat="false" ht="15" hidden="false" customHeight="false" outlineLevel="0" collapsed="false">
      <c r="A84" s="35" t="str">
        <f aca="false">Suppliers!A84</f>
        <v>Germany</v>
      </c>
      <c r="B84" s="35" t="n">
        <f aca="false">Suppliers!B84</f>
        <v>83</v>
      </c>
      <c r="C84" s="35" t="str">
        <f aca="false">Suppliers!E84</f>
        <v>wolfcraft GmbH</v>
      </c>
      <c r="D84" s="35" t="str">
        <f aca="false">Suppliers!D84</f>
        <v>DIY &amp; Tools</v>
      </c>
      <c r="E84" s="36" t="s">
        <v>4484</v>
      </c>
      <c r="F84" s="36" t="s">
        <v>4485</v>
      </c>
      <c r="G84" s="27"/>
      <c r="H84" s="27"/>
      <c r="I84" s="27"/>
      <c r="J84" s="28"/>
      <c r="K84" s="27"/>
      <c r="L84" s="28"/>
      <c r="M84" s="27"/>
      <c r="N84" s="27"/>
    </row>
    <row r="85" customFormat="false" ht="23.85" hidden="false" customHeight="false" outlineLevel="0" collapsed="false">
      <c r="A85" s="35" t="str">
        <f aca="false">Suppliers!A85</f>
        <v>Germany</v>
      </c>
      <c r="B85" s="35" t="n">
        <f aca="false">Suppliers!B85</f>
        <v>84</v>
      </c>
      <c r="C85" s="35" t="str">
        <f aca="false">Suppliers!E85</f>
        <v>Emporium Handels &amp; Vertriebs GmbH (B&amp;S Group)</v>
      </c>
      <c r="D85" s="35" t="str">
        <f aca="false">Suppliers!D85</f>
        <v>Fragrance</v>
      </c>
      <c r="E85" s="36" t="s">
        <v>4484</v>
      </c>
      <c r="F85" s="36" t="s">
        <v>4485</v>
      </c>
      <c r="G85" s="27"/>
      <c r="H85" s="27"/>
      <c r="I85" s="27"/>
      <c r="J85" s="28"/>
      <c r="K85" s="27"/>
      <c r="L85" s="28"/>
      <c r="M85" s="27"/>
      <c r="N85" s="27"/>
    </row>
    <row r="86" customFormat="false" ht="23.85" hidden="false" customHeight="false" outlineLevel="0" collapsed="false">
      <c r="A86" s="35" t="str">
        <f aca="false">Suppliers!A86</f>
        <v>Germany</v>
      </c>
      <c r="B86" s="35" t="n">
        <f aca="false">Suppliers!B86</f>
        <v>85</v>
      </c>
      <c r="C86" s="35" t="str">
        <f aca="false">Suppliers!E86</f>
        <v>Beurer GmbH (Beurer UK Ltd)</v>
      </c>
      <c r="D86" s="35" t="str">
        <f aca="false">Suppliers!D86</f>
        <v>Health &amp; Personal Care</v>
      </c>
      <c r="E86" s="36" t="s">
        <v>4484</v>
      </c>
      <c r="F86" s="36" t="s">
        <v>4485</v>
      </c>
      <c r="G86" s="27"/>
      <c r="H86" s="27"/>
      <c r="I86" s="27"/>
      <c r="J86" s="28"/>
      <c r="K86" s="27"/>
      <c r="L86" s="28"/>
      <c r="M86" s="27"/>
      <c r="N86" s="27"/>
    </row>
    <row r="87" customFormat="false" ht="23.85" hidden="false" customHeight="false" outlineLevel="0" collapsed="false">
      <c r="A87" s="35" t="str">
        <f aca="false">Suppliers!A87</f>
        <v>Germany</v>
      </c>
      <c r="B87" s="35" t="n">
        <f aca="false">Suppliers!B87</f>
        <v>86</v>
      </c>
      <c r="C87" s="35" t="str">
        <f aca="false">Suppliers!E87</f>
        <v>MEDISANA AG</v>
      </c>
      <c r="D87" s="35" t="str">
        <f aca="false">Suppliers!D87</f>
        <v>Health &amp; Personal Care</v>
      </c>
      <c r="E87" s="36" t="s">
        <v>4484</v>
      </c>
      <c r="F87" s="36" t="s">
        <v>4485</v>
      </c>
      <c r="G87" s="27"/>
      <c r="H87" s="27"/>
      <c r="I87" s="27"/>
      <c r="J87" s="28"/>
      <c r="K87" s="27"/>
      <c r="L87" s="28"/>
      <c r="M87" s="27"/>
      <c r="N87" s="27"/>
    </row>
    <row r="88" customFormat="false" ht="23.85" hidden="false" customHeight="false" outlineLevel="0" collapsed="false">
      <c r="A88" s="35" t="str">
        <f aca="false">Suppliers!A88</f>
        <v>Germany</v>
      </c>
      <c r="B88" s="35" t="n">
        <f aca="false">Suppliers!B88</f>
        <v>87</v>
      </c>
      <c r="C88" s="35" t="str">
        <f aca="false">Suppliers!E88</f>
        <v>Kneipp GmbH</v>
      </c>
      <c r="D88" s="35" t="str">
        <f aca="false">Suppliers!D88</f>
        <v>Health &amp; Personal Care</v>
      </c>
      <c r="E88" s="36" t="s">
        <v>4484</v>
      </c>
      <c r="F88" s="36" t="s">
        <v>4485</v>
      </c>
      <c r="G88" s="27"/>
      <c r="H88" s="27"/>
      <c r="I88" s="27"/>
      <c r="J88" s="28"/>
      <c r="K88" s="27"/>
      <c r="L88" s="28"/>
      <c r="M88" s="27"/>
      <c r="N88" s="27"/>
    </row>
    <row r="89" customFormat="false" ht="23.85" hidden="false" customHeight="false" outlineLevel="0" collapsed="false">
      <c r="A89" s="35" t="str">
        <f aca="false">Suppliers!A89</f>
        <v>Germany</v>
      </c>
      <c r="B89" s="35" t="n">
        <f aca="false">Suppliers!B89</f>
        <v>88</v>
      </c>
      <c r="C89" s="35" t="str">
        <f aca="false">Suppliers!E89</f>
        <v>PAUL HARTMANN AG</v>
      </c>
      <c r="D89" s="35" t="str">
        <f aca="false">Suppliers!D89</f>
        <v>Health &amp; Personal Care</v>
      </c>
      <c r="E89" s="36" t="s">
        <v>4484</v>
      </c>
      <c r="F89" s="36" t="s">
        <v>4485</v>
      </c>
      <c r="G89" s="27"/>
      <c r="H89" s="27"/>
      <c r="I89" s="27"/>
      <c r="J89" s="28"/>
      <c r="K89" s="27"/>
      <c r="L89" s="28"/>
      <c r="M89" s="27"/>
      <c r="N89" s="27"/>
    </row>
    <row r="90" customFormat="false" ht="23.85" hidden="false" customHeight="false" outlineLevel="0" collapsed="false">
      <c r="A90" s="35" t="str">
        <f aca="false">Suppliers!A90</f>
        <v>Germany</v>
      </c>
      <c r="B90" s="35" t="n">
        <f aca="false">Suppliers!B90</f>
        <v>89</v>
      </c>
      <c r="C90" s="35" t="str">
        <f aca="false">Suppliers!E90</f>
        <v>Dr. Theiss Naturwaren GmbH</v>
      </c>
      <c r="D90" s="35" t="str">
        <f aca="false">Suppliers!D90</f>
        <v>Health &amp; Personal Care</v>
      </c>
      <c r="E90" s="36" t="s">
        <v>4484</v>
      </c>
      <c r="F90" s="36" t="s">
        <v>4485</v>
      </c>
      <c r="G90" s="27"/>
      <c r="H90" s="27"/>
      <c r="I90" s="27"/>
      <c r="J90" s="28"/>
      <c r="K90" s="27"/>
      <c r="L90" s="28"/>
      <c r="M90" s="27"/>
      <c r="N90" s="27"/>
    </row>
    <row r="91" customFormat="false" ht="15" hidden="false" customHeight="false" outlineLevel="0" collapsed="false">
      <c r="A91" s="35" t="str">
        <f aca="false">Suppliers!A91</f>
        <v>Germany</v>
      </c>
      <c r="B91" s="35" t="n">
        <f aca="false">Suppliers!B91</f>
        <v>90</v>
      </c>
      <c r="C91" s="35" t="str">
        <f aca="false">Suppliers!E91</f>
        <v>Leifheit AG</v>
      </c>
      <c r="D91" s="35" t="str">
        <f aca="false">Suppliers!D91</f>
        <v>Home &amp; Kitchen</v>
      </c>
      <c r="E91" s="36" t="s">
        <v>4484</v>
      </c>
      <c r="F91" s="36" t="s">
        <v>4485</v>
      </c>
      <c r="G91" s="27"/>
      <c r="H91" s="27"/>
      <c r="I91" s="27"/>
      <c r="J91" s="28"/>
      <c r="K91" s="27"/>
      <c r="L91" s="28"/>
      <c r="M91" s="27"/>
      <c r="N91" s="27"/>
    </row>
    <row r="92" customFormat="false" ht="15" hidden="false" customHeight="false" outlineLevel="0" collapsed="false">
      <c r="A92" s="35" t="str">
        <f aca="false">Suppliers!A92</f>
        <v>Germany</v>
      </c>
      <c r="B92" s="35" t="n">
        <f aca="false">Suppliers!B92</f>
        <v>91</v>
      </c>
      <c r="C92" s="35" t="str">
        <f aca="false">Suppliers!E92</f>
        <v>Wolfsohn</v>
      </c>
      <c r="D92" s="35" t="str">
        <f aca="false">Suppliers!D92</f>
        <v>Home &amp; Kitchen</v>
      </c>
      <c r="E92" s="36" t="s">
        <v>4484</v>
      </c>
      <c r="F92" s="36" t="s">
        <v>4485</v>
      </c>
      <c r="G92" s="27"/>
      <c r="H92" s="27"/>
      <c r="I92" s="27"/>
      <c r="J92" s="28"/>
      <c r="K92" s="27"/>
      <c r="L92" s="28"/>
      <c r="M92" s="27"/>
      <c r="N92" s="27"/>
    </row>
    <row r="93" customFormat="false" ht="15" hidden="false" customHeight="false" outlineLevel="0" collapsed="false">
      <c r="A93" s="35" t="str">
        <f aca="false">Suppliers!A93</f>
        <v>Germany</v>
      </c>
      <c r="B93" s="35" t="n">
        <f aca="false">Suppliers!B93</f>
        <v>92</v>
      </c>
      <c r="C93" s="35" t="str">
        <f aca="false">Suppliers!E93</f>
        <v>GEFU GmbH</v>
      </c>
      <c r="D93" s="35" t="str">
        <f aca="false">Suppliers!D93</f>
        <v>Home &amp; Kitchen</v>
      </c>
      <c r="E93" s="36" t="s">
        <v>4484</v>
      </c>
      <c r="F93" s="36" t="s">
        <v>4485</v>
      </c>
      <c r="G93" s="27"/>
      <c r="H93" s="27"/>
      <c r="I93" s="27"/>
      <c r="J93" s="28"/>
      <c r="K93" s="27"/>
      <c r="L93" s="28"/>
      <c r="M93" s="27"/>
      <c r="N93" s="27"/>
    </row>
    <row r="94" customFormat="false" ht="15" hidden="false" customHeight="false" outlineLevel="0" collapsed="false">
      <c r="A94" s="35" t="str">
        <f aca="false">Suppliers!A94</f>
        <v>Germany</v>
      </c>
      <c r="B94" s="35" t="n">
        <f aca="false">Suppliers!B94</f>
        <v>93</v>
      </c>
      <c r="C94" s="35" t="str">
        <f aca="false">Suppliers!E94</f>
        <v>SEVERIN Elektrogeräte GmbH</v>
      </c>
      <c r="D94" s="35" t="str">
        <f aca="false">Suppliers!D94</f>
        <v>Home &amp; Kitchen</v>
      </c>
      <c r="E94" s="36" t="s">
        <v>4484</v>
      </c>
      <c r="F94" s="36" t="s">
        <v>4485</v>
      </c>
      <c r="G94" s="27"/>
      <c r="H94" s="27"/>
      <c r="I94" s="27"/>
      <c r="J94" s="28"/>
      <c r="K94" s="27"/>
      <c r="L94" s="28"/>
      <c r="M94" s="27"/>
      <c r="N94" s="27"/>
    </row>
    <row r="95" customFormat="false" ht="15" hidden="false" customHeight="false" outlineLevel="0" collapsed="false">
      <c r="A95" s="35" t="str">
        <f aca="false">Suppliers!A95</f>
        <v>Germany</v>
      </c>
      <c r="B95" s="35" t="n">
        <f aca="false">Suppliers!B95</f>
        <v>94</v>
      </c>
      <c r="C95" s="35" t="str">
        <f aca="false">Suppliers!E95</f>
        <v>Westmark GmbH</v>
      </c>
      <c r="D95" s="35" t="str">
        <f aca="false">Suppliers!D95</f>
        <v>Home &amp; Kitchen</v>
      </c>
      <c r="E95" s="36" t="s">
        <v>4484</v>
      </c>
      <c r="F95" s="36" t="s">
        <v>4485</v>
      </c>
      <c r="G95" s="27"/>
      <c r="H95" s="27"/>
      <c r="I95" s="27"/>
      <c r="J95" s="28"/>
      <c r="K95" s="27"/>
      <c r="L95" s="28"/>
      <c r="M95" s="27"/>
      <c r="N95" s="27"/>
    </row>
    <row r="96" customFormat="false" ht="15" hidden="false" customHeight="false" outlineLevel="0" collapsed="false">
      <c r="A96" s="35" t="str">
        <f aca="false">Suppliers!A96</f>
        <v>Germany</v>
      </c>
      <c r="B96" s="35" t="n">
        <f aca="false">Suppliers!B96</f>
        <v>95</v>
      </c>
      <c r="C96" s="35" t="str">
        <f aca="false">Suppliers!E96</f>
        <v>Clatronic International GmbH</v>
      </c>
      <c r="D96" s="35" t="str">
        <f aca="false">Suppliers!D96</f>
        <v>Home &amp; Kitchen</v>
      </c>
      <c r="E96" s="36" t="s">
        <v>4484</v>
      </c>
      <c r="F96" s="36" t="s">
        <v>4485</v>
      </c>
      <c r="G96" s="27"/>
      <c r="H96" s="27"/>
      <c r="I96" s="27"/>
      <c r="J96" s="28"/>
      <c r="K96" s="27"/>
      <c r="L96" s="28"/>
      <c r="M96" s="27"/>
      <c r="N96" s="27"/>
    </row>
    <row r="97" customFormat="false" ht="23.85" hidden="false" customHeight="false" outlineLevel="0" collapsed="false">
      <c r="A97" s="35" t="str">
        <f aca="false">Suppliers!A97</f>
        <v>Germany</v>
      </c>
      <c r="B97" s="35" t="n">
        <f aca="false">Suppliers!B97</f>
        <v>96</v>
      </c>
      <c r="C97" s="35" t="str">
        <f aca="false">Suppliers!E97</f>
        <v>TRIXIE Heimtierbedarf (incl. Trixie UK Pet Product Ltd)</v>
      </c>
      <c r="D97" s="35" t="str">
        <f aca="false">Suppliers!D97</f>
        <v>Pet Supplies</v>
      </c>
      <c r="E97" s="36" t="s">
        <v>4484</v>
      </c>
      <c r="F97" s="36" t="s">
        <v>4485</v>
      </c>
      <c r="G97" s="27"/>
      <c r="H97" s="27"/>
      <c r="I97" s="27"/>
      <c r="J97" s="28"/>
      <c r="K97" s="27"/>
      <c r="L97" s="28"/>
      <c r="M97" s="27"/>
      <c r="N97" s="27"/>
    </row>
    <row r="98" customFormat="false" ht="15" hidden="false" customHeight="false" outlineLevel="0" collapsed="false">
      <c r="A98" s="35" t="str">
        <f aca="false">Suppliers!A98</f>
        <v>Germany</v>
      </c>
      <c r="B98" s="35" t="n">
        <f aca="false">Suppliers!B98</f>
        <v>97</v>
      </c>
      <c r="C98" s="35" t="str">
        <f aca="false">Suppliers!E98</f>
        <v>Albert Kerbl GmbH</v>
      </c>
      <c r="D98" s="35" t="str">
        <f aca="false">Suppliers!D98</f>
        <v>Pet Supplies</v>
      </c>
      <c r="E98" s="36" t="s">
        <v>4484</v>
      </c>
      <c r="F98" s="36" t="s">
        <v>4485</v>
      </c>
      <c r="G98" s="27"/>
      <c r="H98" s="27"/>
      <c r="I98" s="27"/>
      <c r="J98" s="28"/>
      <c r="K98" s="27"/>
      <c r="L98" s="28"/>
      <c r="M98" s="27"/>
      <c r="N98" s="27"/>
    </row>
    <row r="99" customFormat="false" ht="23.85" hidden="false" customHeight="false" outlineLevel="0" collapsed="false">
      <c r="A99" s="35" t="str">
        <f aca="false">Suppliers!A99</f>
        <v>Germany</v>
      </c>
      <c r="B99" s="35" t="n">
        <f aca="false">Suppliers!B99</f>
        <v>98</v>
      </c>
      <c r="C99" s="35" t="str">
        <f aca="false">Suppliers!E99</f>
        <v>H. von Gimborn GmbH (GimCat, GimDog, Biokat's)</v>
      </c>
      <c r="D99" s="35" t="str">
        <f aca="false">Suppliers!D99</f>
        <v>Pet Supplies</v>
      </c>
      <c r="E99" s="36" t="s">
        <v>4484</v>
      </c>
      <c r="F99" s="36" t="s">
        <v>4485</v>
      </c>
      <c r="G99" s="27"/>
      <c r="H99" s="27"/>
      <c r="I99" s="27"/>
      <c r="J99" s="28"/>
      <c r="K99" s="27"/>
      <c r="L99" s="28"/>
      <c r="M99" s="27"/>
      <c r="N99" s="27"/>
    </row>
    <row r="100" customFormat="false" ht="15" hidden="false" customHeight="false" outlineLevel="0" collapsed="false">
      <c r="A100" s="35" t="str">
        <f aca="false">Suppliers!A100</f>
        <v>Germany</v>
      </c>
      <c r="B100" s="35" t="n">
        <f aca="false">Suppliers!B100</f>
        <v>99</v>
      </c>
      <c r="C100" s="35" t="str">
        <f aca="false">Suppliers!E100</f>
        <v>HUNTER International GmbH</v>
      </c>
      <c r="D100" s="35" t="str">
        <f aca="false">Suppliers!D100</f>
        <v>Pet Supplies</v>
      </c>
      <c r="E100" s="36" t="s">
        <v>4484</v>
      </c>
      <c r="F100" s="36" t="s">
        <v>4485</v>
      </c>
      <c r="G100" s="27"/>
      <c r="H100" s="27"/>
      <c r="I100" s="27"/>
      <c r="J100" s="28"/>
      <c r="K100" s="27"/>
      <c r="L100" s="28"/>
      <c r="M100" s="27"/>
      <c r="N100" s="27"/>
    </row>
    <row r="101" customFormat="false" ht="15" hidden="false" customHeight="false" outlineLevel="0" collapsed="false">
      <c r="A101" s="35" t="str">
        <f aca="false">Suppliers!A101</f>
        <v>Germany</v>
      </c>
      <c r="B101" s="35" t="n">
        <f aca="false">Suppliers!B101</f>
        <v>100</v>
      </c>
      <c r="C101" s="35" t="str">
        <f aca="false">Suppliers!E101</f>
        <v>Nobby Pet Shop GmbH</v>
      </c>
      <c r="D101" s="35" t="str">
        <f aca="false">Suppliers!D101</f>
        <v>Pet Supplies</v>
      </c>
      <c r="E101" s="36" t="s">
        <v>4484</v>
      </c>
      <c r="F101" s="36" t="s">
        <v>4485</v>
      </c>
      <c r="G101" s="27"/>
      <c r="H101" s="27"/>
      <c r="I101" s="27"/>
      <c r="J101" s="28"/>
      <c r="K101" s="27"/>
      <c r="L101" s="28"/>
      <c r="M101" s="27"/>
      <c r="N101" s="27"/>
    </row>
    <row r="102" customFormat="false" ht="15" hidden="false" customHeight="false" outlineLevel="0" collapsed="false">
      <c r="A102" s="35" t="str">
        <f aca="false">Suppliers!A102</f>
        <v>Germany</v>
      </c>
      <c r="B102" s="35" t="n">
        <f aca="false">Suppliers!B102</f>
        <v>101</v>
      </c>
      <c r="C102" s="35" t="str">
        <f aca="false">Suppliers!E102</f>
        <v>Vitakraft pet care GmbH &amp; Co. KG</v>
      </c>
      <c r="D102" s="35" t="str">
        <f aca="false">Suppliers!D102</f>
        <v>Pet Supplies</v>
      </c>
      <c r="E102" s="36" t="s">
        <v>4484</v>
      </c>
      <c r="F102" s="36" t="s">
        <v>4485</v>
      </c>
      <c r="G102" s="27"/>
      <c r="H102" s="27"/>
      <c r="I102" s="27"/>
      <c r="J102" s="28"/>
      <c r="K102" s="27"/>
      <c r="L102" s="28"/>
      <c r="M102" s="27"/>
      <c r="N102" s="27"/>
    </row>
    <row r="103" customFormat="false" ht="23.85" hidden="false" customHeight="false" outlineLevel="0" collapsed="false">
      <c r="A103" s="35" t="str">
        <f aca="false">Suppliers!A103</f>
        <v>Germany</v>
      </c>
      <c r="B103" s="35" t="n">
        <f aca="false">Suppliers!B103</f>
        <v>102</v>
      </c>
      <c r="C103" s="35" t="str">
        <f aca="false">Suppliers!E103</f>
        <v>Schulze Heimtierbedarf GmbH (Porta Pet)</v>
      </c>
      <c r="D103" s="35" t="str">
        <f aca="false">Suppliers!D103</f>
        <v>Pet Supplies</v>
      </c>
      <c r="E103" s="36" t="s">
        <v>4484</v>
      </c>
      <c r="F103" s="36" t="s">
        <v>4485</v>
      </c>
      <c r="G103" s="27"/>
      <c r="H103" s="27"/>
      <c r="I103" s="27"/>
      <c r="J103" s="28"/>
      <c r="K103" s="27"/>
      <c r="L103" s="28"/>
      <c r="M103" s="27"/>
      <c r="N103" s="27"/>
    </row>
    <row r="104" customFormat="false" ht="15" hidden="false" customHeight="false" outlineLevel="0" collapsed="false">
      <c r="A104" s="35" t="str">
        <f aca="false">Suppliers!A104</f>
        <v>Germany</v>
      </c>
      <c r="B104" s="35" t="n">
        <f aca="false">Suppliers!B104</f>
        <v>103</v>
      </c>
      <c r="C104" s="35" t="str">
        <f aca="false">Suppliers!E104</f>
        <v>Josera Petfood GmbH &amp; Co. KG</v>
      </c>
      <c r="D104" s="35" t="str">
        <f aca="false">Suppliers!D104</f>
        <v>Pet Supplies</v>
      </c>
      <c r="E104" s="36" t="s">
        <v>4484</v>
      </c>
      <c r="F104" s="36" t="s">
        <v>4485</v>
      </c>
      <c r="G104" s="27"/>
      <c r="H104" s="27"/>
      <c r="I104" s="27"/>
      <c r="J104" s="28"/>
      <c r="K104" s="27"/>
      <c r="L104" s="28"/>
      <c r="M104" s="27"/>
      <c r="N104" s="27"/>
    </row>
    <row r="105" customFormat="false" ht="15" hidden="false" customHeight="false" outlineLevel="0" collapsed="false">
      <c r="A105" s="35" t="str">
        <f aca="false">Suppliers!A105</f>
        <v>Germany</v>
      </c>
      <c r="B105" s="35" t="n">
        <f aca="false">Suppliers!B105</f>
        <v>104</v>
      </c>
      <c r="C105" s="35" t="str">
        <f aca="false">Suppliers!E105</f>
        <v>WOLTERS cat &amp; dog GmbH</v>
      </c>
      <c r="D105" s="35" t="str">
        <f aca="false">Suppliers!D105</f>
        <v>Pet Supplies</v>
      </c>
      <c r="E105" s="36" t="s">
        <v>4484</v>
      </c>
      <c r="F105" s="36" t="s">
        <v>4485</v>
      </c>
      <c r="G105" s="27"/>
      <c r="H105" s="27"/>
      <c r="I105" s="27"/>
      <c r="J105" s="28"/>
      <c r="K105" s="27"/>
      <c r="L105" s="28"/>
      <c r="M105" s="27"/>
      <c r="N105" s="27"/>
    </row>
    <row r="106" customFormat="false" ht="15" hidden="false" customHeight="false" outlineLevel="0" collapsed="false">
      <c r="A106" s="35" t="str">
        <f aca="false">Suppliers!A106</f>
        <v>Germany</v>
      </c>
      <c r="B106" s="35" t="n">
        <f aca="false">Suppliers!B106</f>
        <v>105</v>
      </c>
      <c r="C106" s="35" t="str">
        <f aca="false">Suppliers!E106</f>
        <v>Paul Lange &amp; Co. OHG</v>
      </c>
      <c r="D106" s="35" t="str">
        <f aca="false">Suppliers!D106</f>
        <v>Sports &amp; Outdoors</v>
      </c>
      <c r="E106" s="36" t="s">
        <v>4484</v>
      </c>
      <c r="F106" s="36" t="s">
        <v>4485</v>
      </c>
      <c r="G106" s="27"/>
      <c r="H106" s="27"/>
      <c r="I106" s="27"/>
      <c r="J106" s="28"/>
      <c r="K106" s="27"/>
      <c r="L106" s="28"/>
      <c r="M106" s="27"/>
      <c r="N106" s="27"/>
    </row>
    <row r="107" customFormat="false" ht="23.85" hidden="false" customHeight="false" outlineLevel="0" collapsed="false">
      <c r="A107" s="35" t="str">
        <f aca="false">Suppliers!A107</f>
        <v>Germany</v>
      </c>
      <c r="B107" s="35" t="n">
        <f aca="false">Suppliers!B107</f>
        <v>106</v>
      </c>
      <c r="C107" s="35" t="str">
        <f aca="false">Suppliers!E107</f>
        <v>SIGMA-ELEKTRO GmbH (SIGMA SPORT)</v>
      </c>
      <c r="D107" s="35" t="str">
        <f aca="false">Suppliers!D107</f>
        <v>Sports &amp; Outdoors</v>
      </c>
      <c r="E107" s="36" t="s">
        <v>4484</v>
      </c>
      <c r="F107" s="36" t="s">
        <v>4485</v>
      </c>
      <c r="G107" s="27"/>
      <c r="H107" s="27"/>
      <c r="I107" s="27"/>
      <c r="J107" s="28"/>
      <c r="K107" s="27"/>
      <c r="L107" s="28"/>
      <c r="M107" s="27"/>
      <c r="N107" s="27"/>
    </row>
    <row r="108" customFormat="false" ht="23.85" hidden="false" customHeight="false" outlineLevel="0" collapsed="false">
      <c r="A108" s="35" t="str">
        <f aca="false">Suppliers!A108</f>
        <v>Germany</v>
      </c>
      <c r="B108" s="35" t="n">
        <f aca="false">Suppliers!B108</f>
        <v>107</v>
      </c>
      <c r="C108" s="35" t="str">
        <f aca="false">Suppliers!E108</f>
        <v>SKS metaplast Scheffer-Klute GmbH (SKS GERMANY)</v>
      </c>
      <c r="D108" s="35" t="str">
        <f aca="false">Suppliers!D108</f>
        <v>Sports &amp; Outdoors</v>
      </c>
      <c r="E108" s="36" t="s">
        <v>4484</v>
      </c>
      <c r="F108" s="36" t="s">
        <v>4485</v>
      </c>
      <c r="G108" s="27"/>
      <c r="H108" s="27"/>
      <c r="I108" s="27"/>
      <c r="J108" s="28"/>
      <c r="K108" s="27"/>
      <c r="L108" s="28"/>
      <c r="M108" s="27"/>
      <c r="N108" s="27"/>
    </row>
    <row r="109" customFormat="false" ht="15" hidden="false" customHeight="false" outlineLevel="0" collapsed="false">
      <c r="A109" s="35" t="str">
        <f aca="false">Suppliers!A109</f>
        <v>Germany</v>
      </c>
      <c r="B109" s="35" t="n">
        <f aca="false">Suppliers!B109</f>
        <v>108</v>
      </c>
      <c r="C109" s="35" t="str">
        <f aca="false">Suppliers!E109</f>
        <v>Fitshop GmbH (KETTLER fitness)</v>
      </c>
      <c r="D109" s="35" t="str">
        <f aca="false">Suppliers!D109</f>
        <v>Sports &amp; Outdoors</v>
      </c>
      <c r="E109" s="36" t="s">
        <v>4484</v>
      </c>
      <c r="F109" s="36" t="s">
        <v>4485</v>
      </c>
      <c r="G109" s="27"/>
      <c r="H109" s="27"/>
      <c r="I109" s="27"/>
      <c r="J109" s="28"/>
      <c r="K109" s="27"/>
      <c r="L109" s="28"/>
      <c r="M109" s="27"/>
      <c r="N109" s="27"/>
    </row>
    <row r="110" customFormat="false" ht="15" hidden="false" customHeight="false" outlineLevel="0" collapsed="false">
      <c r="A110" s="35" t="str">
        <f aca="false">Suppliers!A110</f>
        <v>Germany</v>
      </c>
      <c r="B110" s="35" t="n">
        <f aca="false">Suppliers!B110</f>
        <v>109</v>
      </c>
      <c r="C110" s="35" t="str">
        <f aca="false">Suppliers!E110</f>
        <v>HUDORA GmbH</v>
      </c>
      <c r="D110" s="35" t="str">
        <f aca="false">Suppliers!D110</f>
        <v>Sports &amp; Outdoors</v>
      </c>
      <c r="E110" s="36" t="s">
        <v>4484</v>
      </c>
      <c r="F110" s="36" t="s">
        <v>4485</v>
      </c>
      <c r="G110" s="27"/>
      <c r="H110" s="27"/>
      <c r="I110" s="27"/>
      <c r="J110" s="28"/>
      <c r="K110" s="27"/>
      <c r="L110" s="28"/>
      <c r="M110" s="27"/>
      <c r="N110" s="27"/>
    </row>
    <row r="111" customFormat="false" ht="15" hidden="false" customHeight="false" outlineLevel="0" collapsed="false">
      <c r="A111" s="35" t="str">
        <f aca="false">Suppliers!A111</f>
        <v>Germany</v>
      </c>
      <c r="B111" s="35" t="n">
        <f aca="false">Suppliers!B111</f>
        <v>110</v>
      </c>
      <c r="C111" s="35" t="str">
        <f aca="false">Suppliers!E111</f>
        <v>Hermann Hartje KG</v>
      </c>
      <c r="D111" s="35" t="str">
        <f aca="false">Suppliers!D111</f>
        <v>Sports &amp; Outdoors</v>
      </c>
      <c r="E111" s="36" t="s">
        <v>4484</v>
      </c>
      <c r="F111" s="36" t="s">
        <v>4485</v>
      </c>
      <c r="G111" s="27"/>
      <c r="H111" s="27"/>
      <c r="I111" s="27"/>
      <c r="J111" s="28"/>
      <c r="K111" s="27"/>
      <c r="L111" s="28"/>
      <c r="M111" s="27"/>
      <c r="N111" s="27"/>
    </row>
    <row r="112" customFormat="false" ht="15" hidden="false" customHeight="false" outlineLevel="0" collapsed="false">
      <c r="A112" s="35" t="str">
        <f aca="false">Suppliers!A112</f>
        <v>Germany</v>
      </c>
      <c r="B112" s="35" t="n">
        <f aca="false">Suppliers!B112</f>
        <v>111</v>
      </c>
      <c r="C112" s="35" t="str">
        <f aca="false">Suppliers!E112</f>
        <v>Sport Import GmbH</v>
      </c>
      <c r="D112" s="35" t="str">
        <f aca="false">Suppliers!D112</f>
        <v>Sports &amp; Outdoors</v>
      </c>
      <c r="E112" s="36" t="s">
        <v>4484</v>
      </c>
      <c r="F112" s="36" t="s">
        <v>4485</v>
      </c>
      <c r="G112" s="27"/>
      <c r="H112" s="27"/>
      <c r="I112" s="27"/>
      <c r="J112" s="28"/>
      <c r="K112" s="27"/>
      <c r="L112" s="28"/>
      <c r="M112" s="27"/>
      <c r="N112" s="27"/>
    </row>
    <row r="113" customFormat="false" ht="15" hidden="false" customHeight="false" outlineLevel="0" collapsed="false">
      <c r="A113" s="35" t="str">
        <f aca="false">Suppliers!A113</f>
        <v>Germany</v>
      </c>
      <c r="B113" s="35" t="n">
        <f aca="false">Suppliers!B113</f>
        <v>112</v>
      </c>
      <c r="C113" s="35" t="str">
        <f aca="false">Suppliers!E113</f>
        <v>Absolut Bikes GmbH</v>
      </c>
      <c r="D113" s="35" t="str">
        <f aca="false">Suppliers!D113</f>
        <v>Sports &amp; Outdoors</v>
      </c>
      <c r="E113" s="36" t="s">
        <v>4484</v>
      </c>
      <c r="F113" s="36" t="s">
        <v>4485</v>
      </c>
      <c r="G113" s="27"/>
      <c r="H113" s="27"/>
      <c r="I113" s="27"/>
      <c r="J113" s="28"/>
      <c r="K113" s="27"/>
      <c r="L113" s="28"/>
      <c r="M113" s="27"/>
      <c r="N113" s="27"/>
    </row>
    <row r="114" customFormat="false" ht="15" hidden="false" customHeight="false" outlineLevel="0" collapsed="false">
      <c r="A114" s="35" t="str">
        <f aca="false">Suppliers!A114</f>
        <v>Germany</v>
      </c>
      <c r="B114" s="35" t="n">
        <f aca="false">Suppliers!B114</f>
        <v>113</v>
      </c>
      <c r="C114" s="35" t="str">
        <f aca="false">Suppliers!E114</f>
        <v>AceCamp GmbH</v>
      </c>
      <c r="D114" s="35" t="str">
        <f aca="false">Suppliers!D114</f>
        <v>Sports &amp; Outdoors</v>
      </c>
      <c r="E114" s="36" t="s">
        <v>4484</v>
      </c>
      <c r="F114" s="36" t="s">
        <v>4485</v>
      </c>
      <c r="G114" s="27"/>
      <c r="H114" s="27"/>
      <c r="I114" s="27"/>
      <c r="J114" s="28"/>
      <c r="K114" s="27"/>
      <c r="L114" s="28"/>
      <c r="M114" s="27"/>
      <c r="N114" s="27"/>
    </row>
    <row r="115" customFormat="false" ht="15" hidden="false" customHeight="false" outlineLevel="0" collapsed="false">
      <c r="A115" s="35" t="str">
        <f aca="false">Suppliers!A115</f>
        <v>Germany</v>
      </c>
      <c r="B115" s="35" t="n">
        <f aca="false">Suppliers!B115</f>
        <v>114</v>
      </c>
      <c r="C115" s="35" t="str">
        <f aca="false">Suppliers!E115</f>
        <v>HAMMER SPORT AG</v>
      </c>
      <c r="D115" s="35" t="str">
        <f aca="false">Suppliers!D115</f>
        <v>Sports &amp; Outdoors</v>
      </c>
      <c r="E115" s="36" t="s">
        <v>4484</v>
      </c>
      <c r="F115" s="36" t="s">
        <v>4485</v>
      </c>
      <c r="G115" s="27"/>
      <c r="H115" s="27"/>
      <c r="I115" s="27"/>
      <c r="J115" s="28"/>
      <c r="K115" s="27"/>
      <c r="L115" s="28"/>
      <c r="M115" s="27"/>
      <c r="N115" s="27"/>
    </row>
    <row r="116" customFormat="false" ht="15" hidden="false" customHeight="false" outlineLevel="0" collapsed="false">
      <c r="A116" s="35" t="str">
        <f aca="false">Suppliers!A116</f>
        <v>Germany</v>
      </c>
      <c r="B116" s="35" t="n">
        <f aca="false">Suppliers!B116</f>
        <v>115</v>
      </c>
      <c r="C116" s="35" t="str">
        <f aca="false">Suppliers!E116</f>
        <v>Sport-Thieme GmbH</v>
      </c>
      <c r="D116" s="35" t="str">
        <f aca="false">Suppliers!D116</f>
        <v>Sports &amp; Outdoors</v>
      </c>
      <c r="E116" s="36" t="s">
        <v>4484</v>
      </c>
      <c r="F116" s="36" t="s">
        <v>4485</v>
      </c>
      <c r="G116" s="27"/>
      <c r="H116" s="27"/>
      <c r="I116" s="27"/>
      <c r="J116" s="28"/>
      <c r="K116" s="27"/>
      <c r="L116" s="28"/>
      <c r="M116" s="27"/>
      <c r="N116" s="27"/>
    </row>
    <row r="117" customFormat="false" ht="15" hidden="false" customHeight="false" outlineLevel="0" collapsed="false">
      <c r="A117" s="35" t="str">
        <f aca="false">Suppliers!A117</f>
        <v>Germany</v>
      </c>
      <c r="B117" s="35" t="n">
        <f aca="false">Suppliers!B117</f>
        <v>116</v>
      </c>
      <c r="C117" s="35" t="str">
        <f aca="false">Suppliers!E117</f>
        <v>edding International GmbH</v>
      </c>
      <c r="D117" s="35" t="str">
        <f aca="false">Suppliers!D117</f>
        <v>Stationery &amp; Office</v>
      </c>
      <c r="E117" s="36" t="s">
        <v>4484</v>
      </c>
      <c r="F117" s="36" t="s">
        <v>4485</v>
      </c>
      <c r="G117" s="27"/>
      <c r="H117" s="27"/>
      <c r="I117" s="27"/>
      <c r="J117" s="28"/>
      <c r="K117" s="27"/>
      <c r="L117" s="28"/>
      <c r="M117" s="27"/>
      <c r="N117" s="27"/>
    </row>
    <row r="118" customFormat="false" ht="15" hidden="false" customHeight="false" outlineLevel="0" collapsed="false">
      <c r="A118" s="35" t="str">
        <f aca="false">Suppliers!A118</f>
        <v>Germany</v>
      </c>
      <c r="B118" s="35" t="n">
        <f aca="false">Suppliers!B118</f>
        <v>117</v>
      </c>
      <c r="C118" s="35" t="str">
        <f aca="false">Suppliers!E118</f>
        <v>STAEDTLER Mars GmbH &amp; Co. KG</v>
      </c>
      <c r="D118" s="35" t="str">
        <f aca="false">Suppliers!D118</f>
        <v>Stationery &amp; Office</v>
      </c>
      <c r="E118" s="36" t="s">
        <v>4484</v>
      </c>
      <c r="F118" s="36" t="s">
        <v>4485</v>
      </c>
      <c r="G118" s="27"/>
      <c r="H118" s="27"/>
      <c r="I118" s="27"/>
      <c r="J118" s="28"/>
      <c r="K118" s="27"/>
      <c r="L118" s="28"/>
      <c r="M118" s="27"/>
      <c r="N118" s="27"/>
    </row>
    <row r="119" customFormat="false" ht="23.85" hidden="false" customHeight="false" outlineLevel="0" collapsed="false">
      <c r="A119" s="35" t="str">
        <f aca="false">Suppliers!A119</f>
        <v>Germany</v>
      </c>
      <c r="B119" s="35" t="n">
        <f aca="false">Suppliers!B119</f>
        <v>118</v>
      </c>
      <c r="C119" s="35" t="str">
        <f aca="false">Suppliers!E119</f>
        <v>DURABLE Hunke &amp; Jochheim GmbH &amp; Co. KG</v>
      </c>
      <c r="D119" s="35" t="str">
        <f aca="false">Suppliers!D119</f>
        <v>Stationery &amp; Office</v>
      </c>
      <c r="E119" s="36" t="s">
        <v>4484</v>
      </c>
      <c r="F119" s="36" t="s">
        <v>4485</v>
      </c>
      <c r="G119" s="27"/>
      <c r="H119" s="27"/>
      <c r="I119" s="27"/>
      <c r="J119" s="28"/>
      <c r="K119" s="27"/>
      <c r="L119" s="28"/>
      <c r="M119" s="27"/>
      <c r="N119" s="27"/>
    </row>
    <row r="120" customFormat="false" ht="15" hidden="false" customHeight="false" outlineLevel="0" collapsed="false">
      <c r="A120" s="35" t="str">
        <f aca="false">Suppliers!A120</f>
        <v>Germany</v>
      </c>
      <c r="B120" s="35" t="n">
        <f aca="false">Suppliers!B120</f>
        <v>119</v>
      </c>
      <c r="C120" s="35" t="str">
        <f aca="false">Suppliers!E120</f>
        <v>Schneider Schreibgeräte GmbH</v>
      </c>
      <c r="D120" s="35" t="str">
        <f aca="false">Suppliers!D120</f>
        <v>Stationery &amp; Office</v>
      </c>
      <c r="E120" s="36" t="s">
        <v>4484</v>
      </c>
      <c r="F120" s="36" t="s">
        <v>4485</v>
      </c>
      <c r="G120" s="27"/>
      <c r="H120" s="27"/>
      <c r="I120" s="27"/>
      <c r="J120" s="28"/>
      <c r="K120" s="27"/>
      <c r="L120" s="28"/>
      <c r="M120" s="27"/>
      <c r="N120" s="27"/>
    </row>
    <row r="121" customFormat="false" ht="15" hidden="false" customHeight="false" outlineLevel="0" collapsed="false">
      <c r="A121" s="35" t="str">
        <f aca="false">Suppliers!A121</f>
        <v>Germany</v>
      </c>
      <c r="B121" s="35" t="n">
        <f aca="false">Suppliers!B121</f>
        <v>120</v>
      </c>
      <c r="C121" s="35" t="str">
        <f aca="false">Suppliers!E121</f>
        <v>Pelikan Group GmbH (Pelikan, herlitz)</v>
      </c>
      <c r="D121" s="35" t="str">
        <f aca="false">Suppliers!D121</f>
        <v>Stationery &amp; Office</v>
      </c>
      <c r="E121" s="36" t="s">
        <v>4484</v>
      </c>
      <c r="F121" s="36" t="s">
        <v>4485</v>
      </c>
      <c r="G121" s="27"/>
      <c r="H121" s="27"/>
      <c r="I121" s="27"/>
      <c r="J121" s="28"/>
      <c r="K121" s="27"/>
      <c r="L121" s="28"/>
      <c r="M121" s="27"/>
      <c r="N121" s="27"/>
    </row>
    <row r="122" customFormat="false" ht="23.85" hidden="false" customHeight="false" outlineLevel="0" collapsed="false">
      <c r="A122" s="35" t="str">
        <f aca="false">Suppliers!A122</f>
        <v>Germany</v>
      </c>
      <c r="B122" s="35" t="n">
        <f aca="false">Suppliers!B122</f>
        <v>121</v>
      </c>
      <c r="C122" s="35" t="str">
        <f aca="false">Suppliers!E122</f>
        <v>Franckh-Kosmos Verlags-GmbH &amp; Co. KG (KOSMOS)</v>
      </c>
      <c r="D122" s="35" t="str">
        <f aca="false">Suppliers!D122</f>
        <v>Toys &amp; Games</v>
      </c>
      <c r="E122" s="36" t="s">
        <v>4484</v>
      </c>
      <c r="F122" s="36" t="s">
        <v>4485</v>
      </c>
      <c r="G122" s="27"/>
      <c r="H122" s="27"/>
      <c r="I122" s="27"/>
      <c r="J122" s="28"/>
      <c r="K122" s="27"/>
      <c r="L122" s="28"/>
      <c r="M122" s="27"/>
      <c r="N122" s="27"/>
    </row>
    <row r="123" customFormat="false" ht="15" hidden="false" customHeight="false" outlineLevel="0" collapsed="false">
      <c r="A123" s="35" t="str">
        <f aca="false">Suppliers!A123</f>
        <v>Germany</v>
      </c>
      <c r="B123" s="35" t="n">
        <f aca="false">Suppliers!B123</f>
        <v>122</v>
      </c>
      <c r="C123" s="35" t="str">
        <f aca="false">Suppliers!E123</f>
        <v>Carrera Revell Europe GmbH</v>
      </c>
      <c r="D123" s="35" t="str">
        <f aca="false">Suppliers!D123</f>
        <v>Toys &amp; Games</v>
      </c>
      <c r="E123" s="36" t="s">
        <v>4484</v>
      </c>
      <c r="F123" s="36" t="s">
        <v>4485</v>
      </c>
      <c r="G123" s="27"/>
      <c r="H123" s="27"/>
      <c r="I123" s="27"/>
      <c r="J123" s="28"/>
      <c r="K123" s="27"/>
      <c r="L123" s="28"/>
      <c r="M123" s="27"/>
      <c r="N123" s="27"/>
    </row>
    <row r="124" customFormat="false" ht="35.05" hidden="false" customHeight="false" outlineLevel="0" collapsed="false">
      <c r="A124" s="35" t="str">
        <f aca="false">Suppliers!A124</f>
        <v>Germany</v>
      </c>
      <c r="B124" s="35" t="n">
        <f aca="false">Suppliers!B124</f>
        <v>123</v>
      </c>
      <c r="C124" s="35" t="str">
        <f aca="false">Suppliers!E124</f>
        <v>Simba Dickie Group GmbH (Simba, Dickie, Smoby, Majorette, Noris, Schuco)</v>
      </c>
      <c r="D124" s="35" t="str">
        <f aca="false">Suppliers!D124</f>
        <v>Toys &amp; Games</v>
      </c>
      <c r="E124" s="36" t="s">
        <v>4484</v>
      </c>
      <c r="F124" s="36" t="s">
        <v>4485</v>
      </c>
      <c r="G124" s="27"/>
      <c r="H124" s="27"/>
      <c r="I124" s="27"/>
      <c r="J124" s="28"/>
      <c r="K124" s="27"/>
      <c r="L124" s="28"/>
      <c r="M124" s="27"/>
      <c r="N124" s="27"/>
    </row>
    <row r="125" customFormat="false" ht="15" hidden="false" customHeight="false" outlineLevel="0" collapsed="false">
      <c r="A125" s="35" t="str">
        <f aca="false">Suppliers!A125</f>
        <v>Germany</v>
      </c>
      <c r="B125" s="35" t="n">
        <f aca="false">Suppliers!B125</f>
        <v>124</v>
      </c>
      <c r="C125" s="35" t="str">
        <f aca="false">Suppliers!E125</f>
        <v>Depesche Vertrieb GmbH &amp; Co. KG</v>
      </c>
      <c r="D125" s="35" t="str">
        <f aca="false">Suppliers!D125</f>
        <v>Toys &amp; Games</v>
      </c>
      <c r="E125" s="36" t="s">
        <v>4484</v>
      </c>
      <c r="F125" s="36" t="s">
        <v>4485</v>
      </c>
      <c r="G125" s="27"/>
      <c r="H125" s="27"/>
      <c r="I125" s="27"/>
      <c r="J125" s="28"/>
      <c r="K125" s="27"/>
      <c r="L125" s="28"/>
      <c r="M125" s="27"/>
      <c r="N125" s="27"/>
    </row>
    <row r="126" customFormat="false" ht="23.85" hidden="false" customHeight="false" outlineLevel="0" collapsed="false">
      <c r="A126" s="35" t="str">
        <f aca="false">Suppliers!A126</f>
        <v>Germany</v>
      </c>
      <c r="B126" s="35" t="n">
        <f aca="false">Suppliers!B126</f>
        <v>125</v>
      </c>
      <c r="C126" s="35" t="str">
        <f aca="false">Suppliers!E126</f>
        <v>Gollnest &amp; Kiesel GmbH &amp; Co. KG (goki)</v>
      </c>
      <c r="D126" s="35" t="str">
        <f aca="false">Suppliers!D126</f>
        <v>Toys &amp; Games</v>
      </c>
      <c r="E126" s="36" t="s">
        <v>4484</v>
      </c>
      <c r="F126" s="36" t="s">
        <v>4485</v>
      </c>
      <c r="G126" s="27"/>
      <c r="H126" s="27"/>
      <c r="I126" s="27"/>
      <c r="J126" s="28"/>
      <c r="K126" s="27"/>
      <c r="L126" s="28"/>
      <c r="M126" s="27"/>
      <c r="N126" s="27"/>
    </row>
    <row r="127" customFormat="false" ht="23.85" hidden="false" customHeight="false" outlineLevel="0" collapsed="false">
      <c r="A127" s="35" t="str">
        <f aca="false">Suppliers!A127</f>
        <v>Germany</v>
      </c>
      <c r="B127" s="35" t="n">
        <f aca="false">Suppliers!B127</f>
        <v>126</v>
      </c>
      <c r="C127" s="35" t="str">
        <f aca="false">Suppliers!E127</f>
        <v>small foot GmbH &amp; Co. KG (formerly Legler)</v>
      </c>
      <c r="D127" s="35" t="str">
        <f aca="false">Suppliers!D127</f>
        <v>Toys &amp; Games</v>
      </c>
      <c r="E127" s="36" t="s">
        <v>4484</v>
      </c>
      <c r="F127" s="36" t="s">
        <v>4485</v>
      </c>
      <c r="G127" s="27"/>
      <c r="H127" s="27"/>
      <c r="I127" s="27"/>
      <c r="J127" s="28"/>
      <c r="K127" s="27"/>
      <c r="L127" s="28"/>
      <c r="M127" s="27"/>
      <c r="N127" s="27"/>
    </row>
    <row r="128" customFormat="false" ht="15" hidden="false" customHeight="false" outlineLevel="0" collapsed="false">
      <c r="A128" s="35" t="str">
        <f aca="false">Suppliers!A128</f>
        <v>Germany</v>
      </c>
      <c r="B128" s="35" t="n">
        <f aca="false">Suppliers!B128</f>
        <v>127</v>
      </c>
      <c r="C128" s="35" t="str">
        <f aca="false">Suppliers!E128</f>
        <v>Pegasus Spiele GmbH</v>
      </c>
      <c r="D128" s="35" t="str">
        <f aca="false">Suppliers!D128</f>
        <v>Toys &amp; Games</v>
      </c>
      <c r="E128" s="36" t="s">
        <v>4484</v>
      </c>
      <c r="F128" s="36" t="s">
        <v>4485</v>
      </c>
      <c r="G128" s="27"/>
      <c r="H128" s="27"/>
      <c r="I128" s="27"/>
      <c r="J128" s="28"/>
      <c r="K128" s="27"/>
      <c r="L128" s="28"/>
      <c r="M128" s="27"/>
      <c r="N128" s="27"/>
    </row>
    <row r="129" customFormat="false" ht="15" hidden="false" customHeight="false" outlineLevel="0" collapsed="false">
      <c r="A129" s="35" t="str">
        <f aca="false">Suppliers!A129</f>
        <v>Germany</v>
      </c>
      <c r="B129" s="35" t="n">
        <f aca="false">Suppliers!B129</f>
        <v>128</v>
      </c>
      <c r="C129" s="35" t="str">
        <f aca="false">Suppliers!E129</f>
        <v>VEDES Großhandel GmbH</v>
      </c>
      <c r="D129" s="35" t="str">
        <f aca="false">Suppliers!D129</f>
        <v>Toys &amp; Games</v>
      </c>
      <c r="E129" s="36" t="s">
        <v>4484</v>
      </c>
      <c r="F129" s="36" t="s">
        <v>4485</v>
      </c>
      <c r="G129" s="27"/>
      <c r="H129" s="27"/>
      <c r="I129" s="27"/>
      <c r="J129" s="28"/>
      <c r="K129" s="27"/>
      <c r="L129" s="28"/>
      <c r="M129" s="27"/>
      <c r="N129" s="27"/>
    </row>
    <row r="130" customFormat="false" ht="15" hidden="false" customHeight="false" outlineLevel="0" collapsed="false">
      <c r="A130" s="35" t="str">
        <f aca="false">Suppliers!A130</f>
        <v>Greece</v>
      </c>
      <c r="B130" s="35" t="n">
        <f aca="false">Suppliers!B130</f>
        <v>129</v>
      </c>
      <c r="C130" s="35" t="str">
        <f aca="false">Suppliers!E130</f>
        <v>KORRES S.A. Natural Products</v>
      </c>
      <c r="D130" s="35" t="str">
        <f aca="false">Suppliers!D130</f>
        <v>Beauty</v>
      </c>
      <c r="E130" s="36" t="s">
        <v>4484</v>
      </c>
      <c r="F130" s="36" t="s">
        <v>4485</v>
      </c>
      <c r="G130" s="27"/>
      <c r="H130" s="27"/>
      <c r="I130" s="27"/>
      <c r="J130" s="28"/>
      <c r="K130" s="27"/>
      <c r="L130" s="28"/>
      <c r="M130" s="27"/>
      <c r="N130" s="27"/>
    </row>
    <row r="131" customFormat="false" ht="15" hidden="false" customHeight="false" outlineLevel="0" collapsed="false">
      <c r="A131" s="35" t="str">
        <f aca="false">Suppliers!A131</f>
        <v>Greece</v>
      </c>
      <c r="B131" s="35" t="n">
        <f aca="false">Suppliers!B131</f>
        <v>130</v>
      </c>
      <c r="C131" s="35" t="str">
        <f aca="false">Suppliers!E131</f>
        <v>APIVITA S.A.</v>
      </c>
      <c r="D131" s="35" t="str">
        <f aca="false">Suppliers!D131</f>
        <v>Beauty</v>
      </c>
      <c r="E131" s="36" t="s">
        <v>4484</v>
      </c>
      <c r="F131" s="36" t="s">
        <v>4485</v>
      </c>
      <c r="G131" s="27"/>
      <c r="H131" s="27"/>
      <c r="I131" s="27"/>
      <c r="J131" s="28"/>
      <c r="K131" s="27"/>
      <c r="L131" s="28"/>
      <c r="M131" s="27"/>
      <c r="N131" s="27"/>
    </row>
    <row r="132" customFormat="false" ht="15" hidden="false" customHeight="false" outlineLevel="0" collapsed="false">
      <c r="A132" s="35" t="str">
        <f aca="false">Suppliers!A132</f>
        <v>Greece</v>
      </c>
      <c r="B132" s="35" t="n">
        <f aca="false">Suppliers!B132</f>
        <v>131</v>
      </c>
      <c r="C132" s="35" t="str">
        <f aca="false">Suppliers!E132</f>
        <v>Papoutsanis S.A.</v>
      </c>
      <c r="D132" s="35" t="str">
        <f aca="false">Suppliers!D132</f>
        <v>Beauty</v>
      </c>
      <c r="E132" s="36" t="s">
        <v>4484</v>
      </c>
      <c r="F132" s="36" t="s">
        <v>4485</v>
      </c>
      <c r="G132" s="27"/>
      <c r="H132" s="27"/>
      <c r="I132" s="27"/>
      <c r="J132" s="28"/>
      <c r="K132" s="27"/>
      <c r="L132" s="28"/>
      <c r="M132" s="27"/>
      <c r="N132" s="27"/>
    </row>
    <row r="133" customFormat="false" ht="15" hidden="false" customHeight="false" outlineLevel="0" collapsed="false">
      <c r="A133" s="35" t="str">
        <f aca="false">Suppliers!A133</f>
        <v>Greece</v>
      </c>
      <c r="B133" s="35" t="n">
        <f aca="false">Suppliers!B133</f>
        <v>132</v>
      </c>
      <c r="C133" s="35" t="str">
        <f aca="false">Suppliers!E133</f>
        <v>FREZYDERM S.A.</v>
      </c>
      <c r="D133" s="35" t="str">
        <f aca="false">Suppliers!D133</f>
        <v>Beauty</v>
      </c>
      <c r="E133" s="36" t="s">
        <v>4484</v>
      </c>
      <c r="F133" s="36" t="s">
        <v>4485</v>
      </c>
      <c r="G133" s="27"/>
      <c r="H133" s="27"/>
      <c r="I133" s="27"/>
      <c r="J133" s="28"/>
      <c r="K133" s="27"/>
      <c r="L133" s="28"/>
      <c r="M133" s="27"/>
      <c r="N133" s="27"/>
    </row>
    <row r="134" customFormat="false" ht="15" hidden="false" customHeight="false" outlineLevel="0" collapsed="false">
      <c r="A134" s="35" t="str">
        <f aca="false">Suppliers!A134</f>
        <v>Hungary</v>
      </c>
      <c r="B134" s="35" t="n">
        <f aca="false">Suppliers!B134</f>
        <v>133</v>
      </c>
      <c r="C134" s="35" t="str">
        <f aca="false">Suppliers!E134</f>
        <v>HELIA-D Kft.</v>
      </c>
      <c r="D134" s="35" t="str">
        <f aca="false">Suppliers!D134</f>
        <v>Beauty</v>
      </c>
      <c r="E134" s="36" t="s">
        <v>4484</v>
      </c>
      <c r="F134" s="36" t="s">
        <v>4485</v>
      </c>
      <c r="G134" s="27"/>
      <c r="H134" s="27"/>
      <c r="I134" s="27"/>
      <c r="J134" s="28"/>
      <c r="K134" s="27"/>
      <c r="L134" s="28"/>
      <c r="M134" s="27"/>
      <c r="N134" s="27"/>
    </row>
    <row r="135" customFormat="false" ht="23.85" hidden="false" customHeight="false" outlineLevel="0" collapsed="false">
      <c r="A135" s="35" t="str">
        <f aca="false">Suppliers!A135</f>
        <v>Hungary</v>
      </c>
      <c r="B135" s="35" t="n">
        <f aca="false">Suppliers!B135</f>
        <v>134</v>
      </c>
      <c r="C135" s="35" t="str">
        <f aca="false">Suppliers!E135</f>
        <v>BioTechUSA Kft.</v>
      </c>
      <c r="D135" s="35" t="str">
        <f aca="false">Suppliers!D135</f>
        <v>Health &amp; Personal Care</v>
      </c>
      <c r="E135" s="36" t="s">
        <v>4484</v>
      </c>
      <c r="F135" s="36" t="s">
        <v>4485</v>
      </c>
      <c r="G135" s="27"/>
      <c r="H135" s="27"/>
      <c r="I135" s="27"/>
      <c r="J135" s="28"/>
      <c r="K135" s="27"/>
      <c r="L135" s="28"/>
      <c r="M135" s="27"/>
      <c r="N135" s="27"/>
    </row>
    <row r="136" customFormat="false" ht="23.85" hidden="false" customHeight="false" outlineLevel="0" collapsed="false">
      <c r="A136" s="35" t="str">
        <f aca="false">Suppliers!A136</f>
        <v>Hungary</v>
      </c>
      <c r="B136" s="35" t="n">
        <f aca="false">Suppliers!B136</f>
        <v>135</v>
      </c>
      <c r="C136" s="35" t="str">
        <f aca="false">Suppliers!E136</f>
        <v>Herbária Zrt.</v>
      </c>
      <c r="D136" s="35" t="str">
        <f aca="false">Suppliers!D136</f>
        <v>Health &amp; Personal Care</v>
      </c>
      <c r="E136" s="36" t="s">
        <v>4484</v>
      </c>
      <c r="F136" s="36" t="s">
        <v>4485</v>
      </c>
      <c r="G136" s="27"/>
      <c r="H136" s="27"/>
      <c r="I136" s="27"/>
      <c r="J136" s="28"/>
      <c r="K136" s="27"/>
      <c r="L136" s="28"/>
      <c r="M136" s="27"/>
      <c r="N136" s="27"/>
    </row>
    <row r="137" customFormat="false" ht="15" hidden="false" customHeight="false" outlineLevel="0" collapsed="false">
      <c r="A137" s="35" t="str">
        <f aca="false">Suppliers!A137</f>
        <v>Ireland</v>
      </c>
      <c r="B137" s="35" t="n">
        <f aca="false">Suppliers!B137</f>
        <v>136</v>
      </c>
      <c r="C137" s="35" t="str">
        <f aca="false">Suppliers!E137</f>
        <v>National Beauty Distribution Ltd</v>
      </c>
      <c r="D137" s="35" t="str">
        <f aca="false">Suppliers!D137</f>
        <v>Beauty</v>
      </c>
      <c r="E137" s="36" t="s">
        <v>4484</v>
      </c>
      <c r="F137" s="36" t="s">
        <v>4485</v>
      </c>
      <c r="G137" s="27"/>
      <c r="H137" s="27"/>
      <c r="I137" s="27"/>
      <c r="J137" s="28"/>
      <c r="K137" s="27"/>
      <c r="L137" s="28"/>
      <c r="M137" s="27"/>
      <c r="N137" s="27"/>
    </row>
    <row r="138" customFormat="false" ht="23.85" hidden="false" customHeight="false" outlineLevel="0" collapsed="false">
      <c r="A138" s="35" t="str">
        <f aca="false">Suppliers!A138</f>
        <v>Ireland</v>
      </c>
      <c r="B138" s="35" t="n">
        <f aca="false">Suppliers!B138</f>
        <v>137</v>
      </c>
      <c r="C138" s="35" t="str">
        <f aca="false">Suppliers!E138</f>
        <v>Uniphar Wholesale Limited</v>
      </c>
      <c r="D138" s="35" t="str">
        <f aca="false">Suppliers!D138</f>
        <v>Health &amp; Personal Care</v>
      </c>
      <c r="E138" s="36" t="s">
        <v>4484</v>
      </c>
      <c r="F138" s="36" t="s">
        <v>4485</v>
      </c>
      <c r="G138" s="27"/>
      <c r="H138" s="27"/>
      <c r="I138" s="27"/>
      <c r="J138" s="28"/>
      <c r="K138" s="27"/>
      <c r="L138" s="28"/>
      <c r="M138" s="27"/>
      <c r="N138" s="27"/>
    </row>
    <row r="139" customFormat="false" ht="15" hidden="false" customHeight="false" outlineLevel="0" collapsed="false">
      <c r="A139" s="35" t="str">
        <f aca="false">Suppliers!A139</f>
        <v>Italy</v>
      </c>
      <c r="B139" s="35" t="n">
        <f aca="false">Suppliers!B139</f>
        <v>138</v>
      </c>
      <c r="C139" s="35" t="str">
        <f aca="false">Suppliers!E139</f>
        <v>Artsana S.p.A. (Chicco, Boppy)</v>
      </c>
      <c r="D139" s="35" t="str">
        <f aca="false">Suppliers!D139</f>
        <v>Baby Products</v>
      </c>
      <c r="E139" s="36" t="s">
        <v>4484</v>
      </c>
      <c r="F139" s="36" t="s">
        <v>4485</v>
      </c>
      <c r="G139" s="27"/>
      <c r="H139" s="27"/>
      <c r="I139" s="27"/>
      <c r="J139" s="28"/>
      <c r="K139" s="27"/>
      <c r="L139" s="28"/>
      <c r="M139" s="27"/>
      <c r="N139" s="27"/>
    </row>
    <row r="140" customFormat="false" ht="15" hidden="false" customHeight="false" outlineLevel="0" collapsed="false">
      <c r="A140" s="35" t="str">
        <f aca="false">Suppliers!A140</f>
        <v>Italy</v>
      </c>
      <c r="B140" s="35" t="n">
        <f aca="false">Suppliers!B140</f>
        <v>139</v>
      </c>
      <c r="C140" s="35" t="str">
        <f aca="false">Suppliers!E140</f>
        <v>Foppapedretti S.p.A.</v>
      </c>
      <c r="D140" s="35" t="str">
        <f aca="false">Suppliers!D140</f>
        <v>Baby Products</v>
      </c>
      <c r="E140" s="36" t="s">
        <v>4484</v>
      </c>
      <c r="F140" s="36" t="s">
        <v>4485</v>
      </c>
      <c r="G140" s="27"/>
      <c r="H140" s="27"/>
      <c r="I140" s="27"/>
      <c r="J140" s="28"/>
      <c r="K140" s="27"/>
      <c r="L140" s="28"/>
      <c r="M140" s="27"/>
      <c r="N140" s="27"/>
    </row>
    <row r="141" customFormat="false" ht="15" hidden="false" customHeight="false" outlineLevel="0" collapsed="false">
      <c r="A141" s="35" t="str">
        <f aca="false">Suppliers!A141</f>
        <v>Italy</v>
      </c>
      <c r="B141" s="35" t="n">
        <f aca="false">Suppliers!B141</f>
        <v>140</v>
      </c>
      <c r="C141" s="35" t="str">
        <f aca="false">Suppliers!E141</f>
        <v>L'inglesina Baby S.p.A.</v>
      </c>
      <c r="D141" s="35" t="str">
        <f aca="false">Suppliers!D141</f>
        <v>Baby Products</v>
      </c>
      <c r="E141" s="36" t="s">
        <v>4484</v>
      </c>
      <c r="F141" s="36" t="s">
        <v>4485</v>
      </c>
      <c r="G141" s="27"/>
      <c r="H141" s="27"/>
      <c r="I141" s="27"/>
      <c r="J141" s="28"/>
      <c r="K141" s="27"/>
      <c r="L141" s="28"/>
      <c r="M141" s="27"/>
      <c r="N141" s="27"/>
    </row>
    <row r="142" customFormat="false" ht="15" hidden="false" customHeight="false" outlineLevel="0" collapsed="false">
      <c r="A142" s="35" t="str">
        <f aca="false">Suppliers!A142</f>
        <v>Italy</v>
      </c>
      <c r="B142" s="35" t="n">
        <f aca="false">Suppliers!B142</f>
        <v>141</v>
      </c>
      <c r="C142" s="35" t="str">
        <f aca="false">Suppliers!E142</f>
        <v>Deborah Group S.p.A.</v>
      </c>
      <c r="D142" s="35" t="str">
        <f aca="false">Suppliers!D142</f>
        <v>Beauty</v>
      </c>
      <c r="E142" s="36" t="s">
        <v>4484</v>
      </c>
      <c r="F142" s="36" t="s">
        <v>4485</v>
      </c>
      <c r="G142" s="27"/>
      <c r="H142" s="27"/>
      <c r="I142" s="27"/>
      <c r="J142" s="28"/>
      <c r="K142" s="27"/>
      <c r="L142" s="28"/>
      <c r="M142" s="27"/>
      <c r="N142" s="27"/>
    </row>
    <row r="143" customFormat="false" ht="15" hidden="false" customHeight="false" outlineLevel="0" collapsed="false">
      <c r="A143" s="35" t="str">
        <f aca="false">Suppliers!A143</f>
        <v>Italy</v>
      </c>
      <c r="B143" s="35" t="n">
        <f aca="false">Suppliers!B143</f>
        <v>142</v>
      </c>
      <c r="C143" s="35" t="str">
        <f aca="false">Suppliers!E143</f>
        <v>Beta Utensili S.p.A.</v>
      </c>
      <c r="D143" s="35" t="str">
        <f aca="false">Suppliers!D143</f>
        <v>DIY &amp; Tools</v>
      </c>
      <c r="E143" s="36" t="s">
        <v>4484</v>
      </c>
      <c r="F143" s="36" t="s">
        <v>4485</v>
      </c>
      <c r="G143" s="27"/>
      <c r="H143" s="27"/>
      <c r="I143" s="27"/>
      <c r="J143" s="28"/>
      <c r="K143" s="27"/>
      <c r="L143" s="28"/>
      <c r="M143" s="27"/>
      <c r="N143" s="27"/>
    </row>
    <row r="144" customFormat="false" ht="15" hidden="false" customHeight="false" outlineLevel="0" collapsed="false">
      <c r="A144" s="35" t="str">
        <f aca="false">Suppliers!A144</f>
        <v>Italy</v>
      </c>
      <c r="B144" s="35" t="n">
        <f aca="false">Suppliers!B144</f>
        <v>143</v>
      </c>
      <c r="C144" s="35" t="str">
        <f aca="false">Suppliers!E144</f>
        <v>Fervi S.p.A.</v>
      </c>
      <c r="D144" s="35" t="str">
        <f aca="false">Suppliers!D144</f>
        <v>DIY &amp; Tools</v>
      </c>
      <c r="E144" s="36" t="s">
        <v>4484</v>
      </c>
      <c r="F144" s="36" t="s">
        <v>4485</v>
      </c>
      <c r="G144" s="27"/>
      <c r="H144" s="27"/>
      <c r="I144" s="27"/>
      <c r="J144" s="28"/>
      <c r="K144" s="27"/>
      <c r="L144" s="28"/>
      <c r="M144" s="27"/>
      <c r="N144" s="27"/>
    </row>
    <row r="145" customFormat="false" ht="23.85" hidden="false" customHeight="false" outlineLevel="0" collapsed="false">
      <c r="A145" s="35" t="str">
        <f aca="false">Suppliers!A145</f>
        <v>Italy</v>
      </c>
      <c r="B145" s="35" t="n">
        <f aca="false">Suppliers!B145</f>
        <v>144</v>
      </c>
      <c r="C145" s="35" t="str">
        <f aca="false">Suppliers!E145</f>
        <v>Aboca S.p.A. Società Agricola</v>
      </c>
      <c r="D145" s="35" t="str">
        <f aca="false">Suppliers!D145</f>
        <v>Health &amp; Personal Care</v>
      </c>
      <c r="E145" s="36" t="s">
        <v>4484</v>
      </c>
      <c r="F145" s="36" t="s">
        <v>4485</v>
      </c>
      <c r="G145" s="27"/>
      <c r="H145" s="27"/>
      <c r="I145" s="27"/>
      <c r="J145" s="28"/>
      <c r="K145" s="27"/>
      <c r="L145" s="28"/>
      <c r="M145" s="27"/>
      <c r="N145" s="27"/>
    </row>
    <row r="146" customFormat="false" ht="23.85" hidden="false" customHeight="false" outlineLevel="0" collapsed="false">
      <c r="A146" s="35" t="str">
        <f aca="false">Suppliers!A146</f>
        <v>Italy</v>
      </c>
      <c r="B146" s="35" t="n">
        <f aca="false">Suppliers!B146</f>
        <v>145</v>
      </c>
      <c r="C146" s="35" t="str">
        <f aca="false">Suppliers!E146</f>
        <v>Laica S.p.A.</v>
      </c>
      <c r="D146" s="35" t="str">
        <f aca="false">Suppliers!D146</f>
        <v>Health &amp; Personal Care</v>
      </c>
      <c r="E146" s="36" t="s">
        <v>4484</v>
      </c>
      <c r="F146" s="36" t="s">
        <v>4485</v>
      </c>
      <c r="G146" s="27"/>
      <c r="H146" s="27"/>
      <c r="I146" s="27"/>
      <c r="J146" s="28"/>
      <c r="K146" s="27"/>
      <c r="L146" s="28"/>
      <c r="M146" s="27"/>
      <c r="N146" s="27"/>
    </row>
    <row r="147" customFormat="false" ht="15" hidden="false" customHeight="false" outlineLevel="0" collapsed="false">
      <c r="A147" s="35" t="str">
        <f aca="false">Suppliers!A147</f>
        <v>Italy</v>
      </c>
      <c r="B147" s="35" t="n">
        <f aca="false">Suppliers!B147</f>
        <v>146</v>
      </c>
      <c r="C147" s="35" t="str">
        <f aca="false">Suppliers!E147</f>
        <v>Bialetti Industrie S.p.A.</v>
      </c>
      <c r="D147" s="35" t="str">
        <f aca="false">Suppliers!D147</f>
        <v>Home &amp; Kitchen</v>
      </c>
      <c r="E147" s="36" t="s">
        <v>4484</v>
      </c>
      <c r="F147" s="36" t="s">
        <v>4485</v>
      </c>
      <c r="G147" s="27"/>
      <c r="H147" s="27"/>
      <c r="I147" s="27"/>
      <c r="J147" s="28"/>
      <c r="K147" s="27"/>
      <c r="L147" s="28"/>
      <c r="M147" s="27"/>
      <c r="N147" s="27"/>
    </row>
    <row r="148" customFormat="false" ht="23.85" hidden="false" customHeight="false" outlineLevel="0" collapsed="false">
      <c r="A148" s="35" t="str">
        <f aca="false">Suppliers!A148</f>
        <v>Italy</v>
      </c>
      <c r="B148" s="35" t="n">
        <f aca="false">Suppliers!B148</f>
        <v>147</v>
      </c>
      <c r="C148" s="35" t="str">
        <f aca="false">Suppliers!E148</f>
        <v>Tenacta Group S.p.A. (Imetec, Bellissima)</v>
      </c>
      <c r="D148" s="35" t="str">
        <f aca="false">Suppliers!D148</f>
        <v>Home &amp; Kitchen</v>
      </c>
      <c r="E148" s="36" t="s">
        <v>4484</v>
      </c>
      <c r="F148" s="36" t="s">
        <v>4485</v>
      </c>
      <c r="G148" s="27"/>
      <c r="H148" s="27"/>
      <c r="I148" s="27"/>
      <c r="J148" s="28"/>
      <c r="K148" s="27"/>
      <c r="L148" s="28"/>
      <c r="M148" s="27"/>
      <c r="N148" s="27"/>
    </row>
    <row r="149" customFormat="false" ht="15" hidden="false" customHeight="false" outlineLevel="0" collapsed="false">
      <c r="A149" s="35" t="str">
        <f aca="false">Suppliers!A149</f>
        <v>Italy</v>
      </c>
      <c r="B149" s="35" t="n">
        <f aca="false">Suppliers!B149</f>
        <v>148</v>
      </c>
      <c r="C149" s="35" t="str">
        <f aca="false">Suppliers!E149</f>
        <v>ALESSI S.p.A.</v>
      </c>
      <c r="D149" s="35" t="str">
        <f aca="false">Suppliers!D149</f>
        <v>Home &amp; Kitchen</v>
      </c>
      <c r="E149" s="36" t="s">
        <v>4484</v>
      </c>
      <c r="F149" s="36" t="s">
        <v>4485</v>
      </c>
      <c r="G149" s="27"/>
      <c r="H149" s="27"/>
      <c r="I149" s="27"/>
      <c r="J149" s="28"/>
      <c r="K149" s="27"/>
      <c r="L149" s="28"/>
      <c r="M149" s="27"/>
      <c r="N149" s="27"/>
    </row>
    <row r="150" customFormat="false" ht="15" hidden="false" customHeight="false" outlineLevel="0" collapsed="false">
      <c r="A150" s="35" t="str">
        <f aca="false">Suppliers!A150</f>
        <v>Italy</v>
      </c>
      <c r="B150" s="35" t="n">
        <f aca="false">Suppliers!B150</f>
        <v>149</v>
      </c>
      <c r="C150" s="35" t="str">
        <f aca="false">Suppliers!E150</f>
        <v>Ariete S.p.A. (De'Longhi Group)</v>
      </c>
      <c r="D150" s="35" t="str">
        <f aca="false">Suppliers!D150</f>
        <v>Home &amp; Kitchen</v>
      </c>
      <c r="E150" s="36" t="s">
        <v>4484</v>
      </c>
      <c r="F150" s="36" t="s">
        <v>4485</v>
      </c>
      <c r="G150" s="27"/>
      <c r="H150" s="27"/>
      <c r="I150" s="27"/>
      <c r="J150" s="28"/>
      <c r="K150" s="27"/>
      <c r="L150" s="28"/>
      <c r="M150" s="27"/>
      <c r="N150" s="27"/>
    </row>
    <row r="151" customFormat="false" ht="15" hidden="false" customHeight="false" outlineLevel="0" collapsed="false">
      <c r="A151" s="35" t="str">
        <f aca="false">Suppliers!A151</f>
        <v>Italy</v>
      </c>
      <c r="B151" s="35" t="n">
        <f aca="false">Suppliers!B151</f>
        <v>150</v>
      </c>
      <c r="C151" s="35" t="str">
        <f aca="false">Suppliers!E151</f>
        <v>Guardini S.p.A.</v>
      </c>
      <c r="D151" s="35" t="str">
        <f aca="false">Suppliers!D151</f>
        <v>Home &amp; Kitchen</v>
      </c>
      <c r="E151" s="36" t="s">
        <v>4484</v>
      </c>
      <c r="F151" s="36" t="s">
        <v>4485</v>
      </c>
      <c r="G151" s="27"/>
      <c r="H151" s="27"/>
      <c r="I151" s="27"/>
      <c r="J151" s="28"/>
      <c r="K151" s="27"/>
      <c r="L151" s="28"/>
      <c r="M151" s="27"/>
      <c r="N151" s="27"/>
    </row>
    <row r="152" customFormat="false" ht="15" hidden="false" customHeight="false" outlineLevel="0" collapsed="false">
      <c r="A152" s="35" t="str">
        <f aca="false">Suppliers!A152</f>
        <v>Italy</v>
      </c>
      <c r="B152" s="35" t="n">
        <f aca="false">Suppliers!B152</f>
        <v>151</v>
      </c>
      <c r="C152" s="35" t="str">
        <f aca="false">Suppliers!E152</f>
        <v>Ferplast S.p.A.</v>
      </c>
      <c r="D152" s="35" t="str">
        <f aca="false">Suppliers!D152</f>
        <v>Pet Supplies</v>
      </c>
      <c r="E152" s="36" t="s">
        <v>4484</v>
      </c>
      <c r="F152" s="36" t="s">
        <v>4485</v>
      </c>
      <c r="G152" s="27"/>
      <c r="H152" s="27"/>
      <c r="I152" s="27"/>
      <c r="J152" s="28"/>
      <c r="K152" s="27"/>
      <c r="L152" s="28"/>
      <c r="M152" s="27"/>
      <c r="N152" s="27"/>
    </row>
    <row r="153" customFormat="false" ht="15" hidden="false" customHeight="false" outlineLevel="0" collapsed="false">
      <c r="A153" s="35" t="str">
        <f aca="false">Suppliers!A153</f>
        <v>Italy</v>
      </c>
      <c r="B153" s="35" t="n">
        <f aca="false">Suppliers!B153</f>
        <v>152</v>
      </c>
      <c r="C153" s="35" t="str">
        <f aca="false">Suppliers!E153</f>
        <v>Georplast s.r.l.</v>
      </c>
      <c r="D153" s="35" t="str">
        <f aca="false">Suppliers!D153</f>
        <v>Pet Supplies</v>
      </c>
      <c r="E153" s="36" t="s">
        <v>4484</v>
      </c>
      <c r="F153" s="36" t="s">
        <v>4485</v>
      </c>
      <c r="G153" s="27"/>
      <c r="H153" s="27"/>
      <c r="I153" s="27"/>
      <c r="J153" s="28"/>
      <c r="K153" s="27"/>
      <c r="L153" s="28"/>
      <c r="M153" s="27"/>
      <c r="N153" s="27"/>
    </row>
    <row r="154" customFormat="false" ht="15" hidden="false" customHeight="false" outlineLevel="0" collapsed="false">
      <c r="A154" s="35" t="str">
        <f aca="false">Suppliers!A154</f>
        <v>Italy</v>
      </c>
      <c r="B154" s="35" t="n">
        <f aca="false">Suppliers!B154</f>
        <v>153</v>
      </c>
      <c r="C154" s="35" t="str">
        <f aca="false">Suppliers!E154</f>
        <v>Camon &amp; Croci Pet Group S.p.A.</v>
      </c>
      <c r="D154" s="35" t="str">
        <f aca="false">Suppliers!D154</f>
        <v>Pet Supplies</v>
      </c>
      <c r="E154" s="36" t="s">
        <v>4484</v>
      </c>
      <c r="F154" s="36" t="s">
        <v>4485</v>
      </c>
      <c r="G154" s="27"/>
      <c r="H154" s="27"/>
      <c r="I154" s="27"/>
      <c r="J154" s="28"/>
      <c r="K154" s="27"/>
      <c r="L154" s="28"/>
      <c r="M154" s="27"/>
      <c r="N154" s="27"/>
    </row>
    <row r="155" customFormat="false" ht="15" hidden="false" customHeight="false" outlineLevel="0" collapsed="false">
      <c r="A155" s="35" t="str">
        <f aca="false">Suppliers!A155</f>
        <v>Italy</v>
      </c>
      <c r="B155" s="35" t="n">
        <f aca="false">Suppliers!B155</f>
        <v>154</v>
      </c>
      <c r="C155" s="35" t="str">
        <f aca="false">Suppliers!E155</f>
        <v>IMAC S.r.l.</v>
      </c>
      <c r="D155" s="35" t="str">
        <f aca="false">Suppliers!D155</f>
        <v>Pet Supplies</v>
      </c>
      <c r="E155" s="36" t="s">
        <v>4484</v>
      </c>
      <c r="F155" s="36" t="s">
        <v>4485</v>
      </c>
      <c r="G155" s="27"/>
      <c r="H155" s="27"/>
      <c r="I155" s="27"/>
      <c r="J155" s="28"/>
      <c r="K155" s="27"/>
      <c r="L155" s="28"/>
      <c r="M155" s="27"/>
      <c r="N155" s="27"/>
    </row>
    <row r="156" customFormat="false" ht="15" hidden="false" customHeight="false" outlineLevel="0" collapsed="false">
      <c r="A156" s="35" t="str">
        <f aca="false">Suppliers!A156</f>
        <v>Italy</v>
      </c>
      <c r="B156" s="35" t="n">
        <f aca="false">Suppliers!B156</f>
        <v>155</v>
      </c>
      <c r="C156" s="35" t="str">
        <f aca="false">Suppliers!E156</f>
        <v>United Pets S.r.l.</v>
      </c>
      <c r="D156" s="35" t="str">
        <f aca="false">Suppliers!D156</f>
        <v>Pet Supplies</v>
      </c>
      <c r="E156" s="36" t="s">
        <v>4484</v>
      </c>
      <c r="F156" s="36" t="s">
        <v>4485</v>
      </c>
      <c r="G156" s="27"/>
      <c r="H156" s="27"/>
      <c r="I156" s="27"/>
      <c r="J156" s="28"/>
      <c r="K156" s="27"/>
      <c r="L156" s="28"/>
      <c r="M156" s="27"/>
      <c r="N156" s="27"/>
    </row>
    <row r="157" customFormat="false" ht="15" hidden="false" customHeight="false" outlineLevel="0" collapsed="false">
      <c r="A157" s="35" t="str">
        <f aca="false">Suppliers!A157</f>
        <v>Italy</v>
      </c>
      <c r="B157" s="35" t="n">
        <f aca="false">Suppliers!B157</f>
        <v>156</v>
      </c>
      <c r="C157" s="35" t="str">
        <f aca="false">Suppliers!E157</f>
        <v>Cressi Sub S.p.A.</v>
      </c>
      <c r="D157" s="35" t="str">
        <f aca="false">Suppliers!D157</f>
        <v>Sports &amp; Outdoors</v>
      </c>
      <c r="E157" s="36" t="s">
        <v>4484</v>
      </c>
      <c r="F157" s="36" t="s">
        <v>4485</v>
      </c>
      <c r="G157" s="27"/>
      <c r="H157" s="27"/>
      <c r="I157" s="27"/>
      <c r="J157" s="28"/>
      <c r="K157" s="27"/>
      <c r="L157" s="28"/>
      <c r="M157" s="27"/>
      <c r="N157" s="27"/>
    </row>
    <row r="158" customFormat="false" ht="15" hidden="false" customHeight="false" outlineLevel="0" collapsed="false">
      <c r="A158" s="35" t="str">
        <f aca="false">Suppliers!A158</f>
        <v>Italy</v>
      </c>
      <c r="B158" s="35" t="n">
        <f aca="false">Suppliers!B158</f>
        <v>157</v>
      </c>
      <c r="C158" s="35" t="str">
        <f aca="false">Suppliers!E158</f>
        <v>Brunner GmbH/Srl</v>
      </c>
      <c r="D158" s="35" t="str">
        <f aca="false">Suppliers!D158</f>
        <v>Sports &amp; Outdoors</v>
      </c>
      <c r="E158" s="36" t="s">
        <v>4484</v>
      </c>
      <c r="F158" s="36" t="s">
        <v>4485</v>
      </c>
      <c r="G158" s="27"/>
      <c r="H158" s="27"/>
      <c r="I158" s="27"/>
      <c r="J158" s="28"/>
      <c r="K158" s="27"/>
      <c r="L158" s="28"/>
      <c r="M158" s="27"/>
      <c r="N158" s="27"/>
    </row>
    <row r="159" customFormat="false" ht="23.85" hidden="false" customHeight="false" outlineLevel="0" collapsed="false">
      <c r="A159" s="35" t="str">
        <f aca="false">Suppliers!A159</f>
        <v>Italy</v>
      </c>
      <c r="B159" s="35" t="n">
        <f aca="false">Suppliers!B159</f>
        <v>158</v>
      </c>
      <c r="C159" s="35" t="str">
        <f aca="false">Suppliers!E159</f>
        <v>F.I.L.A. S.p.A. (Giotto, Lyra, DOMS, Canson, Daler-Rowney)</v>
      </c>
      <c r="D159" s="35" t="str">
        <f aca="false">Suppliers!D159</f>
        <v>Stationery &amp; Office</v>
      </c>
      <c r="E159" s="36" t="s">
        <v>4484</v>
      </c>
      <c r="F159" s="36" t="s">
        <v>4485</v>
      </c>
      <c r="G159" s="27"/>
      <c r="H159" s="27"/>
      <c r="I159" s="27"/>
      <c r="J159" s="28"/>
      <c r="K159" s="27"/>
      <c r="L159" s="28"/>
      <c r="M159" s="27"/>
      <c r="N159" s="27"/>
    </row>
    <row r="160" customFormat="false" ht="15" hidden="false" customHeight="false" outlineLevel="0" collapsed="false">
      <c r="A160" s="35" t="str">
        <f aca="false">Suppliers!A160</f>
        <v>Italy</v>
      </c>
      <c r="B160" s="35" t="n">
        <f aca="false">Suppliers!B160</f>
        <v>159</v>
      </c>
      <c r="C160" s="35" t="str">
        <f aca="false">Suppliers!E160</f>
        <v>CARIOCA S.p.A.</v>
      </c>
      <c r="D160" s="35" t="str">
        <f aca="false">Suppliers!D160</f>
        <v>Stationery &amp; Office</v>
      </c>
      <c r="E160" s="36" t="s">
        <v>4484</v>
      </c>
      <c r="F160" s="36" t="s">
        <v>4485</v>
      </c>
      <c r="G160" s="27"/>
      <c r="H160" s="27"/>
      <c r="I160" s="27"/>
      <c r="J160" s="28"/>
      <c r="K160" s="27"/>
      <c r="L160" s="28"/>
      <c r="M160" s="27"/>
      <c r="N160" s="27"/>
    </row>
    <row r="161" customFormat="false" ht="15" hidden="false" customHeight="false" outlineLevel="0" collapsed="false">
      <c r="A161" s="35" t="str">
        <f aca="false">Suppliers!A161</f>
        <v>Italy</v>
      </c>
      <c r="B161" s="35" t="n">
        <f aca="false">Suppliers!B161</f>
        <v>160</v>
      </c>
      <c r="C161" s="35" t="str">
        <f aca="false">Suppliers!E161</f>
        <v>Clementoni S.p.A.</v>
      </c>
      <c r="D161" s="35" t="str">
        <f aca="false">Suppliers!D161</f>
        <v>Toys &amp; Games</v>
      </c>
      <c r="E161" s="36" t="s">
        <v>4484</v>
      </c>
      <c r="F161" s="36" t="s">
        <v>4485</v>
      </c>
      <c r="G161" s="27"/>
      <c r="H161" s="27"/>
      <c r="I161" s="27"/>
      <c r="J161" s="28"/>
      <c r="K161" s="27"/>
      <c r="L161" s="28"/>
      <c r="M161" s="27"/>
      <c r="N161" s="27"/>
    </row>
    <row r="162" customFormat="false" ht="15" hidden="false" customHeight="false" outlineLevel="0" collapsed="false">
      <c r="A162" s="35" t="str">
        <f aca="false">Suppliers!A162</f>
        <v>Italy</v>
      </c>
      <c r="B162" s="35" t="n">
        <f aca="false">Suppliers!B162</f>
        <v>161</v>
      </c>
      <c r="C162" s="35" t="str">
        <f aca="false">Suppliers!E162</f>
        <v>Quercetti &amp; C. S.p.A.</v>
      </c>
      <c r="D162" s="35" t="str">
        <f aca="false">Suppliers!D162</f>
        <v>Toys &amp; Games</v>
      </c>
      <c r="E162" s="36" t="s">
        <v>4484</v>
      </c>
      <c r="F162" s="36" t="s">
        <v>4485</v>
      </c>
      <c r="G162" s="27"/>
      <c r="H162" s="27"/>
      <c r="I162" s="27"/>
      <c r="J162" s="28"/>
      <c r="K162" s="27"/>
      <c r="L162" s="28"/>
      <c r="M162" s="27"/>
      <c r="N162" s="27"/>
    </row>
    <row r="163" customFormat="false" ht="15" hidden="false" customHeight="false" outlineLevel="0" collapsed="false">
      <c r="A163" s="35" t="str">
        <f aca="false">Suppliers!A163</f>
        <v>Italy</v>
      </c>
      <c r="B163" s="35" t="n">
        <f aca="false">Suppliers!B163</f>
        <v>162</v>
      </c>
      <c r="C163" s="35" t="str">
        <f aca="false">Suppliers!E163</f>
        <v>Liscianigiochi S.p.A.</v>
      </c>
      <c r="D163" s="35" t="str">
        <f aca="false">Suppliers!D163</f>
        <v>Toys &amp; Games</v>
      </c>
      <c r="E163" s="36" t="s">
        <v>4484</v>
      </c>
      <c r="F163" s="36" t="s">
        <v>4485</v>
      </c>
      <c r="G163" s="27"/>
      <c r="H163" s="27"/>
      <c r="I163" s="27"/>
      <c r="J163" s="28"/>
      <c r="K163" s="27"/>
      <c r="L163" s="28"/>
      <c r="M163" s="27"/>
      <c r="N163" s="27"/>
    </row>
    <row r="164" customFormat="false" ht="15" hidden="false" customHeight="false" outlineLevel="0" collapsed="false">
      <c r="A164" s="35" t="str">
        <f aca="false">Suppliers!A164</f>
        <v>Latvia</v>
      </c>
      <c r="B164" s="35" t="n">
        <f aca="false">Suppliers!B164</f>
        <v>163</v>
      </c>
      <c r="C164" s="35" t="str">
        <f aca="false">Suppliers!E164</f>
        <v>AS MADARA Cosmetics</v>
      </c>
      <c r="D164" s="35" t="str">
        <f aca="false">Suppliers!D164</f>
        <v>Beauty</v>
      </c>
      <c r="E164" s="36" t="s">
        <v>4484</v>
      </c>
      <c r="F164" s="36" t="s">
        <v>4485</v>
      </c>
      <c r="G164" s="27"/>
      <c r="H164" s="27"/>
      <c r="I164" s="27"/>
      <c r="J164" s="28"/>
      <c r="K164" s="27"/>
      <c r="L164" s="28"/>
      <c r="M164" s="27"/>
      <c r="N164" s="27"/>
    </row>
    <row r="165" customFormat="false" ht="15" hidden="false" customHeight="false" outlineLevel="0" collapsed="false">
      <c r="A165" s="35" t="str">
        <f aca="false">Suppliers!A165</f>
        <v>Lithuania</v>
      </c>
      <c r="B165" s="35" t="n">
        <f aca="false">Suppliers!B165</f>
        <v>164</v>
      </c>
      <c r="C165" s="35" t="str">
        <f aca="false">Suppliers!E165</f>
        <v>BIOK laboratorija, UAB</v>
      </c>
      <c r="D165" s="35" t="str">
        <f aca="false">Suppliers!D165</f>
        <v>Beauty</v>
      </c>
      <c r="E165" s="36" t="s">
        <v>4484</v>
      </c>
      <c r="F165" s="36" t="s">
        <v>4485</v>
      </c>
      <c r="G165" s="27"/>
      <c r="H165" s="27"/>
      <c r="I165" s="27"/>
      <c r="J165" s="28"/>
      <c r="K165" s="27"/>
      <c r="L165" s="28"/>
      <c r="M165" s="27"/>
      <c r="N165" s="27"/>
    </row>
    <row r="166" customFormat="false" ht="15" hidden="false" customHeight="false" outlineLevel="0" collapsed="false">
      <c r="A166" s="35" t="str">
        <f aca="false">Suppliers!A166</f>
        <v>Luxembourg</v>
      </c>
      <c r="B166" s="35" t="n">
        <f aca="false">Suppliers!B166</f>
        <v>165</v>
      </c>
      <c r="C166" s="35" t="str">
        <f aca="false">Suppliers!E166</f>
        <v>Keter Luxembourg SARL (Curver)</v>
      </c>
      <c r="D166" s="35" t="str">
        <f aca="false">Suppliers!D166</f>
        <v>Home &amp; Kitchen</v>
      </c>
      <c r="E166" s="36" t="s">
        <v>4484</v>
      </c>
      <c r="F166" s="36" t="s">
        <v>4485</v>
      </c>
      <c r="G166" s="27"/>
      <c r="H166" s="27"/>
      <c r="I166" s="27"/>
      <c r="J166" s="28"/>
      <c r="K166" s="27"/>
      <c r="L166" s="28"/>
      <c r="M166" s="27"/>
      <c r="N166" s="27"/>
    </row>
    <row r="167" customFormat="false" ht="15" hidden="false" customHeight="false" outlineLevel="0" collapsed="false">
      <c r="A167" s="35" t="str">
        <f aca="false">Suppliers!A167</f>
        <v>Netherlands</v>
      </c>
      <c r="B167" s="35" t="n">
        <f aca="false">Suppliers!B167</f>
        <v>166</v>
      </c>
      <c r="C167" s="35" t="str">
        <f aca="false">Suppliers!E167</f>
        <v>Difrax B.V.</v>
      </c>
      <c r="D167" s="35" t="str">
        <f aca="false">Suppliers!D167</f>
        <v>Baby Products</v>
      </c>
      <c r="E167" s="36" t="s">
        <v>4484</v>
      </c>
      <c r="F167" s="36" t="s">
        <v>4485</v>
      </c>
      <c r="G167" s="27"/>
      <c r="H167" s="27"/>
      <c r="I167" s="27"/>
      <c r="J167" s="28"/>
      <c r="K167" s="27"/>
      <c r="L167" s="28"/>
      <c r="M167" s="27"/>
      <c r="N167" s="27"/>
    </row>
    <row r="168" customFormat="false" ht="23.85" hidden="false" customHeight="false" outlineLevel="0" collapsed="false">
      <c r="A168" s="35" t="str">
        <f aca="false">Suppliers!A168</f>
        <v>Netherlands</v>
      </c>
      <c r="B168" s="35" t="n">
        <f aca="false">Suppliers!B168</f>
        <v>167</v>
      </c>
      <c r="C168" s="35" t="str">
        <f aca="false">Suppliers!E168</f>
        <v>Atelier 49 Nederland B.V. (Bébé-Jou, Luma)</v>
      </c>
      <c r="D168" s="35" t="str">
        <f aca="false">Suppliers!D168</f>
        <v>Baby Products</v>
      </c>
      <c r="E168" s="36" t="s">
        <v>4484</v>
      </c>
      <c r="F168" s="36" t="s">
        <v>4485</v>
      </c>
      <c r="G168" s="27"/>
      <c r="H168" s="27"/>
      <c r="I168" s="27"/>
      <c r="J168" s="28"/>
      <c r="K168" s="27"/>
      <c r="L168" s="28"/>
      <c r="M168" s="27"/>
      <c r="N168" s="27"/>
    </row>
    <row r="169" customFormat="false" ht="23.85" hidden="false" customHeight="false" outlineLevel="0" collapsed="false">
      <c r="A169" s="35" t="str">
        <f aca="false">Suppliers!A169</f>
        <v>Netherlands</v>
      </c>
      <c r="B169" s="35" t="n">
        <f aca="false">Suppliers!B169</f>
        <v>168</v>
      </c>
      <c r="C169" s="35" t="str">
        <f aca="false">Suppliers!E169</f>
        <v>West Coast Supply Group</v>
      </c>
      <c r="D169" s="35" t="str">
        <f aca="false">Suppliers!D169</f>
        <v>General Wholesale / FMCG</v>
      </c>
      <c r="E169" s="36" t="s">
        <v>4484</v>
      </c>
      <c r="F169" s="36" t="s">
        <v>4485</v>
      </c>
      <c r="G169" s="27"/>
      <c r="H169" s="27"/>
      <c r="I169" s="27"/>
      <c r="J169" s="28"/>
      <c r="K169" s="27"/>
      <c r="L169" s="28"/>
      <c r="M169" s="27"/>
      <c r="N169" s="27"/>
    </row>
    <row r="170" customFormat="false" ht="23.85" hidden="false" customHeight="false" outlineLevel="0" collapsed="false">
      <c r="A170" s="35" t="str">
        <f aca="false">Suppliers!A170</f>
        <v>Netherlands</v>
      </c>
      <c r="B170" s="35" t="n">
        <f aca="false">Suppliers!B170</f>
        <v>169</v>
      </c>
      <c r="C170" s="35" t="str">
        <f aca="false">Suppliers!E170</f>
        <v>NaskorSports B.V.</v>
      </c>
      <c r="D170" s="35" t="str">
        <f aca="false">Suppliers!D170</f>
        <v>Health &amp; Personal Care</v>
      </c>
      <c r="E170" s="36" t="s">
        <v>4484</v>
      </c>
      <c r="F170" s="36" t="s">
        <v>4485</v>
      </c>
      <c r="G170" s="27"/>
      <c r="H170" s="27"/>
      <c r="I170" s="27"/>
      <c r="J170" s="28"/>
      <c r="K170" s="27"/>
      <c r="L170" s="28"/>
      <c r="M170" s="27"/>
      <c r="N170" s="27"/>
    </row>
    <row r="171" customFormat="false" ht="23.85" hidden="false" customHeight="false" outlineLevel="0" collapsed="false">
      <c r="A171" s="35" t="str">
        <f aca="false">Suppliers!A171</f>
        <v>Netherlands</v>
      </c>
      <c r="B171" s="35" t="n">
        <f aca="false">Suppliers!B171</f>
        <v>170</v>
      </c>
      <c r="C171" s="35" t="str">
        <f aca="false">Suppliers!E171</f>
        <v>Parallel B.V. (ParallelBroker)</v>
      </c>
      <c r="D171" s="35" t="str">
        <f aca="false">Suppliers!D171</f>
        <v>Health &amp; Personal Care</v>
      </c>
      <c r="E171" s="36" t="s">
        <v>4484</v>
      </c>
      <c r="F171" s="36" t="s">
        <v>4485</v>
      </c>
      <c r="G171" s="27"/>
      <c r="H171" s="27"/>
      <c r="I171" s="27"/>
      <c r="J171" s="28"/>
      <c r="K171" s="27"/>
      <c r="L171" s="28"/>
      <c r="M171" s="27"/>
      <c r="N171" s="27"/>
    </row>
    <row r="172" customFormat="false" ht="15" hidden="false" customHeight="false" outlineLevel="0" collapsed="false">
      <c r="A172" s="35" t="str">
        <f aca="false">Suppliers!A172</f>
        <v>Netherlands</v>
      </c>
      <c r="B172" s="35" t="n">
        <f aca="false">Suppliers!B172</f>
        <v>171</v>
      </c>
      <c r="C172" s="35" t="str">
        <f aca="false">Suppliers!E172</f>
        <v>Brabantia Export BV</v>
      </c>
      <c r="D172" s="35" t="str">
        <f aca="false">Suppliers!D172</f>
        <v>Home &amp; Kitchen</v>
      </c>
      <c r="E172" s="36" t="s">
        <v>4484</v>
      </c>
      <c r="F172" s="36" t="s">
        <v>4485</v>
      </c>
      <c r="G172" s="27"/>
      <c r="H172" s="27"/>
      <c r="I172" s="27"/>
      <c r="J172" s="28"/>
      <c r="K172" s="27"/>
      <c r="L172" s="28"/>
      <c r="M172" s="27"/>
      <c r="N172" s="27"/>
    </row>
    <row r="173" customFormat="false" ht="15" hidden="false" customHeight="false" outlineLevel="0" collapsed="false">
      <c r="A173" s="35" t="str">
        <f aca="false">Suppliers!A173</f>
        <v>Netherlands</v>
      </c>
      <c r="B173" s="35" t="n">
        <f aca="false">Suppliers!B173</f>
        <v>172</v>
      </c>
      <c r="C173" s="35" t="str">
        <f aca="false">Suppliers!E173</f>
        <v>Bolsius Nederland BV</v>
      </c>
      <c r="D173" s="35" t="str">
        <f aca="false">Suppliers!D173</f>
        <v>Home &amp; Kitchen</v>
      </c>
      <c r="E173" s="36" t="s">
        <v>4484</v>
      </c>
      <c r="F173" s="36" t="s">
        <v>4485</v>
      </c>
      <c r="G173" s="27"/>
      <c r="H173" s="27"/>
      <c r="I173" s="27"/>
      <c r="J173" s="28"/>
      <c r="K173" s="27"/>
      <c r="L173" s="28"/>
      <c r="M173" s="27"/>
      <c r="N173" s="27"/>
    </row>
    <row r="174" customFormat="false" ht="15" hidden="false" customHeight="false" outlineLevel="0" collapsed="false">
      <c r="A174" s="35" t="str">
        <f aca="false">Suppliers!A174</f>
        <v>Netherlands</v>
      </c>
      <c r="B174" s="35" t="n">
        <f aca="false">Suppliers!B174</f>
        <v>173</v>
      </c>
      <c r="C174" s="35" t="str">
        <f aca="false">Suppliers!E174</f>
        <v>Koopman International B.V.</v>
      </c>
      <c r="D174" s="35" t="str">
        <f aca="false">Suppliers!D174</f>
        <v>Home &amp; Kitchen</v>
      </c>
      <c r="E174" s="36" t="s">
        <v>4484</v>
      </c>
      <c r="F174" s="36" t="s">
        <v>4485</v>
      </c>
      <c r="G174" s="27"/>
      <c r="H174" s="27"/>
      <c r="I174" s="27"/>
      <c r="J174" s="28"/>
      <c r="K174" s="27"/>
      <c r="L174" s="28"/>
      <c r="M174" s="27"/>
      <c r="N174" s="27"/>
    </row>
    <row r="175" customFormat="false" ht="15" hidden="false" customHeight="false" outlineLevel="0" collapsed="false">
      <c r="A175" s="35" t="str">
        <f aca="false">Suppliers!A175</f>
        <v>Netherlands</v>
      </c>
      <c r="B175" s="35" t="n">
        <f aca="false">Suppliers!B175</f>
        <v>174</v>
      </c>
      <c r="C175" s="35" t="str">
        <f aca="false">Suppliers!E175</f>
        <v>Mepal B.V.</v>
      </c>
      <c r="D175" s="35" t="str">
        <f aca="false">Suppliers!D175</f>
        <v>Home &amp; Kitchen</v>
      </c>
      <c r="E175" s="36" t="s">
        <v>4484</v>
      </c>
      <c r="F175" s="36" t="s">
        <v>4485</v>
      </c>
      <c r="G175" s="27"/>
      <c r="H175" s="27"/>
      <c r="I175" s="27"/>
      <c r="J175" s="28"/>
      <c r="K175" s="27"/>
      <c r="L175" s="28"/>
      <c r="M175" s="27"/>
      <c r="N175" s="27"/>
    </row>
    <row r="176" customFormat="false" ht="23.85" hidden="false" customHeight="false" outlineLevel="0" collapsed="false">
      <c r="A176" s="35" t="str">
        <f aca="false">Suppliers!A176</f>
        <v>Netherlands</v>
      </c>
      <c r="B176" s="35" t="n">
        <f aca="false">Suppliers!B176</f>
        <v>175</v>
      </c>
      <c r="C176" s="35" t="str">
        <f aca="false">Suppliers!E176</f>
        <v>Tristar Europe B.V. (Smartwares Group)</v>
      </c>
      <c r="D176" s="35" t="str">
        <f aca="false">Suppliers!D176</f>
        <v>Home &amp; Kitchen</v>
      </c>
      <c r="E176" s="36" t="s">
        <v>4484</v>
      </c>
      <c r="F176" s="36" t="s">
        <v>4485</v>
      </c>
      <c r="G176" s="27"/>
      <c r="H176" s="27"/>
      <c r="I176" s="27"/>
      <c r="J176" s="28"/>
      <c r="K176" s="27"/>
      <c r="L176" s="28"/>
      <c r="M176" s="27"/>
      <c r="N176" s="27"/>
    </row>
    <row r="177" customFormat="false" ht="15" hidden="false" customHeight="false" outlineLevel="0" collapsed="false">
      <c r="A177" s="35" t="str">
        <f aca="false">Suppliers!A177</f>
        <v>Netherlands</v>
      </c>
      <c r="B177" s="35" t="n">
        <f aca="false">Suppliers!B177</f>
        <v>176</v>
      </c>
      <c r="C177" s="35" t="str">
        <f aca="false">Suppliers!E177</f>
        <v>Sunware B.V.</v>
      </c>
      <c r="D177" s="35" t="str">
        <f aca="false">Suppliers!D177</f>
        <v>Home &amp; Kitchen</v>
      </c>
      <c r="E177" s="36" t="s">
        <v>4484</v>
      </c>
      <c r="F177" s="36" t="s">
        <v>4485</v>
      </c>
      <c r="G177" s="27"/>
      <c r="H177" s="27"/>
      <c r="I177" s="27"/>
      <c r="J177" s="28"/>
      <c r="K177" s="27"/>
      <c r="L177" s="28"/>
      <c r="M177" s="27"/>
      <c r="N177" s="27"/>
    </row>
    <row r="178" customFormat="false" ht="15" hidden="false" customHeight="false" outlineLevel="0" collapsed="false">
      <c r="A178" s="35" t="str">
        <f aca="false">Suppliers!A178</f>
        <v>Netherlands</v>
      </c>
      <c r="B178" s="35" t="n">
        <f aca="false">Suppliers!B178</f>
        <v>177</v>
      </c>
      <c r="C178" s="35" t="str">
        <f aca="false">Suppliers!E178</f>
        <v>vidaXL / dropshippingXL</v>
      </c>
      <c r="D178" s="35" t="str">
        <f aca="false">Suppliers!D178</f>
        <v>Home &amp; Kitchen</v>
      </c>
      <c r="E178" s="36" t="s">
        <v>4484</v>
      </c>
      <c r="F178" s="36" t="s">
        <v>4485</v>
      </c>
      <c r="G178" s="27"/>
      <c r="H178" s="27"/>
      <c r="I178" s="27"/>
      <c r="J178" s="28"/>
      <c r="K178" s="27"/>
      <c r="L178" s="28"/>
      <c r="M178" s="27"/>
      <c r="N178" s="27"/>
    </row>
    <row r="179" customFormat="false" ht="15" hidden="false" customHeight="false" outlineLevel="0" collapsed="false">
      <c r="A179" s="35" t="str">
        <f aca="false">Suppliers!A179</f>
        <v>Netherlands</v>
      </c>
      <c r="B179" s="35" t="n">
        <f aca="false">Suppliers!B179</f>
        <v>178</v>
      </c>
      <c r="C179" s="35" t="str">
        <f aca="false">Suppliers!E179</f>
        <v>Beaphar B.V.</v>
      </c>
      <c r="D179" s="35" t="str">
        <f aca="false">Suppliers!D179</f>
        <v>Pet Supplies</v>
      </c>
      <c r="E179" s="36" t="s">
        <v>4484</v>
      </c>
      <c r="F179" s="36" t="s">
        <v>4485</v>
      </c>
      <c r="G179" s="27"/>
      <c r="H179" s="27"/>
      <c r="I179" s="27"/>
      <c r="J179" s="28"/>
      <c r="K179" s="27"/>
      <c r="L179" s="28"/>
      <c r="M179" s="27"/>
      <c r="N179" s="27"/>
    </row>
    <row r="180" customFormat="false" ht="23.85" hidden="false" customHeight="false" outlineLevel="0" collapsed="false">
      <c r="A180" s="35" t="str">
        <f aca="false">Suppliers!A180</f>
        <v>Netherlands</v>
      </c>
      <c r="B180" s="35" t="n">
        <f aca="false">Suppliers!B180</f>
        <v>179</v>
      </c>
      <c r="C180" s="35" t="str">
        <f aca="false">Suppliers!E180</f>
        <v>Van der Meer Groothandel in Dierbenodigdheden B.V.</v>
      </c>
      <c r="D180" s="35" t="str">
        <f aca="false">Suppliers!D180</f>
        <v>Pet Supplies</v>
      </c>
      <c r="E180" s="36" t="s">
        <v>4484</v>
      </c>
      <c r="F180" s="36" t="s">
        <v>4485</v>
      </c>
      <c r="G180" s="27"/>
      <c r="H180" s="27"/>
      <c r="I180" s="27"/>
      <c r="J180" s="28"/>
      <c r="K180" s="27"/>
      <c r="L180" s="28"/>
      <c r="M180" s="27"/>
      <c r="N180" s="27"/>
    </row>
    <row r="181" customFormat="false" ht="15" hidden="false" customHeight="false" outlineLevel="0" collapsed="false">
      <c r="A181" s="35" t="str">
        <f aca="false">Suppliers!A181</f>
        <v>Netherlands</v>
      </c>
      <c r="B181" s="35" t="n">
        <f aca="false">Suppliers!B181</f>
        <v>180</v>
      </c>
      <c r="C181" s="35" t="str">
        <f aca="false">Suppliers!E181</f>
        <v>Beeztees</v>
      </c>
      <c r="D181" s="35" t="str">
        <f aca="false">Suppliers!D181</f>
        <v>Pet Supplies</v>
      </c>
      <c r="E181" s="36" t="s">
        <v>4484</v>
      </c>
      <c r="F181" s="36" t="s">
        <v>4485</v>
      </c>
      <c r="G181" s="27"/>
      <c r="H181" s="27"/>
      <c r="I181" s="27"/>
      <c r="J181" s="28"/>
      <c r="K181" s="27"/>
      <c r="L181" s="28"/>
      <c r="M181" s="27"/>
      <c r="N181" s="27"/>
    </row>
    <row r="182" customFormat="false" ht="15" hidden="false" customHeight="false" outlineLevel="0" collapsed="false">
      <c r="A182" s="35" t="str">
        <f aca="false">Suppliers!A182</f>
        <v>Netherlands</v>
      </c>
      <c r="B182" s="35" t="n">
        <f aca="false">Suppliers!B182</f>
        <v>181</v>
      </c>
      <c r="C182" s="35" t="str">
        <f aca="false">Suppliers!E182</f>
        <v>NRG Fitness B.V.</v>
      </c>
      <c r="D182" s="35" t="str">
        <f aca="false">Suppliers!D182</f>
        <v>Sports &amp; Outdoors</v>
      </c>
      <c r="E182" s="36" t="s">
        <v>4484</v>
      </c>
      <c r="F182" s="36" t="s">
        <v>4485</v>
      </c>
      <c r="G182" s="27"/>
      <c r="H182" s="27"/>
      <c r="I182" s="27"/>
      <c r="J182" s="28"/>
      <c r="K182" s="27"/>
      <c r="L182" s="28"/>
      <c r="M182" s="27"/>
      <c r="N182" s="27"/>
    </row>
    <row r="183" customFormat="false" ht="15" hidden="false" customHeight="false" outlineLevel="0" collapsed="false">
      <c r="A183" s="35" t="str">
        <f aca="false">Suppliers!A183</f>
        <v>Netherlands</v>
      </c>
      <c r="B183" s="35" t="n">
        <f aca="false">Suppliers!B183</f>
        <v>182</v>
      </c>
      <c r="C183" s="35" t="str">
        <f aca="false">Suppliers!E183</f>
        <v>ALSO Nederland</v>
      </c>
      <c r="D183" s="35" t="str">
        <f aca="false">Suppliers!D183</f>
        <v>Stationery &amp; Office</v>
      </c>
      <c r="E183" s="36" t="s">
        <v>4484</v>
      </c>
      <c r="F183" s="36" t="s">
        <v>4485</v>
      </c>
      <c r="G183" s="27"/>
      <c r="H183" s="27"/>
      <c r="I183" s="27"/>
      <c r="J183" s="28"/>
      <c r="K183" s="27"/>
      <c r="L183" s="28"/>
      <c r="M183" s="27"/>
      <c r="N183" s="27"/>
    </row>
    <row r="184" customFormat="false" ht="15" hidden="false" customHeight="false" outlineLevel="0" collapsed="false">
      <c r="A184" s="35" t="str">
        <f aca="false">Suppliers!A184</f>
        <v>Netherlands</v>
      </c>
      <c r="B184" s="35" t="n">
        <f aca="false">Suppliers!B184</f>
        <v>183</v>
      </c>
      <c r="C184" s="35" t="str">
        <f aca="false">Suppliers!E184</f>
        <v>Complies BV</v>
      </c>
      <c r="D184" s="35" t="str">
        <f aca="false">Suppliers!D184</f>
        <v>Stationery &amp; Office</v>
      </c>
      <c r="E184" s="36" t="s">
        <v>4484</v>
      </c>
      <c r="F184" s="36" t="s">
        <v>4485</v>
      </c>
      <c r="G184" s="27"/>
      <c r="H184" s="27"/>
      <c r="I184" s="27"/>
      <c r="J184" s="28"/>
      <c r="K184" s="27"/>
      <c r="L184" s="28"/>
      <c r="M184" s="27"/>
      <c r="N184" s="27"/>
    </row>
    <row r="185" customFormat="false" ht="23.85" hidden="false" customHeight="false" outlineLevel="0" collapsed="false">
      <c r="A185" s="35" t="str">
        <f aca="false">Suppliers!A185</f>
        <v>Netherlands</v>
      </c>
      <c r="B185" s="35" t="n">
        <f aca="false">Suppliers!B185</f>
        <v>184</v>
      </c>
      <c r="C185" s="35" t="str">
        <f aca="false">Suppliers!E185</f>
        <v>European Player Network (EPN) - Asmodee</v>
      </c>
      <c r="D185" s="35" t="str">
        <f aca="false">Suppliers!D185</f>
        <v>Toys &amp; Games</v>
      </c>
      <c r="E185" s="36" t="s">
        <v>4484</v>
      </c>
      <c r="F185" s="36" t="s">
        <v>4485</v>
      </c>
      <c r="G185" s="27"/>
      <c r="H185" s="27"/>
      <c r="I185" s="27"/>
      <c r="J185" s="28"/>
      <c r="K185" s="27"/>
      <c r="L185" s="28"/>
      <c r="M185" s="27"/>
      <c r="N185" s="27"/>
    </row>
    <row r="186" customFormat="false" ht="15" hidden="false" customHeight="false" outlineLevel="0" collapsed="false">
      <c r="A186" s="35" t="str">
        <f aca="false">Suppliers!A186</f>
        <v>Netherlands</v>
      </c>
      <c r="B186" s="35" t="n">
        <f aca="false">Suppliers!B186</f>
        <v>185</v>
      </c>
      <c r="C186" s="35" t="str">
        <f aca="false">Suppliers!E186</f>
        <v>Koninklijke Jumbo B.V. (Jumbo Group)</v>
      </c>
      <c r="D186" s="35" t="str">
        <f aca="false">Suppliers!D186</f>
        <v>Toys &amp; Games</v>
      </c>
      <c r="E186" s="36" t="s">
        <v>4484</v>
      </c>
      <c r="F186" s="36" t="s">
        <v>4485</v>
      </c>
      <c r="G186" s="27"/>
      <c r="H186" s="27"/>
      <c r="I186" s="27"/>
      <c r="J186" s="28"/>
      <c r="K186" s="27"/>
      <c r="L186" s="28"/>
      <c r="M186" s="27"/>
      <c r="N186" s="27"/>
    </row>
    <row r="187" customFormat="false" ht="15" hidden="false" customHeight="false" outlineLevel="0" collapsed="false">
      <c r="A187" s="35" t="str">
        <f aca="false">Suppliers!A187</f>
        <v>Netherlands</v>
      </c>
      <c r="B187" s="35" t="n">
        <f aca="false">Suppliers!B187</f>
        <v>186</v>
      </c>
      <c r="C187" s="35" t="str">
        <f aca="false">Suppliers!E187</f>
        <v>Spectron The Toy Company</v>
      </c>
      <c r="D187" s="35" t="str">
        <f aca="false">Suppliers!D187</f>
        <v>Toys &amp; Games</v>
      </c>
      <c r="E187" s="36" t="s">
        <v>4484</v>
      </c>
      <c r="F187" s="36" t="s">
        <v>4485</v>
      </c>
      <c r="G187" s="27"/>
      <c r="H187" s="27"/>
      <c r="I187" s="27"/>
      <c r="J187" s="28"/>
      <c r="K187" s="27"/>
      <c r="L187" s="28"/>
      <c r="M187" s="27"/>
      <c r="N187" s="27"/>
    </row>
    <row r="188" customFormat="false" ht="15" hidden="false" customHeight="false" outlineLevel="0" collapsed="false">
      <c r="A188" s="35" t="str">
        <f aca="false">Suppliers!A188</f>
        <v>Netherlands</v>
      </c>
      <c r="B188" s="35" t="n">
        <f aca="false">Suppliers!B188</f>
        <v>187</v>
      </c>
      <c r="C188" s="35" t="str">
        <f aca="false">Suppliers!E188</f>
        <v>SES Creative B.V.</v>
      </c>
      <c r="D188" s="35" t="str">
        <f aca="false">Suppliers!D188</f>
        <v>Toys &amp; Games</v>
      </c>
      <c r="E188" s="36" t="s">
        <v>4484</v>
      </c>
      <c r="F188" s="36" t="s">
        <v>4485</v>
      </c>
      <c r="G188" s="27"/>
      <c r="H188" s="27"/>
      <c r="I188" s="27"/>
      <c r="J188" s="28"/>
      <c r="K188" s="27"/>
      <c r="L188" s="28"/>
      <c r="M188" s="27"/>
      <c r="N188" s="27"/>
    </row>
    <row r="189" customFormat="false" ht="15" hidden="false" customHeight="false" outlineLevel="0" collapsed="false">
      <c r="A189" s="35" t="str">
        <f aca="false">Suppliers!A189</f>
        <v>Netherlands</v>
      </c>
      <c r="B189" s="35" t="n">
        <f aca="false">Suppliers!B189</f>
        <v>188</v>
      </c>
      <c r="C189" s="35" t="str">
        <f aca="false">Suppliers!E189</f>
        <v>Toi-Toys</v>
      </c>
      <c r="D189" s="35" t="str">
        <f aca="false">Suppliers!D189</f>
        <v>Toys &amp; Games</v>
      </c>
      <c r="E189" s="36" t="s">
        <v>4484</v>
      </c>
      <c r="F189" s="36" t="s">
        <v>4485</v>
      </c>
      <c r="G189" s="27"/>
      <c r="H189" s="27"/>
      <c r="I189" s="27"/>
      <c r="J189" s="28"/>
      <c r="K189" s="27"/>
      <c r="L189" s="28"/>
      <c r="M189" s="27"/>
      <c r="N189" s="27"/>
    </row>
    <row r="190" customFormat="false" ht="15" hidden="false" customHeight="false" outlineLevel="0" collapsed="false">
      <c r="A190" s="35" t="str">
        <f aca="false">Suppliers!A190</f>
        <v>Poland</v>
      </c>
      <c r="B190" s="35" t="n">
        <f aca="false">Suppliers!B190</f>
        <v>189</v>
      </c>
      <c r="C190" s="35" t="str">
        <f aca="false">Suppliers!E190</f>
        <v>BrandLine Group Sp. z o.o. (Lionelo)</v>
      </c>
      <c r="D190" s="35" t="str">
        <f aca="false">Suppliers!D190</f>
        <v>Baby Products</v>
      </c>
      <c r="E190" s="36" t="s">
        <v>4484</v>
      </c>
      <c r="F190" s="36" t="s">
        <v>4485</v>
      </c>
      <c r="G190" s="27"/>
      <c r="H190" s="27"/>
      <c r="I190" s="27"/>
      <c r="J190" s="28"/>
      <c r="K190" s="27"/>
      <c r="L190" s="28"/>
      <c r="M190" s="27"/>
      <c r="N190" s="27"/>
    </row>
    <row r="191" customFormat="false" ht="15" hidden="false" customHeight="false" outlineLevel="0" collapsed="false">
      <c r="A191" s="35" t="str">
        <f aca="false">Suppliers!A191</f>
        <v>Poland</v>
      </c>
      <c r="B191" s="35" t="n">
        <f aca="false">Suppliers!B191</f>
        <v>190</v>
      </c>
      <c r="C191" s="35" t="str">
        <f aca="false">Suppliers!E191</f>
        <v>4Kraft Sp. z o.o. (Kinderkraft, Kiddy)</v>
      </c>
      <c r="D191" s="35" t="str">
        <f aca="false">Suppliers!D191</f>
        <v>Baby Products</v>
      </c>
      <c r="E191" s="36" t="s">
        <v>4484</v>
      </c>
      <c r="F191" s="36" t="s">
        <v>4485</v>
      </c>
      <c r="G191" s="27"/>
      <c r="H191" s="27"/>
      <c r="I191" s="27"/>
      <c r="J191" s="28"/>
      <c r="K191" s="27"/>
      <c r="L191" s="28"/>
      <c r="M191" s="27"/>
      <c r="N191" s="27"/>
    </row>
    <row r="192" customFormat="false" ht="15" hidden="false" customHeight="false" outlineLevel="0" collapsed="false">
      <c r="A192" s="35" t="str">
        <f aca="false">Suppliers!A192</f>
        <v>Poland</v>
      </c>
      <c r="B192" s="35" t="n">
        <f aca="false">Suppliers!B192</f>
        <v>191</v>
      </c>
      <c r="C192" s="35" t="str">
        <f aca="false">Suppliers!E192</f>
        <v>Kids Inspirations Sp. z o.o.</v>
      </c>
      <c r="D192" s="35" t="str">
        <f aca="false">Suppliers!D192</f>
        <v>Baby Products</v>
      </c>
      <c r="E192" s="36" t="s">
        <v>4484</v>
      </c>
      <c r="F192" s="36" t="s">
        <v>4485</v>
      </c>
      <c r="G192" s="27"/>
      <c r="H192" s="27"/>
      <c r="I192" s="27"/>
      <c r="J192" s="28"/>
      <c r="K192" s="27"/>
      <c r="L192" s="28"/>
      <c r="M192" s="27"/>
      <c r="N192" s="27"/>
    </row>
    <row r="193" customFormat="false" ht="23.85" hidden="false" customHeight="false" outlineLevel="0" collapsed="false">
      <c r="A193" s="35" t="str">
        <f aca="false">Suppliers!A193</f>
        <v>Poland</v>
      </c>
      <c r="B193" s="35" t="n">
        <f aca="false">Suppliers!B193</f>
        <v>192</v>
      </c>
      <c r="C193" s="35" t="str">
        <f aca="false">Suppliers!E193</f>
        <v>Canpol Sp. z o.o. (Canpol babies, LOVI, Difrax)</v>
      </c>
      <c r="D193" s="35" t="str">
        <f aca="false">Suppliers!D193</f>
        <v>Baby Products</v>
      </c>
      <c r="E193" s="36" t="s">
        <v>4484</v>
      </c>
      <c r="F193" s="36" t="s">
        <v>4485</v>
      </c>
      <c r="G193" s="27"/>
      <c r="H193" s="27"/>
      <c r="I193" s="27"/>
      <c r="J193" s="28"/>
      <c r="K193" s="27"/>
      <c r="L193" s="28"/>
      <c r="M193" s="27"/>
      <c r="N193" s="27"/>
    </row>
    <row r="194" customFormat="false" ht="15" hidden="false" customHeight="false" outlineLevel="0" collapsed="false">
      <c r="A194" s="35" t="str">
        <f aca="false">Suppliers!A194</f>
        <v>Poland</v>
      </c>
      <c r="B194" s="35" t="n">
        <f aca="false">Suppliers!B194</f>
        <v>193</v>
      </c>
      <c r="C194" s="35" t="str">
        <f aca="false">Suppliers!E194</f>
        <v>Ceba Sp. z o.o. (Ceba Baby)</v>
      </c>
      <c r="D194" s="35" t="str">
        <f aca="false">Suppliers!D194</f>
        <v>Baby Products</v>
      </c>
      <c r="E194" s="36" t="s">
        <v>4484</v>
      </c>
      <c r="F194" s="36" t="s">
        <v>4485</v>
      </c>
      <c r="G194" s="27"/>
      <c r="H194" s="27"/>
      <c r="I194" s="27"/>
      <c r="J194" s="28"/>
      <c r="K194" s="27"/>
      <c r="L194" s="28"/>
      <c r="M194" s="27"/>
      <c r="N194" s="27"/>
    </row>
    <row r="195" customFormat="false" ht="15" hidden="false" customHeight="false" outlineLevel="0" collapsed="false">
      <c r="A195" s="35" t="str">
        <f aca="false">Suppliers!A195</f>
        <v>Poland</v>
      </c>
      <c r="B195" s="35" t="n">
        <f aca="false">Suppliers!B195</f>
        <v>194</v>
      </c>
      <c r="C195" s="35" t="str">
        <f aca="false">Suppliers!E195</f>
        <v>WOMAR (Zaffiro brand)</v>
      </c>
      <c r="D195" s="35" t="str">
        <f aca="false">Suppliers!D195</f>
        <v>Baby Products</v>
      </c>
      <c r="E195" s="36" t="s">
        <v>4484</v>
      </c>
      <c r="F195" s="36" t="s">
        <v>4485</v>
      </c>
      <c r="G195" s="27"/>
      <c r="H195" s="27"/>
      <c r="I195" s="27"/>
      <c r="J195" s="28"/>
      <c r="K195" s="27"/>
      <c r="L195" s="28"/>
      <c r="M195" s="27"/>
      <c r="N195" s="27"/>
    </row>
    <row r="196" customFormat="false" ht="15" hidden="false" customHeight="false" outlineLevel="0" collapsed="false">
      <c r="A196" s="35" t="str">
        <f aca="false">Suppliers!A196</f>
        <v>Poland</v>
      </c>
      <c r="B196" s="35" t="n">
        <f aca="false">Suppliers!B196</f>
        <v>195</v>
      </c>
      <c r="C196" s="35" t="str">
        <f aca="false">Suppliers!E196</f>
        <v>BabyOno</v>
      </c>
      <c r="D196" s="35" t="str">
        <f aca="false">Suppliers!D196</f>
        <v>Baby Products</v>
      </c>
      <c r="E196" s="36" t="s">
        <v>4484</v>
      </c>
      <c r="F196" s="36" t="s">
        <v>4485</v>
      </c>
      <c r="G196" s="27"/>
      <c r="H196" s="27"/>
      <c r="I196" s="27"/>
      <c r="J196" s="28"/>
      <c r="K196" s="27"/>
      <c r="L196" s="28"/>
      <c r="M196" s="27"/>
      <c r="N196" s="27"/>
    </row>
    <row r="197" customFormat="false" ht="15" hidden="false" customHeight="false" outlineLevel="0" collapsed="false">
      <c r="A197" s="35" t="str">
        <f aca="false">Suppliers!A197</f>
        <v>Poland</v>
      </c>
      <c r="B197" s="35" t="n">
        <f aca="false">Suppliers!B197</f>
        <v>196</v>
      </c>
      <c r="C197" s="35" t="str">
        <f aca="false">Suppliers!E197</f>
        <v>Eveline Cosmetics</v>
      </c>
      <c r="D197" s="35" t="str">
        <f aca="false">Suppliers!D197</f>
        <v>Beauty</v>
      </c>
      <c r="E197" s="36" t="s">
        <v>4484</v>
      </c>
      <c r="F197" s="36" t="s">
        <v>4485</v>
      </c>
      <c r="G197" s="27"/>
      <c r="H197" s="27"/>
      <c r="I197" s="27"/>
      <c r="J197" s="28"/>
      <c r="K197" s="27"/>
      <c r="L197" s="28"/>
      <c r="M197" s="27"/>
      <c r="N197" s="27"/>
    </row>
    <row r="198" customFormat="false" ht="15" hidden="false" customHeight="false" outlineLevel="0" collapsed="false">
      <c r="A198" s="35" t="str">
        <f aca="false">Suppliers!A198</f>
        <v>Poland</v>
      </c>
      <c r="B198" s="35" t="n">
        <f aca="false">Suppliers!B198</f>
        <v>197</v>
      </c>
      <c r="C198" s="35" t="str">
        <f aca="false">Suppliers!E198</f>
        <v>Ziaja Ltd</v>
      </c>
      <c r="D198" s="35" t="str">
        <f aca="false">Suppliers!D198</f>
        <v>Beauty</v>
      </c>
      <c r="E198" s="36" t="s">
        <v>4484</v>
      </c>
      <c r="F198" s="36" t="s">
        <v>4485</v>
      </c>
      <c r="G198" s="27"/>
      <c r="H198" s="27"/>
      <c r="I198" s="27"/>
      <c r="J198" s="28"/>
      <c r="K198" s="27"/>
      <c r="L198" s="28"/>
      <c r="M198" s="27"/>
      <c r="N198" s="27"/>
    </row>
    <row r="199" customFormat="false" ht="15" hidden="false" customHeight="false" outlineLevel="0" collapsed="false">
      <c r="A199" s="35" t="str">
        <f aca="false">Suppliers!A199</f>
        <v>Poland</v>
      </c>
      <c r="B199" s="35" t="n">
        <f aca="false">Suppliers!B199</f>
        <v>198</v>
      </c>
      <c r="C199" s="35" t="str">
        <f aca="false">Suppliers!E199</f>
        <v>Bielenda Group S.A.</v>
      </c>
      <c r="D199" s="35" t="str">
        <f aca="false">Suppliers!D199</f>
        <v>Beauty</v>
      </c>
      <c r="E199" s="36" t="s">
        <v>4484</v>
      </c>
      <c r="F199" s="36" t="s">
        <v>4485</v>
      </c>
      <c r="G199" s="27"/>
      <c r="H199" s="27"/>
      <c r="I199" s="27"/>
      <c r="J199" s="28"/>
      <c r="K199" s="27"/>
      <c r="L199" s="28"/>
      <c r="M199" s="27"/>
      <c r="N199" s="27"/>
    </row>
    <row r="200" customFormat="false" ht="15" hidden="false" customHeight="false" outlineLevel="0" collapsed="false">
      <c r="A200" s="35" t="str">
        <f aca="false">Suppliers!A200</f>
        <v>Poland</v>
      </c>
      <c r="B200" s="35" t="n">
        <f aca="false">Suppliers!B200</f>
        <v>199</v>
      </c>
      <c r="C200" s="35" t="str">
        <f aca="false">Suppliers!E200</f>
        <v>Delia Cosmetics Sp. z o.o.</v>
      </c>
      <c r="D200" s="35" t="str">
        <f aca="false">Suppliers!D200</f>
        <v>Beauty</v>
      </c>
      <c r="E200" s="36" t="s">
        <v>4484</v>
      </c>
      <c r="F200" s="36" t="s">
        <v>4485</v>
      </c>
      <c r="G200" s="27"/>
      <c r="H200" s="27"/>
      <c r="I200" s="27"/>
      <c r="J200" s="28"/>
      <c r="K200" s="27"/>
      <c r="L200" s="28"/>
      <c r="M200" s="27"/>
      <c r="N200" s="27"/>
    </row>
    <row r="201" customFormat="false" ht="15" hidden="false" customHeight="false" outlineLevel="0" collapsed="false">
      <c r="A201" s="35" t="str">
        <f aca="false">Suppliers!A201</f>
        <v>Poland</v>
      </c>
      <c r="B201" s="35" t="n">
        <f aca="false">Suppliers!B201</f>
        <v>200</v>
      </c>
      <c r="C201" s="35" t="str">
        <f aca="false">Suppliers!E201</f>
        <v>Dr Irena Eris S.A.</v>
      </c>
      <c r="D201" s="35" t="str">
        <f aca="false">Suppliers!D201</f>
        <v>Beauty</v>
      </c>
      <c r="E201" s="36" t="s">
        <v>4484</v>
      </c>
      <c r="F201" s="36" t="s">
        <v>4485</v>
      </c>
      <c r="G201" s="27"/>
      <c r="H201" s="27"/>
      <c r="I201" s="27"/>
      <c r="J201" s="28"/>
      <c r="K201" s="27"/>
      <c r="L201" s="28"/>
      <c r="M201" s="27"/>
      <c r="N201" s="27"/>
    </row>
    <row r="202" customFormat="false" ht="23.85" hidden="false" customHeight="false" outlineLevel="0" collapsed="false">
      <c r="A202" s="35" t="str">
        <f aca="false">Suppliers!A202</f>
        <v>Poland</v>
      </c>
      <c r="B202" s="35" t="n">
        <f aca="false">Suppliers!B202</f>
        <v>201</v>
      </c>
      <c r="C202" s="35" t="str">
        <f aca="false">Suppliers!E202</f>
        <v>Laboratorium Kosmetyków Naturalnych Farmona Sp. z o.o.</v>
      </c>
      <c r="D202" s="35" t="str">
        <f aca="false">Suppliers!D202</f>
        <v>Beauty</v>
      </c>
      <c r="E202" s="36" t="s">
        <v>4484</v>
      </c>
      <c r="F202" s="36" t="s">
        <v>4485</v>
      </c>
      <c r="G202" s="27"/>
      <c r="H202" s="27"/>
      <c r="I202" s="27"/>
      <c r="J202" s="28"/>
      <c r="K202" s="27"/>
      <c r="L202" s="28"/>
      <c r="M202" s="27"/>
      <c r="N202" s="27"/>
    </row>
    <row r="203" customFormat="false" ht="15" hidden="false" customHeight="false" outlineLevel="0" collapsed="false">
      <c r="A203" s="35" t="str">
        <f aca="false">Suppliers!A203</f>
        <v>Poland</v>
      </c>
      <c r="B203" s="35" t="n">
        <f aca="false">Suppliers!B203</f>
        <v>202</v>
      </c>
      <c r="C203" s="35" t="str">
        <f aca="false">Suppliers!E203</f>
        <v>Davi (Hurtownia Davi)</v>
      </c>
      <c r="D203" s="35" t="str">
        <f aca="false">Suppliers!D203</f>
        <v>Beauty</v>
      </c>
      <c r="E203" s="36" t="s">
        <v>4484</v>
      </c>
      <c r="F203" s="36" t="s">
        <v>4485</v>
      </c>
      <c r="G203" s="27"/>
      <c r="H203" s="27"/>
      <c r="I203" s="27"/>
      <c r="J203" s="28"/>
      <c r="K203" s="27"/>
      <c r="L203" s="28"/>
      <c r="M203" s="27"/>
      <c r="N203" s="27"/>
    </row>
    <row r="204" customFormat="false" ht="15" hidden="false" customHeight="false" outlineLevel="0" collapsed="false">
      <c r="A204" s="35" t="str">
        <f aca="false">Suppliers!A204</f>
        <v>Poland</v>
      </c>
      <c r="B204" s="35" t="n">
        <f aca="false">Suppliers!B204</f>
        <v>203</v>
      </c>
      <c r="C204" s="35" t="str">
        <f aca="false">Suppliers!E204</f>
        <v>INGLOT Sp. z o.o.</v>
      </c>
      <c r="D204" s="35" t="str">
        <f aca="false">Suppliers!D204</f>
        <v>Beauty</v>
      </c>
      <c r="E204" s="36" t="s">
        <v>4484</v>
      </c>
      <c r="F204" s="36" t="s">
        <v>4485</v>
      </c>
      <c r="G204" s="27"/>
      <c r="H204" s="27"/>
      <c r="I204" s="27"/>
      <c r="J204" s="28"/>
      <c r="K204" s="27"/>
      <c r="L204" s="28"/>
      <c r="M204" s="27"/>
      <c r="N204" s="27"/>
    </row>
    <row r="205" customFormat="false" ht="23.85" hidden="false" customHeight="false" outlineLevel="0" collapsed="false">
      <c r="A205" s="35" t="str">
        <f aca="false">Suppliers!A205</f>
        <v>Poland</v>
      </c>
      <c r="B205" s="35" t="n">
        <f aca="false">Suppliers!B205</f>
        <v>204</v>
      </c>
      <c r="C205" s="35" t="str">
        <f aca="false">Suppliers!E205</f>
        <v>Laboratorium Kosmetyczne Joanna sp.j.</v>
      </c>
      <c r="D205" s="35" t="str">
        <f aca="false">Suppliers!D205</f>
        <v>Beauty</v>
      </c>
      <c r="E205" s="36" t="s">
        <v>4484</v>
      </c>
      <c r="F205" s="36" t="s">
        <v>4485</v>
      </c>
      <c r="G205" s="27"/>
      <c r="H205" s="27"/>
      <c r="I205" s="27"/>
      <c r="J205" s="28"/>
      <c r="K205" s="27"/>
      <c r="L205" s="28"/>
      <c r="M205" s="27"/>
      <c r="N205" s="27"/>
    </row>
    <row r="206" customFormat="false" ht="15" hidden="false" customHeight="false" outlineLevel="0" collapsed="false">
      <c r="A206" s="35" t="str">
        <f aca="false">Suppliers!A206</f>
        <v>Poland</v>
      </c>
      <c r="B206" s="35" t="n">
        <f aca="false">Suppliers!B206</f>
        <v>205</v>
      </c>
      <c r="C206" s="35" t="str">
        <f aca="false">Suppliers!E206</f>
        <v>Oceanic S.A. (AA cosmetics)</v>
      </c>
      <c r="D206" s="35" t="str">
        <f aca="false">Suppliers!D206</f>
        <v>Beauty</v>
      </c>
      <c r="E206" s="36" t="s">
        <v>4484</v>
      </c>
      <c r="F206" s="36" t="s">
        <v>4485</v>
      </c>
      <c r="G206" s="27"/>
      <c r="H206" s="27"/>
      <c r="I206" s="27"/>
      <c r="J206" s="28"/>
      <c r="K206" s="27"/>
      <c r="L206" s="28"/>
      <c r="M206" s="27"/>
      <c r="N206" s="27"/>
    </row>
    <row r="207" customFormat="false" ht="23.85" hidden="false" customHeight="false" outlineLevel="0" collapsed="false">
      <c r="A207" s="35" t="str">
        <f aca="false">Suppliers!A207</f>
        <v>Poland</v>
      </c>
      <c r="B207" s="35" t="n">
        <f aca="false">Suppliers!B207</f>
        <v>206</v>
      </c>
      <c r="C207" s="35" t="str">
        <f aca="false">Suppliers!E207</f>
        <v>TOYA S.A. (YATO, VOREL, STHOR, FLO, LUND)</v>
      </c>
      <c r="D207" s="35" t="str">
        <f aca="false">Suppliers!D207</f>
        <v>DIY &amp; Tools</v>
      </c>
      <c r="E207" s="36" t="s">
        <v>4484</v>
      </c>
      <c r="F207" s="36" t="s">
        <v>4485</v>
      </c>
      <c r="G207" s="27"/>
      <c r="H207" s="27"/>
      <c r="I207" s="27"/>
      <c r="J207" s="28"/>
      <c r="K207" s="27"/>
      <c r="L207" s="28"/>
      <c r="M207" s="27"/>
      <c r="N207" s="27"/>
    </row>
    <row r="208" customFormat="false" ht="15" hidden="false" customHeight="false" outlineLevel="0" collapsed="false">
      <c r="A208" s="35" t="str">
        <f aca="false">Suppliers!A208</f>
        <v>Poland</v>
      </c>
      <c r="B208" s="35" t="n">
        <f aca="false">Suppliers!B208</f>
        <v>207</v>
      </c>
      <c r="C208" s="35" t="str">
        <f aca="false">Suppliers!E208</f>
        <v>Logo-Tools Sp. z o.o.</v>
      </c>
      <c r="D208" s="35" t="str">
        <f aca="false">Suppliers!D208</f>
        <v>DIY &amp; Tools</v>
      </c>
      <c r="E208" s="36" t="s">
        <v>4484</v>
      </c>
      <c r="F208" s="36" t="s">
        <v>4485</v>
      </c>
      <c r="G208" s="27"/>
      <c r="H208" s="27"/>
      <c r="I208" s="27"/>
      <c r="J208" s="28"/>
      <c r="K208" s="27"/>
      <c r="L208" s="28"/>
      <c r="M208" s="27"/>
      <c r="N208" s="27"/>
    </row>
    <row r="209" customFormat="false" ht="15" hidden="false" customHeight="false" outlineLevel="0" collapsed="false">
      <c r="A209" s="35" t="str">
        <f aca="false">Suppliers!A209</f>
        <v>Poland</v>
      </c>
      <c r="B209" s="35" t="n">
        <f aca="false">Suppliers!B209</f>
        <v>208</v>
      </c>
      <c r="C209" s="35" t="str">
        <f aca="false">Suppliers!E209</f>
        <v>Floraland Sp. z o.o. Sp.k. (Greenmill)</v>
      </c>
      <c r="D209" s="35" t="str">
        <f aca="false">Suppliers!D209</f>
        <v>DIY &amp; Tools</v>
      </c>
      <c r="E209" s="36" t="s">
        <v>4484</v>
      </c>
      <c r="F209" s="36" t="s">
        <v>4485</v>
      </c>
      <c r="G209" s="27"/>
      <c r="H209" s="27"/>
      <c r="I209" s="27"/>
      <c r="J209" s="28"/>
      <c r="K209" s="27"/>
      <c r="L209" s="28"/>
      <c r="M209" s="27"/>
      <c r="N209" s="27"/>
    </row>
    <row r="210" customFormat="false" ht="23.85" hidden="false" customHeight="false" outlineLevel="0" collapsed="false">
      <c r="A210" s="35" t="str">
        <f aca="false">Suppliers!A210</f>
        <v>Poland</v>
      </c>
      <c r="B210" s="35" t="n">
        <f aca="false">Suppliers!B210</f>
        <v>209</v>
      </c>
      <c r="C210" s="35" t="str">
        <f aca="false">Suppliers!E210</f>
        <v>GTX Poland Sp. z o.o. Sp. k. (formerly Grupa Topex)</v>
      </c>
      <c r="D210" s="35" t="str">
        <f aca="false">Suppliers!D210</f>
        <v>DIY &amp; Tools</v>
      </c>
      <c r="E210" s="36" t="s">
        <v>4484</v>
      </c>
      <c r="F210" s="36" t="s">
        <v>4485</v>
      </c>
      <c r="G210" s="27"/>
      <c r="H210" s="27"/>
      <c r="I210" s="27"/>
      <c r="J210" s="28"/>
      <c r="K210" s="27"/>
      <c r="L210" s="28"/>
      <c r="M210" s="27"/>
      <c r="N210" s="27"/>
    </row>
    <row r="211" customFormat="false" ht="15" hidden="false" customHeight="false" outlineLevel="0" collapsed="false">
      <c r="A211" s="35" t="str">
        <f aca="false">Suppliers!A211</f>
        <v>Poland</v>
      </c>
      <c r="B211" s="35" t="n">
        <f aca="false">Suppliers!B211</f>
        <v>210</v>
      </c>
      <c r="C211" s="35" t="str">
        <f aca="false">Suppliers!E211</f>
        <v>Dedra Exim Sp. z o.o.</v>
      </c>
      <c r="D211" s="35" t="str">
        <f aca="false">Suppliers!D211</f>
        <v>DIY &amp; Tools</v>
      </c>
      <c r="E211" s="36" t="s">
        <v>4484</v>
      </c>
      <c r="F211" s="36" t="s">
        <v>4485</v>
      </c>
      <c r="G211" s="27"/>
      <c r="H211" s="27"/>
      <c r="I211" s="27"/>
      <c r="J211" s="28"/>
      <c r="K211" s="27"/>
      <c r="L211" s="28"/>
      <c r="M211" s="27"/>
      <c r="N211" s="27"/>
    </row>
    <row r="212" customFormat="false" ht="15" hidden="false" customHeight="false" outlineLevel="0" collapsed="false">
      <c r="A212" s="35" t="str">
        <f aca="false">Suppliers!A212</f>
        <v>Poland</v>
      </c>
      <c r="B212" s="35" t="n">
        <f aca="false">Suppliers!B212</f>
        <v>211</v>
      </c>
      <c r="C212" s="35" t="str">
        <f aca="false">Suppliers!E212</f>
        <v>STALCO S.K.A.</v>
      </c>
      <c r="D212" s="35" t="str">
        <f aca="false">Suppliers!D212</f>
        <v>DIY &amp; Tools</v>
      </c>
      <c r="E212" s="36" t="s">
        <v>4484</v>
      </c>
      <c r="F212" s="36" t="s">
        <v>4485</v>
      </c>
      <c r="G212" s="27"/>
      <c r="H212" s="27"/>
      <c r="I212" s="27"/>
      <c r="J212" s="28"/>
      <c r="K212" s="27"/>
      <c r="L212" s="28"/>
      <c r="M212" s="27"/>
      <c r="N212" s="27"/>
    </row>
    <row r="213" customFormat="false" ht="15" hidden="false" customHeight="false" outlineLevel="0" collapsed="false">
      <c r="A213" s="35" t="str">
        <f aca="false">Suppliers!A213</f>
        <v>Poland</v>
      </c>
      <c r="B213" s="35" t="n">
        <f aca="false">Suppliers!B213</f>
        <v>212</v>
      </c>
      <c r="C213" s="35" t="str">
        <f aca="false">Suppliers!E213</f>
        <v>MisterM Plus Sp. z o.o. Sp.k.</v>
      </c>
      <c r="D213" s="35" t="str">
        <f aca="false">Suppliers!D213</f>
        <v>Fragrance</v>
      </c>
      <c r="E213" s="36" t="s">
        <v>4484</v>
      </c>
      <c r="F213" s="36" t="s">
        <v>4485</v>
      </c>
      <c r="G213" s="27"/>
      <c r="H213" s="27"/>
      <c r="I213" s="27"/>
      <c r="J213" s="28"/>
      <c r="K213" s="27"/>
      <c r="L213" s="28"/>
      <c r="M213" s="27"/>
      <c r="N213" s="27"/>
    </row>
    <row r="214" customFormat="false" ht="15" hidden="false" customHeight="false" outlineLevel="0" collapsed="false">
      <c r="A214" s="35" t="str">
        <f aca="false">Suppliers!A214</f>
        <v>Poland</v>
      </c>
      <c r="B214" s="35" t="n">
        <f aca="false">Suppliers!B214</f>
        <v>213</v>
      </c>
      <c r="C214" s="35" t="str">
        <f aca="false">Suppliers!E214</f>
        <v>Parfum Company Sp. z o.o. S.K.A.</v>
      </c>
      <c r="D214" s="35" t="str">
        <f aca="false">Suppliers!D214</f>
        <v>Fragrance</v>
      </c>
      <c r="E214" s="36" t="s">
        <v>4484</v>
      </c>
      <c r="F214" s="36" t="s">
        <v>4485</v>
      </c>
      <c r="G214" s="27"/>
      <c r="H214" s="27"/>
      <c r="I214" s="27"/>
      <c r="J214" s="28"/>
      <c r="K214" s="27"/>
      <c r="L214" s="28"/>
      <c r="M214" s="27"/>
      <c r="N214" s="27"/>
    </row>
    <row r="215" customFormat="false" ht="15" hidden="false" customHeight="false" outlineLevel="0" collapsed="false">
      <c r="A215" s="35" t="str">
        <f aca="false">Suppliers!A215</f>
        <v>Poland</v>
      </c>
      <c r="B215" s="35" t="n">
        <f aca="false">Suppliers!B215</f>
        <v>214</v>
      </c>
      <c r="C215" s="35" t="str">
        <f aca="false">Suppliers!E215</f>
        <v>LA RIVE S.A.</v>
      </c>
      <c r="D215" s="35" t="str">
        <f aca="false">Suppliers!D215</f>
        <v>Fragrance</v>
      </c>
      <c r="E215" s="36" t="s">
        <v>4484</v>
      </c>
      <c r="F215" s="36" t="s">
        <v>4485</v>
      </c>
      <c r="G215" s="27"/>
      <c r="H215" s="27"/>
      <c r="I215" s="27"/>
      <c r="J215" s="28"/>
      <c r="K215" s="27"/>
      <c r="L215" s="28"/>
      <c r="M215" s="27"/>
      <c r="N215" s="27"/>
    </row>
    <row r="216" customFormat="false" ht="23.85" hidden="false" customHeight="false" outlineLevel="0" collapsed="false">
      <c r="A216" s="35" t="str">
        <f aca="false">Suppliers!A216</f>
        <v>Poland</v>
      </c>
      <c r="B216" s="35" t="n">
        <f aca="false">Suppliers!B216</f>
        <v>215</v>
      </c>
      <c r="C216" s="35" t="str">
        <f aca="false">Suppliers!E216</f>
        <v>Olimp Laboratories Sp. z o.o. (Olimp Sport Nutrition)</v>
      </c>
      <c r="D216" s="35" t="str">
        <f aca="false">Suppliers!D216</f>
        <v>Health &amp; Personal Care</v>
      </c>
      <c r="E216" s="36" t="s">
        <v>4484</v>
      </c>
      <c r="F216" s="36" t="s">
        <v>4485</v>
      </c>
      <c r="G216" s="27"/>
      <c r="H216" s="27"/>
      <c r="I216" s="27"/>
      <c r="J216" s="28"/>
      <c r="K216" s="27"/>
      <c r="L216" s="28"/>
      <c r="M216" s="27"/>
      <c r="N216" s="27"/>
    </row>
    <row r="217" customFormat="false" ht="23.85" hidden="false" customHeight="false" outlineLevel="0" collapsed="false">
      <c r="A217" s="35" t="str">
        <f aca="false">Suppliers!A217</f>
        <v>Poland</v>
      </c>
      <c r="B217" s="35" t="n">
        <f aca="false">Suppliers!B217</f>
        <v>216</v>
      </c>
      <c r="C217" s="35" t="str">
        <f aca="false">Suppliers!E217</f>
        <v>ZIP Wieczorek Sp. z o.o.</v>
      </c>
      <c r="D217" s="35" t="str">
        <f aca="false">Suppliers!D217</f>
        <v>Health &amp; Personal Care</v>
      </c>
      <c r="E217" s="36" t="s">
        <v>4484</v>
      </c>
      <c r="F217" s="36" t="s">
        <v>4485</v>
      </c>
      <c r="G217" s="27"/>
      <c r="H217" s="27"/>
      <c r="I217" s="27"/>
      <c r="J217" s="28"/>
      <c r="K217" s="27"/>
      <c r="L217" s="28"/>
      <c r="M217" s="27"/>
      <c r="N217" s="27"/>
    </row>
    <row r="218" customFormat="false" ht="23.85" hidden="false" customHeight="false" outlineLevel="0" collapsed="false">
      <c r="A218" s="35" t="str">
        <f aca="false">Suppliers!A218</f>
        <v>Poland</v>
      </c>
      <c r="B218" s="35" t="n">
        <f aca="false">Suppliers!B218</f>
        <v>217</v>
      </c>
      <c r="C218" s="35" t="str">
        <f aca="false">Suppliers!E218</f>
        <v>Olivit Sp. z o.o.</v>
      </c>
      <c r="D218" s="35" t="str">
        <f aca="false">Suppliers!D218</f>
        <v>Health &amp; Personal Care</v>
      </c>
      <c r="E218" s="36" t="s">
        <v>4484</v>
      </c>
      <c r="F218" s="36" t="s">
        <v>4485</v>
      </c>
      <c r="G218" s="27"/>
      <c r="H218" s="27"/>
      <c r="I218" s="27"/>
      <c r="J218" s="28"/>
      <c r="K218" s="27"/>
      <c r="L218" s="28"/>
      <c r="M218" s="27"/>
      <c r="N218" s="27"/>
    </row>
    <row r="219" customFormat="false" ht="23.85" hidden="false" customHeight="false" outlineLevel="0" collapsed="false">
      <c r="A219" s="35" t="str">
        <f aca="false">Suppliers!A219</f>
        <v>Poland</v>
      </c>
      <c r="B219" s="35" t="n">
        <f aca="false">Suppliers!B219</f>
        <v>218</v>
      </c>
      <c r="C219" s="35" t="str">
        <f aca="false">Suppliers!E219</f>
        <v>OstroVit Sp. z o.o.</v>
      </c>
      <c r="D219" s="35" t="str">
        <f aca="false">Suppliers!D219</f>
        <v>Health &amp; Personal Care</v>
      </c>
      <c r="E219" s="36" t="s">
        <v>4484</v>
      </c>
      <c r="F219" s="36" t="s">
        <v>4485</v>
      </c>
      <c r="G219" s="27"/>
      <c r="H219" s="27"/>
      <c r="I219" s="27"/>
      <c r="J219" s="28"/>
      <c r="K219" s="27"/>
      <c r="L219" s="28"/>
      <c r="M219" s="27"/>
      <c r="N219" s="27"/>
    </row>
    <row r="220" customFormat="false" ht="23.85" hidden="false" customHeight="false" outlineLevel="0" collapsed="false">
      <c r="A220" s="35" t="str">
        <f aca="false">Suppliers!A220</f>
        <v>Poland</v>
      </c>
      <c r="B220" s="35" t="n">
        <f aca="false">Suppliers!B220</f>
        <v>219</v>
      </c>
      <c r="C220" s="35" t="str">
        <f aca="false">Suppliers!E220</f>
        <v>SFD S.A. (Allnutrition)</v>
      </c>
      <c r="D220" s="35" t="str">
        <f aca="false">Suppliers!D220</f>
        <v>Health &amp; Personal Care</v>
      </c>
      <c r="E220" s="36" t="s">
        <v>4484</v>
      </c>
      <c r="F220" s="36" t="s">
        <v>4485</v>
      </c>
      <c r="G220" s="27"/>
      <c r="H220" s="27"/>
      <c r="I220" s="27"/>
      <c r="J220" s="28"/>
      <c r="K220" s="27"/>
      <c r="L220" s="28"/>
      <c r="M220" s="27"/>
      <c r="N220" s="27"/>
    </row>
    <row r="221" customFormat="false" ht="23.85" hidden="false" customHeight="false" outlineLevel="0" collapsed="false">
      <c r="A221" s="35" t="str">
        <f aca="false">Suppliers!A221</f>
        <v>Poland</v>
      </c>
      <c r="B221" s="35" t="n">
        <f aca="false">Suppliers!B221</f>
        <v>220</v>
      </c>
      <c r="C221" s="35" t="str">
        <f aca="false">Suppliers!E221</f>
        <v>Trec Nutrition Sp. z o.o. (Aflofarm group)</v>
      </c>
      <c r="D221" s="35" t="str">
        <f aca="false">Suppliers!D221</f>
        <v>Health &amp; Personal Care</v>
      </c>
      <c r="E221" s="36" t="s">
        <v>4484</v>
      </c>
      <c r="F221" s="36" t="s">
        <v>4485</v>
      </c>
      <c r="G221" s="27"/>
      <c r="H221" s="27"/>
      <c r="I221" s="27"/>
      <c r="J221" s="28"/>
      <c r="K221" s="27"/>
      <c r="L221" s="28"/>
      <c r="M221" s="27"/>
      <c r="N221" s="27"/>
    </row>
    <row r="222" customFormat="false" ht="15" hidden="false" customHeight="false" outlineLevel="0" collapsed="false">
      <c r="A222" s="35" t="str">
        <f aca="false">Suppliers!A222</f>
        <v>Poland</v>
      </c>
      <c r="B222" s="35" t="n">
        <f aca="false">Suppliers!B222</f>
        <v>221</v>
      </c>
      <c r="C222" s="35" t="str">
        <f aca="false">Suppliers!E222</f>
        <v>KONEX Sp. z o.o.</v>
      </c>
      <c r="D222" s="35" t="str">
        <f aca="false">Suppliers!D222</f>
        <v>Home &amp; Kitchen</v>
      </c>
      <c r="E222" s="36" t="s">
        <v>4484</v>
      </c>
      <c r="F222" s="36" t="s">
        <v>4485</v>
      </c>
      <c r="G222" s="27"/>
      <c r="H222" s="27"/>
      <c r="I222" s="27"/>
      <c r="J222" s="28"/>
      <c r="K222" s="27"/>
      <c r="L222" s="28"/>
      <c r="M222" s="27"/>
      <c r="N222" s="27"/>
    </row>
    <row r="223" customFormat="false" ht="15" hidden="false" customHeight="false" outlineLevel="0" collapsed="false">
      <c r="A223" s="35" t="str">
        <f aca="false">Suppliers!A223</f>
        <v>Poland</v>
      </c>
      <c r="B223" s="35" t="n">
        <f aca="false">Suppliers!B223</f>
        <v>222</v>
      </c>
      <c r="C223" s="35" t="str">
        <f aca="false">Suppliers!E223</f>
        <v>Florentyna Sp. z o.o. (Florina)</v>
      </c>
      <c r="D223" s="35" t="str">
        <f aca="false">Suppliers!D223</f>
        <v>Home &amp; Kitchen</v>
      </c>
      <c r="E223" s="36" t="s">
        <v>4484</v>
      </c>
      <c r="F223" s="36" t="s">
        <v>4485</v>
      </c>
      <c r="G223" s="27"/>
      <c r="H223" s="27"/>
      <c r="I223" s="27"/>
      <c r="J223" s="28"/>
      <c r="K223" s="27"/>
      <c r="L223" s="28"/>
      <c r="M223" s="27"/>
      <c r="N223" s="27"/>
    </row>
    <row r="224" customFormat="false" ht="15" hidden="false" customHeight="false" outlineLevel="0" collapsed="false">
      <c r="A224" s="35" t="str">
        <f aca="false">Suppliers!A224</f>
        <v>Poland</v>
      </c>
      <c r="B224" s="35" t="n">
        <f aca="false">Suppliers!B224</f>
        <v>223</v>
      </c>
      <c r="C224" s="35" t="str">
        <f aca="false">Suppliers!E224</f>
        <v>Gerlach S.A.</v>
      </c>
      <c r="D224" s="35" t="str">
        <f aca="false">Suppliers!D224</f>
        <v>Home &amp; Kitchen</v>
      </c>
      <c r="E224" s="36" t="s">
        <v>4484</v>
      </c>
      <c r="F224" s="36" t="s">
        <v>4485</v>
      </c>
      <c r="G224" s="27"/>
      <c r="H224" s="27"/>
      <c r="I224" s="27"/>
      <c r="J224" s="28"/>
      <c r="K224" s="27"/>
      <c r="L224" s="28"/>
      <c r="M224" s="27"/>
      <c r="N224" s="27"/>
    </row>
    <row r="225" customFormat="false" ht="15" hidden="false" customHeight="false" outlineLevel="0" collapsed="false">
      <c r="A225" s="35" t="str">
        <f aca="false">Suppliers!A225</f>
        <v>Poland</v>
      </c>
      <c r="B225" s="35" t="n">
        <f aca="false">Suppliers!B225</f>
        <v>224</v>
      </c>
      <c r="C225" s="35" t="str">
        <f aca="false">Suppliers!E225</f>
        <v>M.T.M. Sp. z o.o. Sp.K.</v>
      </c>
      <c r="D225" s="35" t="str">
        <f aca="false">Suppliers!D225</f>
        <v>Home &amp; Kitchen</v>
      </c>
      <c r="E225" s="36" t="s">
        <v>4484</v>
      </c>
      <c r="F225" s="36" t="s">
        <v>4485</v>
      </c>
      <c r="G225" s="27"/>
      <c r="H225" s="27"/>
      <c r="I225" s="27"/>
      <c r="J225" s="28"/>
      <c r="K225" s="27"/>
      <c r="L225" s="28"/>
      <c r="M225" s="27"/>
      <c r="N225" s="27"/>
    </row>
    <row r="226" customFormat="false" ht="15" hidden="false" customHeight="false" outlineLevel="0" collapsed="false">
      <c r="A226" s="35" t="str">
        <f aca="false">Suppliers!A226</f>
        <v>Poland</v>
      </c>
      <c r="B226" s="35" t="n">
        <f aca="false">Suppliers!B226</f>
        <v>225</v>
      </c>
      <c r="C226" s="35" t="str">
        <f aca="false">Suppliers!E226</f>
        <v>N2H Sp. z o.o. (Homla)</v>
      </c>
      <c r="D226" s="35" t="str">
        <f aca="false">Suppliers!D226</f>
        <v>Home &amp; Kitchen</v>
      </c>
      <c r="E226" s="36" t="s">
        <v>4484</v>
      </c>
      <c r="F226" s="36" t="s">
        <v>4485</v>
      </c>
      <c r="G226" s="27"/>
      <c r="H226" s="27"/>
      <c r="I226" s="27"/>
      <c r="J226" s="28"/>
      <c r="K226" s="27"/>
      <c r="L226" s="28"/>
      <c r="M226" s="27"/>
      <c r="N226" s="27"/>
    </row>
    <row r="227" customFormat="false" ht="15" hidden="false" customHeight="false" outlineLevel="0" collapsed="false">
      <c r="A227" s="35" t="str">
        <f aca="false">Suppliers!A227</f>
        <v>Poland</v>
      </c>
      <c r="B227" s="35" t="n">
        <f aca="false">Suppliers!B227</f>
        <v>226</v>
      </c>
      <c r="C227" s="35" t="str">
        <f aca="false">Suppliers!E227</f>
        <v>Amiplay Sp. z o.o. (Comfy)</v>
      </c>
      <c r="D227" s="35" t="str">
        <f aca="false">Suppliers!D227</f>
        <v>Pet Supplies</v>
      </c>
      <c r="E227" s="36" t="s">
        <v>4484</v>
      </c>
      <c r="F227" s="36" t="s">
        <v>4485</v>
      </c>
      <c r="G227" s="27"/>
      <c r="H227" s="27"/>
      <c r="I227" s="27"/>
      <c r="J227" s="28"/>
      <c r="K227" s="27"/>
      <c r="L227" s="28"/>
      <c r="M227" s="27"/>
      <c r="N227" s="27"/>
    </row>
    <row r="228" customFormat="false" ht="15" hidden="false" customHeight="false" outlineLevel="0" collapsed="false">
      <c r="A228" s="35" t="str">
        <f aca="false">Suppliers!A228</f>
        <v>Poland</v>
      </c>
      <c r="B228" s="35" t="n">
        <f aca="false">Suppliers!B228</f>
        <v>227</v>
      </c>
      <c r="C228" s="35" t="str">
        <f aca="false">Suppliers!E228</f>
        <v>Cazo Sp. z o.o.</v>
      </c>
      <c r="D228" s="35" t="str">
        <f aca="false">Suppliers!D228</f>
        <v>Pet Supplies</v>
      </c>
      <c r="E228" s="36" t="s">
        <v>4484</v>
      </c>
      <c r="F228" s="36" t="s">
        <v>4485</v>
      </c>
      <c r="G228" s="27"/>
      <c r="H228" s="27"/>
      <c r="I228" s="27"/>
      <c r="J228" s="28"/>
      <c r="K228" s="27"/>
      <c r="L228" s="28"/>
      <c r="M228" s="27"/>
      <c r="N228" s="27"/>
    </row>
    <row r="229" customFormat="false" ht="15" hidden="false" customHeight="false" outlineLevel="0" collapsed="false">
      <c r="A229" s="35" t="str">
        <f aca="false">Suppliers!A229</f>
        <v>Poland</v>
      </c>
      <c r="B229" s="35" t="n">
        <f aca="false">Suppliers!B229</f>
        <v>228</v>
      </c>
      <c r="C229" s="35" t="str">
        <f aca="false">Suppliers!E229</f>
        <v>EMPETS Group</v>
      </c>
      <c r="D229" s="35" t="str">
        <f aca="false">Suppliers!D229</f>
        <v>Pet Supplies</v>
      </c>
      <c r="E229" s="36" t="s">
        <v>4484</v>
      </c>
      <c r="F229" s="36" t="s">
        <v>4485</v>
      </c>
      <c r="G229" s="27"/>
      <c r="H229" s="27"/>
      <c r="I229" s="27"/>
      <c r="J229" s="28"/>
      <c r="K229" s="27"/>
      <c r="L229" s="28"/>
      <c r="M229" s="27"/>
      <c r="N229" s="27"/>
    </row>
    <row r="230" customFormat="false" ht="15" hidden="false" customHeight="false" outlineLevel="0" collapsed="false">
      <c r="A230" s="35" t="str">
        <f aca="false">Suppliers!A230</f>
        <v>Poland</v>
      </c>
      <c r="B230" s="35" t="n">
        <f aca="false">Suppliers!B230</f>
        <v>229</v>
      </c>
      <c r="C230" s="35" t="str">
        <f aca="false">Suppliers!E230</f>
        <v>Laboratorium DermaPharm Sp. z o.o.</v>
      </c>
      <c r="D230" s="35" t="str">
        <f aca="false">Suppliers!D230</f>
        <v>Pet Supplies</v>
      </c>
      <c r="E230" s="36" t="s">
        <v>4484</v>
      </c>
      <c r="F230" s="36" t="s">
        <v>4485</v>
      </c>
      <c r="G230" s="27"/>
      <c r="H230" s="27"/>
      <c r="I230" s="27"/>
      <c r="J230" s="28"/>
      <c r="K230" s="27"/>
      <c r="L230" s="28"/>
      <c r="M230" s="27"/>
      <c r="N230" s="27"/>
    </row>
    <row r="231" customFormat="false" ht="15" hidden="false" customHeight="false" outlineLevel="0" collapsed="false">
      <c r="A231" s="35" t="str">
        <f aca="false">Suppliers!A231</f>
        <v>Poland</v>
      </c>
      <c r="B231" s="35" t="n">
        <f aca="false">Suppliers!B231</f>
        <v>230</v>
      </c>
      <c r="C231" s="35" t="str">
        <f aca="false">Suppliers!E231</f>
        <v>Vet Planet Sp. z o.o. (Vet Expert)</v>
      </c>
      <c r="D231" s="35" t="str">
        <f aca="false">Suppliers!D231</f>
        <v>Pet Supplies</v>
      </c>
      <c r="E231" s="36" t="s">
        <v>4484</v>
      </c>
      <c r="F231" s="36" t="s">
        <v>4485</v>
      </c>
      <c r="G231" s="27"/>
      <c r="H231" s="27"/>
      <c r="I231" s="27"/>
      <c r="J231" s="28"/>
      <c r="K231" s="27"/>
      <c r="L231" s="28"/>
      <c r="M231" s="27"/>
      <c r="N231" s="27"/>
    </row>
    <row r="232" customFormat="false" ht="15" hidden="false" customHeight="false" outlineLevel="0" collapsed="false">
      <c r="A232" s="35" t="str">
        <f aca="false">Suppliers!A232</f>
        <v>Poland</v>
      </c>
      <c r="B232" s="35" t="n">
        <f aca="false">Suppliers!B232</f>
        <v>231</v>
      </c>
      <c r="C232" s="35" t="str">
        <f aca="false">Suppliers!E232</f>
        <v>Dingo Sp. z o.o.</v>
      </c>
      <c r="D232" s="35" t="str">
        <f aca="false">Suppliers!D232</f>
        <v>Pet Supplies</v>
      </c>
      <c r="E232" s="36" t="s">
        <v>4484</v>
      </c>
      <c r="F232" s="36" t="s">
        <v>4485</v>
      </c>
      <c r="G232" s="27"/>
      <c r="H232" s="27"/>
      <c r="I232" s="27"/>
      <c r="J232" s="28"/>
      <c r="K232" s="27"/>
      <c r="L232" s="28"/>
      <c r="M232" s="27"/>
      <c r="N232" s="27"/>
    </row>
    <row r="233" customFormat="false" ht="15" hidden="false" customHeight="false" outlineLevel="0" collapsed="false">
      <c r="A233" s="35" t="str">
        <f aca="false">Suppliers!A233</f>
        <v>Poland</v>
      </c>
      <c r="B233" s="35" t="n">
        <f aca="false">Suppliers!B233</f>
        <v>232</v>
      </c>
      <c r="C233" s="35" t="str">
        <f aca="false">Suppliers!E233</f>
        <v>MPPK Group Sp. z o.o.</v>
      </c>
      <c r="D233" s="35" t="str">
        <f aca="false">Suppliers!D233</f>
        <v>Pet Supplies</v>
      </c>
      <c r="E233" s="36" t="s">
        <v>4484</v>
      </c>
      <c r="F233" s="36" t="s">
        <v>4485</v>
      </c>
      <c r="G233" s="27"/>
      <c r="H233" s="27"/>
      <c r="I233" s="27"/>
      <c r="J233" s="28"/>
      <c r="K233" s="27"/>
      <c r="L233" s="28"/>
      <c r="M233" s="27"/>
      <c r="N233" s="27"/>
    </row>
    <row r="234" customFormat="false" ht="15" hidden="false" customHeight="false" outlineLevel="0" collapsed="false">
      <c r="A234" s="35" t="str">
        <f aca="false">Suppliers!A234</f>
        <v>Poland</v>
      </c>
      <c r="B234" s="35" t="n">
        <f aca="false">Suppliers!B234</f>
        <v>233</v>
      </c>
      <c r="C234" s="35" t="str">
        <f aca="false">Suppliers!E234</f>
        <v>P.W. Hobby (Vitapol)</v>
      </c>
      <c r="D234" s="35" t="str">
        <f aca="false">Suppliers!D234</f>
        <v>Pet Supplies</v>
      </c>
      <c r="E234" s="36" t="s">
        <v>4484</v>
      </c>
      <c r="F234" s="36" t="s">
        <v>4485</v>
      </c>
      <c r="G234" s="27"/>
      <c r="H234" s="27"/>
      <c r="I234" s="27"/>
      <c r="J234" s="28"/>
      <c r="K234" s="27"/>
      <c r="L234" s="28"/>
      <c r="M234" s="27"/>
      <c r="N234" s="27"/>
    </row>
    <row r="235" customFormat="false" ht="15" hidden="false" customHeight="false" outlineLevel="0" collapsed="false">
      <c r="A235" s="35" t="str">
        <f aca="false">Suppliers!A235</f>
        <v>Poland</v>
      </c>
      <c r="B235" s="35" t="n">
        <f aca="false">Suppliers!B235</f>
        <v>234</v>
      </c>
      <c r="C235" s="35" t="str">
        <f aca="false">Suppliers!E235</f>
        <v>Bacha Sport Sp. z o.o.</v>
      </c>
      <c r="D235" s="35" t="str">
        <f aca="false">Suppliers!D235</f>
        <v>Sports &amp; Outdoors</v>
      </c>
      <c r="E235" s="36" t="s">
        <v>4484</v>
      </c>
      <c r="F235" s="36" t="s">
        <v>4485</v>
      </c>
      <c r="G235" s="27"/>
      <c r="H235" s="27"/>
      <c r="I235" s="27"/>
      <c r="J235" s="28"/>
      <c r="K235" s="27"/>
      <c r="L235" s="28"/>
      <c r="M235" s="27"/>
      <c r="N235" s="27"/>
    </row>
    <row r="236" customFormat="false" ht="15" hidden="false" customHeight="false" outlineLevel="0" collapsed="false">
      <c r="A236" s="35" t="str">
        <f aca="false">Suppliers!A236</f>
        <v>Poland</v>
      </c>
      <c r="B236" s="35" t="n">
        <f aca="false">Suppliers!B236</f>
        <v>235</v>
      </c>
      <c r="C236" s="35" t="str">
        <f aca="false">Suppliers!E236</f>
        <v>Larix Janusz Pieła S.K.A.</v>
      </c>
      <c r="D236" s="35" t="str">
        <f aca="false">Suppliers!D236</f>
        <v>Sports &amp; Outdoors</v>
      </c>
      <c r="E236" s="36" t="s">
        <v>4484</v>
      </c>
      <c r="F236" s="36" t="s">
        <v>4485</v>
      </c>
      <c r="G236" s="27"/>
      <c r="H236" s="27"/>
      <c r="I236" s="27"/>
      <c r="J236" s="28"/>
      <c r="K236" s="27"/>
      <c r="L236" s="28"/>
      <c r="M236" s="27"/>
      <c r="N236" s="27"/>
    </row>
    <row r="237" customFormat="false" ht="15" hidden="false" customHeight="false" outlineLevel="0" collapsed="false">
      <c r="A237" s="35" t="str">
        <f aca="false">Suppliers!A237</f>
        <v>Poland</v>
      </c>
      <c r="B237" s="35" t="n">
        <f aca="false">Suppliers!B237</f>
        <v>236</v>
      </c>
      <c r="C237" s="35" t="str">
        <f aca="false">Suppliers!E237</f>
        <v>Cumulus Sp. z o.o.</v>
      </c>
      <c r="D237" s="35" t="str">
        <f aca="false">Suppliers!D237</f>
        <v>Sports &amp; Outdoors</v>
      </c>
      <c r="E237" s="36" t="s">
        <v>4484</v>
      </c>
      <c r="F237" s="36" t="s">
        <v>4485</v>
      </c>
      <c r="G237" s="27"/>
      <c r="H237" s="27"/>
      <c r="I237" s="27"/>
      <c r="J237" s="28"/>
      <c r="K237" s="27"/>
      <c r="L237" s="28"/>
      <c r="M237" s="27"/>
      <c r="N237" s="27"/>
    </row>
    <row r="238" customFormat="false" ht="15" hidden="false" customHeight="false" outlineLevel="0" collapsed="false">
      <c r="A238" s="35" t="str">
        <f aca="false">Suppliers!A238</f>
        <v>Poland</v>
      </c>
      <c r="B238" s="35" t="n">
        <f aca="false">Suppliers!B238</f>
        <v>237</v>
      </c>
      <c r="C238" s="35" t="str">
        <f aca="false">Suppliers!E238</f>
        <v>Meteor (Polish sports brand)</v>
      </c>
      <c r="D238" s="35" t="str">
        <f aca="false">Suppliers!D238</f>
        <v>Sports &amp; Outdoors</v>
      </c>
      <c r="E238" s="36" t="s">
        <v>4484</v>
      </c>
      <c r="F238" s="36" t="s">
        <v>4485</v>
      </c>
      <c r="G238" s="27"/>
      <c r="H238" s="27"/>
      <c r="I238" s="27"/>
      <c r="J238" s="28"/>
      <c r="K238" s="27"/>
      <c r="L238" s="28"/>
      <c r="M238" s="27"/>
      <c r="N238" s="27"/>
    </row>
    <row r="239" customFormat="false" ht="15" hidden="false" customHeight="false" outlineLevel="0" collapsed="false">
      <c r="A239" s="35" t="str">
        <f aca="false">Suppliers!A239</f>
        <v>Poland</v>
      </c>
      <c r="B239" s="35" t="n">
        <f aca="false">Suppliers!B239</f>
        <v>238</v>
      </c>
      <c r="C239" s="35" t="str">
        <f aca="false">Suppliers!E239</f>
        <v>Spokey Sp. z o.o.</v>
      </c>
      <c r="D239" s="35" t="str">
        <f aca="false">Suppliers!D239</f>
        <v>Sports &amp; Outdoors</v>
      </c>
      <c r="E239" s="36" t="s">
        <v>4484</v>
      </c>
      <c r="F239" s="36" t="s">
        <v>4485</v>
      </c>
      <c r="G239" s="27"/>
      <c r="H239" s="27"/>
      <c r="I239" s="27"/>
      <c r="J239" s="28"/>
      <c r="K239" s="27"/>
      <c r="L239" s="28"/>
      <c r="M239" s="27"/>
      <c r="N239" s="27"/>
    </row>
    <row r="240" customFormat="false" ht="15" hidden="false" customHeight="false" outlineLevel="0" collapsed="false">
      <c r="A240" s="35" t="str">
        <f aca="false">Suppliers!A240</f>
        <v>Poland</v>
      </c>
      <c r="B240" s="35" t="n">
        <f aca="false">Suppliers!B240</f>
        <v>239</v>
      </c>
      <c r="C240" s="35" t="str">
        <f aca="false">Suppliers!E240</f>
        <v>Euro-Trade Sp. z o.o. Sp.K. (Starpak)</v>
      </c>
      <c r="D240" s="35" t="str">
        <f aca="false">Suppliers!D240</f>
        <v>Stationery &amp; Office</v>
      </c>
      <c r="E240" s="36" t="s">
        <v>4484</v>
      </c>
      <c r="F240" s="36" t="s">
        <v>4485</v>
      </c>
      <c r="G240" s="27"/>
      <c r="H240" s="27"/>
      <c r="I240" s="27"/>
      <c r="J240" s="28"/>
      <c r="K240" s="27"/>
      <c r="L240" s="28"/>
      <c r="M240" s="27"/>
      <c r="N240" s="27"/>
    </row>
    <row r="241" customFormat="false" ht="15" hidden="false" customHeight="false" outlineLevel="0" collapsed="false">
      <c r="A241" s="35" t="str">
        <f aca="false">Suppliers!A241</f>
        <v>Poland</v>
      </c>
      <c r="B241" s="35" t="n">
        <f aca="false">Suppliers!B241</f>
        <v>240</v>
      </c>
      <c r="C241" s="35" t="str">
        <f aca="false">Suppliers!E241</f>
        <v>St. Majewski Sp. z o.o. (incl. Unipap)</v>
      </c>
      <c r="D241" s="35" t="str">
        <f aca="false">Suppliers!D241</f>
        <v>Stationery &amp; Office</v>
      </c>
      <c r="E241" s="36" t="s">
        <v>4484</v>
      </c>
      <c r="F241" s="36" t="s">
        <v>4485</v>
      </c>
      <c r="G241" s="27"/>
      <c r="H241" s="27"/>
      <c r="I241" s="27"/>
      <c r="J241" s="28"/>
      <c r="K241" s="27"/>
      <c r="L241" s="28"/>
      <c r="M241" s="27"/>
      <c r="N241" s="27"/>
    </row>
    <row r="242" customFormat="false" ht="15" hidden="false" customHeight="false" outlineLevel="0" collapsed="false">
      <c r="A242" s="35" t="str">
        <f aca="false">Suppliers!A242</f>
        <v>Poland</v>
      </c>
      <c r="B242" s="35" t="n">
        <f aca="false">Suppliers!B242</f>
        <v>241</v>
      </c>
      <c r="C242" s="35" t="str">
        <f aca="false">Suppliers!E242</f>
        <v>Interdruk S.A.</v>
      </c>
      <c r="D242" s="35" t="str">
        <f aca="false">Suppliers!D242</f>
        <v>Stationery &amp; Office</v>
      </c>
      <c r="E242" s="36" t="s">
        <v>4484</v>
      </c>
      <c r="F242" s="36" t="s">
        <v>4485</v>
      </c>
      <c r="G242" s="27"/>
      <c r="H242" s="27"/>
      <c r="I242" s="27"/>
      <c r="J242" s="28"/>
      <c r="K242" s="27"/>
      <c r="L242" s="28"/>
      <c r="M242" s="27"/>
      <c r="N242" s="27"/>
    </row>
    <row r="243" customFormat="false" ht="15" hidden="false" customHeight="false" outlineLevel="0" collapsed="false">
      <c r="A243" s="35" t="str">
        <f aca="false">Suppliers!A243</f>
        <v>Poland</v>
      </c>
      <c r="B243" s="35" t="n">
        <f aca="false">Suppliers!B243</f>
        <v>242</v>
      </c>
      <c r="C243" s="35" t="str">
        <f aca="false">Suppliers!E243</f>
        <v>COBI S.A.</v>
      </c>
      <c r="D243" s="35" t="str">
        <f aca="false">Suppliers!D243</f>
        <v>Toys &amp; Games</v>
      </c>
      <c r="E243" s="36" t="s">
        <v>4484</v>
      </c>
      <c r="F243" s="36" t="s">
        <v>4485</v>
      </c>
      <c r="G243" s="27"/>
      <c r="H243" s="27"/>
      <c r="I243" s="27"/>
      <c r="J243" s="28"/>
      <c r="K243" s="27"/>
      <c r="L243" s="28"/>
      <c r="M243" s="27"/>
      <c r="N243" s="27"/>
    </row>
    <row r="244" customFormat="false" ht="15" hidden="false" customHeight="false" outlineLevel="0" collapsed="false">
      <c r="A244" s="35" t="str">
        <f aca="false">Suppliers!A244</f>
        <v>Poland</v>
      </c>
      <c r="B244" s="35" t="n">
        <f aca="false">Suppliers!B244</f>
        <v>243</v>
      </c>
      <c r="C244" s="35" t="str">
        <f aca="false">Suppliers!E244</f>
        <v>Trefl S.A.</v>
      </c>
      <c r="D244" s="35" t="str">
        <f aca="false">Suppliers!D244</f>
        <v>Toys &amp; Games</v>
      </c>
      <c r="E244" s="36" t="s">
        <v>4484</v>
      </c>
      <c r="F244" s="36" t="s">
        <v>4485</v>
      </c>
      <c r="G244" s="27"/>
      <c r="H244" s="27"/>
      <c r="I244" s="27"/>
      <c r="J244" s="28"/>
      <c r="K244" s="27"/>
      <c r="L244" s="28"/>
      <c r="M244" s="27"/>
      <c r="N244" s="27"/>
    </row>
    <row r="245" customFormat="false" ht="15" hidden="false" customHeight="false" outlineLevel="0" collapsed="false">
      <c r="A245" s="35" t="str">
        <f aca="false">Suppliers!A245</f>
        <v>Poland</v>
      </c>
      <c r="B245" s="35" t="n">
        <f aca="false">Suppliers!B245</f>
        <v>244</v>
      </c>
      <c r="C245" s="35" t="str">
        <f aca="false">Suppliers!E245</f>
        <v>YAMANN Sp. z o.o.</v>
      </c>
      <c r="D245" s="35" t="str">
        <f aca="false">Suppliers!D245</f>
        <v>Toys &amp; Games</v>
      </c>
      <c r="E245" s="36" t="s">
        <v>4484</v>
      </c>
      <c r="F245" s="36" t="s">
        <v>4485</v>
      </c>
      <c r="G245" s="27"/>
      <c r="H245" s="27"/>
      <c r="I245" s="27"/>
      <c r="J245" s="28"/>
      <c r="K245" s="27"/>
      <c r="L245" s="28"/>
      <c r="M245" s="27"/>
      <c r="N245" s="27"/>
    </row>
    <row r="246" customFormat="false" ht="15" hidden="false" customHeight="false" outlineLevel="0" collapsed="false">
      <c r="A246" s="35" t="str">
        <f aca="false">Suppliers!A246</f>
        <v>Poland</v>
      </c>
      <c r="B246" s="35" t="n">
        <f aca="false">Suppliers!B246</f>
        <v>245</v>
      </c>
      <c r="C246" s="35" t="str">
        <f aca="false">Suppliers!E246</f>
        <v>ANEK Sp. z o.o. (Smily Play)</v>
      </c>
      <c r="D246" s="35" t="str">
        <f aca="false">Suppliers!D246</f>
        <v>Toys &amp; Games</v>
      </c>
      <c r="E246" s="36" t="s">
        <v>4484</v>
      </c>
      <c r="F246" s="36" t="s">
        <v>4485</v>
      </c>
      <c r="G246" s="27"/>
      <c r="H246" s="27"/>
      <c r="I246" s="27"/>
      <c r="J246" s="28"/>
      <c r="K246" s="27"/>
      <c r="L246" s="28"/>
      <c r="M246" s="27"/>
      <c r="N246" s="27"/>
    </row>
    <row r="247" customFormat="false" ht="15" hidden="false" customHeight="false" outlineLevel="0" collapsed="false">
      <c r="A247" s="35" t="str">
        <f aca="false">Suppliers!A247</f>
        <v>Poland</v>
      </c>
      <c r="B247" s="35" t="n">
        <f aca="false">Suppliers!B247</f>
        <v>246</v>
      </c>
      <c r="C247" s="35" t="str">
        <f aca="false">Suppliers!E247</f>
        <v>Granna Sp. z o.o.</v>
      </c>
      <c r="D247" s="35" t="str">
        <f aca="false">Suppliers!D247</f>
        <v>Toys &amp; Games</v>
      </c>
      <c r="E247" s="36" t="s">
        <v>4484</v>
      </c>
      <c r="F247" s="36" t="s">
        <v>4485</v>
      </c>
      <c r="G247" s="27"/>
      <c r="H247" s="27"/>
      <c r="I247" s="27"/>
      <c r="J247" s="28"/>
      <c r="K247" s="27"/>
      <c r="L247" s="28"/>
      <c r="M247" s="27"/>
      <c r="N247" s="27"/>
    </row>
    <row r="248" customFormat="false" ht="15" hidden="false" customHeight="false" outlineLevel="0" collapsed="false">
      <c r="A248" s="35" t="str">
        <f aca="false">Suppliers!A248</f>
        <v>Poland</v>
      </c>
      <c r="B248" s="35" t="n">
        <f aca="false">Suppliers!B248</f>
        <v>247</v>
      </c>
      <c r="C248" s="35" t="str">
        <f aca="false">Suppliers!E248</f>
        <v>Wader-Woźniak Sp. z o.o.</v>
      </c>
      <c r="D248" s="35" t="str">
        <f aca="false">Suppliers!D248</f>
        <v>Toys &amp; Games</v>
      </c>
      <c r="E248" s="36" t="s">
        <v>4484</v>
      </c>
      <c r="F248" s="36" t="s">
        <v>4485</v>
      </c>
      <c r="G248" s="27"/>
      <c r="H248" s="27"/>
      <c r="I248" s="27"/>
      <c r="J248" s="28"/>
      <c r="K248" s="27"/>
      <c r="L248" s="28"/>
      <c r="M248" s="27"/>
      <c r="N248" s="27"/>
    </row>
    <row r="249" customFormat="false" ht="23.85" hidden="false" customHeight="false" outlineLevel="0" collapsed="false">
      <c r="A249" s="35" t="str">
        <f aca="false">Suppliers!A249</f>
        <v>Poland</v>
      </c>
      <c r="B249" s="35" t="n">
        <f aca="false">Suppliers!B249</f>
        <v>248</v>
      </c>
      <c r="C249" s="35" t="str">
        <f aca="false">Suppliers!E249</f>
        <v>MARIOINEX Fabryka Zabawek Marian Suchanek</v>
      </c>
      <c r="D249" s="35" t="str">
        <f aca="false">Suppliers!D249</f>
        <v>Toys &amp; Games</v>
      </c>
      <c r="E249" s="36" t="s">
        <v>4484</v>
      </c>
      <c r="F249" s="36" t="s">
        <v>4485</v>
      </c>
      <c r="G249" s="27"/>
      <c r="H249" s="27"/>
      <c r="I249" s="27"/>
      <c r="J249" s="28"/>
      <c r="K249" s="27"/>
      <c r="L249" s="28"/>
      <c r="M249" s="27"/>
      <c r="N249" s="27"/>
    </row>
    <row r="250" customFormat="false" ht="15" hidden="false" customHeight="false" outlineLevel="0" collapsed="false">
      <c r="A250" s="35" t="str">
        <f aca="false">Suppliers!A250</f>
        <v>Poland</v>
      </c>
      <c r="B250" s="35" t="n">
        <f aca="false">Suppliers!B250</f>
        <v>249</v>
      </c>
      <c r="C250" s="35" t="str">
        <f aca="false">Suppliers!E250</f>
        <v>TM Toys Sp. z o.o.</v>
      </c>
      <c r="D250" s="35" t="str">
        <f aca="false">Suppliers!D250</f>
        <v>Toys &amp; Games</v>
      </c>
      <c r="E250" s="36" t="s">
        <v>4484</v>
      </c>
      <c r="F250" s="36" t="s">
        <v>4485</v>
      </c>
      <c r="G250" s="27"/>
      <c r="H250" s="27"/>
      <c r="I250" s="27"/>
      <c r="J250" s="28"/>
      <c r="K250" s="27"/>
      <c r="L250" s="28"/>
      <c r="M250" s="27"/>
      <c r="N250" s="27"/>
    </row>
    <row r="251" customFormat="false" ht="15" hidden="false" customHeight="false" outlineLevel="0" collapsed="false">
      <c r="A251" s="35" t="str">
        <f aca="false">Suppliers!A251</f>
        <v>Poland</v>
      </c>
      <c r="B251" s="35" t="n">
        <f aca="false">Suppliers!B251</f>
        <v>250</v>
      </c>
      <c r="C251" s="35" t="str">
        <f aca="false">Suppliers!E251</f>
        <v>Zabawkarstwo Wiesław Suchanek</v>
      </c>
      <c r="D251" s="35" t="str">
        <f aca="false">Suppliers!D251</f>
        <v>Toys &amp; Games</v>
      </c>
      <c r="E251" s="36" t="s">
        <v>4484</v>
      </c>
      <c r="F251" s="36" t="s">
        <v>4485</v>
      </c>
      <c r="G251" s="27"/>
      <c r="H251" s="27"/>
      <c r="I251" s="27"/>
      <c r="J251" s="28"/>
      <c r="K251" s="27"/>
      <c r="L251" s="28"/>
      <c r="M251" s="27"/>
      <c r="N251" s="27"/>
    </row>
    <row r="252" customFormat="false" ht="15" hidden="false" customHeight="false" outlineLevel="0" collapsed="false">
      <c r="A252" s="35" t="str">
        <f aca="false">Suppliers!A252</f>
        <v>Portugal</v>
      </c>
      <c r="B252" s="35" t="n">
        <f aca="false">Suppliers!B252</f>
        <v>251</v>
      </c>
      <c r="C252" s="35" t="str">
        <f aca="false">Suppliers!E252</f>
        <v>Ach. Brito &amp; C.ª, S.A.</v>
      </c>
      <c r="D252" s="35" t="str">
        <f aca="false">Suppliers!D252</f>
        <v>Beauty</v>
      </c>
      <c r="E252" s="36" t="s">
        <v>4484</v>
      </c>
      <c r="F252" s="36" t="s">
        <v>4485</v>
      </c>
      <c r="G252" s="27"/>
      <c r="H252" s="27"/>
      <c r="I252" s="27"/>
      <c r="J252" s="28"/>
      <c r="K252" s="27"/>
      <c r="L252" s="28"/>
      <c r="M252" s="27"/>
      <c r="N252" s="27"/>
    </row>
    <row r="253" customFormat="false" ht="15" hidden="false" customHeight="false" outlineLevel="0" collapsed="false">
      <c r="A253" s="35" t="str">
        <f aca="false">Suppliers!A253</f>
        <v>Portugal</v>
      </c>
      <c r="B253" s="35" t="n">
        <f aca="false">Suppliers!B253</f>
        <v>252</v>
      </c>
      <c r="C253" s="35" t="str">
        <f aca="false">Suppliers!E253</f>
        <v>Domingos de Sousa &amp; Filhos, S.A.</v>
      </c>
      <c r="D253" s="35" t="str">
        <f aca="false">Suppliers!D253</f>
        <v>Home &amp; Kitchen</v>
      </c>
      <c r="E253" s="36" t="s">
        <v>4484</v>
      </c>
      <c r="F253" s="36" t="s">
        <v>4485</v>
      </c>
      <c r="G253" s="27"/>
      <c r="H253" s="27"/>
      <c r="I253" s="27"/>
      <c r="J253" s="28"/>
      <c r="K253" s="27"/>
      <c r="L253" s="28"/>
      <c r="M253" s="27"/>
      <c r="N253" s="27"/>
    </row>
    <row r="254" customFormat="false" ht="15" hidden="false" customHeight="false" outlineLevel="0" collapsed="false">
      <c r="A254" s="35" t="str">
        <f aca="false">Suppliers!A254</f>
        <v>Portugal</v>
      </c>
      <c r="B254" s="35" t="n">
        <f aca="false">Suppliers!B254</f>
        <v>253</v>
      </c>
      <c r="C254" s="35" t="str">
        <f aca="false">Suppliers!E254</f>
        <v>Têxteis J.F. Almeida, S.A. (JFA)</v>
      </c>
      <c r="D254" s="35" t="str">
        <f aca="false">Suppliers!D254</f>
        <v>Home &amp; Kitchen</v>
      </c>
      <c r="E254" s="36" t="s">
        <v>4484</v>
      </c>
      <c r="F254" s="36" t="s">
        <v>4485</v>
      </c>
      <c r="G254" s="27"/>
      <c r="H254" s="27"/>
      <c r="I254" s="27"/>
      <c r="J254" s="28"/>
      <c r="K254" s="27"/>
      <c r="L254" s="28"/>
      <c r="M254" s="27"/>
      <c r="N254" s="27"/>
    </row>
    <row r="255" customFormat="false" ht="23.85" hidden="false" customHeight="false" outlineLevel="0" collapsed="false">
      <c r="A255" s="35" t="str">
        <f aca="false">Suppliers!A255</f>
        <v>Portugal</v>
      </c>
      <c r="B255" s="35" t="n">
        <f aca="false">Suppliers!B255</f>
        <v>254</v>
      </c>
      <c r="C255" s="35" t="str">
        <f aca="false">Suppliers!E255</f>
        <v>Villafelpos - Comércio e Indústria Têxtil, S.A.</v>
      </c>
      <c r="D255" s="35" t="str">
        <f aca="false">Suppliers!D255</f>
        <v>Home &amp; Kitchen</v>
      </c>
      <c r="E255" s="36" t="s">
        <v>4484</v>
      </c>
      <c r="F255" s="36" t="s">
        <v>4485</v>
      </c>
      <c r="G255" s="27"/>
      <c r="H255" s="27"/>
      <c r="I255" s="27"/>
      <c r="J255" s="28"/>
      <c r="K255" s="27"/>
      <c r="L255" s="28"/>
      <c r="M255" s="27"/>
      <c r="N255" s="27"/>
    </row>
    <row r="256" customFormat="false" ht="23.85" hidden="false" customHeight="false" outlineLevel="0" collapsed="false">
      <c r="A256" s="35" t="str">
        <f aca="false">Suppliers!A256</f>
        <v>Portugal</v>
      </c>
      <c r="B256" s="35" t="n">
        <f aca="false">Suppliers!B256</f>
        <v>255</v>
      </c>
      <c r="C256" s="35" t="str">
        <f aca="false">Suppliers!E256</f>
        <v>Alumínios Manuel G. Vieira &amp; Filhos, Lda.</v>
      </c>
      <c r="D256" s="35" t="str">
        <f aca="false">Suppliers!D256</f>
        <v>Home &amp; Kitchen</v>
      </c>
      <c r="E256" s="36" t="s">
        <v>4484</v>
      </c>
      <c r="F256" s="36" t="s">
        <v>4485</v>
      </c>
      <c r="G256" s="27"/>
      <c r="H256" s="27"/>
      <c r="I256" s="27"/>
      <c r="J256" s="28"/>
      <c r="K256" s="27"/>
      <c r="L256" s="28"/>
      <c r="M256" s="27"/>
      <c r="N256" s="27"/>
    </row>
    <row r="257" customFormat="false" ht="15" hidden="false" customHeight="false" outlineLevel="0" collapsed="false">
      <c r="A257" s="35" t="str">
        <f aca="false">Suppliers!A257</f>
        <v>Portugal</v>
      </c>
      <c r="B257" s="35" t="n">
        <f aca="false">Suppliers!B257</f>
        <v>256</v>
      </c>
      <c r="C257" s="35" t="str">
        <f aca="false">Suppliers!E257</f>
        <v>Ernesto Grilo Sucessores, Lda.</v>
      </c>
      <c r="D257" s="35" t="str">
        <f aca="false">Suppliers!D257</f>
        <v>Home &amp; Kitchen</v>
      </c>
      <c r="E257" s="36" t="s">
        <v>4484</v>
      </c>
      <c r="F257" s="36" t="s">
        <v>4485</v>
      </c>
      <c r="G257" s="27"/>
      <c r="H257" s="27"/>
      <c r="I257" s="27"/>
      <c r="J257" s="28"/>
      <c r="K257" s="27"/>
      <c r="L257" s="28"/>
      <c r="M257" s="27"/>
      <c r="N257" s="27"/>
    </row>
    <row r="258" customFormat="false" ht="15" hidden="false" customHeight="false" outlineLevel="0" collapsed="false">
      <c r="A258" s="35" t="str">
        <f aca="false">Suppliers!A258</f>
        <v>Portugal</v>
      </c>
      <c r="B258" s="35" t="n">
        <f aca="false">Suppliers!B258</f>
        <v>257</v>
      </c>
      <c r="C258" s="35" t="str">
        <f aca="false">Suppliers!E258</f>
        <v>Pereira &amp; Freitas, Lda.</v>
      </c>
      <c r="D258" s="35" t="str">
        <f aca="false">Suppliers!D258</f>
        <v>Home &amp; Kitchen</v>
      </c>
      <c r="E258" s="36" t="s">
        <v>4484</v>
      </c>
      <c r="F258" s="36" t="s">
        <v>4485</v>
      </c>
      <c r="G258" s="27"/>
      <c r="H258" s="27"/>
      <c r="I258" s="27"/>
      <c r="J258" s="28"/>
      <c r="K258" s="27"/>
      <c r="L258" s="28"/>
      <c r="M258" s="27"/>
      <c r="N258" s="27"/>
    </row>
    <row r="259" customFormat="false" ht="15" hidden="false" customHeight="false" outlineLevel="0" collapsed="false">
      <c r="A259" s="35" t="str">
        <f aca="false">Suppliers!A259</f>
        <v>Portugal</v>
      </c>
      <c r="B259" s="35" t="n">
        <f aca="false">Suppliers!B259</f>
        <v>258</v>
      </c>
      <c r="C259" s="35" t="str">
        <f aca="false">Suppliers!E259</f>
        <v>RENA - Luís Ferreira &amp; Ferreira, S.A.</v>
      </c>
      <c r="D259" s="35" t="str">
        <f aca="false">Suppliers!D259</f>
        <v>Home &amp; Kitchen</v>
      </c>
      <c r="E259" s="36" t="s">
        <v>4484</v>
      </c>
      <c r="F259" s="36" t="s">
        <v>4485</v>
      </c>
      <c r="G259" s="27"/>
      <c r="H259" s="27"/>
      <c r="I259" s="27"/>
      <c r="J259" s="28"/>
      <c r="K259" s="27"/>
      <c r="L259" s="28"/>
      <c r="M259" s="27"/>
      <c r="N259" s="27"/>
    </row>
    <row r="260" customFormat="false" ht="15" hidden="false" customHeight="false" outlineLevel="0" collapsed="false">
      <c r="A260" s="35" t="str">
        <f aca="false">Suppliers!A260</f>
        <v>Portugal</v>
      </c>
      <c r="B260" s="35" t="n">
        <f aca="false">Suppliers!B260</f>
        <v>259</v>
      </c>
      <c r="C260" s="35" t="str">
        <f aca="false">Suppliers!E260</f>
        <v>Silampos S.A.</v>
      </c>
      <c r="D260" s="35" t="str">
        <f aca="false">Suppliers!D260</f>
        <v>Home &amp; Kitchen</v>
      </c>
      <c r="E260" s="36" t="s">
        <v>4484</v>
      </c>
      <c r="F260" s="36" t="s">
        <v>4485</v>
      </c>
      <c r="G260" s="27"/>
      <c r="H260" s="27"/>
      <c r="I260" s="27"/>
      <c r="J260" s="28"/>
      <c r="K260" s="27"/>
      <c r="L260" s="28"/>
      <c r="M260" s="27"/>
      <c r="N260" s="27"/>
    </row>
    <row r="261" customFormat="false" ht="15" hidden="false" customHeight="false" outlineLevel="0" collapsed="false">
      <c r="A261" s="35" t="str">
        <f aca="false">Suppliers!A261</f>
        <v>Portugal</v>
      </c>
      <c r="B261" s="35" t="n">
        <f aca="false">Suppliers!B261</f>
        <v>260</v>
      </c>
      <c r="C261" s="35" t="str">
        <f aca="false">Suppliers!E261</f>
        <v>Ambar - Passion S.A.</v>
      </c>
      <c r="D261" s="35" t="str">
        <f aca="false">Suppliers!D261</f>
        <v>Stationery &amp; Office</v>
      </c>
      <c r="E261" s="36" t="s">
        <v>4484</v>
      </c>
      <c r="F261" s="36" t="s">
        <v>4485</v>
      </c>
      <c r="G261" s="27"/>
      <c r="H261" s="27"/>
      <c r="I261" s="27"/>
      <c r="J261" s="28"/>
      <c r="K261" s="27"/>
      <c r="L261" s="28"/>
      <c r="M261" s="27"/>
      <c r="N261" s="27"/>
    </row>
    <row r="262" customFormat="false" ht="23.85" hidden="false" customHeight="false" outlineLevel="0" collapsed="false">
      <c r="A262" s="35" t="str">
        <f aca="false">Suppliers!A262</f>
        <v>Portugal</v>
      </c>
      <c r="B262" s="35" t="n">
        <f aca="false">Suppliers!B262</f>
        <v>261</v>
      </c>
      <c r="C262" s="35" t="str">
        <f aca="false">Suppliers!E262</f>
        <v>Bi-silque - Produtos de Comunicação Visual, S.A.</v>
      </c>
      <c r="D262" s="35" t="str">
        <f aca="false">Suppliers!D262</f>
        <v>Stationery &amp; Office</v>
      </c>
      <c r="E262" s="36" t="s">
        <v>4484</v>
      </c>
      <c r="F262" s="36" t="s">
        <v>4485</v>
      </c>
      <c r="G262" s="27"/>
      <c r="H262" s="27"/>
      <c r="I262" s="27"/>
      <c r="J262" s="28"/>
      <c r="K262" s="27"/>
      <c r="L262" s="28"/>
      <c r="M262" s="27"/>
      <c r="N262" s="27"/>
    </row>
    <row r="263" customFormat="false" ht="15" hidden="false" customHeight="false" outlineLevel="0" collapsed="false">
      <c r="A263" s="35" t="str">
        <f aca="false">Suppliers!A263</f>
        <v>Portugal</v>
      </c>
      <c r="B263" s="35" t="n">
        <f aca="false">Suppliers!B263</f>
        <v>262</v>
      </c>
      <c r="C263" s="35" t="str">
        <f aca="false">Suppliers!E263</f>
        <v>Science4you S.A.</v>
      </c>
      <c r="D263" s="35" t="str">
        <f aca="false">Suppliers!D263</f>
        <v>Toys &amp; Games</v>
      </c>
      <c r="E263" s="36" t="s">
        <v>4484</v>
      </c>
      <c r="F263" s="36" t="s">
        <v>4485</v>
      </c>
      <c r="G263" s="27"/>
      <c r="H263" s="27"/>
      <c r="I263" s="27"/>
      <c r="J263" s="28"/>
      <c r="K263" s="27"/>
      <c r="L263" s="28"/>
      <c r="M263" s="27"/>
      <c r="N263" s="27"/>
    </row>
    <row r="264" customFormat="false" ht="15" hidden="false" customHeight="false" outlineLevel="0" collapsed="false">
      <c r="A264" s="35" t="str">
        <f aca="false">Suppliers!A264</f>
        <v>Romania</v>
      </c>
      <c r="B264" s="35" t="n">
        <f aca="false">Suppliers!B264</f>
        <v>263</v>
      </c>
      <c r="C264" s="35" t="str">
        <f aca="false">Suppliers!E264</f>
        <v>QudoBeauty</v>
      </c>
      <c r="D264" s="35" t="str">
        <f aca="false">Suppliers!D264</f>
        <v>Beauty</v>
      </c>
      <c r="E264" s="36" t="s">
        <v>4484</v>
      </c>
      <c r="F264" s="36" t="s">
        <v>4485</v>
      </c>
      <c r="G264" s="27"/>
      <c r="H264" s="27"/>
      <c r="I264" s="27"/>
      <c r="J264" s="28"/>
      <c r="K264" s="27"/>
      <c r="L264" s="28"/>
      <c r="M264" s="27"/>
      <c r="N264" s="27"/>
    </row>
    <row r="265" customFormat="false" ht="15" hidden="false" customHeight="false" outlineLevel="0" collapsed="false">
      <c r="A265" s="35" t="str">
        <f aca="false">Suppliers!A265</f>
        <v>Romania</v>
      </c>
      <c r="B265" s="35" t="n">
        <f aca="false">Suppliers!B265</f>
        <v>264</v>
      </c>
      <c r="C265" s="35" t="str">
        <f aca="false">Suppliers!E265</f>
        <v>FARMEC S.A. (Gerovital)</v>
      </c>
      <c r="D265" s="35" t="str">
        <f aca="false">Suppliers!D265</f>
        <v>Beauty</v>
      </c>
      <c r="E265" s="36" t="s">
        <v>4484</v>
      </c>
      <c r="F265" s="36" t="s">
        <v>4485</v>
      </c>
      <c r="G265" s="27"/>
      <c r="H265" s="27"/>
      <c r="I265" s="27"/>
      <c r="J265" s="28"/>
      <c r="K265" s="27"/>
      <c r="L265" s="28"/>
      <c r="M265" s="27"/>
      <c r="N265" s="27"/>
    </row>
    <row r="266" customFormat="false" ht="23.85" hidden="false" customHeight="false" outlineLevel="0" collapsed="false">
      <c r="A266" s="35" t="str">
        <f aca="false">Suppliers!A266</f>
        <v>Romania</v>
      </c>
      <c r="B266" s="35" t="n">
        <f aca="false">Suppliers!B266</f>
        <v>265</v>
      </c>
      <c r="C266" s="35" t="str">
        <f aca="false">Suppliers!E266</f>
        <v>Hofigal Export Import S.A.</v>
      </c>
      <c r="D266" s="35" t="str">
        <f aca="false">Suppliers!D266</f>
        <v>Health &amp; Personal Care</v>
      </c>
      <c r="E266" s="36" t="s">
        <v>4484</v>
      </c>
      <c r="F266" s="36" t="s">
        <v>4485</v>
      </c>
      <c r="G266" s="27"/>
      <c r="H266" s="27"/>
      <c r="I266" s="27"/>
      <c r="J266" s="28"/>
      <c r="K266" s="27"/>
      <c r="L266" s="28"/>
      <c r="M266" s="27"/>
      <c r="N266" s="27"/>
    </row>
    <row r="267" customFormat="false" ht="23.85" hidden="false" customHeight="false" outlineLevel="0" collapsed="false">
      <c r="A267" s="35" t="str">
        <f aca="false">Suppliers!A267</f>
        <v>Slovenia</v>
      </c>
      <c r="B267" s="35" t="n">
        <f aca="false">Suppliers!B267</f>
        <v>266</v>
      </c>
      <c r="C267" s="35" t="str">
        <f aca="false">Suppliers!E267</f>
        <v>TOSAMA d.o.o.</v>
      </c>
      <c r="D267" s="35" t="str">
        <f aca="false">Suppliers!D267</f>
        <v>Health &amp; Personal Care</v>
      </c>
      <c r="E267" s="36" t="s">
        <v>4484</v>
      </c>
      <c r="F267" s="36" t="s">
        <v>4485</v>
      </c>
      <c r="G267" s="27"/>
      <c r="H267" s="27"/>
      <c r="I267" s="27"/>
      <c r="J267" s="28"/>
      <c r="K267" s="27"/>
      <c r="L267" s="28"/>
      <c r="M267" s="27"/>
      <c r="N267" s="27"/>
    </row>
    <row r="268" customFormat="false" ht="15" hidden="false" customHeight="false" outlineLevel="0" collapsed="false">
      <c r="A268" s="35" t="str">
        <f aca="false">Suppliers!A268</f>
        <v>Spain</v>
      </c>
      <c r="B268" s="35" t="n">
        <f aca="false">Suppliers!B268</f>
        <v>267</v>
      </c>
      <c r="C268" s="35" t="str">
        <f aca="false">Suppliers!E268</f>
        <v>BigBuy</v>
      </c>
      <c r="D268" s="35" t="str">
        <f aca="false">Suppliers!D268</f>
        <v>B2B Marketplace</v>
      </c>
      <c r="E268" s="36" t="s">
        <v>4484</v>
      </c>
      <c r="F268" s="36" t="s">
        <v>4485</v>
      </c>
      <c r="G268" s="27"/>
      <c r="H268" s="27"/>
      <c r="I268" s="27"/>
      <c r="J268" s="28"/>
      <c r="K268" s="27"/>
      <c r="L268" s="28"/>
      <c r="M268" s="27"/>
      <c r="N268" s="27"/>
    </row>
    <row r="269" customFormat="false" ht="15" hidden="false" customHeight="false" outlineLevel="0" collapsed="false">
      <c r="A269" s="35" t="str">
        <f aca="false">Suppliers!A269</f>
        <v>Spain</v>
      </c>
      <c r="B269" s="35" t="n">
        <f aca="false">Suppliers!B269</f>
        <v>268</v>
      </c>
      <c r="C269" s="35" t="str">
        <f aca="false">Suppliers!E269</f>
        <v>R&amp;J Cambrass S.A.</v>
      </c>
      <c r="D269" s="35" t="str">
        <f aca="false">Suppliers!D269</f>
        <v>Baby Products</v>
      </c>
      <c r="E269" s="36" t="s">
        <v>4484</v>
      </c>
      <c r="F269" s="36" t="s">
        <v>4485</v>
      </c>
      <c r="G269" s="27"/>
      <c r="H269" s="27"/>
      <c r="I269" s="27"/>
      <c r="J269" s="28"/>
      <c r="K269" s="27"/>
      <c r="L269" s="28"/>
      <c r="M269" s="27"/>
      <c r="N269" s="27"/>
    </row>
    <row r="270" customFormat="false" ht="23.85" hidden="false" customHeight="false" outlineLevel="0" collapsed="false">
      <c r="A270" s="35" t="str">
        <f aca="false">Suppliers!A270</f>
        <v>Spain</v>
      </c>
      <c r="B270" s="35" t="n">
        <f aca="false">Suppliers!B270</f>
        <v>269</v>
      </c>
      <c r="C270" s="35" t="str">
        <f aca="false">Suppliers!E270</f>
        <v>AC Marca Personal Care S.L. (Denenes)</v>
      </c>
      <c r="D270" s="35" t="str">
        <f aca="false">Suppliers!D270</f>
        <v>Baby Products</v>
      </c>
      <c r="E270" s="36" t="s">
        <v>4484</v>
      </c>
      <c r="F270" s="36" t="s">
        <v>4485</v>
      </c>
      <c r="G270" s="27"/>
      <c r="H270" s="27"/>
      <c r="I270" s="27"/>
      <c r="J270" s="28"/>
      <c r="K270" s="27"/>
      <c r="L270" s="28"/>
      <c r="M270" s="27"/>
      <c r="N270" s="27"/>
    </row>
    <row r="271" customFormat="false" ht="15" hidden="false" customHeight="false" outlineLevel="0" collapsed="false">
      <c r="A271" s="35" t="str">
        <f aca="false">Suppliers!A271</f>
        <v>Spain</v>
      </c>
      <c r="B271" s="35" t="n">
        <f aca="false">Suppliers!B271</f>
        <v>270</v>
      </c>
      <c r="C271" s="35" t="str">
        <f aca="false">Suppliers!E271</f>
        <v>Jané Group (Jané, Concord, Be Cool)</v>
      </c>
      <c r="D271" s="35" t="str">
        <f aca="false">Suppliers!D271</f>
        <v>Baby Products</v>
      </c>
      <c r="E271" s="36" t="s">
        <v>4484</v>
      </c>
      <c r="F271" s="36" t="s">
        <v>4485</v>
      </c>
      <c r="G271" s="27"/>
      <c r="H271" s="27"/>
      <c r="I271" s="27"/>
      <c r="J271" s="28"/>
      <c r="K271" s="27"/>
      <c r="L271" s="28"/>
      <c r="M271" s="27"/>
      <c r="N271" s="27"/>
    </row>
    <row r="272" customFormat="false" ht="15" hidden="false" customHeight="false" outlineLevel="0" collapsed="false">
      <c r="A272" s="35" t="str">
        <f aca="false">Suppliers!A272</f>
        <v>Spain</v>
      </c>
      <c r="B272" s="35" t="n">
        <f aca="false">Suppliers!B272</f>
        <v>271</v>
      </c>
      <c r="C272" s="35" t="str">
        <f aca="false">Suppliers!E272</f>
        <v>Suavinex (Laboratorios Suavinex S.L.)</v>
      </c>
      <c r="D272" s="35" t="str">
        <f aca="false">Suppliers!D272</f>
        <v>Baby Products</v>
      </c>
      <c r="E272" s="36" t="s">
        <v>4484</v>
      </c>
      <c r="F272" s="36" t="s">
        <v>4485</v>
      </c>
      <c r="G272" s="27"/>
      <c r="H272" s="27"/>
      <c r="I272" s="27"/>
      <c r="J272" s="28"/>
      <c r="K272" s="27"/>
      <c r="L272" s="28"/>
      <c r="M272" s="27"/>
      <c r="N272" s="27"/>
    </row>
    <row r="273" customFormat="false" ht="15" hidden="false" customHeight="false" outlineLevel="0" collapsed="false">
      <c r="A273" s="35" t="str">
        <f aca="false">Suppliers!A273</f>
        <v>Spain</v>
      </c>
      <c r="B273" s="35" t="n">
        <f aca="false">Suppliers!B273</f>
        <v>272</v>
      </c>
      <c r="C273" s="35" t="str">
        <f aca="false">Suppliers!E273</f>
        <v>ISDIN S.A.</v>
      </c>
      <c r="D273" s="35" t="str">
        <f aca="false">Suppliers!D273</f>
        <v>Beauty</v>
      </c>
      <c r="E273" s="36" t="s">
        <v>4484</v>
      </c>
      <c r="F273" s="36" t="s">
        <v>4485</v>
      </c>
      <c r="G273" s="27"/>
      <c r="H273" s="27"/>
      <c r="I273" s="27"/>
      <c r="J273" s="28"/>
      <c r="K273" s="27"/>
      <c r="L273" s="28"/>
      <c r="M273" s="27"/>
      <c r="N273" s="27"/>
    </row>
    <row r="274" customFormat="false" ht="15" hidden="false" customHeight="false" outlineLevel="0" collapsed="false">
      <c r="A274" s="35" t="str">
        <f aca="false">Suppliers!A274</f>
        <v>Spain</v>
      </c>
      <c r="B274" s="35" t="n">
        <f aca="false">Suppliers!B274</f>
        <v>273</v>
      </c>
      <c r="C274" s="35" t="str">
        <f aca="false">Suppliers!E274</f>
        <v>Bella Aurora Labs S.A.</v>
      </c>
      <c r="D274" s="35" t="str">
        <f aca="false">Suppliers!D274</f>
        <v>Beauty</v>
      </c>
      <c r="E274" s="36" t="s">
        <v>4484</v>
      </c>
      <c r="F274" s="36" t="s">
        <v>4485</v>
      </c>
      <c r="G274" s="27"/>
      <c r="H274" s="27"/>
      <c r="I274" s="27"/>
      <c r="J274" s="28"/>
      <c r="K274" s="27"/>
      <c r="L274" s="28"/>
      <c r="M274" s="27"/>
      <c r="N274" s="27"/>
    </row>
    <row r="275" customFormat="false" ht="15" hidden="false" customHeight="false" outlineLevel="0" collapsed="false">
      <c r="A275" s="35" t="str">
        <f aca="false">Suppliers!A275</f>
        <v>Spain</v>
      </c>
      <c r="B275" s="35" t="n">
        <f aca="false">Suppliers!B275</f>
        <v>274</v>
      </c>
      <c r="C275" s="35" t="str">
        <f aca="false">Suppliers!E275</f>
        <v>Berioska S.L. (Babaria)</v>
      </c>
      <c r="D275" s="35" t="str">
        <f aca="false">Suppliers!D275</f>
        <v>Beauty</v>
      </c>
      <c r="E275" s="36" t="s">
        <v>4484</v>
      </c>
      <c r="F275" s="36" t="s">
        <v>4485</v>
      </c>
      <c r="G275" s="27"/>
      <c r="H275" s="27"/>
      <c r="I275" s="27"/>
      <c r="J275" s="28"/>
      <c r="K275" s="27"/>
      <c r="L275" s="28"/>
      <c r="M275" s="27"/>
      <c r="N275" s="27"/>
    </row>
    <row r="276" customFormat="false" ht="15" hidden="false" customHeight="false" outlineLevel="0" collapsed="false">
      <c r="A276" s="35" t="str">
        <f aca="false">Suppliers!A276</f>
        <v>Spain</v>
      </c>
      <c r="B276" s="35" t="n">
        <f aca="false">Suppliers!B276</f>
        <v>275</v>
      </c>
      <c r="C276" s="35" t="str">
        <f aca="false">Suppliers!E276</f>
        <v>Instituto Español S.A.</v>
      </c>
      <c r="D276" s="35" t="str">
        <f aca="false">Suppliers!D276</f>
        <v>Beauty</v>
      </c>
      <c r="E276" s="36" t="s">
        <v>4484</v>
      </c>
      <c r="F276" s="36" t="s">
        <v>4485</v>
      </c>
      <c r="G276" s="27"/>
      <c r="H276" s="27"/>
      <c r="I276" s="27"/>
      <c r="J276" s="28"/>
      <c r="K276" s="27"/>
      <c r="L276" s="28"/>
      <c r="M276" s="27"/>
      <c r="N276" s="27"/>
    </row>
    <row r="277" customFormat="false" ht="15" hidden="false" customHeight="false" outlineLevel="0" collapsed="false">
      <c r="A277" s="35" t="str">
        <f aca="false">Suppliers!A277</f>
        <v>Spain</v>
      </c>
      <c r="B277" s="35" t="n">
        <f aca="false">Suppliers!B277</f>
        <v>276</v>
      </c>
      <c r="C277" s="35" t="str">
        <f aca="false">Suppliers!E277</f>
        <v>RUBI Tools Group S.A.</v>
      </c>
      <c r="D277" s="35" t="str">
        <f aca="false">Suppliers!D277</f>
        <v>DIY &amp; Tools</v>
      </c>
      <c r="E277" s="36" t="s">
        <v>4484</v>
      </c>
      <c r="F277" s="36" t="s">
        <v>4485</v>
      </c>
      <c r="G277" s="27"/>
      <c r="H277" s="27"/>
      <c r="I277" s="27"/>
      <c r="J277" s="28"/>
      <c r="K277" s="27"/>
      <c r="L277" s="28"/>
      <c r="M277" s="27"/>
      <c r="N277" s="27"/>
    </row>
    <row r="278" customFormat="false" ht="15" hidden="false" customHeight="false" outlineLevel="0" collapsed="false">
      <c r="A278" s="35" t="str">
        <f aca="false">Suppliers!A278</f>
        <v>Spain</v>
      </c>
      <c r="B278" s="35" t="n">
        <f aca="false">Suppliers!B278</f>
        <v>277</v>
      </c>
      <c r="C278" s="35" t="str">
        <f aca="false">Suppliers!E278</f>
        <v>Bellota Herramientas S.L.U.</v>
      </c>
      <c r="D278" s="35" t="str">
        <f aca="false">Suppliers!D278</f>
        <v>DIY &amp; Tools</v>
      </c>
      <c r="E278" s="36" t="s">
        <v>4484</v>
      </c>
      <c r="F278" s="36" t="s">
        <v>4485</v>
      </c>
      <c r="G278" s="27"/>
      <c r="H278" s="27"/>
      <c r="I278" s="27"/>
      <c r="J278" s="28"/>
      <c r="K278" s="27"/>
      <c r="L278" s="28"/>
      <c r="M278" s="27"/>
      <c r="N278" s="27"/>
    </row>
    <row r="279" customFormat="false" ht="15" hidden="false" customHeight="false" outlineLevel="0" collapsed="false">
      <c r="A279" s="35" t="str">
        <f aca="false">Suppliers!A279</f>
        <v>Spain</v>
      </c>
      <c r="B279" s="35" t="n">
        <f aca="false">Suppliers!B279</f>
        <v>278</v>
      </c>
      <c r="C279" s="35" t="str">
        <f aca="false">Suppliers!E279</f>
        <v>EGA Master S.L.</v>
      </c>
      <c r="D279" s="35" t="str">
        <f aca="false">Suppliers!D279</f>
        <v>DIY &amp; Tools</v>
      </c>
      <c r="E279" s="36" t="s">
        <v>4484</v>
      </c>
      <c r="F279" s="36" t="s">
        <v>4485</v>
      </c>
      <c r="G279" s="27"/>
      <c r="H279" s="27"/>
      <c r="I279" s="27"/>
      <c r="J279" s="28"/>
      <c r="K279" s="27"/>
      <c r="L279" s="28"/>
      <c r="M279" s="27"/>
      <c r="N279" s="27"/>
    </row>
    <row r="280" customFormat="false" ht="15" hidden="false" customHeight="false" outlineLevel="0" collapsed="false">
      <c r="A280" s="35" t="str">
        <f aca="false">Suppliers!A280</f>
        <v>Spain</v>
      </c>
      <c r="B280" s="35" t="n">
        <f aca="false">Suppliers!B280</f>
        <v>279</v>
      </c>
      <c r="C280" s="35" t="str">
        <f aca="false">Suppliers!E280</f>
        <v>Grupo Saphir Parfums</v>
      </c>
      <c r="D280" s="35" t="str">
        <f aca="false">Suppliers!D280</f>
        <v>Fragrance</v>
      </c>
      <c r="E280" s="36" t="s">
        <v>4484</v>
      </c>
      <c r="F280" s="36" t="s">
        <v>4485</v>
      </c>
      <c r="G280" s="27"/>
      <c r="H280" s="27"/>
      <c r="I280" s="27"/>
      <c r="J280" s="28"/>
      <c r="K280" s="27"/>
      <c r="L280" s="28"/>
      <c r="M280" s="27"/>
      <c r="N280" s="27"/>
    </row>
    <row r="281" customFormat="false" ht="23.85" hidden="false" customHeight="false" outlineLevel="0" collapsed="false">
      <c r="A281" s="35" t="str">
        <f aca="false">Suppliers!A281</f>
        <v>Spain</v>
      </c>
      <c r="B281" s="35" t="n">
        <f aca="false">Suppliers!B281</f>
        <v>280</v>
      </c>
      <c r="C281" s="35" t="str">
        <f aca="false">Suppliers!E281</f>
        <v>Laboratorios Byly S.A.</v>
      </c>
      <c r="D281" s="35" t="str">
        <f aca="false">Suppliers!D281</f>
        <v>Health &amp; Personal Care</v>
      </c>
      <c r="E281" s="36" t="s">
        <v>4484</v>
      </c>
      <c r="F281" s="36" t="s">
        <v>4485</v>
      </c>
      <c r="G281" s="27"/>
      <c r="H281" s="27"/>
      <c r="I281" s="27"/>
      <c r="J281" s="28"/>
      <c r="K281" s="27"/>
      <c r="L281" s="28"/>
      <c r="M281" s="27"/>
      <c r="N281" s="27"/>
    </row>
    <row r="282" customFormat="false" ht="15" hidden="false" customHeight="false" outlineLevel="0" collapsed="false">
      <c r="A282" s="35" t="str">
        <f aca="false">Suppliers!A282</f>
        <v>Spain</v>
      </c>
      <c r="B282" s="35" t="n">
        <f aca="false">Suppliers!B282</f>
        <v>281</v>
      </c>
      <c r="C282" s="35" t="str">
        <f aca="false">Suppliers!E282</f>
        <v>Lékué S.L.</v>
      </c>
      <c r="D282" s="35" t="str">
        <f aca="false">Suppliers!D282</f>
        <v>Home &amp; Kitchen</v>
      </c>
      <c r="E282" s="36" t="s">
        <v>4484</v>
      </c>
      <c r="F282" s="36" t="s">
        <v>4485</v>
      </c>
      <c r="G282" s="27"/>
      <c r="H282" s="27"/>
      <c r="I282" s="27"/>
      <c r="J282" s="28"/>
      <c r="K282" s="27"/>
      <c r="L282" s="28"/>
      <c r="M282" s="27"/>
      <c r="N282" s="27"/>
    </row>
    <row r="283" customFormat="false" ht="15" hidden="false" customHeight="false" outlineLevel="0" collapsed="false">
      <c r="A283" s="35" t="str">
        <f aca="false">Suppliers!A283</f>
        <v>Spain</v>
      </c>
      <c r="B283" s="35" t="n">
        <f aca="false">Suppliers!B283</f>
        <v>282</v>
      </c>
      <c r="C283" s="35" t="str">
        <f aca="false">Suppliers!E283</f>
        <v>Cecotec Innovaciones S.L.</v>
      </c>
      <c r="D283" s="35" t="str">
        <f aca="false">Suppliers!D283</f>
        <v>Home &amp; Kitchen</v>
      </c>
      <c r="E283" s="36" t="s">
        <v>4484</v>
      </c>
      <c r="F283" s="36" t="s">
        <v>4485</v>
      </c>
      <c r="G283" s="27"/>
      <c r="H283" s="27"/>
      <c r="I283" s="27"/>
      <c r="J283" s="28"/>
      <c r="K283" s="27"/>
      <c r="L283" s="28"/>
      <c r="M283" s="27"/>
      <c r="N283" s="27"/>
    </row>
    <row r="284" customFormat="false" ht="15" hidden="false" customHeight="false" outlineLevel="0" collapsed="false">
      <c r="A284" s="35" t="str">
        <f aca="false">Suppliers!A284</f>
        <v>Spain</v>
      </c>
      <c r="B284" s="35" t="n">
        <f aca="false">Suppliers!B284</f>
        <v>283</v>
      </c>
      <c r="C284" s="35" t="str">
        <f aca="false">Suppliers!E284</f>
        <v>IBILI Menaje S.A.</v>
      </c>
      <c r="D284" s="35" t="str">
        <f aca="false">Suppliers!D284</f>
        <v>Home &amp; Kitchen</v>
      </c>
      <c r="E284" s="36" t="s">
        <v>4484</v>
      </c>
      <c r="F284" s="36" t="s">
        <v>4485</v>
      </c>
      <c r="G284" s="27"/>
      <c r="H284" s="27"/>
      <c r="I284" s="27"/>
      <c r="J284" s="28"/>
      <c r="K284" s="27"/>
      <c r="L284" s="28"/>
      <c r="M284" s="27"/>
      <c r="N284" s="27"/>
    </row>
    <row r="285" customFormat="false" ht="15" hidden="false" customHeight="false" outlineLevel="0" collapsed="false">
      <c r="A285" s="35" t="str">
        <f aca="false">Suppliers!A285</f>
        <v>Spain</v>
      </c>
      <c r="B285" s="35" t="n">
        <f aca="false">Suppliers!B285</f>
        <v>284</v>
      </c>
      <c r="C285" s="35" t="str">
        <f aca="false">Suppliers!E285</f>
        <v>Arquivet SLU</v>
      </c>
      <c r="D285" s="35" t="str">
        <f aca="false">Suppliers!D285</f>
        <v>Pet Supplies</v>
      </c>
      <c r="E285" s="36" t="s">
        <v>4484</v>
      </c>
      <c r="F285" s="36" t="s">
        <v>4485</v>
      </c>
      <c r="G285" s="27"/>
      <c r="H285" s="27"/>
      <c r="I285" s="27"/>
      <c r="J285" s="28"/>
      <c r="K285" s="27"/>
      <c r="L285" s="28"/>
      <c r="M285" s="27"/>
      <c r="N285" s="27"/>
    </row>
    <row r="286" customFormat="false" ht="15" hidden="false" customHeight="false" outlineLevel="0" collapsed="false">
      <c r="A286" s="35" t="str">
        <f aca="false">Suppliers!A286</f>
        <v>Spain</v>
      </c>
      <c r="B286" s="35" t="n">
        <f aca="false">Suppliers!B286</f>
        <v>285</v>
      </c>
      <c r="C286" s="35" t="str">
        <f aca="false">Suppliers!E286</f>
        <v>Gaun S.A.</v>
      </c>
      <c r="D286" s="35" t="str">
        <f aca="false">Suppliers!D286</f>
        <v>Pet Supplies</v>
      </c>
      <c r="E286" s="36" t="s">
        <v>4484</v>
      </c>
      <c r="F286" s="36" t="s">
        <v>4485</v>
      </c>
      <c r="G286" s="27"/>
      <c r="H286" s="27"/>
      <c r="I286" s="27"/>
      <c r="J286" s="28"/>
      <c r="K286" s="27"/>
      <c r="L286" s="28"/>
      <c r="M286" s="27"/>
      <c r="N286" s="27"/>
    </row>
    <row r="287" customFormat="false" ht="15" hidden="false" customHeight="false" outlineLevel="0" collapsed="false">
      <c r="A287" s="35" t="str">
        <f aca="false">Suppliers!A287</f>
        <v>Spain</v>
      </c>
      <c r="B287" s="35" t="n">
        <f aca="false">Suppliers!B287</f>
        <v>286</v>
      </c>
      <c r="C287" s="35" t="str">
        <f aca="false">Suppliers!E287</f>
        <v>GOSBI PET FOOD S.A.</v>
      </c>
      <c r="D287" s="35" t="str">
        <f aca="false">Suppliers!D287</f>
        <v>Pet Supplies</v>
      </c>
      <c r="E287" s="36" t="s">
        <v>4484</v>
      </c>
      <c r="F287" s="36" t="s">
        <v>4485</v>
      </c>
      <c r="G287" s="27"/>
      <c r="H287" s="27"/>
      <c r="I287" s="27"/>
      <c r="J287" s="28"/>
      <c r="K287" s="27"/>
      <c r="L287" s="28"/>
      <c r="M287" s="27"/>
      <c r="N287" s="27"/>
    </row>
    <row r="288" customFormat="false" ht="15" hidden="false" customHeight="false" outlineLevel="0" collapsed="false">
      <c r="A288" s="35" t="str">
        <f aca="false">Suppliers!A288</f>
        <v>Spain</v>
      </c>
      <c r="B288" s="35" t="n">
        <f aca="false">Suppliers!B288</f>
        <v>287</v>
      </c>
      <c r="C288" s="35" t="str">
        <f aca="false">Suppliers!E288</f>
        <v>Nayeco S.L. (NUZOA group)</v>
      </c>
      <c r="D288" s="35" t="str">
        <f aca="false">Suppliers!D288</f>
        <v>Pet Supplies</v>
      </c>
      <c r="E288" s="36" t="s">
        <v>4484</v>
      </c>
      <c r="F288" s="36" t="s">
        <v>4485</v>
      </c>
      <c r="G288" s="27"/>
      <c r="H288" s="27"/>
      <c r="I288" s="27"/>
      <c r="J288" s="28"/>
      <c r="K288" s="27"/>
      <c r="L288" s="28"/>
      <c r="M288" s="27"/>
      <c r="N288" s="27"/>
    </row>
    <row r="289" customFormat="false" ht="15" hidden="false" customHeight="false" outlineLevel="0" collapsed="false">
      <c r="A289" s="35" t="str">
        <f aca="false">Suppliers!A289</f>
        <v>Spain</v>
      </c>
      <c r="B289" s="35" t="n">
        <f aca="false">Suppliers!B289</f>
        <v>288</v>
      </c>
      <c r="C289" s="35" t="str">
        <f aca="false">Suppliers!E289</f>
        <v>Jim Sports Group (Softee)</v>
      </c>
      <c r="D289" s="35" t="str">
        <f aca="false">Suppliers!D289</f>
        <v>Sports &amp; Outdoors</v>
      </c>
      <c r="E289" s="36" t="s">
        <v>4484</v>
      </c>
      <c r="F289" s="36" t="s">
        <v>4485</v>
      </c>
      <c r="G289" s="27"/>
      <c r="H289" s="27"/>
      <c r="I289" s="27"/>
      <c r="J289" s="28"/>
      <c r="K289" s="27"/>
      <c r="L289" s="28"/>
      <c r="M289" s="27"/>
      <c r="N289" s="27"/>
    </row>
    <row r="290" customFormat="false" ht="15" hidden="false" customHeight="false" outlineLevel="0" collapsed="false">
      <c r="A290" s="35" t="str">
        <f aca="false">Suppliers!A290</f>
        <v>Spain</v>
      </c>
      <c r="B290" s="35" t="n">
        <f aca="false">Suppliers!B290</f>
        <v>289</v>
      </c>
      <c r="C290" s="35" t="str">
        <f aca="false">Suppliers!E290</f>
        <v>APLI Paper S.A.U.</v>
      </c>
      <c r="D290" s="35" t="str">
        <f aca="false">Suppliers!D290</f>
        <v>Stationery &amp; Office</v>
      </c>
      <c r="E290" s="36" t="s">
        <v>4484</v>
      </c>
      <c r="F290" s="36" t="s">
        <v>4485</v>
      </c>
      <c r="G290" s="27"/>
      <c r="H290" s="27"/>
      <c r="I290" s="27"/>
      <c r="J290" s="28"/>
      <c r="K290" s="27"/>
      <c r="L290" s="28"/>
      <c r="M290" s="27"/>
      <c r="N290" s="27"/>
    </row>
    <row r="291" customFormat="false" ht="15" hidden="false" customHeight="false" outlineLevel="0" collapsed="false">
      <c r="A291" s="35" t="str">
        <f aca="false">Suppliers!A291</f>
        <v>Spain</v>
      </c>
      <c r="B291" s="35" t="n">
        <f aca="false">Suppliers!B291</f>
        <v>290</v>
      </c>
      <c r="C291" s="35" t="str">
        <f aca="false">Suppliers!E291</f>
        <v>Factis S.A. (MILAN)</v>
      </c>
      <c r="D291" s="35" t="str">
        <f aca="false">Suppliers!D291</f>
        <v>Stationery &amp; Office</v>
      </c>
      <c r="E291" s="36" t="s">
        <v>4484</v>
      </c>
      <c r="F291" s="36" t="s">
        <v>4485</v>
      </c>
      <c r="G291" s="27"/>
      <c r="H291" s="27"/>
      <c r="I291" s="27"/>
      <c r="J291" s="28"/>
      <c r="K291" s="27"/>
      <c r="L291" s="28"/>
      <c r="M291" s="27"/>
      <c r="N291" s="27"/>
    </row>
    <row r="292" customFormat="false" ht="15" hidden="false" customHeight="false" outlineLevel="0" collapsed="false">
      <c r="A292" s="35" t="str">
        <f aca="false">Suppliers!A292</f>
        <v>Spain</v>
      </c>
      <c r="B292" s="35" t="n">
        <f aca="false">Suppliers!B292</f>
        <v>291</v>
      </c>
      <c r="C292" s="35" t="str">
        <f aca="false">Suppliers!E292</f>
        <v>JOVI S.A.</v>
      </c>
      <c r="D292" s="35" t="str">
        <f aca="false">Suppliers!D292</f>
        <v>Stationery &amp; Office</v>
      </c>
      <c r="E292" s="36" t="s">
        <v>4484</v>
      </c>
      <c r="F292" s="36" t="s">
        <v>4485</v>
      </c>
      <c r="G292" s="27"/>
      <c r="H292" s="27"/>
      <c r="I292" s="27"/>
      <c r="J292" s="28"/>
      <c r="K292" s="27"/>
      <c r="L292" s="28"/>
      <c r="M292" s="27"/>
      <c r="N292" s="27"/>
    </row>
    <row r="293" customFormat="false" ht="23.85" hidden="false" customHeight="false" outlineLevel="0" collapsed="false">
      <c r="A293" s="35" t="str">
        <f aca="false">Suppliers!A293</f>
        <v>Spain</v>
      </c>
      <c r="B293" s="35" t="n">
        <f aca="false">Suppliers!B293</f>
        <v>292</v>
      </c>
      <c r="C293" s="35" t="str">
        <f aca="false">Suppliers!E293</f>
        <v>CSP - Comercial del Sur de Papelería (Liderpapel)</v>
      </c>
      <c r="D293" s="35" t="str">
        <f aca="false">Suppliers!D293</f>
        <v>Stationery &amp; Office</v>
      </c>
      <c r="E293" s="36" t="s">
        <v>4484</v>
      </c>
      <c r="F293" s="36" t="s">
        <v>4485</v>
      </c>
      <c r="G293" s="27"/>
      <c r="H293" s="27"/>
      <c r="I293" s="27"/>
      <c r="J293" s="28"/>
      <c r="K293" s="27"/>
      <c r="L293" s="28"/>
      <c r="M293" s="27"/>
      <c r="N293" s="27"/>
    </row>
    <row r="294" customFormat="false" ht="23.85" hidden="false" customHeight="false" outlineLevel="0" collapsed="false">
      <c r="A294" s="35" t="str">
        <f aca="false">Suppliers!A294</f>
        <v>Spain</v>
      </c>
      <c r="B294" s="35" t="n">
        <f aca="false">Suppliers!B294</f>
        <v>293</v>
      </c>
      <c r="C294" s="35" t="str">
        <f aca="false">Suppliers!E294</f>
        <v>Distribuidora Universal S.L. (DUNSA Group)</v>
      </c>
      <c r="D294" s="35" t="str">
        <f aca="false">Suppliers!D294</f>
        <v>Stationery &amp; Office</v>
      </c>
      <c r="E294" s="36" t="s">
        <v>4484</v>
      </c>
      <c r="F294" s="36" t="s">
        <v>4485</v>
      </c>
      <c r="G294" s="27"/>
      <c r="H294" s="27"/>
      <c r="I294" s="27"/>
      <c r="J294" s="28"/>
      <c r="K294" s="27"/>
      <c r="L294" s="28"/>
      <c r="M294" s="27"/>
      <c r="N294" s="27"/>
    </row>
    <row r="295" customFormat="false" ht="15" hidden="false" customHeight="false" outlineLevel="0" collapsed="false">
      <c r="A295" s="35" t="str">
        <f aca="false">Suppliers!A295</f>
        <v>Spain</v>
      </c>
      <c r="B295" s="35" t="n">
        <f aca="false">Suppliers!B295</f>
        <v>294</v>
      </c>
      <c r="C295" s="35" t="str">
        <f aca="false">Suppliers!E295</f>
        <v>Educa Borrás S.A.U.</v>
      </c>
      <c r="D295" s="35" t="str">
        <f aca="false">Suppliers!D295</f>
        <v>Toys &amp; Games</v>
      </c>
      <c r="E295" s="36" t="s">
        <v>4484</v>
      </c>
      <c r="F295" s="36" t="s">
        <v>4485</v>
      </c>
      <c r="G295" s="27"/>
      <c r="H295" s="27"/>
      <c r="I295" s="27"/>
      <c r="J295" s="28"/>
      <c r="K295" s="27"/>
      <c r="L295" s="28"/>
      <c r="M295" s="27"/>
      <c r="N295" s="27"/>
    </row>
    <row r="296" customFormat="false" ht="15" hidden="false" customHeight="false" outlineLevel="0" collapsed="false">
      <c r="A296" s="35" t="str">
        <f aca="false">Suppliers!A296</f>
        <v>Spain</v>
      </c>
      <c r="B296" s="35" t="n">
        <f aca="false">Suppliers!B296</f>
        <v>295</v>
      </c>
      <c r="C296" s="35" t="str">
        <f aca="false">Suppliers!E296</f>
        <v>Colorbaby S.L.</v>
      </c>
      <c r="D296" s="35" t="str">
        <f aca="false">Suppliers!D296</f>
        <v>Toys &amp; Games</v>
      </c>
      <c r="E296" s="36" t="s">
        <v>4484</v>
      </c>
      <c r="F296" s="36" t="s">
        <v>4485</v>
      </c>
      <c r="G296" s="27"/>
      <c r="H296" s="27"/>
      <c r="I296" s="27"/>
      <c r="J296" s="28"/>
      <c r="K296" s="27"/>
      <c r="L296" s="28"/>
      <c r="M296" s="27"/>
      <c r="N296" s="27"/>
    </row>
    <row r="297" customFormat="false" ht="15" hidden="false" customHeight="false" outlineLevel="0" collapsed="false">
      <c r="A297" s="35" t="str">
        <f aca="false">Suppliers!A297</f>
        <v>Spain</v>
      </c>
      <c r="B297" s="35" t="n">
        <f aca="false">Suppliers!B297</f>
        <v>296</v>
      </c>
      <c r="C297" s="35" t="str">
        <f aca="false">Suppliers!E297</f>
        <v>Miniland S.A.</v>
      </c>
      <c r="D297" s="35" t="str">
        <f aca="false">Suppliers!D297</f>
        <v>Toys &amp; Games</v>
      </c>
      <c r="E297" s="36" t="s">
        <v>4484</v>
      </c>
      <c r="F297" s="36" t="s">
        <v>4485</v>
      </c>
      <c r="G297" s="27"/>
      <c r="H297" s="27"/>
      <c r="I297" s="27"/>
      <c r="J297" s="28"/>
      <c r="K297" s="27"/>
      <c r="L297" s="28"/>
      <c r="M297" s="27"/>
      <c r="N297" s="27"/>
    </row>
    <row r="298" customFormat="false" ht="15" hidden="false" customHeight="false" outlineLevel="0" collapsed="false">
      <c r="A298" s="35" t="str">
        <f aca="false">Suppliers!A298</f>
        <v>Spain</v>
      </c>
      <c r="B298" s="35" t="n">
        <f aca="false">Suppliers!B298</f>
        <v>297</v>
      </c>
      <c r="C298" s="35" t="str">
        <f aca="false">Suppliers!E298</f>
        <v>Cefa Toys S.A.</v>
      </c>
      <c r="D298" s="35" t="str">
        <f aca="false">Suppliers!D298</f>
        <v>Toys &amp; Games</v>
      </c>
      <c r="E298" s="36" t="s">
        <v>4484</v>
      </c>
      <c r="F298" s="36" t="s">
        <v>4485</v>
      </c>
      <c r="G298" s="27"/>
      <c r="H298" s="27"/>
      <c r="I298" s="27"/>
      <c r="J298" s="28"/>
      <c r="K298" s="27"/>
      <c r="L298" s="28"/>
      <c r="M298" s="27"/>
      <c r="N298" s="27"/>
    </row>
    <row r="299" customFormat="false" ht="15" hidden="false" customHeight="false" outlineLevel="0" collapsed="false">
      <c r="A299" s="35" t="str">
        <f aca="false">Suppliers!A299</f>
        <v>Spain</v>
      </c>
      <c r="B299" s="35" t="n">
        <f aca="false">Suppliers!B299</f>
        <v>298</v>
      </c>
      <c r="C299" s="35" t="str">
        <f aca="false">Suppliers!E299</f>
        <v>DISET S.A. (Jumbo Group)</v>
      </c>
      <c r="D299" s="35" t="str">
        <f aca="false">Suppliers!D299</f>
        <v>Toys &amp; Games</v>
      </c>
      <c r="E299" s="36" t="s">
        <v>4484</v>
      </c>
      <c r="F299" s="36" t="s">
        <v>4485</v>
      </c>
      <c r="G299" s="27"/>
      <c r="H299" s="27"/>
      <c r="I299" s="27"/>
      <c r="J299" s="28"/>
      <c r="K299" s="27"/>
      <c r="L299" s="28"/>
      <c r="M299" s="27"/>
      <c r="N299" s="27"/>
    </row>
    <row r="300" customFormat="false" ht="23.85" hidden="false" customHeight="false" outlineLevel="0" collapsed="false">
      <c r="A300" s="35" t="str">
        <f aca="false">Suppliers!A300</f>
        <v>Spain</v>
      </c>
      <c r="B300" s="35" t="n">
        <f aca="false">Suppliers!B300</f>
        <v>299</v>
      </c>
      <c r="C300" s="35" t="str">
        <f aca="false">Suppliers!E300</f>
        <v>Famosa (Fábricas Agrupadas de Muñecas de Onil S.A.)</v>
      </c>
      <c r="D300" s="35" t="str">
        <f aca="false">Suppliers!D300</f>
        <v>Toys &amp; Games</v>
      </c>
      <c r="E300" s="36" t="s">
        <v>4484</v>
      </c>
      <c r="F300" s="36" t="s">
        <v>4485</v>
      </c>
      <c r="G300" s="27"/>
      <c r="H300" s="27"/>
      <c r="I300" s="27"/>
      <c r="J300" s="28"/>
      <c r="K300" s="27"/>
      <c r="L300" s="28"/>
      <c r="M300" s="27"/>
      <c r="N300" s="27"/>
    </row>
    <row r="301" customFormat="false" ht="15" hidden="false" customHeight="false" outlineLevel="0" collapsed="false">
      <c r="A301" s="35" t="str">
        <f aca="false">Suppliers!A301</f>
        <v>Spain</v>
      </c>
      <c r="B301" s="35" t="n">
        <f aca="false">Suppliers!B301</f>
        <v>300</v>
      </c>
      <c r="C301" s="35" t="str">
        <f aca="false">Suppliers!E301</f>
        <v>Industrial Juguetera S.A. (Injusa)</v>
      </c>
      <c r="D301" s="35" t="str">
        <f aca="false">Suppliers!D301</f>
        <v>Toys &amp; Games</v>
      </c>
      <c r="E301" s="36" t="s">
        <v>4484</v>
      </c>
      <c r="F301" s="36" t="s">
        <v>4485</v>
      </c>
      <c r="G301" s="27"/>
      <c r="H301" s="27"/>
      <c r="I301" s="27"/>
      <c r="J301" s="28"/>
      <c r="K301" s="27"/>
      <c r="L301" s="28"/>
      <c r="M301" s="27"/>
      <c r="N301" s="27"/>
    </row>
    <row r="302" customFormat="false" ht="23.85" hidden="false" customHeight="false" outlineLevel="0" collapsed="false">
      <c r="A302" s="35" t="str">
        <f aca="false">Suppliers!A302</f>
        <v>Sweden</v>
      </c>
      <c r="B302" s="35" t="n">
        <f aca="false">Suppliers!B302</f>
        <v>301</v>
      </c>
      <c r="C302" s="35" t="str">
        <f aca="false">Suppliers!E302</f>
        <v>Scandinavian Cosmetics AB (Storskogen group)</v>
      </c>
      <c r="D302" s="35" t="str">
        <f aca="false">Suppliers!D302</f>
        <v>Beauty</v>
      </c>
      <c r="E302" s="36" t="s">
        <v>4484</v>
      </c>
      <c r="F302" s="36" t="s">
        <v>4485</v>
      </c>
      <c r="G302" s="27"/>
      <c r="H302" s="27"/>
      <c r="I302" s="27"/>
      <c r="J302" s="28"/>
      <c r="K302" s="27"/>
      <c r="L302" s="28"/>
      <c r="M302" s="27"/>
      <c r="N302" s="27"/>
    </row>
    <row r="303" customFormat="false" ht="15" hidden="false" customHeight="false" outlineLevel="0" collapsed="false">
      <c r="A303" s="35" t="str">
        <f aca="false">Suppliers!A303</f>
        <v>Sweden</v>
      </c>
      <c r="B303" s="35" t="n">
        <f aca="false">Suppliers!B303</f>
        <v>302</v>
      </c>
      <c r="C303" s="35" t="str">
        <f aca="false">Suppliers!E303</f>
        <v>IsaDora AB</v>
      </c>
      <c r="D303" s="35" t="str">
        <f aca="false">Suppliers!D303</f>
        <v>Beauty</v>
      </c>
      <c r="E303" s="36" t="s">
        <v>4484</v>
      </c>
      <c r="F303" s="36" t="s">
        <v>4485</v>
      </c>
      <c r="G303" s="27"/>
      <c r="H303" s="27"/>
      <c r="I303" s="27"/>
      <c r="J303" s="28"/>
      <c r="K303" s="27"/>
      <c r="L303" s="28"/>
      <c r="M303" s="27"/>
      <c r="N303" s="27"/>
    </row>
    <row r="304" customFormat="false" ht="23.85" hidden="false" customHeight="false" outlineLevel="0" collapsed="false">
      <c r="A304" s="35" t="str">
        <f aca="false">Suppliers!A304</f>
        <v>Sweden</v>
      </c>
      <c r="B304" s="35" t="n">
        <f aca="false">Suppliers!B304</f>
        <v>303</v>
      </c>
      <c r="C304" s="35" t="str">
        <f aca="false">Suppliers!E304</f>
        <v>TePe Munhygienprodukter AB</v>
      </c>
      <c r="D304" s="35" t="str">
        <f aca="false">Suppliers!D304</f>
        <v>Health &amp; Personal Care</v>
      </c>
      <c r="E304" s="36" t="s">
        <v>4484</v>
      </c>
      <c r="F304" s="36" t="s">
        <v>4485</v>
      </c>
      <c r="G304" s="27"/>
      <c r="H304" s="27"/>
      <c r="I304" s="27"/>
      <c r="J304" s="28"/>
      <c r="K304" s="27"/>
      <c r="L304" s="28"/>
      <c r="M304" s="27"/>
      <c r="N304" s="27"/>
    </row>
    <row r="305" customFormat="false" ht="23.85" hidden="false" customHeight="false" outlineLevel="0" collapsed="false">
      <c r="A305" s="35" t="str">
        <f aca="false">Suppliers!A305</f>
        <v>Sweden</v>
      </c>
      <c r="B305" s="35" t="n">
        <f aca="false">Suppliers!B305</f>
        <v>304</v>
      </c>
      <c r="C305" s="35" t="str">
        <f aca="false">Suppliers!E305</f>
        <v>Cederroth AB (Orkla Home &amp; Personal Care)</v>
      </c>
      <c r="D305" s="35" t="str">
        <f aca="false">Suppliers!D305</f>
        <v>Health &amp; Personal Care</v>
      </c>
      <c r="E305" s="36" t="s">
        <v>4484</v>
      </c>
      <c r="F305" s="36" t="s">
        <v>4485</v>
      </c>
      <c r="G305" s="27"/>
      <c r="H305" s="27"/>
      <c r="I305" s="27"/>
      <c r="J305" s="28"/>
      <c r="K305" s="27"/>
      <c r="L305" s="28"/>
      <c r="M305" s="27"/>
      <c r="N305" s="27"/>
    </row>
    <row r="306" customFormat="false" ht="15" hidden="false" customHeight="false" outlineLevel="0" collapsed="false">
      <c r="A306" s="35" t="str">
        <f aca="false">Suppliers!A306</f>
        <v>Sweden</v>
      </c>
      <c r="B306" s="35" t="n">
        <f aca="false">Suppliers!B306</f>
        <v>305</v>
      </c>
      <c r="C306" s="35" t="str">
        <f aca="false">Suppliers!E306</f>
        <v>STIGA Sports AB</v>
      </c>
      <c r="D306" s="35" t="str">
        <f aca="false">Suppliers!D306</f>
        <v>Sports &amp; Outdoors</v>
      </c>
      <c r="E306" s="36" t="s">
        <v>4484</v>
      </c>
      <c r="F306" s="36" t="s">
        <v>4485</v>
      </c>
      <c r="G306" s="27"/>
      <c r="H306" s="27"/>
      <c r="I306" s="27"/>
      <c r="J306" s="28"/>
      <c r="K306" s="27"/>
      <c r="L306" s="28"/>
      <c r="M306" s="27"/>
      <c r="N306" s="27"/>
    </row>
    <row r="307" customFormat="false" ht="15" hidden="false" customHeight="false" outlineLevel="0" collapsed="false">
      <c r="A307" s="35" t="str">
        <f aca="false">Suppliers!A307</f>
        <v>Sweden</v>
      </c>
      <c r="B307" s="35" t="n">
        <f aca="false">Suppliers!B307</f>
        <v>306</v>
      </c>
      <c r="C307" s="35" t="str">
        <f aca="false">Suppliers!E307</f>
        <v>BRIO AB (Ravensburger group)</v>
      </c>
      <c r="D307" s="35" t="str">
        <f aca="false">Suppliers!D307</f>
        <v>Toys &amp; Games</v>
      </c>
      <c r="E307" s="36" t="s">
        <v>4484</v>
      </c>
      <c r="F307" s="36" t="s">
        <v>4485</v>
      </c>
      <c r="G307" s="27"/>
      <c r="H307" s="27"/>
      <c r="I307" s="27"/>
      <c r="J307" s="28"/>
      <c r="K307" s="27"/>
      <c r="L307" s="28"/>
      <c r="M307" s="27"/>
      <c r="N307" s="27"/>
    </row>
    <row r="308" customFormat="false" ht="15" hidden="false" customHeight="false" outlineLevel="0" collapsed="false">
      <c r="A308" s="35" t="str">
        <f aca="false">Suppliers!A308</f>
        <v>Sweden</v>
      </c>
      <c r="B308" s="35" t="n">
        <f aca="false">Suppliers!B308</f>
        <v>307</v>
      </c>
      <c r="C308" s="35" t="str">
        <f aca="false">Suppliers!E308</f>
        <v>Micki Leksaker AB</v>
      </c>
      <c r="D308" s="35" t="str">
        <f aca="false">Suppliers!D308</f>
        <v>Toys &amp; Games</v>
      </c>
      <c r="E308" s="36" t="s">
        <v>4484</v>
      </c>
      <c r="F308" s="36" t="s">
        <v>4485</v>
      </c>
      <c r="G308" s="27"/>
      <c r="H308" s="27"/>
      <c r="I308" s="27"/>
      <c r="J308" s="28"/>
      <c r="K308" s="27"/>
      <c r="L308" s="28"/>
      <c r="M308" s="27"/>
      <c r="N308" s="27"/>
    </row>
    <row r="309" customFormat="false" ht="15" hidden="false" customHeight="false" outlineLevel="0" collapsed="false">
      <c r="A309" s="35" t="str">
        <f aca="false">Suppliers!A309</f>
        <v>Switzerland</v>
      </c>
      <c r="B309" s="35" t="n">
        <f aca="false">Suppliers!B309</f>
        <v>308</v>
      </c>
      <c r="C309" s="35" t="str">
        <f aca="false">Suppliers!E309</f>
        <v>Carletto AG (Carletto Deutschland)</v>
      </c>
      <c r="D309" s="35" t="str">
        <f aca="false">Suppliers!D309</f>
        <v>Toys &amp; Games</v>
      </c>
      <c r="E309" s="36" t="s">
        <v>4484</v>
      </c>
      <c r="F309" s="36" t="s">
        <v>4485</v>
      </c>
      <c r="G309" s="27"/>
      <c r="H309" s="27"/>
      <c r="I309" s="27"/>
      <c r="J309" s="28"/>
      <c r="K309" s="27"/>
      <c r="L309" s="28"/>
      <c r="M309" s="27"/>
      <c r="N309" s="27"/>
    </row>
    <row r="310" customFormat="false" ht="15" hidden="false" customHeight="false" outlineLevel="0" collapsed="false">
      <c r="A310" s="35" t="str">
        <f aca="false">Suppliers!A310</f>
        <v>UK</v>
      </c>
      <c r="B310" s="35" t="n">
        <f aca="false">Suppliers!B310</f>
        <v>309</v>
      </c>
      <c r="C310" s="35" t="str">
        <f aca="false">Suppliers!E310</f>
        <v>Qogita</v>
      </c>
      <c r="D310" s="35" t="str">
        <f aca="false">Suppliers!D310</f>
        <v>B2B Marketplace</v>
      </c>
      <c r="E310" s="36" t="s">
        <v>4484</v>
      </c>
      <c r="F310" s="36" t="s">
        <v>4485</v>
      </c>
      <c r="G310" s="27"/>
      <c r="H310" s="27"/>
      <c r="I310" s="27"/>
      <c r="J310" s="28"/>
      <c r="K310" s="27"/>
      <c r="L310" s="28"/>
      <c r="M310" s="27"/>
      <c r="N310" s="27"/>
    </row>
    <row r="311" customFormat="false" ht="15" hidden="false" customHeight="false" outlineLevel="0" collapsed="false">
      <c r="A311" s="35" t="str">
        <f aca="false">Suppliers!A311</f>
        <v>UK</v>
      </c>
      <c r="B311" s="35" t="n">
        <f aca="false">Suppliers!B311</f>
        <v>310</v>
      </c>
      <c r="C311" s="35" t="str">
        <f aca="false">Suppliers!E311</f>
        <v>Babybase Ltd</v>
      </c>
      <c r="D311" s="35" t="str">
        <f aca="false">Suppliers!D311</f>
        <v>Baby Products</v>
      </c>
      <c r="E311" s="36" t="s">
        <v>4484</v>
      </c>
      <c r="F311" s="36" t="s">
        <v>4485</v>
      </c>
      <c r="G311" s="27"/>
      <c r="H311" s="27"/>
      <c r="I311" s="27"/>
      <c r="J311" s="28"/>
      <c r="K311" s="27"/>
      <c r="L311" s="28"/>
      <c r="M311" s="27"/>
      <c r="N311" s="27"/>
    </row>
    <row r="312" customFormat="false" ht="15" hidden="false" customHeight="false" outlineLevel="0" collapsed="false">
      <c r="A312" s="35" t="str">
        <f aca="false">Suppliers!A312</f>
        <v>UK</v>
      </c>
      <c r="B312" s="35" t="n">
        <f aca="false">Suppliers!B312</f>
        <v>311</v>
      </c>
      <c r="C312" s="35" t="str">
        <f aca="false">Suppliers!E312</f>
        <v>Baby Brands Direct</v>
      </c>
      <c r="D312" s="35" t="str">
        <f aca="false">Suppliers!D312</f>
        <v>Baby Products</v>
      </c>
      <c r="E312" s="36" t="s">
        <v>4484</v>
      </c>
      <c r="F312" s="36" t="s">
        <v>4485</v>
      </c>
      <c r="G312" s="27"/>
      <c r="H312" s="27"/>
      <c r="I312" s="27"/>
      <c r="J312" s="28"/>
      <c r="K312" s="27"/>
      <c r="L312" s="28"/>
      <c r="M312" s="27"/>
      <c r="N312" s="27"/>
    </row>
    <row r="313" customFormat="false" ht="15" hidden="false" customHeight="false" outlineLevel="0" collapsed="false">
      <c r="A313" s="35" t="str">
        <f aca="false">Suppliers!A313</f>
        <v>UK</v>
      </c>
      <c r="B313" s="35" t="n">
        <f aca="false">Suppliers!B313</f>
        <v>312</v>
      </c>
      <c r="C313" s="35" t="str">
        <f aca="false">Suppliers!E313</f>
        <v>Wholesale Baby Products (W.B.P)</v>
      </c>
      <c r="D313" s="35" t="str">
        <f aca="false">Suppliers!D313</f>
        <v>Baby Products</v>
      </c>
      <c r="E313" s="36" t="s">
        <v>4484</v>
      </c>
      <c r="F313" s="36" t="s">
        <v>4485</v>
      </c>
      <c r="G313" s="27"/>
      <c r="H313" s="27"/>
      <c r="I313" s="27"/>
      <c r="J313" s="28"/>
      <c r="K313" s="27"/>
      <c r="L313" s="28"/>
      <c r="M313" s="27"/>
      <c r="N313" s="27"/>
    </row>
    <row r="314" customFormat="false" ht="15" hidden="false" customHeight="false" outlineLevel="0" collapsed="false">
      <c r="A314" s="35" t="str">
        <f aca="false">Suppliers!A314</f>
        <v>UK</v>
      </c>
      <c r="B314" s="35" t="n">
        <f aca="false">Suppliers!B314</f>
        <v>313</v>
      </c>
      <c r="C314" s="35" t="str">
        <f aca="false">Suppliers!E314</f>
        <v>Toolbank Ltd</v>
      </c>
      <c r="D314" s="35" t="str">
        <f aca="false">Suppliers!D314</f>
        <v>DIY &amp; Tools</v>
      </c>
      <c r="E314" s="36" t="s">
        <v>4484</v>
      </c>
      <c r="F314" s="36" t="s">
        <v>4485</v>
      </c>
      <c r="G314" s="27"/>
      <c r="H314" s="27"/>
      <c r="I314" s="27"/>
      <c r="J314" s="28"/>
      <c r="K314" s="27"/>
      <c r="L314" s="28"/>
      <c r="M314" s="27"/>
      <c r="N314" s="27"/>
    </row>
    <row r="315" customFormat="false" ht="15" hidden="false" customHeight="false" outlineLevel="0" collapsed="false">
      <c r="A315" s="35" t="str">
        <f aca="false">Suppliers!A315</f>
        <v>UK</v>
      </c>
      <c r="B315" s="35" t="n">
        <f aca="false">Suppliers!B315</f>
        <v>314</v>
      </c>
      <c r="C315" s="35" t="str">
        <f aca="false">Suppliers!E315</f>
        <v>Draper Tools</v>
      </c>
      <c r="D315" s="35" t="str">
        <f aca="false">Suppliers!D315</f>
        <v>DIY &amp; Tools</v>
      </c>
      <c r="E315" s="36" t="s">
        <v>4484</v>
      </c>
      <c r="F315" s="36" t="s">
        <v>4485</v>
      </c>
      <c r="G315" s="27"/>
      <c r="H315" s="27"/>
      <c r="I315" s="27"/>
      <c r="J315" s="28"/>
      <c r="K315" s="27"/>
      <c r="L315" s="28"/>
      <c r="M315" s="27"/>
      <c r="N315" s="27"/>
    </row>
    <row r="316" customFormat="false" ht="15" hidden="false" customHeight="false" outlineLevel="0" collapsed="false">
      <c r="A316" s="35" t="str">
        <f aca="false">Suppliers!A316</f>
        <v>UK</v>
      </c>
      <c r="B316" s="35" t="n">
        <f aca="false">Suppliers!B316</f>
        <v>315</v>
      </c>
      <c r="C316" s="35" t="str">
        <f aca="false">Suppliers!E316</f>
        <v>Campbell Miller Tools</v>
      </c>
      <c r="D316" s="35" t="str">
        <f aca="false">Suppliers!D316</f>
        <v>DIY &amp; Tools</v>
      </c>
      <c r="E316" s="36" t="s">
        <v>4484</v>
      </c>
      <c r="F316" s="36" t="s">
        <v>4485</v>
      </c>
      <c r="G316" s="27"/>
      <c r="H316" s="27"/>
      <c r="I316" s="27"/>
      <c r="J316" s="28"/>
      <c r="K316" s="27"/>
      <c r="L316" s="28"/>
      <c r="M316" s="27"/>
      <c r="N316" s="27"/>
    </row>
    <row r="317" customFormat="false" ht="15" hidden="false" customHeight="false" outlineLevel="0" collapsed="false">
      <c r="A317" s="35" t="str">
        <f aca="false">Suppliers!A317</f>
        <v>UK</v>
      </c>
      <c r="B317" s="35" t="n">
        <f aca="false">Suppliers!B317</f>
        <v>316</v>
      </c>
      <c r="C317" s="35" t="str">
        <f aca="false">Suppliers!E317</f>
        <v>Toolstek (ETrader Direct Ltd)</v>
      </c>
      <c r="D317" s="35" t="str">
        <f aca="false">Suppliers!D317</f>
        <v>DIY &amp; Tools</v>
      </c>
      <c r="E317" s="36" t="s">
        <v>4484</v>
      </c>
      <c r="F317" s="36" t="s">
        <v>4485</v>
      </c>
      <c r="G317" s="27"/>
      <c r="H317" s="27"/>
      <c r="I317" s="27"/>
      <c r="J317" s="28"/>
      <c r="K317" s="27"/>
      <c r="L317" s="28"/>
      <c r="M317" s="27"/>
      <c r="N317" s="27"/>
    </row>
    <row r="318" customFormat="false" ht="15" hidden="false" customHeight="false" outlineLevel="0" collapsed="false">
      <c r="A318" s="35" t="str">
        <f aca="false">Suppliers!A318</f>
        <v>UK</v>
      </c>
      <c r="B318" s="35" t="n">
        <f aca="false">Suppliers!B318</f>
        <v>317</v>
      </c>
      <c r="C318" s="35" t="str">
        <f aca="false">Suppliers!E318</f>
        <v>Knights Fragrances</v>
      </c>
      <c r="D318" s="35" t="str">
        <f aca="false">Suppliers!D318</f>
        <v>Fragrance</v>
      </c>
      <c r="E318" s="36" t="s">
        <v>4484</v>
      </c>
      <c r="F318" s="36" t="s">
        <v>4485</v>
      </c>
      <c r="G318" s="27"/>
      <c r="H318" s="27"/>
      <c r="I318" s="27"/>
      <c r="J318" s="28"/>
      <c r="K318" s="27"/>
      <c r="L318" s="28"/>
      <c r="M318" s="27"/>
      <c r="N318" s="27"/>
    </row>
    <row r="319" customFormat="false" ht="23.85" hidden="false" customHeight="false" outlineLevel="0" collapsed="false">
      <c r="A319" s="35" t="str">
        <f aca="false">Suppliers!A319</f>
        <v>UK</v>
      </c>
      <c r="B319" s="35" t="n">
        <f aca="false">Suppliers!B319</f>
        <v>318</v>
      </c>
      <c r="C319" s="35" t="str">
        <f aca="false">Suppliers!E319</f>
        <v>Shaneel Group (Shaneel Enterprises Ltd)</v>
      </c>
      <c r="D319" s="35" t="str">
        <f aca="false">Suppliers!D319</f>
        <v>Fragrance</v>
      </c>
      <c r="E319" s="36" t="s">
        <v>4484</v>
      </c>
      <c r="F319" s="36" t="s">
        <v>4485</v>
      </c>
      <c r="G319" s="27"/>
      <c r="H319" s="27"/>
      <c r="I319" s="27"/>
      <c r="J319" s="28"/>
      <c r="K319" s="27"/>
      <c r="L319" s="28"/>
      <c r="M319" s="27"/>
      <c r="N319" s="27"/>
    </row>
    <row r="320" customFormat="false" ht="15" hidden="false" customHeight="false" outlineLevel="0" collapsed="false">
      <c r="A320" s="35" t="str">
        <f aca="false">Suppliers!A320</f>
        <v>UK</v>
      </c>
      <c r="B320" s="35" t="n">
        <f aca="false">Suppliers!B320</f>
        <v>319</v>
      </c>
      <c r="C320" s="35" t="str">
        <f aca="false">Suppliers!E320</f>
        <v>Affinity Fragrances</v>
      </c>
      <c r="D320" s="35" t="str">
        <f aca="false">Suppliers!D320</f>
        <v>Fragrance</v>
      </c>
      <c r="E320" s="36" t="s">
        <v>4484</v>
      </c>
      <c r="F320" s="36" t="s">
        <v>4485</v>
      </c>
      <c r="G320" s="27"/>
      <c r="H320" s="27"/>
      <c r="I320" s="27"/>
      <c r="J320" s="28"/>
      <c r="K320" s="27"/>
      <c r="L320" s="28"/>
      <c r="M320" s="27"/>
      <c r="N320" s="27"/>
    </row>
    <row r="321" customFormat="false" ht="15" hidden="false" customHeight="false" outlineLevel="0" collapsed="false">
      <c r="A321" s="35" t="str">
        <f aca="false">Suppliers!A321</f>
        <v>UK</v>
      </c>
      <c r="B321" s="35" t="n">
        <f aca="false">Suppliers!B321</f>
        <v>320</v>
      </c>
      <c r="C321" s="35" t="str">
        <f aca="false">Suppliers!E321</f>
        <v>Agence de Parfumerie</v>
      </c>
      <c r="D321" s="35" t="str">
        <f aca="false">Suppliers!D321</f>
        <v>Fragrance</v>
      </c>
      <c r="E321" s="36" t="s">
        <v>4484</v>
      </c>
      <c r="F321" s="36" t="s">
        <v>4485</v>
      </c>
      <c r="G321" s="27"/>
      <c r="H321" s="27"/>
      <c r="I321" s="27"/>
      <c r="J321" s="28"/>
      <c r="K321" s="27"/>
      <c r="L321" s="28"/>
      <c r="M321" s="27"/>
      <c r="N321" s="27"/>
    </row>
    <row r="322" customFormat="false" ht="23.85" hidden="false" customHeight="false" outlineLevel="0" collapsed="false">
      <c r="A322" s="35" t="str">
        <f aca="false">Suppliers!A322</f>
        <v>UK</v>
      </c>
      <c r="B322" s="35" t="n">
        <f aca="false">Suppliers!B322</f>
        <v>321</v>
      </c>
      <c r="C322" s="35" t="str">
        <f aca="false">Suppliers!E322</f>
        <v>Booker Wholesale (incl. Makro UK)</v>
      </c>
      <c r="D322" s="35" t="str">
        <f aca="false">Suppliers!D322</f>
        <v>General Wholesale / FMCG</v>
      </c>
      <c r="E322" s="36" t="s">
        <v>4484</v>
      </c>
      <c r="F322" s="36" t="s">
        <v>4485</v>
      </c>
      <c r="G322" s="27"/>
      <c r="H322" s="27"/>
      <c r="I322" s="27"/>
      <c r="J322" s="28"/>
      <c r="K322" s="27"/>
      <c r="L322" s="28"/>
      <c r="M322" s="27"/>
      <c r="N322" s="27"/>
    </row>
    <row r="323" customFormat="false" ht="23.85" hidden="false" customHeight="false" outlineLevel="0" collapsed="false">
      <c r="A323" s="35" t="str">
        <f aca="false">Suppliers!A323</f>
        <v>UK</v>
      </c>
      <c r="B323" s="35" t="n">
        <f aca="false">Suppliers!B323</f>
        <v>322</v>
      </c>
      <c r="C323" s="35" t="str">
        <f aca="false">Suppliers!E323</f>
        <v>Costco UK (Business Membership)</v>
      </c>
      <c r="D323" s="35" t="str">
        <f aca="false">Suppliers!D323</f>
        <v>General Wholesale / FMCG</v>
      </c>
      <c r="E323" s="36" t="s">
        <v>4484</v>
      </c>
      <c r="F323" s="36" t="s">
        <v>4485</v>
      </c>
      <c r="G323" s="27"/>
      <c r="H323" s="27"/>
      <c r="I323" s="27"/>
      <c r="J323" s="28"/>
      <c r="K323" s="27"/>
      <c r="L323" s="28"/>
      <c r="M323" s="27"/>
      <c r="N323" s="27"/>
    </row>
    <row r="324" customFormat="false" ht="23.85" hidden="false" customHeight="false" outlineLevel="0" collapsed="false">
      <c r="A324" s="35" t="str">
        <f aca="false">Suppliers!A324</f>
        <v>UK</v>
      </c>
      <c r="B324" s="35" t="n">
        <f aca="false">Suppliers!B324</f>
        <v>323</v>
      </c>
      <c r="C324" s="35" t="str">
        <f aca="false">Suppliers!E324</f>
        <v>Bestway Wholesale</v>
      </c>
      <c r="D324" s="35" t="str">
        <f aca="false">Suppliers!D324</f>
        <v>General Wholesale / FMCG</v>
      </c>
      <c r="E324" s="36" t="s">
        <v>4484</v>
      </c>
      <c r="F324" s="36" t="s">
        <v>4485</v>
      </c>
      <c r="G324" s="27"/>
      <c r="H324" s="27"/>
      <c r="I324" s="27"/>
      <c r="J324" s="28"/>
      <c r="K324" s="27"/>
      <c r="L324" s="28"/>
      <c r="M324" s="27"/>
      <c r="N324" s="27"/>
    </row>
    <row r="325" customFormat="false" ht="23.85" hidden="false" customHeight="false" outlineLevel="0" collapsed="false">
      <c r="A325" s="35" t="str">
        <f aca="false">Suppliers!A325</f>
        <v>UK</v>
      </c>
      <c r="B325" s="35" t="n">
        <f aca="false">Suppliers!B325</f>
        <v>324</v>
      </c>
      <c r="C325" s="35" t="str">
        <f aca="false">Suppliers!E325</f>
        <v>Dhamecha Cash &amp; Carry</v>
      </c>
      <c r="D325" s="35" t="str">
        <f aca="false">Suppliers!D325</f>
        <v>General Wholesale / FMCG</v>
      </c>
      <c r="E325" s="36" t="s">
        <v>4484</v>
      </c>
      <c r="F325" s="36" t="s">
        <v>4485</v>
      </c>
      <c r="G325" s="27"/>
      <c r="H325" s="27"/>
      <c r="I325" s="27"/>
      <c r="J325" s="28"/>
      <c r="K325" s="27"/>
      <c r="L325" s="28"/>
      <c r="M325" s="27"/>
      <c r="N325" s="27"/>
    </row>
    <row r="326" customFormat="false" ht="23.85" hidden="false" customHeight="false" outlineLevel="0" collapsed="false">
      <c r="A326" s="35" t="str">
        <f aca="false">Suppliers!A326</f>
        <v>UK</v>
      </c>
      <c r="B326" s="35" t="n">
        <f aca="false">Suppliers!B326</f>
        <v>325</v>
      </c>
      <c r="C326" s="35" t="str">
        <f aca="false">Suppliers!E326</f>
        <v>DK Wholesale</v>
      </c>
      <c r="D326" s="35" t="str">
        <f aca="false">Suppliers!D326</f>
        <v>General Wholesale / FMCG</v>
      </c>
      <c r="E326" s="36" t="s">
        <v>4484</v>
      </c>
      <c r="F326" s="36" t="s">
        <v>4485</v>
      </c>
      <c r="G326" s="27"/>
      <c r="H326" s="27"/>
      <c r="I326" s="27"/>
      <c r="J326" s="28"/>
      <c r="K326" s="27"/>
      <c r="L326" s="28"/>
      <c r="M326" s="27"/>
      <c r="N326" s="27"/>
    </row>
    <row r="327" customFormat="false" ht="23.85" hidden="false" customHeight="false" outlineLevel="0" collapsed="false">
      <c r="A327" s="35" t="str">
        <f aca="false">Suppliers!A327</f>
        <v>UK</v>
      </c>
      <c r="B327" s="35" t="n">
        <f aca="false">Suppliers!B327</f>
        <v>326</v>
      </c>
      <c r="C327" s="35" t="str">
        <f aca="false">Suppliers!E327</f>
        <v>Hancocks (World of Sweets)</v>
      </c>
      <c r="D327" s="35" t="str">
        <f aca="false">Suppliers!D327</f>
        <v>General Wholesale / FMCG</v>
      </c>
      <c r="E327" s="36" t="s">
        <v>4484</v>
      </c>
      <c r="F327" s="36" t="s">
        <v>4485</v>
      </c>
      <c r="G327" s="27"/>
      <c r="H327" s="27"/>
      <c r="I327" s="27"/>
      <c r="J327" s="28"/>
      <c r="K327" s="27"/>
      <c r="L327" s="28"/>
      <c r="M327" s="27"/>
      <c r="N327" s="27"/>
    </row>
    <row r="328" customFormat="false" ht="23.85" hidden="false" customHeight="false" outlineLevel="0" collapsed="false">
      <c r="A328" s="35" t="str">
        <f aca="false">Suppliers!A328</f>
        <v>UK</v>
      </c>
      <c r="B328" s="35" t="n">
        <f aca="false">Suppliers!B328</f>
        <v>327</v>
      </c>
      <c r="C328" s="35" t="str">
        <f aca="false">Suppliers!E328</f>
        <v>Parfetts (Parfett &amp; Sons Ltd)</v>
      </c>
      <c r="D328" s="35" t="str">
        <f aca="false">Suppliers!D328</f>
        <v>General Wholesale / FMCG</v>
      </c>
      <c r="E328" s="36" t="s">
        <v>4484</v>
      </c>
      <c r="F328" s="36" t="s">
        <v>4485</v>
      </c>
      <c r="G328" s="27"/>
      <c r="H328" s="27"/>
      <c r="I328" s="27"/>
      <c r="J328" s="28"/>
      <c r="K328" s="27"/>
      <c r="L328" s="28"/>
      <c r="M328" s="27"/>
      <c r="N328" s="27"/>
    </row>
    <row r="329" customFormat="false" ht="23.85" hidden="false" customHeight="false" outlineLevel="0" collapsed="false">
      <c r="A329" s="35" t="str">
        <f aca="false">Suppliers!A329</f>
        <v>UK</v>
      </c>
      <c r="B329" s="35" t="n">
        <f aca="false">Suppliers!B329</f>
        <v>328</v>
      </c>
      <c r="C329" s="35" t="str">
        <f aca="false">Suppliers!E329</f>
        <v>Harrisons Direct (Albert Harrison &amp; Co Ltd)</v>
      </c>
      <c r="D329" s="35" t="str">
        <f aca="false">Suppliers!D329</f>
        <v>Health &amp; Personal Care</v>
      </c>
      <c r="E329" s="36" t="s">
        <v>4484</v>
      </c>
      <c r="F329" s="36" t="s">
        <v>4485</v>
      </c>
      <c r="G329" s="27"/>
      <c r="H329" s="27"/>
      <c r="I329" s="27"/>
      <c r="J329" s="28"/>
      <c r="K329" s="27"/>
      <c r="L329" s="28"/>
      <c r="M329" s="27"/>
      <c r="N329" s="27"/>
    </row>
    <row r="330" customFormat="false" ht="23.85" hidden="false" customHeight="false" outlineLevel="0" collapsed="false">
      <c r="A330" s="35" t="str">
        <f aca="false">Suppliers!A330</f>
        <v>UK</v>
      </c>
      <c r="B330" s="35" t="n">
        <f aca="false">Suppliers!B330</f>
        <v>329</v>
      </c>
      <c r="C330" s="35" t="str">
        <f aca="false">Suppliers!E330</f>
        <v>PB Wholesale (Protein Bargain Wholesale)</v>
      </c>
      <c r="D330" s="35" t="str">
        <f aca="false">Suppliers!D330</f>
        <v>Health &amp; Personal Care</v>
      </c>
      <c r="E330" s="36" t="s">
        <v>4484</v>
      </c>
      <c r="F330" s="36" t="s">
        <v>4485</v>
      </c>
      <c r="G330" s="27"/>
      <c r="H330" s="27"/>
      <c r="I330" s="27"/>
      <c r="J330" s="28"/>
      <c r="K330" s="27"/>
      <c r="L330" s="28"/>
      <c r="M330" s="27"/>
      <c r="N330" s="27"/>
    </row>
    <row r="331" customFormat="false" ht="23.85" hidden="false" customHeight="false" outlineLevel="0" collapsed="false">
      <c r="A331" s="35" t="str">
        <f aca="false">Suppliers!A331</f>
        <v>UK</v>
      </c>
      <c r="B331" s="35" t="n">
        <f aca="false">Suppliers!B331</f>
        <v>330</v>
      </c>
      <c r="C331" s="35" t="str">
        <f aca="false">Suppliers!E331</f>
        <v>CLF Distribution</v>
      </c>
      <c r="D331" s="35" t="str">
        <f aca="false">Suppliers!D331</f>
        <v>Health &amp; Personal Care</v>
      </c>
      <c r="E331" s="36" t="s">
        <v>4484</v>
      </c>
      <c r="F331" s="36" t="s">
        <v>4485</v>
      </c>
      <c r="G331" s="27"/>
      <c r="H331" s="27"/>
      <c r="I331" s="27"/>
      <c r="J331" s="28"/>
      <c r="K331" s="27"/>
      <c r="L331" s="28"/>
      <c r="M331" s="27"/>
      <c r="N331" s="27"/>
    </row>
    <row r="332" customFormat="false" ht="23.85" hidden="false" customHeight="false" outlineLevel="0" collapsed="false">
      <c r="A332" s="35" t="str">
        <f aca="false">Suppliers!A332</f>
        <v>UK</v>
      </c>
      <c r="B332" s="35" t="n">
        <f aca="false">Suppliers!B332</f>
        <v>331</v>
      </c>
      <c r="C332" s="35" t="str">
        <f aca="false">Suppliers!E332</f>
        <v>Lexon (UK) Ltd</v>
      </c>
      <c r="D332" s="35" t="str">
        <f aca="false">Suppliers!D332</f>
        <v>Health &amp; Personal Care</v>
      </c>
      <c r="E332" s="36" t="s">
        <v>4484</v>
      </c>
      <c r="F332" s="36" t="s">
        <v>4485</v>
      </c>
      <c r="G332" s="27"/>
      <c r="H332" s="27"/>
      <c r="I332" s="27"/>
      <c r="J332" s="28"/>
      <c r="K332" s="27"/>
      <c r="L332" s="28"/>
      <c r="M332" s="27"/>
      <c r="N332" s="27"/>
    </row>
    <row r="333" customFormat="false" ht="23.85" hidden="false" customHeight="false" outlineLevel="0" collapsed="false">
      <c r="A333" s="35" t="str">
        <f aca="false">Suppliers!A333</f>
        <v>UK</v>
      </c>
      <c r="B333" s="35" t="n">
        <f aca="false">Suppliers!B333</f>
        <v>332</v>
      </c>
      <c r="C333" s="35" t="str">
        <f aca="false">Suppliers!E333</f>
        <v>Reliance Medical Ltd</v>
      </c>
      <c r="D333" s="35" t="str">
        <f aca="false">Suppliers!D333</f>
        <v>Health &amp; Personal Care</v>
      </c>
      <c r="E333" s="36" t="s">
        <v>4484</v>
      </c>
      <c r="F333" s="36" t="s">
        <v>4485</v>
      </c>
      <c r="G333" s="27"/>
      <c r="H333" s="27"/>
      <c r="I333" s="27"/>
      <c r="J333" s="28"/>
      <c r="K333" s="27"/>
      <c r="L333" s="28"/>
      <c r="M333" s="27"/>
      <c r="N333" s="27"/>
    </row>
    <row r="334" customFormat="false" ht="23.85" hidden="false" customHeight="false" outlineLevel="0" collapsed="false">
      <c r="A334" s="35" t="str">
        <f aca="false">Suppliers!A334</f>
        <v>UK</v>
      </c>
      <c r="B334" s="35" t="n">
        <f aca="false">Suppliers!B334</f>
        <v>333</v>
      </c>
      <c r="C334" s="35" t="str">
        <f aca="false">Suppliers!E334</f>
        <v>Predator Nutrition (wholesale)</v>
      </c>
      <c r="D334" s="35" t="str">
        <f aca="false">Suppliers!D334</f>
        <v>Health &amp; Personal Care</v>
      </c>
      <c r="E334" s="36" t="s">
        <v>4484</v>
      </c>
      <c r="F334" s="36" t="s">
        <v>4485</v>
      </c>
      <c r="G334" s="27"/>
      <c r="H334" s="27"/>
      <c r="I334" s="27"/>
      <c r="J334" s="28"/>
      <c r="K334" s="27"/>
      <c r="L334" s="28"/>
      <c r="M334" s="27"/>
      <c r="N334" s="27"/>
    </row>
    <row r="335" customFormat="false" ht="15" hidden="false" customHeight="false" outlineLevel="0" collapsed="false">
      <c r="A335" s="35" t="str">
        <f aca="false">Suppliers!A335</f>
        <v>UK</v>
      </c>
      <c r="B335" s="35" t="n">
        <f aca="false">Suppliers!B335</f>
        <v>334</v>
      </c>
      <c r="C335" s="35" t="str">
        <f aca="false">Suppliers!E335</f>
        <v>RKW Ltd (Sutton Venture Group)</v>
      </c>
      <c r="D335" s="35" t="str">
        <f aca="false">Suppliers!D335</f>
        <v>Home &amp; Kitchen</v>
      </c>
      <c r="E335" s="36" t="s">
        <v>4484</v>
      </c>
      <c r="F335" s="36" t="s">
        <v>4485</v>
      </c>
      <c r="G335" s="27"/>
      <c r="H335" s="27"/>
      <c r="I335" s="27"/>
      <c r="J335" s="28"/>
      <c r="K335" s="27"/>
      <c r="L335" s="28"/>
      <c r="M335" s="27"/>
      <c r="N335" s="27"/>
    </row>
    <row r="336" customFormat="false" ht="15" hidden="false" customHeight="false" outlineLevel="0" collapsed="false">
      <c r="A336" s="35" t="str">
        <f aca="false">Suppliers!A336</f>
        <v>UK</v>
      </c>
      <c r="B336" s="35" t="n">
        <f aca="false">Suppliers!B336</f>
        <v>335</v>
      </c>
      <c r="C336" s="35" t="str">
        <f aca="false">Suppliers!E336</f>
        <v>EPE International Ltd</v>
      </c>
      <c r="D336" s="35" t="str">
        <f aca="false">Suppliers!D336</f>
        <v>Home &amp; Kitchen</v>
      </c>
      <c r="E336" s="36" t="s">
        <v>4484</v>
      </c>
      <c r="F336" s="36" t="s">
        <v>4485</v>
      </c>
      <c r="G336" s="27"/>
      <c r="H336" s="27"/>
      <c r="I336" s="27"/>
      <c r="J336" s="28"/>
      <c r="K336" s="27"/>
      <c r="L336" s="28"/>
      <c r="M336" s="27"/>
      <c r="N336" s="27"/>
    </row>
    <row r="337" customFormat="false" ht="15" hidden="false" customHeight="false" outlineLevel="0" collapsed="false">
      <c r="A337" s="35" t="str">
        <f aca="false">Suppliers!A337</f>
        <v>UK</v>
      </c>
      <c r="B337" s="35" t="n">
        <f aca="false">Suppliers!B337</f>
        <v>336</v>
      </c>
      <c r="C337" s="35" t="str">
        <f aca="false">Suppliers!E337</f>
        <v>Bluestem Group</v>
      </c>
      <c r="D337" s="35" t="str">
        <f aca="false">Suppliers!D337</f>
        <v>Home &amp; Kitchen</v>
      </c>
      <c r="E337" s="36" t="s">
        <v>4484</v>
      </c>
      <c r="F337" s="36" t="s">
        <v>4485</v>
      </c>
      <c r="G337" s="27"/>
      <c r="H337" s="27"/>
      <c r="I337" s="27"/>
      <c r="J337" s="28"/>
      <c r="K337" s="27"/>
      <c r="L337" s="28"/>
      <c r="M337" s="27"/>
      <c r="N337" s="27"/>
    </row>
    <row r="338" customFormat="false" ht="15" hidden="false" customHeight="false" outlineLevel="0" collapsed="false">
      <c r="A338" s="35" t="str">
        <f aca="false">Suppliers!A338</f>
        <v>UK</v>
      </c>
      <c r="B338" s="35" t="n">
        <f aca="false">Suppliers!B338</f>
        <v>337</v>
      </c>
      <c r="C338" s="35" t="str">
        <f aca="false">Suppliers!E338</f>
        <v>Burton McCall</v>
      </c>
      <c r="D338" s="35" t="str">
        <f aca="false">Suppliers!D338</f>
        <v>Home &amp; Kitchen</v>
      </c>
      <c r="E338" s="36" t="s">
        <v>4484</v>
      </c>
      <c r="F338" s="36" t="s">
        <v>4485</v>
      </c>
      <c r="G338" s="27"/>
      <c r="H338" s="27"/>
      <c r="I338" s="27"/>
      <c r="J338" s="28"/>
      <c r="K338" s="27"/>
      <c r="L338" s="28"/>
      <c r="M338" s="27"/>
      <c r="N338" s="27"/>
    </row>
    <row r="339" customFormat="false" ht="15" hidden="false" customHeight="false" outlineLevel="0" collapsed="false">
      <c r="A339" s="35" t="str">
        <f aca="false">Suppliers!A339</f>
        <v>UK</v>
      </c>
      <c r="B339" s="35" t="n">
        <f aca="false">Suppliers!B339</f>
        <v>338</v>
      </c>
      <c r="C339" s="35" t="str">
        <f aca="false">Suppliers!E339</f>
        <v>HAUS Marketing &amp; Distribution</v>
      </c>
      <c r="D339" s="35" t="str">
        <f aca="false">Suppliers!D339</f>
        <v>Home &amp; Kitchen</v>
      </c>
      <c r="E339" s="36" t="s">
        <v>4484</v>
      </c>
      <c r="F339" s="36" t="s">
        <v>4485</v>
      </c>
      <c r="G339" s="27"/>
      <c r="H339" s="27"/>
      <c r="I339" s="27"/>
      <c r="J339" s="28"/>
      <c r="K339" s="27"/>
      <c r="L339" s="28"/>
      <c r="M339" s="27"/>
      <c r="N339" s="27"/>
    </row>
    <row r="340" customFormat="false" ht="15" hidden="false" customHeight="false" outlineLevel="0" collapsed="false">
      <c r="A340" s="35" t="str">
        <f aca="false">Suppliers!A340</f>
        <v>UK</v>
      </c>
      <c r="B340" s="35" t="n">
        <f aca="false">Suppliers!B340</f>
        <v>339</v>
      </c>
      <c r="C340" s="35" t="str">
        <f aca="false">Suppliers!E340</f>
        <v>SQ Professional Ltd</v>
      </c>
      <c r="D340" s="35" t="str">
        <f aca="false">Suppliers!D340</f>
        <v>Home &amp; Kitchen</v>
      </c>
      <c r="E340" s="36" t="s">
        <v>4484</v>
      </c>
      <c r="F340" s="36" t="s">
        <v>4485</v>
      </c>
      <c r="G340" s="27"/>
      <c r="H340" s="27"/>
      <c r="I340" s="27"/>
      <c r="J340" s="28"/>
      <c r="K340" s="27"/>
      <c r="L340" s="28"/>
      <c r="M340" s="27"/>
      <c r="N340" s="27"/>
    </row>
    <row r="341" customFormat="false" ht="15" hidden="false" customHeight="false" outlineLevel="0" collapsed="false">
      <c r="A341" s="35" t="str">
        <f aca="false">Suppliers!A341</f>
        <v>UK</v>
      </c>
      <c r="B341" s="35" t="n">
        <f aca="false">Suppliers!B341</f>
        <v>340</v>
      </c>
      <c r="C341" s="35" t="str">
        <f aca="false">Suppliers!E341</f>
        <v>Pedigree Wholesale</v>
      </c>
      <c r="D341" s="35" t="str">
        <f aca="false">Suppliers!D341</f>
        <v>Pet Supplies</v>
      </c>
      <c r="E341" s="36" t="s">
        <v>4484</v>
      </c>
      <c r="F341" s="36" t="s">
        <v>4485</v>
      </c>
      <c r="G341" s="27"/>
      <c r="H341" s="27"/>
      <c r="I341" s="27"/>
      <c r="J341" s="28"/>
      <c r="K341" s="27"/>
      <c r="L341" s="28"/>
      <c r="M341" s="27"/>
      <c r="N341" s="27"/>
    </row>
    <row r="342" customFormat="false" ht="15" hidden="false" customHeight="false" outlineLevel="0" collapsed="false">
      <c r="A342" s="35" t="str">
        <f aca="false">Suppliers!A342</f>
        <v>UK</v>
      </c>
      <c r="B342" s="35" t="n">
        <f aca="false">Suppliers!B342</f>
        <v>341</v>
      </c>
      <c r="C342" s="35" t="str">
        <f aca="false">Suppliers!E342</f>
        <v>Paws Products Wholesale</v>
      </c>
      <c r="D342" s="35" t="str">
        <f aca="false">Suppliers!D342</f>
        <v>Pet Supplies</v>
      </c>
      <c r="E342" s="36" t="s">
        <v>4484</v>
      </c>
      <c r="F342" s="36" t="s">
        <v>4485</v>
      </c>
      <c r="G342" s="27"/>
      <c r="H342" s="27"/>
      <c r="I342" s="27"/>
      <c r="J342" s="28"/>
      <c r="K342" s="27"/>
      <c r="L342" s="28"/>
      <c r="M342" s="27"/>
      <c r="N342" s="27"/>
    </row>
    <row r="343" customFormat="false" ht="15" hidden="false" customHeight="false" outlineLevel="0" collapsed="false">
      <c r="A343" s="35" t="str">
        <f aca="false">Suppliers!A343</f>
        <v>UK</v>
      </c>
      <c r="B343" s="35" t="n">
        <f aca="false">Suppliers!B343</f>
        <v>342</v>
      </c>
      <c r="C343" s="35" t="str">
        <f aca="false">Suppliers!E343</f>
        <v>PMS International</v>
      </c>
      <c r="D343" s="35" t="str">
        <f aca="false">Suppliers!D343</f>
        <v>Pet Supplies</v>
      </c>
      <c r="E343" s="36" t="s">
        <v>4484</v>
      </c>
      <c r="F343" s="36" t="s">
        <v>4485</v>
      </c>
      <c r="G343" s="27"/>
      <c r="H343" s="27"/>
      <c r="I343" s="27"/>
      <c r="J343" s="28"/>
      <c r="K343" s="27"/>
      <c r="L343" s="28"/>
      <c r="M343" s="27"/>
      <c r="N343" s="27"/>
    </row>
    <row r="344" customFormat="false" ht="15" hidden="false" customHeight="false" outlineLevel="0" collapsed="false">
      <c r="A344" s="35" t="str">
        <f aca="false">Suppliers!A344</f>
        <v>UK</v>
      </c>
      <c r="B344" s="35" t="n">
        <f aca="false">Suppliers!B344</f>
        <v>343</v>
      </c>
      <c r="C344" s="35" t="str">
        <f aca="false">Suppliers!E344</f>
        <v>Gymkit UK</v>
      </c>
      <c r="D344" s="35" t="str">
        <f aca="false">Suppliers!D344</f>
        <v>Sports &amp; Outdoors</v>
      </c>
      <c r="E344" s="36" t="s">
        <v>4484</v>
      </c>
      <c r="F344" s="36" t="s">
        <v>4485</v>
      </c>
      <c r="G344" s="27"/>
      <c r="H344" s="27"/>
      <c r="I344" s="27"/>
      <c r="J344" s="28"/>
      <c r="K344" s="27"/>
      <c r="L344" s="28"/>
      <c r="M344" s="27"/>
      <c r="N344" s="27"/>
    </row>
    <row r="345" customFormat="false" ht="15" hidden="false" customHeight="false" outlineLevel="0" collapsed="false">
      <c r="A345" s="35" t="str">
        <f aca="false">Suppliers!A345</f>
        <v>UK</v>
      </c>
      <c r="B345" s="35" t="n">
        <f aca="false">Suppliers!B345</f>
        <v>344</v>
      </c>
      <c r="C345" s="35" t="str">
        <f aca="false">Suppliers!E345</f>
        <v>Vango (AMG Group Ltd)</v>
      </c>
      <c r="D345" s="35" t="str">
        <f aca="false">Suppliers!D345</f>
        <v>Sports &amp; Outdoors</v>
      </c>
      <c r="E345" s="36" t="s">
        <v>4484</v>
      </c>
      <c r="F345" s="36" t="s">
        <v>4485</v>
      </c>
      <c r="G345" s="27"/>
      <c r="H345" s="27"/>
      <c r="I345" s="27"/>
      <c r="J345" s="28"/>
      <c r="K345" s="27"/>
      <c r="L345" s="28"/>
      <c r="M345" s="27"/>
      <c r="N345" s="27"/>
    </row>
    <row r="346" customFormat="false" ht="15" hidden="false" customHeight="false" outlineLevel="0" collapsed="false">
      <c r="A346" s="35" t="str">
        <f aca="false">Suppliers!A346</f>
        <v>UK</v>
      </c>
      <c r="B346" s="35" t="n">
        <f aca="false">Suppliers!B346</f>
        <v>345</v>
      </c>
      <c r="C346" s="35" t="str">
        <f aca="false">Suppliers!E346</f>
        <v>Hykeham Wholesale Ltd</v>
      </c>
      <c r="D346" s="35" t="str">
        <f aca="false">Suppliers!D346</f>
        <v>Sports &amp; Outdoors</v>
      </c>
      <c r="E346" s="36" t="s">
        <v>4484</v>
      </c>
      <c r="F346" s="36" t="s">
        <v>4485</v>
      </c>
      <c r="G346" s="27"/>
      <c r="H346" s="27"/>
      <c r="I346" s="27"/>
      <c r="J346" s="28"/>
      <c r="K346" s="27"/>
      <c r="L346" s="28"/>
      <c r="M346" s="27"/>
      <c r="N346" s="27"/>
    </row>
    <row r="347" customFormat="false" ht="15" hidden="false" customHeight="false" outlineLevel="0" collapsed="false">
      <c r="A347" s="35" t="str">
        <f aca="false">Suppliers!A347</f>
        <v>UK</v>
      </c>
      <c r="B347" s="35" t="n">
        <f aca="false">Suppliers!B347</f>
        <v>346</v>
      </c>
      <c r="C347" s="35" t="str">
        <f aca="false">Suppliers!E347</f>
        <v>Galaxy Wholesalers Ltd</v>
      </c>
      <c r="D347" s="35" t="str">
        <f aca="false">Suppliers!D347</f>
        <v>Stationery &amp; Office</v>
      </c>
      <c r="E347" s="36" t="s">
        <v>4484</v>
      </c>
      <c r="F347" s="36" t="s">
        <v>4485</v>
      </c>
      <c r="G347" s="27"/>
      <c r="H347" s="27"/>
      <c r="I347" s="27"/>
      <c r="J347" s="28"/>
      <c r="K347" s="27"/>
      <c r="L347" s="28"/>
      <c r="M347" s="27"/>
      <c r="N347" s="27"/>
    </row>
    <row r="348" customFormat="false" ht="15" hidden="false" customHeight="false" outlineLevel="0" collapsed="false">
      <c r="A348" s="35" t="str">
        <f aca="false">Suppliers!A348</f>
        <v>UK</v>
      </c>
      <c r="B348" s="35" t="n">
        <f aca="false">Suppliers!B348</f>
        <v>347</v>
      </c>
      <c r="C348" s="35" t="str">
        <f aca="false">Suppliers!E348</f>
        <v>VOW Wholesale (evo Group)</v>
      </c>
      <c r="D348" s="35" t="str">
        <f aca="false">Suppliers!D348</f>
        <v>Stationery &amp; Office</v>
      </c>
      <c r="E348" s="36" t="s">
        <v>4484</v>
      </c>
      <c r="F348" s="36" t="s">
        <v>4485</v>
      </c>
      <c r="G348" s="27"/>
      <c r="H348" s="27"/>
      <c r="I348" s="27"/>
      <c r="J348" s="28"/>
      <c r="K348" s="27"/>
      <c r="L348" s="28"/>
      <c r="M348" s="27"/>
      <c r="N348" s="27"/>
    </row>
    <row r="349" customFormat="false" ht="15" hidden="false" customHeight="false" outlineLevel="0" collapsed="false">
      <c r="A349" s="35" t="str">
        <f aca="false">Suppliers!A349</f>
        <v>UK</v>
      </c>
      <c r="B349" s="35" t="n">
        <f aca="false">Suppliers!B349</f>
        <v>348</v>
      </c>
      <c r="C349" s="35" t="str">
        <f aca="false">Suppliers!E349</f>
        <v>The Impact Distribution Group</v>
      </c>
      <c r="D349" s="35" t="str">
        <f aca="false">Suppliers!D349</f>
        <v>Stationery &amp; Office</v>
      </c>
      <c r="E349" s="36" t="s">
        <v>4484</v>
      </c>
      <c r="F349" s="36" t="s">
        <v>4485</v>
      </c>
      <c r="G349" s="27"/>
      <c r="H349" s="27"/>
      <c r="I349" s="27"/>
      <c r="J349" s="28"/>
      <c r="K349" s="27"/>
      <c r="L349" s="28"/>
      <c r="M349" s="27"/>
      <c r="N349" s="27"/>
    </row>
    <row r="350" customFormat="false" ht="15" hidden="false" customHeight="false" outlineLevel="0" collapsed="false">
      <c r="A350" s="35" t="str">
        <f aca="false">Suppliers!A350</f>
        <v>UK</v>
      </c>
      <c r="B350" s="35" t="n">
        <f aca="false">Suppliers!B350</f>
        <v>349</v>
      </c>
      <c r="C350" s="35" t="str">
        <f aca="false">Suppliers!E350</f>
        <v>West Design Products</v>
      </c>
      <c r="D350" s="35" t="str">
        <f aca="false">Suppliers!D350</f>
        <v>Stationery &amp; Office</v>
      </c>
      <c r="E350" s="36" t="s">
        <v>4484</v>
      </c>
      <c r="F350" s="36" t="s">
        <v>4485</v>
      </c>
      <c r="G350" s="27"/>
      <c r="H350" s="27"/>
      <c r="I350" s="27"/>
      <c r="J350" s="28"/>
      <c r="K350" s="27"/>
      <c r="L350" s="28"/>
      <c r="M350" s="27"/>
      <c r="N350" s="27"/>
    </row>
    <row r="351" customFormat="false" ht="15" hidden="false" customHeight="false" outlineLevel="0" collapsed="false">
      <c r="A351" s="35" t="str">
        <f aca="false">Suppliers!A351</f>
        <v>UK</v>
      </c>
      <c r="B351" s="35" t="n">
        <f aca="false">Suppliers!B351</f>
        <v>350</v>
      </c>
      <c r="C351" s="35" t="str">
        <f aca="false">Suppliers!E351</f>
        <v>A.B. Gee of Ripley Ltd</v>
      </c>
      <c r="D351" s="35" t="str">
        <f aca="false">Suppliers!D351</f>
        <v>Toys &amp; Games</v>
      </c>
      <c r="E351" s="36" t="s">
        <v>4484</v>
      </c>
      <c r="F351" s="36" t="s">
        <v>4485</v>
      </c>
      <c r="G351" s="27"/>
      <c r="H351" s="27"/>
      <c r="I351" s="27"/>
      <c r="J351" s="28"/>
      <c r="K351" s="27"/>
      <c r="L351" s="28"/>
      <c r="M351" s="27"/>
      <c r="N351" s="27"/>
    </row>
    <row r="352" customFormat="false" ht="15" hidden="false" customHeight="false" outlineLevel="0" collapsed="false">
      <c r="A352" s="35" t="str">
        <f aca="false">Suppliers!A352</f>
        <v>UK</v>
      </c>
      <c r="B352" s="35" t="n">
        <f aca="false">Suppliers!B352</f>
        <v>351</v>
      </c>
      <c r="C352" s="35" t="str">
        <f aca="false">Suppliers!E352</f>
        <v>NDA Toys</v>
      </c>
      <c r="D352" s="35" t="str">
        <f aca="false">Suppliers!D352</f>
        <v>Toys &amp; Games</v>
      </c>
      <c r="E352" s="36" t="s">
        <v>4484</v>
      </c>
      <c r="F352" s="36" t="s">
        <v>4485</v>
      </c>
      <c r="G352" s="27"/>
      <c r="H352" s="27"/>
      <c r="I352" s="27"/>
      <c r="J352" s="28"/>
      <c r="K352" s="27"/>
      <c r="L352" s="28"/>
      <c r="M352" s="27"/>
      <c r="N352" s="27"/>
    </row>
    <row r="353" customFormat="false" ht="15" hidden="false" customHeight="false" outlineLevel="0" collapsed="false">
      <c r="A353" s="35" t="str">
        <f aca="false">Suppliers!A353</f>
        <v>UK</v>
      </c>
      <c r="B353" s="35" t="n">
        <f aca="false">Suppliers!B353</f>
        <v>352</v>
      </c>
      <c r="C353" s="35" t="str">
        <f aca="false">Suppliers!E353</f>
        <v>Wind Designs Ltd</v>
      </c>
      <c r="D353" s="35" t="str">
        <f aca="false">Suppliers!D353</f>
        <v>Toys &amp; Games</v>
      </c>
      <c r="E353" s="36" t="s">
        <v>4484</v>
      </c>
      <c r="F353" s="36" t="s">
        <v>4485</v>
      </c>
      <c r="G353" s="27"/>
      <c r="H353" s="27"/>
      <c r="I353" s="27"/>
      <c r="J353" s="28"/>
      <c r="K353" s="27"/>
      <c r="L353" s="28"/>
      <c r="M353" s="27"/>
      <c r="N353" s="27"/>
    </row>
    <row r="354" customFormat="false" ht="15" hidden="false" customHeight="false" outlineLevel="0" collapsed="false">
      <c r="A354" s="35" t="str">
        <f aca="false">Suppliers!A354</f>
        <v>UK</v>
      </c>
      <c r="B354" s="35" t="n">
        <f aca="false">Suppliers!B354</f>
        <v>353</v>
      </c>
      <c r="C354" s="35" t="str">
        <f aca="false">Suppliers!E354</f>
        <v>John Adams Leisure Ltd</v>
      </c>
      <c r="D354" s="35" t="str">
        <f aca="false">Suppliers!D354</f>
        <v>Toys &amp; Games</v>
      </c>
      <c r="E354" s="36" t="s">
        <v>4484</v>
      </c>
      <c r="F354" s="36" t="s">
        <v>4485</v>
      </c>
      <c r="G354" s="27"/>
      <c r="H354" s="27"/>
      <c r="I354" s="27"/>
      <c r="J354" s="28"/>
      <c r="K354" s="27"/>
      <c r="L354" s="28"/>
      <c r="M354" s="27"/>
      <c r="N354" s="27"/>
    </row>
    <row r="355" customFormat="false" ht="15" hidden="false" customHeight="false" outlineLevel="0" collapsed="false">
      <c r="A355" s="35" t="str">
        <f aca="false">Suppliers!A355</f>
        <v>UK</v>
      </c>
      <c r="B355" s="35" t="n">
        <f aca="false">Suppliers!B355</f>
        <v>354</v>
      </c>
      <c r="C355" s="35" t="str">
        <f aca="false">Suppliers!E355</f>
        <v>One For Fun</v>
      </c>
      <c r="D355" s="35" t="str">
        <f aca="false">Suppliers!D355</f>
        <v>Toys &amp; Games</v>
      </c>
      <c r="E355" s="36" t="s">
        <v>4484</v>
      </c>
      <c r="F355" s="36" t="s">
        <v>4485</v>
      </c>
      <c r="G355" s="27"/>
      <c r="H355" s="27"/>
      <c r="I355" s="27"/>
      <c r="J355" s="28"/>
      <c r="K355" s="27"/>
      <c r="L355" s="28"/>
      <c r="M355" s="27"/>
      <c r="N355" s="27"/>
    </row>
    <row r="356" customFormat="false" ht="15" hidden="false" customHeight="false" outlineLevel="0" collapsed="false">
      <c r="A356" s="35" t="str">
        <f aca="false">Suppliers!A356</f>
        <v>UK</v>
      </c>
      <c r="B356" s="35" t="n">
        <f aca="false">Suppliers!B356</f>
        <v>355</v>
      </c>
      <c r="C356" s="35" t="str">
        <f aca="false">Suppliers!E356</f>
        <v>Peterkin UK Ltd (John Adams group)</v>
      </c>
      <c r="D356" s="35" t="str">
        <f aca="false">Suppliers!D356</f>
        <v>Toys &amp; Games</v>
      </c>
      <c r="E356" s="36" t="s">
        <v>4484</v>
      </c>
      <c r="F356" s="36" t="s">
        <v>4485</v>
      </c>
      <c r="G356" s="27"/>
      <c r="H356" s="27"/>
      <c r="I356" s="27"/>
      <c r="J356" s="28"/>
      <c r="K356" s="27"/>
      <c r="L356" s="28"/>
      <c r="M356" s="27"/>
      <c r="N356" s="27"/>
    </row>
    <row r="357" customFormat="false" ht="15" hidden="false" customHeight="false" outlineLevel="0" collapsed="false">
      <c r="A357" s="35" t="str">
        <f aca="false">Suppliers!A357</f>
        <v>UK</v>
      </c>
      <c r="B357" s="35" t="n">
        <f aca="false">Suppliers!B357</f>
        <v>356</v>
      </c>
      <c r="C357" s="35" t="str">
        <f aca="false">Suppliers!E357</f>
        <v>Character Options Ltd</v>
      </c>
      <c r="D357" s="35" t="str">
        <f aca="false">Suppliers!D357</f>
        <v>Toys &amp; Games</v>
      </c>
      <c r="E357" s="36" t="s">
        <v>4484</v>
      </c>
      <c r="F357" s="36" t="s">
        <v>4485</v>
      </c>
      <c r="G357" s="27"/>
      <c r="H357" s="27"/>
      <c r="I357" s="27"/>
      <c r="J357" s="28"/>
      <c r="K357" s="27"/>
      <c r="L357" s="28"/>
      <c r="M357" s="27"/>
      <c r="N357" s="27"/>
    </row>
    <row r="358" customFormat="false" ht="15" hidden="false" customHeight="false" outlineLevel="0" collapsed="false">
      <c r="A358" s="35" t="str">
        <f aca="false">Suppliers!A358</f>
        <v>UK</v>
      </c>
      <c r="B358" s="35" t="n">
        <f aca="false">Suppliers!B358</f>
        <v>357</v>
      </c>
      <c r="C358" s="35" t="str">
        <f aca="false">Suppliers!E358</f>
        <v>Keycraft</v>
      </c>
      <c r="D358" s="35" t="str">
        <f aca="false">Suppliers!D358</f>
        <v>Toys &amp; Games</v>
      </c>
      <c r="E358" s="36" t="s">
        <v>4484</v>
      </c>
      <c r="F358" s="36" t="s">
        <v>4485</v>
      </c>
      <c r="G358" s="27"/>
      <c r="H358" s="27"/>
      <c r="I358" s="27"/>
      <c r="J358" s="28"/>
      <c r="K358" s="27"/>
      <c r="L358" s="28"/>
      <c r="M358" s="27"/>
      <c r="N358" s="27"/>
    </row>
    <row r="359" customFormat="false" ht="15" hidden="false" customHeight="false" outlineLevel="0" collapsed="false">
      <c r="A359" s="35" t="str">
        <f aca="false">Suppliers!A359</f>
        <v>UK</v>
      </c>
      <c r="B359" s="35" t="n">
        <f aca="false">Suppliers!B359</f>
        <v>358</v>
      </c>
      <c r="C359" s="35" t="str">
        <f aca="false">Suppliers!E359</f>
        <v>Puckator Ltd</v>
      </c>
      <c r="D359" s="35" t="str">
        <f aca="false">Suppliers!D359</f>
        <v>Toys &amp; Games</v>
      </c>
      <c r="E359" s="36" t="s">
        <v>4484</v>
      </c>
      <c r="F359" s="36" t="s">
        <v>4485</v>
      </c>
      <c r="G359" s="27"/>
      <c r="H359" s="27"/>
      <c r="I359" s="27"/>
      <c r="J359" s="28"/>
      <c r="K359" s="27"/>
      <c r="L359" s="28"/>
      <c r="M359" s="27"/>
      <c r="N359" s="27"/>
    </row>
  </sheetData>
  <autoFilter ref="A1:N359"/>
  <dataValidations count="1">
    <dataValidation allowBlank="true" errorStyle="stop" operator="between" showDropDown="false" showErrorMessage="false" showInputMessage="false" sqref="K2:K359 M2:M359" type="list">
      <formula1>"Yes,No,Pending"</formula1>
      <formula2>0</formula2>
    </dataValidation>
  </dataValidations>
  <hyperlinks>
    <hyperlink ref="E2" r:id="rId1" display="Company page"/>
    <hyperlink ref="F2" r:id="rId2" display="Find people"/>
    <hyperlink ref="E3" r:id="rId3" display="Company page"/>
    <hyperlink ref="F3" r:id="rId4" display="Find people"/>
    <hyperlink ref="E4" r:id="rId5" display="Company page"/>
    <hyperlink ref="F4" r:id="rId6" display="Find people"/>
    <hyperlink ref="E5" r:id="rId7" display="Company page"/>
    <hyperlink ref="F5" r:id="rId8" display="Find people"/>
    <hyperlink ref="E6" r:id="rId9" display="Company page"/>
    <hyperlink ref="F6" r:id="rId10" display="Find people"/>
    <hyperlink ref="E7" r:id="rId11" display="Company page"/>
    <hyperlink ref="F7" r:id="rId12" display="Find people"/>
    <hyperlink ref="E8" r:id="rId13" display="Company page"/>
    <hyperlink ref="F8" r:id="rId14" display="Find people"/>
    <hyperlink ref="E9" r:id="rId15" display="Company page"/>
    <hyperlink ref="F9" r:id="rId16" display="Find people"/>
    <hyperlink ref="E10" r:id="rId17" display="Company page"/>
    <hyperlink ref="F10" r:id="rId18" display="Find people"/>
    <hyperlink ref="E11" r:id="rId19" display="Company page"/>
    <hyperlink ref="F11" r:id="rId20" display="Find people"/>
    <hyperlink ref="E12" r:id="rId21" display="Company page"/>
    <hyperlink ref="F12" r:id="rId22" display="Find people"/>
    <hyperlink ref="E13" r:id="rId23" display="Company page"/>
    <hyperlink ref="F13" r:id="rId24" display="Find people"/>
    <hyperlink ref="E14" r:id="rId25" display="Company page"/>
    <hyperlink ref="F14" r:id="rId26" display="Find people"/>
    <hyperlink ref="E15" r:id="rId27" display="Company page"/>
    <hyperlink ref="F15" r:id="rId28" display="Find people"/>
    <hyperlink ref="E16" r:id="rId29" display="Company page"/>
    <hyperlink ref="F16" r:id="rId30" display="Find people"/>
    <hyperlink ref="E17" r:id="rId31" display="Company page"/>
    <hyperlink ref="F17" r:id="rId32" display="Find people"/>
    <hyperlink ref="E18" r:id="rId33" display="Company page"/>
    <hyperlink ref="F18" r:id="rId34" display="Find people"/>
    <hyperlink ref="E19" r:id="rId35" display="Company page"/>
    <hyperlink ref="F19" r:id="rId36" display="Find people"/>
    <hyperlink ref="E20" r:id="rId37" display="Company page"/>
    <hyperlink ref="F20" r:id="rId38" display="Find people"/>
    <hyperlink ref="E21" r:id="rId39" display="Company page"/>
    <hyperlink ref="F21" r:id="rId40" display="Find people"/>
    <hyperlink ref="E22" r:id="rId41" display="Company page"/>
    <hyperlink ref="F22" r:id="rId42" display="Find people"/>
    <hyperlink ref="E23" r:id="rId43" display="Company page"/>
    <hyperlink ref="F23" r:id="rId44" display="Find people"/>
    <hyperlink ref="E24" r:id="rId45" display="Company page"/>
    <hyperlink ref="F24" r:id="rId46" display="Find people"/>
    <hyperlink ref="E25" r:id="rId47" display="Company page"/>
    <hyperlink ref="F25" r:id="rId48" display="Find people"/>
    <hyperlink ref="E26" r:id="rId49" display="Company page"/>
    <hyperlink ref="F26" r:id="rId50" display="Find people"/>
    <hyperlink ref="E27" r:id="rId51" display="Company page"/>
    <hyperlink ref="F27" r:id="rId52" display="Find people"/>
    <hyperlink ref="E28" r:id="rId53" display="Company page"/>
    <hyperlink ref="F28" r:id="rId54" display="Find people"/>
    <hyperlink ref="E29" r:id="rId55" display="Company page"/>
    <hyperlink ref="F29" r:id="rId56" display="Find people"/>
    <hyperlink ref="E30" r:id="rId57" display="Company page"/>
    <hyperlink ref="F30" r:id="rId58" display="Find people"/>
    <hyperlink ref="E31" r:id="rId59" display="Company page"/>
    <hyperlink ref="F31" r:id="rId60" display="Find people"/>
    <hyperlink ref="E32" r:id="rId61" display="Company page"/>
    <hyperlink ref="F32" r:id="rId62" display="Find people"/>
    <hyperlink ref="E33" r:id="rId63" display="Company page"/>
    <hyperlink ref="F33" r:id="rId64" display="Find people"/>
    <hyperlink ref="E34" r:id="rId65" display="Company page"/>
    <hyperlink ref="F34" r:id="rId66" display="Find people"/>
    <hyperlink ref="E35" r:id="rId67" display="Company page"/>
    <hyperlink ref="F35" r:id="rId68" display="Find people"/>
    <hyperlink ref="E36" r:id="rId69" display="Company page"/>
    <hyperlink ref="F36" r:id="rId70" display="Find people"/>
    <hyperlink ref="E37" r:id="rId71" display="Company page"/>
    <hyperlink ref="F37" r:id="rId72" display="Find people"/>
    <hyperlink ref="E38" r:id="rId73" display="Company page"/>
    <hyperlink ref="F38" r:id="rId74" display="Find people"/>
    <hyperlink ref="E39" r:id="rId75" display="Company page"/>
    <hyperlink ref="F39" r:id="rId76" display="Find people"/>
    <hyperlink ref="E40" r:id="rId77" display="Company page"/>
    <hyperlink ref="F40" r:id="rId78" display="Find people"/>
    <hyperlink ref="E41" r:id="rId79" display="Company page"/>
    <hyperlink ref="F41" r:id="rId80" display="Find people"/>
    <hyperlink ref="E42" r:id="rId81" display="Company page"/>
    <hyperlink ref="F42" r:id="rId82" display="Find people"/>
    <hyperlink ref="E43" r:id="rId83" display="Company page"/>
    <hyperlink ref="F43" r:id="rId84" display="Find people"/>
    <hyperlink ref="E44" r:id="rId85" display="Company page"/>
    <hyperlink ref="F44" r:id="rId86" display="Find people"/>
    <hyperlink ref="E45" r:id="rId87" display="Company page"/>
    <hyperlink ref="F45" r:id="rId88" display="Find people"/>
    <hyperlink ref="E46" r:id="rId89" display="Company page"/>
    <hyperlink ref="F46" r:id="rId90" display="Find people"/>
    <hyperlink ref="E47" r:id="rId91" display="Company page"/>
    <hyperlink ref="F47" r:id="rId92" display="Find people"/>
    <hyperlink ref="E48" r:id="rId93" display="Company page"/>
    <hyperlink ref="F48" r:id="rId94" display="Find people"/>
    <hyperlink ref="E49" r:id="rId95" display="Company page"/>
    <hyperlink ref="F49" r:id="rId96" display="Find people"/>
    <hyperlink ref="E50" r:id="rId97" display="Company page"/>
    <hyperlink ref="F50" r:id="rId98" display="Find people"/>
    <hyperlink ref="E51" r:id="rId99" display="Company page"/>
    <hyperlink ref="F51" r:id="rId100" display="Find people"/>
    <hyperlink ref="E52" r:id="rId101" display="Company page"/>
    <hyperlink ref="F52" r:id="rId102" display="Find people"/>
    <hyperlink ref="E53" r:id="rId103" display="Company page"/>
    <hyperlink ref="F53" r:id="rId104" display="Find people"/>
    <hyperlink ref="E54" r:id="rId105" display="Company page"/>
    <hyperlink ref="F54" r:id="rId106" display="Find people"/>
    <hyperlink ref="E55" r:id="rId107" display="Company page"/>
    <hyperlink ref="F55" r:id="rId108" display="Find people"/>
    <hyperlink ref="E56" r:id="rId109" display="Company page"/>
    <hyperlink ref="F56" r:id="rId110" display="Find people"/>
    <hyperlink ref="E57" r:id="rId111" display="Company page"/>
    <hyperlink ref="F57" r:id="rId112" display="Find people"/>
    <hyperlink ref="E58" r:id="rId113" display="Company page"/>
    <hyperlink ref="F58" r:id="rId114" display="Find people"/>
    <hyperlink ref="E59" r:id="rId115" display="Company page"/>
    <hyperlink ref="F59" r:id="rId116" display="Find people"/>
    <hyperlink ref="E60" r:id="rId117" display="Company page"/>
    <hyperlink ref="F60" r:id="rId118" display="Find people"/>
    <hyperlink ref="E61" r:id="rId119" display="Company page"/>
    <hyperlink ref="F61" r:id="rId120" display="Find people"/>
    <hyperlink ref="E62" r:id="rId121" display="Company page"/>
    <hyperlink ref="F62" r:id="rId122" display="Find people"/>
    <hyperlink ref="E63" r:id="rId123" display="Company page"/>
    <hyperlink ref="F63" r:id="rId124" display="Find people"/>
    <hyperlink ref="E64" r:id="rId125" display="Company page"/>
    <hyperlink ref="F64" r:id="rId126" display="Find people"/>
    <hyperlink ref="E65" r:id="rId127" display="Company page"/>
    <hyperlink ref="F65" r:id="rId128" display="Find people"/>
    <hyperlink ref="E66" r:id="rId129" display="Company page"/>
    <hyperlink ref="F66" r:id="rId130" display="Find people"/>
    <hyperlink ref="E67" r:id="rId131" display="Company page"/>
    <hyperlink ref="F67" r:id="rId132" display="Find people"/>
    <hyperlink ref="E68" r:id="rId133" display="Company page"/>
    <hyperlink ref="F68" r:id="rId134" display="Find people"/>
    <hyperlink ref="E69" r:id="rId135" display="Company page"/>
    <hyperlink ref="F69" r:id="rId136" display="Find people"/>
    <hyperlink ref="E70" r:id="rId137" display="Company page"/>
    <hyperlink ref="F70" r:id="rId138" display="Find people"/>
    <hyperlink ref="E71" r:id="rId139" display="Company page"/>
    <hyperlink ref="F71" r:id="rId140" display="Find people"/>
    <hyperlink ref="E72" r:id="rId141" display="Company page"/>
    <hyperlink ref="F72" r:id="rId142" display="Find people"/>
    <hyperlink ref="E73" r:id="rId143" display="Company page"/>
    <hyperlink ref="F73" r:id="rId144" display="Find people"/>
    <hyperlink ref="E74" r:id="rId145" display="Company page"/>
    <hyperlink ref="F74" r:id="rId146" display="Find people"/>
    <hyperlink ref="E75" r:id="rId147" display="Company page"/>
    <hyperlink ref="F75" r:id="rId148" display="Find people"/>
    <hyperlink ref="E76" r:id="rId149" display="Company page"/>
    <hyperlink ref="F76" r:id="rId150" display="Find people"/>
    <hyperlink ref="E77" r:id="rId151" display="Company page"/>
    <hyperlink ref="F77" r:id="rId152" display="Find people"/>
    <hyperlink ref="E78" r:id="rId153" display="Company page"/>
    <hyperlink ref="F78" r:id="rId154" display="Find people"/>
    <hyperlink ref="E79" r:id="rId155" display="Company page"/>
    <hyperlink ref="F79" r:id="rId156" display="Find people"/>
    <hyperlink ref="E80" r:id="rId157" display="Company page"/>
    <hyperlink ref="F80" r:id="rId158" display="Find people"/>
    <hyperlink ref="E81" r:id="rId159" display="Company page"/>
    <hyperlink ref="F81" r:id="rId160" display="Find people"/>
    <hyperlink ref="E82" r:id="rId161" display="Company page"/>
    <hyperlink ref="F82" r:id="rId162" display="Find people"/>
    <hyperlink ref="E83" r:id="rId163" display="Company page"/>
    <hyperlink ref="F83" r:id="rId164" display="Find people"/>
    <hyperlink ref="E84" r:id="rId165" display="Company page"/>
    <hyperlink ref="F84" r:id="rId166" display="Find people"/>
    <hyperlink ref="E85" r:id="rId167" display="Company page"/>
    <hyperlink ref="F85" r:id="rId168" display="Find people"/>
    <hyperlink ref="E86" r:id="rId169" display="Company page"/>
    <hyperlink ref="F86" r:id="rId170" display="Find people"/>
    <hyperlink ref="E87" r:id="rId171" display="Company page"/>
    <hyperlink ref="F87" r:id="rId172" display="Find people"/>
    <hyperlink ref="E88" r:id="rId173" display="Company page"/>
    <hyperlink ref="F88" r:id="rId174" display="Find people"/>
    <hyperlink ref="E89" r:id="rId175" display="Company page"/>
    <hyperlink ref="F89" r:id="rId176" display="Find people"/>
    <hyperlink ref="E90" r:id="rId177" display="Company page"/>
    <hyperlink ref="F90" r:id="rId178" display="Find people"/>
    <hyperlink ref="E91" r:id="rId179" display="Company page"/>
    <hyperlink ref="F91" r:id="rId180" display="Find people"/>
    <hyperlink ref="E92" r:id="rId181" display="Company page"/>
    <hyperlink ref="F92" r:id="rId182" display="Find people"/>
    <hyperlink ref="E93" r:id="rId183" display="Company page"/>
    <hyperlink ref="F93" r:id="rId184" display="Find people"/>
    <hyperlink ref="E94" r:id="rId185" display="Company page"/>
    <hyperlink ref="F94" r:id="rId186" display="Find people"/>
    <hyperlink ref="E95" r:id="rId187" display="Company page"/>
    <hyperlink ref="F95" r:id="rId188" display="Find people"/>
    <hyperlink ref="E96" r:id="rId189" display="Company page"/>
    <hyperlink ref="F96" r:id="rId190" display="Find people"/>
    <hyperlink ref="E97" r:id="rId191" display="Company page"/>
    <hyperlink ref="F97" r:id="rId192" display="Find people"/>
    <hyperlink ref="E98" r:id="rId193" display="Company page"/>
    <hyperlink ref="F98" r:id="rId194" display="Find people"/>
    <hyperlink ref="E99" r:id="rId195" display="Company page"/>
    <hyperlink ref="F99" r:id="rId196" display="Find people"/>
    <hyperlink ref="E100" r:id="rId197" display="Company page"/>
    <hyperlink ref="F100" r:id="rId198" display="Find people"/>
    <hyperlink ref="E101" r:id="rId199" display="Company page"/>
    <hyperlink ref="F101" r:id="rId200" display="Find people"/>
    <hyperlink ref="E102" r:id="rId201" display="Company page"/>
    <hyperlink ref="F102" r:id="rId202" display="Find people"/>
    <hyperlink ref="E103" r:id="rId203" display="Company page"/>
    <hyperlink ref="F103" r:id="rId204" display="Find people"/>
    <hyperlink ref="E104" r:id="rId205" display="Company page"/>
    <hyperlink ref="F104" r:id="rId206" display="Find people"/>
    <hyperlink ref="E105" r:id="rId207" display="Company page"/>
    <hyperlink ref="F105" r:id="rId208" display="Find people"/>
    <hyperlink ref="E106" r:id="rId209" display="Company page"/>
    <hyperlink ref="F106" r:id="rId210" display="Find people"/>
    <hyperlink ref="E107" r:id="rId211" display="Company page"/>
    <hyperlink ref="F107" r:id="rId212" display="Find people"/>
    <hyperlink ref="E108" r:id="rId213" display="Company page"/>
    <hyperlink ref="F108" r:id="rId214" display="Find people"/>
    <hyperlink ref="E109" r:id="rId215" display="Company page"/>
    <hyperlink ref="F109" r:id="rId216" display="Find people"/>
    <hyperlink ref="E110" r:id="rId217" display="Company page"/>
    <hyperlink ref="F110" r:id="rId218" display="Find people"/>
    <hyperlink ref="E111" r:id="rId219" display="Company page"/>
    <hyperlink ref="F111" r:id="rId220" display="Find people"/>
    <hyperlink ref="E112" r:id="rId221" display="Company page"/>
    <hyperlink ref="F112" r:id="rId222" display="Find people"/>
    <hyperlink ref="E113" r:id="rId223" display="Company page"/>
    <hyperlink ref="F113" r:id="rId224" display="Find people"/>
    <hyperlink ref="E114" r:id="rId225" display="Company page"/>
    <hyperlink ref="F114" r:id="rId226" display="Find people"/>
    <hyperlink ref="E115" r:id="rId227" display="Company page"/>
    <hyperlink ref="F115" r:id="rId228" display="Find people"/>
    <hyperlink ref="E116" r:id="rId229" display="Company page"/>
    <hyperlink ref="F116" r:id="rId230" display="Find people"/>
    <hyperlink ref="E117" r:id="rId231" display="Company page"/>
    <hyperlink ref="F117" r:id="rId232" display="Find people"/>
    <hyperlink ref="E118" r:id="rId233" display="Company page"/>
    <hyperlink ref="F118" r:id="rId234" display="Find people"/>
    <hyperlink ref="E119" r:id="rId235" display="Company page"/>
    <hyperlink ref="F119" r:id="rId236" display="Find people"/>
    <hyperlink ref="E120" r:id="rId237" display="Company page"/>
    <hyperlink ref="F120" r:id="rId238" display="Find people"/>
    <hyperlink ref="E121" r:id="rId239" display="Company page"/>
    <hyperlink ref="F121" r:id="rId240" display="Find people"/>
    <hyperlink ref="E122" r:id="rId241" display="Company page"/>
    <hyperlink ref="F122" r:id="rId242" display="Find people"/>
    <hyperlink ref="E123" r:id="rId243" display="Company page"/>
    <hyperlink ref="F123" r:id="rId244" display="Find people"/>
    <hyperlink ref="E124" r:id="rId245" display="Company page"/>
    <hyperlink ref="F124" r:id="rId246" display="Find people"/>
    <hyperlink ref="E125" r:id="rId247" display="Company page"/>
    <hyperlink ref="F125" r:id="rId248" display="Find people"/>
    <hyperlink ref="E126" r:id="rId249" display="Company page"/>
    <hyperlink ref="F126" r:id="rId250" display="Find people"/>
    <hyperlink ref="E127" r:id="rId251" display="Company page"/>
    <hyperlink ref="F127" r:id="rId252" display="Find people"/>
    <hyperlink ref="E128" r:id="rId253" display="Company page"/>
    <hyperlink ref="F128" r:id="rId254" display="Find people"/>
    <hyperlink ref="E129" r:id="rId255" display="Company page"/>
    <hyperlink ref="F129" r:id="rId256" display="Find people"/>
    <hyperlink ref="E130" r:id="rId257" display="Company page"/>
    <hyperlink ref="F130" r:id="rId258" display="Find people"/>
    <hyperlink ref="E131" r:id="rId259" display="Company page"/>
    <hyperlink ref="F131" r:id="rId260" display="Find people"/>
    <hyperlink ref="E132" r:id="rId261" display="Company page"/>
    <hyperlink ref="F132" r:id="rId262" display="Find people"/>
    <hyperlink ref="E133" r:id="rId263" display="Company page"/>
    <hyperlink ref="F133" r:id="rId264" display="Find people"/>
    <hyperlink ref="E134" r:id="rId265" display="Company page"/>
    <hyperlink ref="F134" r:id="rId266" display="Find people"/>
    <hyperlink ref="E135" r:id="rId267" display="Company page"/>
    <hyperlink ref="F135" r:id="rId268" display="Find people"/>
    <hyperlink ref="E136" r:id="rId269" display="Company page"/>
    <hyperlink ref="F136" r:id="rId270" display="Find people"/>
    <hyperlink ref="E137" r:id="rId271" display="Company page"/>
    <hyperlink ref="F137" r:id="rId272" display="Find people"/>
    <hyperlink ref="E138" r:id="rId273" display="Company page"/>
    <hyperlink ref="F138" r:id="rId274" display="Find people"/>
    <hyperlink ref="E139" r:id="rId275" display="Company page"/>
    <hyperlink ref="F139" r:id="rId276" display="Find people"/>
    <hyperlink ref="E140" r:id="rId277" display="Company page"/>
    <hyperlink ref="F140" r:id="rId278" display="Find people"/>
    <hyperlink ref="E141" r:id="rId279" display="Company page"/>
    <hyperlink ref="F141" r:id="rId280" display="Find people"/>
    <hyperlink ref="E142" r:id="rId281" display="Company page"/>
    <hyperlink ref="F142" r:id="rId282" display="Find people"/>
    <hyperlink ref="E143" r:id="rId283" display="Company page"/>
    <hyperlink ref="F143" r:id="rId284" display="Find people"/>
    <hyperlink ref="E144" r:id="rId285" display="Company page"/>
    <hyperlink ref="F144" r:id="rId286" display="Find people"/>
    <hyperlink ref="E145" r:id="rId287" display="Company page"/>
    <hyperlink ref="F145" r:id="rId288" display="Find people"/>
    <hyperlink ref="E146" r:id="rId289" display="Company page"/>
    <hyperlink ref="F146" r:id="rId290" display="Find people"/>
    <hyperlink ref="E147" r:id="rId291" display="Company page"/>
    <hyperlink ref="F147" r:id="rId292" display="Find people"/>
    <hyperlink ref="E148" r:id="rId293" display="Company page"/>
    <hyperlink ref="F148" r:id="rId294" display="Find people"/>
    <hyperlink ref="E149" r:id="rId295" display="Company page"/>
    <hyperlink ref="F149" r:id="rId296" display="Find people"/>
    <hyperlink ref="E150" r:id="rId297" display="Company page"/>
    <hyperlink ref="F150" r:id="rId298" display="Find people"/>
    <hyperlink ref="E151" r:id="rId299" display="Company page"/>
    <hyperlink ref="F151" r:id="rId300" display="Find people"/>
    <hyperlink ref="E152" r:id="rId301" display="Company page"/>
    <hyperlink ref="F152" r:id="rId302" display="Find people"/>
    <hyperlink ref="E153" r:id="rId303" display="Company page"/>
    <hyperlink ref="F153" r:id="rId304" display="Find people"/>
    <hyperlink ref="E154" r:id="rId305" display="Company page"/>
    <hyperlink ref="F154" r:id="rId306" display="Find people"/>
    <hyperlink ref="E155" r:id="rId307" display="Company page"/>
    <hyperlink ref="F155" r:id="rId308" display="Find people"/>
    <hyperlink ref="E156" r:id="rId309" display="Company page"/>
    <hyperlink ref="F156" r:id="rId310" display="Find people"/>
    <hyperlink ref="E157" r:id="rId311" display="Company page"/>
    <hyperlink ref="F157" r:id="rId312" display="Find people"/>
    <hyperlink ref="E158" r:id="rId313" display="Company page"/>
    <hyperlink ref="F158" r:id="rId314" display="Find people"/>
    <hyperlink ref="E159" r:id="rId315" display="Company page"/>
    <hyperlink ref="F159" r:id="rId316" display="Find people"/>
    <hyperlink ref="E160" r:id="rId317" display="Company page"/>
    <hyperlink ref="F160" r:id="rId318" display="Find people"/>
    <hyperlink ref="E161" r:id="rId319" display="Company page"/>
    <hyperlink ref="F161" r:id="rId320" display="Find people"/>
    <hyperlink ref="E162" r:id="rId321" display="Company page"/>
    <hyperlink ref="F162" r:id="rId322" display="Find people"/>
    <hyperlink ref="E163" r:id="rId323" display="Company page"/>
    <hyperlink ref="F163" r:id="rId324" display="Find people"/>
    <hyperlink ref="E164" r:id="rId325" display="Company page"/>
    <hyperlink ref="F164" r:id="rId326" display="Find people"/>
    <hyperlink ref="E165" r:id="rId327" display="Company page"/>
    <hyperlink ref="F165" r:id="rId328" display="Find people"/>
    <hyperlink ref="E166" r:id="rId329" display="Company page"/>
    <hyperlink ref="F166" r:id="rId330" display="Find people"/>
    <hyperlink ref="E167" r:id="rId331" display="Company page"/>
    <hyperlink ref="F167" r:id="rId332" display="Find people"/>
    <hyperlink ref="E168" r:id="rId333" display="Company page"/>
    <hyperlink ref="F168" r:id="rId334" display="Find people"/>
    <hyperlink ref="E169" r:id="rId335" display="Company page"/>
    <hyperlink ref="F169" r:id="rId336" display="Find people"/>
    <hyperlink ref="E170" r:id="rId337" display="Company page"/>
    <hyperlink ref="F170" r:id="rId338" display="Find people"/>
    <hyperlink ref="E171" r:id="rId339" display="Company page"/>
    <hyperlink ref="F171" r:id="rId340" display="Find people"/>
    <hyperlink ref="E172" r:id="rId341" display="Company page"/>
    <hyperlink ref="F172" r:id="rId342" display="Find people"/>
    <hyperlink ref="E173" r:id="rId343" display="Company page"/>
    <hyperlink ref="F173" r:id="rId344" display="Find people"/>
    <hyperlink ref="E174" r:id="rId345" display="Company page"/>
    <hyperlink ref="F174" r:id="rId346" display="Find people"/>
    <hyperlink ref="E175" r:id="rId347" display="Company page"/>
    <hyperlink ref="F175" r:id="rId348" display="Find people"/>
    <hyperlink ref="E176" r:id="rId349" display="Company page"/>
    <hyperlink ref="F176" r:id="rId350" display="Find people"/>
    <hyperlink ref="E177" r:id="rId351" display="Company page"/>
    <hyperlink ref="F177" r:id="rId352" display="Find people"/>
    <hyperlink ref="E178" r:id="rId353" display="Company page"/>
    <hyperlink ref="F178" r:id="rId354" display="Find people"/>
    <hyperlink ref="E179" r:id="rId355" display="Company page"/>
    <hyperlink ref="F179" r:id="rId356" display="Find people"/>
    <hyperlink ref="E180" r:id="rId357" display="Company page"/>
    <hyperlink ref="F180" r:id="rId358" display="Find people"/>
    <hyperlink ref="E181" r:id="rId359" display="Company page"/>
    <hyperlink ref="F181" r:id="rId360" display="Find people"/>
    <hyperlink ref="E182" r:id="rId361" display="Company page"/>
    <hyperlink ref="F182" r:id="rId362" display="Find people"/>
    <hyperlink ref="E183" r:id="rId363" display="Company page"/>
    <hyperlink ref="F183" r:id="rId364" display="Find people"/>
    <hyperlink ref="E184" r:id="rId365" display="Company page"/>
    <hyperlink ref="F184" r:id="rId366" display="Find people"/>
    <hyperlink ref="E185" r:id="rId367" display="Company page"/>
    <hyperlink ref="F185" r:id="rId368" display="Find people"/>
    <hyperlink ref="E186" r:id="rId369" display="Company page"/>
    <hyperlink ref="F186" r:id="rId370" display="Find people"/>
    <hyperlink ref="E187" r:id="rId371" display="Company page"/>
    <hyperlink ref="F187" r:id="rId372" display="Find people"/>
    <hyperlink ref="E188" r:id="rId373" display="Company page"/>
    <hyperlink ref="F188" r:id="rId374" display="Find people"/>
    <hyperlink ref="E189" r:id="rId375" display="Company page"/>
    <hyperlink ref="F189" r:id="rId376" display="Find people"/>
    <hyperlink ref="E190" r:id="rId377" display="Company page"/>
    <hyperlink ref="F190" r:id="rId378" display="Find people"/>
    <hyperlink ref="E191" r:id="rId379" display="Company page"/>
    <hyperlink ref="F191" r:id="rId380" display="Find people"/>
    <hyperlink ref="E192" r:id="rId381" display="Company page"/>
    <hyperlink ref="F192" r:id="rId382" display="Find people"/>
    <hyperlink ref="E193" r:id="rId383" display="Company page"/>
    <hyperlink ref="F193" r:id="rId384" display="Find people"/>
    <hyperlink ref="E194" r:id="rId385" display="Company page"/>
    <hyperlink ref="F194" r:id="rId386" display="Find people"/>
    <hyperlink ref="E195" r:id="rId387" display="Company page"/>
    <hyperlink ref="F195" r:id="rId388" display="Find people"/>
    <hyperlink ref="E196" r:id="rId389" display="Company page"/>
    <hyperlink ref="F196" r:id="rId390" display="Find people"/>
    <hyperlink ref="E197" r:id="rId391" display="Company page"/>
    <hyperlink ref="F197" r:id="rId392" display="Find people"/>
    <hyperlink ref="E198" r:id="rId393" display="Company page"/>
    <hyperlink ref="F198" r:id="rId394" display="Find people"/>
    <hyperlink ref="E199" r:id="rId395" display="Company page"/>
    <hyperlink ref="F199" r:id="rId396" display="Find people"/>
    <hyperlink ref="E200" r:id="rId397" display="Company page"/>
    <hyperlink ref="F200" r:id="rId398" display="Find people"/>
    <hyperlink ref="E201" r:id="rId399" display="Company page"/>
    <hyperlink ref="F201" r:id="rId400" display="Find people"/>
    <hyperlink ref="E202" r:id="rId401" display="Company page"/>
    <hyperlink ref="F202" r:id="rId402" display="Find people"/>
    <hyperlink ref="E203" r:id="rId403" display="Company page"/>
    <hyperlink ref="F203" r:id="rId404" display="Find people"/>
    <hyperlink ref="E204" r:id="rId405" display="Company page"/>
    <hyperlink ref="F204" r:id="rId406" display="Find people"/>
    <hyperlink ref="E205" r:id="rId407" display="Company page"/>
    <hyperlink ref="F205" r:id="rId408" display="Find people"/>
    <hyperlink ref="E206" r:id="rId409" display="Company page"/>
    <hyperlink ref="F206" r:id="rId410" display="Find people"/>
    <hyperlink ref="E207" r:id="rId411" display="Company page"/>
    <hyperlink ref="F207" r:id="rId412" display="Find people"/>
    <hyperlink ref="E208" r:id="rId413" display="Company page"/>
    <hyperlink ref="F208" r:id="rId414" display="Find people"/>
    <hyperlink ref="E209" r:id="rId415" display="Company page"/>
    <hyperlink ref="F209" r:id="rId416" display="Find people"/>
    <hyperlink ref="E210" r:id="rId417" display="Company page"/>
    <hyperlink ref="F210" r:id="rId418" display="Find people"/>
    <hyperlink ref="E211" r:id="rId419" display="Company page"/>
    <hyperlink ref="F211" r:id="rId420" display="Find people"/>
    <hyperlink ref="E212" r:id="rId421" display="Company page"/>
    <hyperlink ref="F212" r:id="rId422" display="Find people"/>
    <hyperlink ref="E213" r:id="rId423" display="Company page"/>
    <hyperlink ref="F213" r:id="rId424" display="Find people"/>
    <hyperlink ref="E214" r:id="rId425" display="Company page"/>
    <hyperlink ref="F214" r:id="rId426" display="Find people"/>
    <hyperlink ref="E215" r:id="rId427" display="Company page"/>
    <hyperlink ref="F215" r:id="rId428" display="Find people"/>
    <hyperlink ref="E216" r:id="rId429" display="Company page"/>
    <hyperlink ref="F216" r:id="rId430" display="Find people"/>
    <hyperlink ref="E217" r:id="rId431" display="Company page"/>
    <hyperlink ref="F217" r:id="rId432" display="Find people"/>
    <hyperlink ref="E218" r:id="rId433" display="Company page"/>
    <hyperlink ref="F218" r:id="rId434" display="Find people"/>
    <hyperlink ref="E219" r:id="rId435" display="Company page"/>
    <hyperlink ref="F219" r:id="rId436" display="Find people"/>
    <hyperlink ref="E220" r:id="rId437" display="Company page"/>
    <hyperlink ref="F220" r:id="rId438" display="Find people"/>
    <hyperlink ref="E221" r:id="rId439" display="Company page"/>
    <hyperlink ref="F221" r:id="rId440" display="Find people"/>
    <hyperlink ref="E222" r:id="rId441" display="Company page"/>
    <hyperlink ref="F222" r:id="rId442" display="Find people"/>
    <hyperlink ref="E223" r:id="rId443" display="Company page"/>
    <hyperlink ref="F223" r:id="rId444" display="Find people"/>
    <hyperlink ref="E224" r:id="rId445" display="Company page"/>
    <hyperlink ref="F224" r:id="rId446" display="Find people"/>
    <hyperlink ref="E225" r:id="rId447" display="Company page"/>
    <hyperlink ref="F225" r:id="rId448" display="Find people"/>
    <hyperlink ref="E226" r:id="rId449" display="Company page"/>
    <hyperlink ref="F226" r:id="rId450" display="Find people"/>
    <hyperlink ref="E227" r:id="rId451" display="Company page"/>
    <hyperlink ref="F227" r:id="rId452" display="Find people"/>
    <hyperlink ref="E228" r:id="rId453" display="Company page"/>
    <hyperlink ref="F228" r:id="rId454" display="Find people"/>
    <hyperlink ref="E229" r:id="rId455" display="Company page"/>
    <hyperlink ref="F229" r:id="rId456" display="Find people"/>
    <hyperlink ref="E230" r:id="rId457" display="Company page"/>
    <hyperlink ref="F230" r:id="rId458" display="Find people"/>
    <hyperlink ref="E231" r:id="rId459" display="Company page"/>
    <hyperlink ref="F231" r:id="rId460" display="Find people"/>
    <hyperlink ref="E232" r:id="rId461" display="Company page"/>
    <hyperlink ref="F232" r:id="rId462" display="Find people"/>
    <hyperlink ref="E233" r:id="rId463" display="Company page"/>
    <hyperlink ref="F233" r:id="rId464" display="Find people"/>
    <hyperlink ref="E234" r:id="rId465" display="Company page"/>
    <hyperlink ref="F234" r:id="rId466" display="Find people"/>
    <hyperlink ref="E235" r:id="rId467" display="Company page"/>
    <hyperlink ref="F235" r:id="rId468" display="Find people"/>
    <hyperlink ref="E236" r:id="rId469" display="Company page"/>
    <hyperlink ref="F236" r:id="rId470" display="Find people"/>
    <hyperlink ref="E237" r:id="rId471" display="Company page"/>
    <hyperlink ref="F237" r:id="rId472" display="Find people"/>
    <hyperlink ref="E238" r:id="rId473" display="Company page"/>
    <hyperlink ref="F238" r:id="rId474" display="Find people"/>
    <hyperlink ref="E239" r:id="rId475" display="Company page"/>
    <hyperlink ref="F239" r:id="rId476" display="Find people"/>
    <hyperlink ref="E240" r:id="rId477" display="Company page"/>
    <hyperlink ref="F240" r:id="rId478" display="Find people"/>
    <hyperlink ref="E241" r:id="rId479" display="Company page"/>
    <hyperlink ref="F241" r:id="rId480" display="Find people"/>
    <hyperlink ref="E242" r:id="rId481" display="Company page"/>
    <hyperlink ref="F242" r:id="rId482" display="Find people"/>
    <hyperlink ref="E243" r:id="rId483" display="Company page"/>
    <hyperlink ref="F243" r:id="rId484" display="Find people"/>
    <hyperlink ref="E244" r:id="rId485" display="Company page"/>
    <hyperlink ref="F244" r:id="rId486" display="Find people"/>
    <hyperlink ref="E245" r:id="rId487" display="Company page"/>
    <hyperlink ref="F245" r:id="rId488" display="Find people"/>
    <hyperlink ref="E246" r:id="rId489" display="Company page"/>
    <hyperlink ref="F246" r:id="rId490" display="Find people"/>
    <hyperlink ref="E247" r:id="rId491" display="Company page"/>
    <hyperlink ref="F247" r:id="rId492" display="Find people"/>
    <hyperlink ref="E248" r:id="rId493" display="Company page"/>
    <hyperlink ref="F248" r:id="rId494" display="Find people"/>
    <hyperlink ref="E249" r:id="rId495" display="Company page"/>
    <hyperlink ref="F249" r:id="rId496" display="Find people"/>
    <hyperlink ref="E250" r:id="rId497" display="Company page"/>
    <hyperlink ref="F250" r:id="rId498" display="Find people"/>
    <hyperlink ref="E251" r:id="rId499" display="Company page"/>
    <hyperlink ref="F251" r:id="rId500" display="Find people"/>
    <hyperlink ref="E252" r:id="rId501" display="Company page"/>
    <hyperlink ref="F252" r:id="rId502" display="Find people"/>
    <hyperlink ref="E253" r:id="rId503" display="Company page"/>
    <hyperlink ref="F253" r:id="rId504" display="Find people"/>
    <hyperlink ref="E254" r:id="rId505" display="Company page"/>
    <hyperlink ref="F254" r:id="rId506" display="Find people"/>
    <hyperlink ref="E255" r:id="rId507" display="Company page"/>
    <hyperlink ref="F255" r:id="rId508" display="Find people"/>
    <hyperlink ref="E256" r:id="rId509" display="Company page"/>
    <hyperlink ref="F256" r:id="rId510" display="Find people"/>
    <hyperlink ref="E257" r:id="rId511" display="Company page"/>
    <hyperlink ref="F257" r:id="rId512" display="Find people"/>
    <hyperlink ref="E258" r:id="rId513" display="Company page"/>
    <hyperlink ref="F258" r:id="rId514" display="Find people"/>
    <hyperlink ref="E259" r:id="rId515" display="Company page"/>
    <hyperlink ref="F259" r:id="rId516" display="Find people"/>
    <hyperlink ref="E260" r:id="rId517" display="Company page"/>
    <hyperlink ref="F260" r:id="rId518" display="Find people"/>
    <hyperlink ref="E261" r:id="rId519" display="Company page"/>
    <hyperlink ref="F261" r:id="rId520" display="Find people"/>
    <hyperlink ref="E262" r:id="rId521" display="Company page"/>
    <hyperlink ref="F262" r:id="rId522" display="Find people"/>
    <hyperlink ref="E263" r:id="rId523" display="Company page"/>
    <hyperlink ref="F263" r:id="rId524" display="Find people"/>
    <hyperlink ref="E264" r:id="rId525" display="Company page"/>
    <hyperlink ref="F264" r:id="rId526" display="Find people"/>
    <hyperlink ref="E265" r:id="rId527" display="Company page"/>
    <hyperlink ref="F265" r:id="rId528" display="Find people"/>
    <hyperlink ref="E266" r:id="rId529" display="Company page"/>
    <hyperlink ref="F266" r:id="rId530" display="Find people"/>
    <hyperlink ref="E267" r:id="rId531" display="Company page"/>
    <hyperlink ref="F267" r:id="rId532" display="Find people"/>
    <hyperlink ref="E268" r:id="rId533" display="Company page"/>
    <hyperlink ref="F268" r:id="rId534" display="Find people"/>
    <hyperlink ref="E269" r:id="rId535" display="Company page"/>
    <hyperlink ref="F269" r:id="rId536" display="Find people"/>
    <hyperlink ref="E270" r:id="rId537" display="Company page"/>
    <hyperlink ref="F270" r:id="rId538" display="Find people"/>
    <hyperlink ref="E271" r:id="rId539" display="Company page"/>
    <hyperlink ref="F271" r:id="rId540" display="Find people"/>
    <hyperlink ref="E272" r:id="rId541" display="Company page"/>
    <hyperlink ref="F272" r:id="rId542" display="Find people"/>
    <hyperlink ref="E273" r:id="rId543" display="Company page"/>
    <hyperlink ref="F273" r:id="rId544" display="Find people"/>
    <hyperlink ref="E274" r:id="rId545" display="Company page"/>
    <hyperlink ref="F274" r:id="rId546" display="Find people"/>
    <hyperlink ref="E275" r:id="rId547" display="Company page"/>
    <hyperlink ref="F275" r:id="rId548" display="Find people"/>
    <hyperlink ref="E276" r:id="rId549" display="Company page"/>
    <hyperlink ref="F276" r:id="rId550" display="Find people"/>
    <hyperlink ref="E277" r:id="rId551" display="Company page"/>
    <hyperlink ref="F277" r:id="rId552" display="Find people"/>
    <hyperlink ref="E278" r:id="rId553" display="Company page"/>
    <hyperlink ref="F278" r:id="rId554" display="Find people"/>
    <hyperlink ref="E279" r:id="rId555" display="Company page"/>
    <hyperlink ref="F279" r:id="rId556" display="Find people"/>
    <hyperlink ref="E280" r:id="rId557" display="Company page"/>
    <hyperlink ref="F280" r:id="rId558" display="Find people"/>
    <hyperlink ref="E281" r:id="rId559" display="Company page"/>
    <hyperlink ref="F281" r:id="rId560" display="Find people"/>
    <hyperlink ref="E282" r:id="rId561" display="Company page"/>
    <hyperlink ref="F282" r:id="rId562" display="Find people"/>
    <hyperlink ref="E283" r:id="rId563" display="Company page"/>
    <hyperlink ref="F283" r:id="rId564" display="Find people"/>
    <hyperlink ref="E284" r:id="rId565" display="Company page"/>
    <hyperlink ref="F284" r:id="rId566" display="Find people"/>
    <hyperlink ref="E285" r:id="rId567" display="Company page"/>
    <hyperlink ref="F285" r:id="rId568" display="Find people"/>
    <hyperlink ref="E286" r:id="rId569" display="Company page"/>
    <hyperlink ref="F286" r:id="rId570" display="Find people"/>
    <hyperlink ref="E287" r:id="rId571" display="Company page"/>
    <hyperlink ref="F287" r:id="rId572" display="Find people"/>
    <hyperlink ref="E288" r:id="rId573" display="Company page"/>
    <hyperlink ref="F288" r:id="rId574" display="Find people"/>
    <hyperlink ref="E289" r:id="rId575" display="Company page"/>
    <hyperlink ref="F289" r:id="rId576" display="Find people"/>
    <hyperlink ref="E290" r:id="rId577" display="Company page"/>
    <hyperlink ref="F290" r:id="rId578" display="Find people"/>
    <hyperlink ref="E291" r:id="rId579" display="Company page"/>
    <hyperlink ref="F291" r:id="rId580" display="Find people"/>
    <hyperlink ref="E292" r:id="rId581" display="Company page"/>
    <hyperlink ref="F292" r:id="rId582" display="Find people"/>
    <hyperlink ref="E293" r:id="rId583" display="Company page"/>
    <hyperlink ref="F293" r:id="rId584" display="Find people"/>
    <hyperlink ref="E294" r:id="rId585" display="Company page"/>
    <hyperlink ref="F294" r:id="rId586" display="Find people"/>
    <hyperlink ref="E295" r:id="rId587" display="Company page"/>
    <hyperlink ref="F295" r:id="rId588" display="Find people"/>
    <hyperlink ref="E296" r:id="rId589" display="Company page"/>
    <hyperlink ref="F296" r:id="rId590" display="Find people"/>
    <hyperlink ref="E297" r:id="rId591" display="Company page"/>
    <hyperlink ref="F297" r:id="rId592" display="Find people"/>
    <hyperlink ref="E298" r:id="rId593" display="Company page"/>
    <hyperlink ref="F298" r:id="rId594" display="Find people"/>
    <hyperlink ref="E299" r:id="rId595" display="Company page"/>
    <hyperlink ref="F299" r:id="rId596" display="Find people"/>
    <hyperlink ref="E300" r:id="rId597" display="Company page"/>
    <hyperlink ref="F300" r:id="rId598" display="Find people"/>
    <hyperlink ref="E301" r:id="rId599" display="Company page"/>
    <hyperlink ref="F301" r:id="rId600" display="Find people"/>
    <hyperlink ref="E302" r:id="rId601" display="Company page"/>
    <hyperlink ref="F302" r:id="rId602" display="Find people"/>
    <hyperlink ref="E303" r:id="rId603" display="Company page"/>
    <hyperlink ref="F303" r:id="rId604" display="Find people"/>
    <hyperlink ref="E304" r:id="rId605" display="Company page"/>
    <hyperlink ref="F304" r:id="rId606" display="Find people"/>
    <hyperlink ref="E305" r:id="rId607" display="Company page"/>
    <hyperlink ref="F305" r:id="rId608" display="Find people"/>
    <hyperlink ref="E306" r:id="rId609" display="Company page"/>
    <hyperlink ref="F306" r:id="rId610" display="Find people"/>
    <hyperlink ref="E307" r:id="rId611" display="Company page"/>
    <hyperlink ref="F307" r:id="rId612" display="Find people"/>
    <hyperlink ref="E308" r:id="rId613" display="Company page"/>
    <hyperlink ref="F308" r:id="rId614" display="Find people"/>
    <hyperlink ref="E309" r:id="rId615" display="Company page"/>
    <hyperlink ref="F309" r:id="rId616" display="Find people"/>
    <hyperlink ref="E310" r:id="rId617" display="Company page"/>
    <hyperlink ref="F310" r:id="rId618" display="Find people"/>
    <hyperlink ref="E311" r:id="rId619" display="Company page"/>
    <hyperlink ref="F311" r:id="rId620" display="Find people"/>
    <hyperlink ref="E312" r:id="rId621" display="Company page"/>
    <hyperlink ref="F312" r:id="rId622" display="Find people"/>
    <hyperlink ref="E313" r:id="rId623" display="Company page"/>
    <hyperlink ref="F313" r:id="rId624" display="Find people"/>
    <hyperlink ref="E314" r:id="rId625" display="Company page"/>
    <hyperlink ref="F314" r:id="rId626" display="Find people"/>
    <hyperlink ref="E315" r:id="rId627" display="Company page"/>
    <hyperlink ref="F315" r:id="rId628" display="Find people"/>
    <hyperlink ref="E316" r:id="rId629" display="Company page"/>
    <hyperlink ref="F316" r:id="rId630" display="Find people"/>
    <hyperlink ref="E317" r:id="rId631" display="Company page"/>
    <hyperlink ref="F317" r:id="rId632" display="Find people"/>
    <hyperlink ref="E318" r:id="rId633" display="Company page"/>
    <hyperlink ref="F318" r:id="rId634" display="Find people"/>
    <hyperlink ref="E319" r:id="rId635" display="Company page"/>
    <hyperlink ref="F319" r:id="rId636" display="Find people"/>
    <hyperlink ref="E320" r:id="rId637" display="Company page"/>
    <hyperlink ref="F320" r:id="rId638" display="Find people"/>
    <hyperlink ref="E321" r:id="rId639" display="Company page"/>
    <hyperlink ref="F321" r:id="rId640" display="Find people"/>
    <hyperlink ref="E322" r:id="rId641" display="Company page"/>
    <hyperlink ref="F322" r:id="rId642" display="Find people"/>
    <hyperlink ref="E323" r:id="rId643" display="Company page"/>
    <hyperlink ref="F323" r:id="rId644" display="Find people"/>
    <hyperlink ref="E324" r:id="rId645" display="Company page"/>
    <hyperlink ref="F324" r:id="rId646" display="Find people"/>
    <hyperlink ref="E325" r:id="rId647" display="Company page"/>
    <hyperlink ref="F325" r:id="rId648" display="Find people"/>
    <hyperlink ref="E326" r:id="rId649" display="Company page"/>
    <hyperlink ref="F326" r:id="rId650" display="Find people"/>
    <hyperlink ref="E327" r:id="rId651" display="Company page"/>
    <hyperlink ref="F327" r:id="rId652" display="Find people"/>
    <hyperlink ref="E328" r:id="rId653" display="Company page"/>
    <hyperlink ref="F328" r:id="rId654" display="Find people"/>
    <hyperlink ref="E329" r:id="rId655" display="Company page"/>
    <hyperlink ref="F329" r:id="rId656" display="Find people"/>
    <hyperlink ref="E330" r:id="rId657" display="Company page"/>
    <hyperlink ref="F330" r:id="rId658" display="Find people"/>
    <hyperlink ref="E331" r:id="rId659" display="Company page"/>
    <hyperlink ref="F331" r:id="rId660" display="Find people"/>
    <hyperlink ref="E332" r:id="rId661" display="Company page"/>
    <hyperlink ref="F332" r:id="rId662" display="Find people"/>
    <hyperlink ref="E333" r:id="rId663" display="Company page"/>
    <hyperlink ref="F333" r:id="rId664" display="Find people"/>
    <hyperlink ref="E334" r:id="rId665" display="Company page"/>
    <hyperlink ref="F334" r:id="rId666" display="Find people"/>
    <hyperlink ref="E335" r:id="rId667" display="Company page"/>
    <hyperlink ref="F335" r:id="rId668" display="Find people"/>
    <hyperlink ref="E336" r:id="rId669" display="Company page"/>
    <hyperlink ref="F336" r:id="rId670" display="Find people"/>
    <hyperlink ref="E337" r:id="rId671" display="Company page"/>
    <hyperlink ref="F337" r:id="rId672" display="Find people"/>
    <hyperlink ref="E338" r:id="rId673" display="Company page"/>
    <hyperlink ref="F338" r:id="rId674" display="Find people"/>
    <hyperlink ref="E339" r:id="rId675" display="Company page"/>
    <hyperlink ref="F339" r:id="rId676" display="Find people"/>
    <hyperlink ref="E340" r:id="rId677" display="Company page"/>
    <hyperlink ref="F340" r:id="rId678" display="Find people"/>
    <hyperlink ref="E341" r:id="rId679" display="Company page"/>
    <hyperlink ref="F341" r:id="rId680" display="Find people"/>
    <hyperlink ref="E342" r:id="rId681" display="Company page"/>
    <hyperlink ref="F342" r:id="rId682" display="Find people"/>
    <hyperlink ref="E343" r:id="rId683" display="Company page"/>
    <hyperlink ref="F343" r:id="rId684" display="Find people"/>
    <hyperlink ref="E344" r:id="rId685" display="Company page"/>
    <hyperlink ref="F344" r:id="rId686" display="Find people"/>
    <hyperlink ref="E345" r:id="rId687" display="Company page"/>
    <hyperlink ref="F345" r:id="rId688" display="Find people"/>
    <hyperlink ref="E346" r:id="rId689" display="Company page"/>
    <hyperlink ref="F346" r:id="rId690" display="Find people"/>
    <hyperlink ref="E347" r:id="rId691" display="Company page"/>
    <hyperlink ref="F347" r:id="rId692" display="Find people"/>
    <hyperlink ref="E348" r:id="rId693" display="Company page"/>
    <hyperlink ref="F348" r:id="rId694" display="Find people"/>
    <hyperlink ref="E349" r:id="rId695" display="Company page"/>
    <hyperlink ref="F349" r:id="rId696" display="Find people"/>
    <hyperlink ref="E350" r:id="rId697" display="Company page"/>
    <hyperlink ref="F350" r:id="rId698" display="Find people"/>
    <hyperlink ref="E351" r:id="rId699" display="Company page"/>
    <hyperlink ref="F351" r:id="rId700" display="Find people"/>
    <hyperlink ref="E352" r:id="rId701" display="Company page"/>
    <hyperlink ref="F352" r:id="rId702" display="Find people"/>
    <hyperlink ref="E353" r:id="rId703" display="Company page"/>
    <hyperlink ref="F353" r:id="rId704" display="Find people"/>
    <hyperlink ref="E354" r:id="rId705" display="Company page"/>
    <hyperlink ref="F354" r:id="rId706" display="Find people"/>
    <hyperlink ref="E355" r:id="rId707" display="Company page"/>
    <hyperlink ref="F355" r:id="rId708" display="Find people"/>
    <hyperlink ref="E356" r:id="rId709" display="Company page"/>
    <hyperlink ref="F356" r:id="rId710" display="Find people"/>
    <hyperlink ref="E357" r:id="rId711" display="Company page"/>
    <hyperlink ref="F357" r:id="rId712" display="Find people"/>
    <hyperlink ref="E358" r:id="rId713" display="Company page"/>
    <hyperlink ref="F358" r:id="rId714" display="Find people"/>
    <hyperlink ref="E359" r:id="rId715" display="Company page"/>
    <hyperlink ref="F359" r:id="rId716" display="Find peopl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1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1"/>
    <col collapsed="false" customWidth="true" hidden="false" outlineLevel="0" max="4" min="4" style="0" width="70"/>
    <col collapsed="false" customWidth="true" hidden="false" outlineLevel="0" max="6" min="5" style="0" width="14"/>
  </cols>
  <sheetData>
    <row r="1" customFormat="false" ht="31.5" hidden="false" customHeight="true" outlineLevel="0" collapsed="false">
      <c r="A1" s="7" t="s">
        <v>90</v>
      </c>
      <c r="B1" s="7" t="s">
        <v>4486</v>
      </c>
      <c r="C1" s="7" t="s">
        <v>4487</v>
      </c>
      <c r="D1" s="7" t="s">
        <v>4488</v>
      </c>
      <c r="E1" s="7" t="s">
        <v>4489</v>
      </c>
      <c r="F1" s="7" t="s">
        <v>4490</v>
      </c>
    </row>
    <row r="2" customFormat="false" ht="15" hidden="false" customHeight="false" outlineLevel="0" collapsed="false">
      <c r="A2" s="24" t="s">
        <v>481</v>
      </c>
      <c r="B2" s="12" t="n">
        <f aca="false">COUNTIF(Suppliers!$A$2:$A$359,A2)</f>
        <v>3</v>
      </c>
      <c r="C2" s="12" t="n">
        <f aca="false">COUNTIFS(Suppliers!$A$2:$A$359,A2,Suppliers!$C$2:$C$359,"&gt;=4")</f>
        <v>0</v>
      </c>
      <c r="D2" s="12" t="s">
        <v>4491</v>
      </c>
      <c r="E2" s="36" t="s">
        <v>4492</v>
      </c>
      <c r="F2" s="37" t="s">
        <v>487</v>
      </c>
    </row>
    <row r="3" customFormat="false" ht="15" hidden="false" customHeight="false" outlineLevel="0" collapsed="false">
      <c r="A3" s="31" t="s">
        <v>523</v>
      </c>
      <c r="B3" s="12" t="n">
        <f aca="false">COUNTIF(Suppliers!$A$2:$A$359,A3)</f>
        <v>8</v>
      </c>
      <c r="C3" s="12" t="n">
        <f aca="false">COUNTIFS(Suppliers!$A$2:$A$359,A3,Suppliers!$C$2:$C$359,"&gt;=4")</f>
        <v>3</v>
      </c>
      <c r="D3" s="12" t="s">
        <v>4493</v>
      </c>
      <c r="E3" s="36" t="s">
        <v>4492</v>
      </c>
      <c r="F3" s="37" t="s">
        <v>487</v>
      </c>
    </row>
    <row r="4" customFormat="false" ht="15" hidden="false" customHeight="false" outlineLevel="0" collapsed="false">
      <c r="A4" s="24" t="s">
        <v>624</v>
      </c>
      <c r="B4" s="12" t="n">
        <f aca="false">COUNTIF(Suppliers!$A$2:$A$359,A4)</f>
        <v>3</v>
      </c>
      <c r="C4" s="12" t="n">
        <f aca="false">COUNTIFS(Suppliers!$A$2:$A$359,A4,Suppliers!$C$2:$C$359,"&gt;=4")</f>
        <v>1</v>
      </c>
      <c r="D4" s="12" t="s">
        <v>4494</v>
      </c>
      <c r="E4" s="36" t="s">
        <v>4492</v>
      </c>
      <c r="F4" s="38" t="s">
        <v>627</v>
      </c>
    </row>
    <row r="5" customFormat="false" ht="15" hidden="false" customHeight="false" outlineLevel="0" collapsed="false">
      <c r="A5" s="31" t="s">
        <v>662</v>
      </c>
      <c r="B5" s="12" t="n">
        <f aca="false">COUNTIF(Suppliers!$A$2:$A$359,A5)</f>
        <v>1</v>
      </c>
      <c r="C5" s="12" t="n">
        <f aca="false">COUNTIFS(Suppliers!$A$2:$A$359,A5,Suppliers!$C$2:$C$359,"&gt;=4")</f>
        <v>0</v>
      </c>
      <c r="D5" s="12" t="s">
        <v>281</v>
      </c>
      <c r="E5" s="36" t="s">
        <v>4492</v>
      </c>
      <c r="F5" s="38" t="s">
        <v>627</v>
      </c>
    </row>
    <row r="6" customFormat="false" ht="23.85" hidden="false" customHeight="false" outlineLevel="0" collapsed="false">
      <c r="A6" s="24" t="s">
        <v>237</v>
      </c>
      <c r="B6" s="12" t="n">
        <f aca="false">COUNTIF(Suppliers!$A$2:$A$359,A6)</f>
        <v>24</v>
      </c>
      <c r="C6" s="12" t="n">
        <f aca="false">COUNTIFS(Suppliers!$A$2:$A$359,A6,Suppliers!$C$2:$C$359,"&gt;=4")</f>
        <v>11</v>
      </c>
      <c r="D6" s="12" t="s">
        <v>4495</v>
      </c>
      <c r="E6" s="36" t="s">
        <v>4492</v>
      </c>
      <c r="F6" s="38" t="s">
        <v>627</v>
      </c>
    </row>
    <row r="7" customFormat="false" ht="23.85" hidden="false" customHeight="false" outlineLevel="0" collapsed="false">
      <c r="A7" s="31" t="s">
        <v>376</v>
      </c>
      <c r="B7" s="12" t="n">
        <f aca="false">COUNTIF(Suppliers!$A$2:$A$359,A7)</f>
        <v>8</v>
      </c>
      <c r="C7" s="12" t="n">
        <f aca="false">COUNTIFS(Suppliers!$A$2:$A$359,A7,Suppliers!$C$2:$C$359,"&gt;=4")</f>
        <v>3</v>
      </c>
      <c r="D7" s="12" t="s">
        <v>4496</v>
      </c>
      <c r="E7" s="36" t="s">
        <v>4492</v>
      </c>
      <c r="F7" s="37" t="s">
        <v>487</v>
      </c>
    </row>
    <row r="8" customFormat="false" ht="15" hidden="false" customHeight="false" outlineLevel="0" collapsed="false">
      <c r="A8" s="24" t="s">
        <v>174</v>
      </c>
      <c r="B8" s="12" t="n">
        <f aca="false">COUNTIF(Suppliers!$A$2:$A$359,A8)</f>
        <v>4</v>
      </c>
      <c r="C8" s="12" t="n">
        <f aca="false">COUNTIFS(Suppliers!$A$2:$A$359,A8,Suppliers!$C$2:$C$359,"&gt;=4")</f>
        <v>4</v>
      </c>
      <c r="D8" s="12" t="s">
        <v>4497</v>
      </c>
      <c r="E8" s="36" t="s">
        <v>4492</v>
      </c>
      <c r="F8" s="37" t="s">
        <v>487</v>
      </c>
    </row>
    <row r="9" customFormat="false" ht="23.85" hidden="false" customHeight="false" outlineLevel="0" collapsed="false">
      <c r="A9" s="31" t="s">
        <v>118</v>
      </c>
      <c r="B9" s="12" t="n">
        <f aca="false">COUNTIF(Suppliers!$A$2:$A$359,A9)</f>
        <v>11</v>
      </c>
      <c r="C9" s="12" t="n">
        <f aca="false">COUNTIFS(Suppliers!$A$2:$A$359,A9,Suppliers!$C$2:$C$359,"&gt;=4")</f>
        <v>6</v>
      </c>
      <c r="D9" s="12" t="s">
        <v>4498</v>
      </c>
      <c r="E9" s="36" t="s">
        <v>4492</v>
      </c>
      <c r="F9" s="37" t="s">
        <v>487</v>
      </c>
    </row>
    <row r="10" customFormat="false" ht="35.05" hidden="false" customHeight="false" outlineLevel="0" collapsed="false">
      <c r="A10" s="24" t="s">
        <v>125</v>
      </c>
      <c r="B10" s="12" t="n">
        <f aca="false">COUNTIF(Suppliers!$A$2:$A$359,A10)</f>
        <v>66</v>
      </c>
      <c r="C10" s="12" t="n">
        <f aca="false">COUNTIFS(Suppliers!$A$2:$A$359,A10,Suppliers!$C$2:$C$359,"&gt;=4")</f>
        <v>40</v>
      </c>
      <c r="D10" s="12" t="s">
        <v>4499</v>
      </c>
      <c r="E10" s="36" t="s">
        <v>4492</v>
      </c>
      <c r="F10" s="37" t="s">
        <v>487</v>
      </c>
    </row>
    <row r="11" customFormat="false" ht="15" hidden="false" customHeight="false" outlineLevel="0" collapsed="false">
      <c r="A11" s="31" t="s">
        <v>1873</v>
      </c>
      <c r="B11" s="12" t="n">
        <f aca="false">COUNTIF(Suppliers!$A$2:$A$359,A11)</f>
        <v>4</v>
      </c>
      <c r="C11" s="12" t="n">
        <f aca="false">COUNTIFS(Suppliers!$A$2:$A$359,A11,Suppliers!$C$2:$C$359,"&gt;=4")</f>
        <v>2</v>
      </c>
      <c r="D11" s="12" t="s">
        <v>143</v>
      </c>
      <c r="E11" s="36" t="s">
        <v>4492</v>
      </c>
      <c r="F11" s="38" t="s">
        <v>627</v>
      </c>
    </row>
    <row r="12" customFormat="false" ht="15" hidden="false" customHeight="false" outlineLevel="0" collapsed="false">
      <c r="A12" s="24" t="s">
        <v>1919</v>
      </c>
      <c r="B12" s="12" t="n">
        <f aca="false">COUNTIF(Suppliers!$A$2:$A$359,A12)</f>
        <v>3</v>
      </c>
      <c r="C12" s="12" t="n">
        <f aca="false">COUNTIFS(Suppliers!$A$2:$A$359,A12,Suppliers!$C$2:$C$359,"&gt;=4")</f>
        <v>1</v>
      </c>
      <c r="D12" s="12" t="s">
        <v>4500</v>
      </c>
      <c r="E12" s="36" t="s">
        <v>4492</v>
      </c>
      <c r="F12" s="38" t="s">
        <v>627</v>
      </c>
    </row>
    <row r="13" customFormat="false" ht="15" hidden="false" customHeight="false" outlineLevel="0" collapsed="false">
      <c r="A13" s="31" t="s">
        <v>1952</v>
      </c>
      <c r="B13" s="12" t="n">
        <f aca="false">COUNTIF(Suppliers!$A$2:$A$359,A13)</f>
        <v>2</v>
      </c>
      <c r="C13" s="12" t="n">
        <f aca="false">COUNTIFS(Suppliers!$A$2:$A$359,A13,Suppliers!$C$2:$C$359,"&gt;=4")</f>
        <v>1</v>
      </c>
      <c r="D13" s="12" t="s">
        <v>4500</v>
      </c>
      <c r="E13" s="36" t="s">
        <v>4492</v>
      </c>
      <c r="F13" s="37" t="s">
        <v>487</v>
      </c>
    </row>
    <row r="14" customFormat="false" ht="23.85" hidden="false" customHeight="false" outlineLevel="0" collapsed="false">
      <c r="A14" s="24" t="s">
        <v>138</v>
      </c>
      <c r="B14" s="12" t="n">
        <f aca="false">COUNTIF(Suppliers!$A$2:$A$359,A14)</f>
        <v>25</v>
      </c>
      <c r="C14" s="12" t="n">
        <f aca="false">COUNTIFS(Suppliers!$A$2:$A$359,A14,Suppliers!$C$2:$C$359,"&gt;=4")</f>
        <v>11</v>
      </c>
      <c r="D14" s="12" t="s">
        <v>4501</v>
      </c>
      <c r="E14" s="36" t="s">
        <v>4492</v>
      </c>
      <c r="F14" s="39" t="s">
        <v>1981</v>
      </c>
    </row>
    <row r="15" customFormat="false" ht="15" hidden="false" customHeight="false" outlineLevel="0" collapsed="false">
      <c r="A15" s="31" t="s">
        <v>2222</v>
      </c>
      <c r="B15" s="12" t="n">
        <f aca="false">COUNTIF(Suppliers!$A$2:$A$359,A15)</f>
        <v>1</v>
      </c>
      <c r="C15" s="12" t="n">
        <f aca="false">COUNTIFS(Suppliers!$A$2:$A$359,A15,Suppliers!$C$2:$C$359,"&gt;=4")</f>
        <v>1</v>
      </c>
      <c r="D15" s="12" t="s">
        <v>143</v>
      </c>
      <c r="E15" s="36" t="s">
        <v>4492</v>
      </c>
      <c r="F15" s="38" t="s">
        <v>627</v>
      </c>
    </row>
    <row r="16" customFormat="false" ht="15" hidden="false" customHeight="false" outlineLevel="0" collapsed="false">
      <c r="A16" s="24" t="s">
        <v>2234</v>
      </c>
      <c r="B16" s="12" t="n">
        <f aca="false">COUNTIF(Suppliers!$A$2:$A$359,A16)</f>
        <v>1</v>
      </c>
      <c r="C16" s="12" t="n">
        <f aca="false">COUNTIFS(Suppliers!$A$2:$A$359,A16,Suppliers!$C$2:$C$359,"&gt;=4")</f>
        <v>1</v>
      </c>
      <c r="D16" s="12" t="s">
        <v>143</v>
      </c>
      <c r="E16" s="36" t="s">
        <v>4492</v>
      </c>
      <c r="F16" s="38" t="s">
        <v>627</v>
      </c>
    </row>
    <row r="17" customFormat="false" ht="15" hidden="false" customHeight="false" outlineLevel="0" collapsed="false">
      <c r="A17" s="31" t="s">
        <v>335</v>
      </c>
      <c r="B17" s="12" t="n">
        <f aca="false">COUNTIF(Suppliers!$A$2:$A$359,A17)</f>
        <v>1</v>
      </c>
      <c r="C17" s="12" t="n">
        <f aca="false">COUNTIFS(Suppliers!$A$2:$A$359,A17,Suppliers!$C$2:$C$359,"&gt;=4")</f>
        <v>0</v>
      </c>
      <c r="D17" s="12" t="s">
        <v>307</v>
      </c>
      <c r="E17" s="36" t="s">
        <v>4492</v>
      </c>
      <c r="F17" s="37" t="s">
        <v>487</v>
      </c>
    </row>
    <row r="18" customFormat="false" ht="23.85" hidden="false" customHeight="false" outlineLevel="0" collapsed="false">
      <c r="A18" s="24" t="s">
        <v>262</v>
      </c>
      <c r="B18" s="12" t="n">
        <f aca="false">COUNTIF(Suppliers!$A$2:$A$359,A18)</f>
        <v>23</v>
      </c>
      <c r="C18" s="12" t="n">
        <f aca="false">COUNTIFS(Suppliers!$A$2:$A$359,A18,Suppliers!$C$2:$C$359,"&gt;=4")</f>
        <v>11</v>
      </c>
      <c r="D18" s="12" t="s">
        <v>4502</v>
      </c>
      <c r="E18" s="36" t="s">
        <v>4492</v>
      </c>
      <c r="F18" s="37" t="s">
        <v>487</v>
      </c>
    </row>
    <row r="19" customFormat="false" ht="23.85" hidden="false" customHeight="false" outlineLevel="0" collapsed="false">
      <c r="A19" s="31" t="s">
        <v>255</v>
      </c>
      <c r="B19" s="12" t="n">
        <f aca="false">COUNTIF(Suppliers!$A$2:$A$359,A19)</f>
        <v>62</v>
      </c>
      <c r="C19" s="12" t="n">
        <f aca="false">COUNTIFS(Suppliers!$A$2:$A$359,A19,Suppliers!$C$2:$C$359,"&gt;=4")</f>
        <v>31</v>
      </c>
      <c r="D19" s="12" t="s">
        <v>4503</v>
      </c>
      <c r="E19" s="36" t="s">
        <v>4492</v>
      </c>
      <c r="F19" s="38" t="s">
        <v>627</v>
      </c>
    </row>
    <row r="20" customFormat="false" ht="15" hidden="false" customHeight="false" outlineLevel="0" collapsed="false">
      <c r="A20" s="24" t="s">
        <v>3155</v>
      </c>
      <c r="B20" s="12" t="n">
        <f aca="false">COUNTIF(Suppliers!$A$2:$A$359,A20)</f>
        <v>12</v>
      </c>
      <c r="C20" s="12" t="n">
        <f aca="false">COUNTIFS(Suppliers!$A$2:$A$359,A20,Suppliers!$C$2:$C$359,"&gt;=4")</f>
        <v>6</v>
      </c>
      <c r="D20" s="12" t="s">
        <v>4504</v>
      </c>
      <c r="E20" s="36" t="s">
        <v>4492</v>
      </c>
      <c r="F20" s="38" t="s">
        <v>627</v>
      </c>
    </row>
    <row r="21" customFormat="false" ht="15" hidden="false" customHeight="false" outlineLevel="0" collapsed="false">
      <c r="A21" s="31" t="s">
        <v>158</v>
      </c>
      <c r="B21" s="12" t="n">
        <f aca="false">COUNTIF(Suppliers!$A$2:$A$359,A21)</f>
        <v>3</v>
      </c>
      <c r="C21" s="12" t="n">
        <f aca="false">COUNTIFS(Suppliers!$A$2:$A$359,A21,Suppliers!$C$2:$C$359,"&gt;=4")</f>
        <v>0</v>
      </c>
      <c r="D21" s="12" t="s">
        <v>4500</v>
      </c>
      <c r="E21" s="36" t="s">
        <v>4492</v>
      </c>
      <c r="F21" s="38" t="s">
        <v>627</v>
      </c>
    </row>
    <row r="22" customFormat="false" ht="15" hidden="false" customHeight="false" outlineLevel="0" collapsed="false">
      <c r="A22" s="24" t="s">
        <v>3309</v>
      </c>
      <c r="B22" s="12" t="n">
        <f aca="false">COUNTIF(Suppliers!$A$2:$A$359,A22)</f>
        <v>1</v>
      </c>
      <c r="C22" s="12" t="n">
        <f aca="false">COUNTIFS(Suppliers!$A$2:$A$359,A22,Suppliers!$C$2:$C$359,"&gt;=4")</f>
        <v>1</v>
      </c>
      <c r="D22" s="12" t="s">
        <v>281</v>
      </c>
      <c r="E22" s="36" t="s">
        <v>4492</v>
      </c>
      <c r="F22" s="38" t="s">
        <v>627</v>
      </c>
    </row>
    <row r="23" customFormat="false" ht="35.05" hidden="false" customHeight="false" outlineLevel="0" collapsed="false">
      <c r="A23" s="31" t="s">
        <v>3321</v>
      </c>
      <c r="B23" s="12" t="n">
        <f aca="false">COUNTIF(Suppliers!$A$2:$A$359,A23)</f>
        <v>34</v>
      </c>
      <c r="C23" s="12" t="n">
        <f aca="false">COUNTIFS(Suppliers!$A$2:$A$359,A23,Suppliers!$C$2:$C$359,"&gt;=4")</f>
        <v>11</v>
      </c>
      <c r="D23" s="12" t="s">
        <v>4499</v>
      </c>
      <c r="E23" s="36" t="s">
        <v>4492</v>
      </c>
      <c r="F23" s="39" t="s">
        <v>1981</v>
      </c>
    </row>
    <row r="24" customFormat="false" ht="15" hidden="false" customHeight="false" outlineLevel="0" collapsed="false">
      <c r="A24" s="24" t="s">
        <v>295</v>
      </c>
      <c r="B24" s="12" t="n">
        <f aca="false">COUNTIF(Suppliers!$A$2:$A$359,A24)</f>
        <v>7</v>
      </c>
      <c r="C24" s="12" t="n">
        <f aca="false">COUNTIFS(Suppliers!$A$2:$A$359,A24,Suppliers!$C$2:$C$359,"&gt;=4")</f>
        <v>2</v>
      </c>
      <c r="D24" s="12" t="s">
        <v>4505</v>
      </c>
      <c r="E24" s="36" t="s">
        <v>4492</v>
      </c>
      <c r="F24" s="37" t="s">
        <v>487</v>
      </c>
    </row>
    <row r="25" customFormat="false" ht="15" hidden="false" customHeight="false" outlineLevel="0" collapsed="false">
      <c r="A25" s="31" t="s">
        <v>3743</v>
      </c>
      <c r="B25" s="12" t="n">
        <f aca="false">COUNTIF(Suppliers!$A$2:$A$359,A25)</f>
        <v>1</v>
      </c>
      <c r="C25" s="12" t="n">
        <f aca="false">COUNTIFS(Suppliers!$A$2:$A$359,A25,Suppliers!$C$2:$C$359,"&gt;=4")</f>
        <v>0</v>
      </c>
      <c r="D25" s="12" t="s">
        <v>405</v>
      </c>
      <c r="E25" s="36" t="s">
        <v>4492</v>
      </c>
      <c r="F25" s="37" t="s">
        <v>3746</v>
      </c>
    </row>
    <row r="26" customFormat="false" ht="35.05" hidden="false" customHeight="false" outlineLevel="0" collapsed="false">
      <c r="A26" s="24" t="s">
        <v>101</v>
      </c>
      <c r="B26" s="12" t="n">
        <f aca="false">COUNTIF(Suppliers!$A$2:$A$359,A26)</f>
        <v>50</v>
      </c>
      <c r="C26" s="12" t="n">
        <f aca="false">COUNTIFS(Suppliers!$A$2:$A$359,A26,Suppliers!$C$2:$C$359,"&gt;=4")</f>
        <v>23</v>
      </c>
      <c r="D26" s="12" t="s">
        <v>4506</v>
      </c>
      <c r="E26" s="36" t="s">
        <v>4492</v>
      </c>
      <c r="F26" s="37" t="s">
        <v>3757</v>
      </c>
    </row>
    <row r="27" customFormat="false" ht="15" hidden="false" customHeight="false" outlineLevel="0" collapsed="false">
      <c r="A27" s="40" t="s">
        <v>4507</v>
      </c>
      <c r="B27" s="40" t="n">
        <f aca="false">SUM(B2:B26)</f>
        <v>358</v>
      </c>
      <c r="C27" s="40" t="n">
        <f aca="false">SUM(C2:C26)</f>
        <v>170</v>
      </c>
    </row>
  </sheetData>
  <hyperlinks>
    <hyperlink ref="E2" r:id="rId1" location="Suppliers!A2" display="Go to &gt;"/>
    <hyperlink ref="E3" r:id="rId2" location="Suppliers!A5" display="Go to &gt;"/>
    <hyperlink ref="E4" r:id="rId3" location="Suppliers!A13" display="Go to &gt;"/>
    <hyperlink ref="E5" r:id="rId4" location="Suppliers!A16" display="Go to &gt;"/>
    <hyperlink ref="E6" r:id="rId5" location="Suppliers!A17" display="Go to &gt;"/>
    <hyperlink ref="E7" r:id="rId6" location="Suppliers!A41" display="Go to &gt;"/>
    <hyperlink ref="E8" r:id="rId7" location="Suppliers!A49" display="Go to &gt;"/>
    <hyperlink ref="E9" r:id="rId8" location="Suppliers!A53" display="Go to &gt;"/>
    <hyperlink ref="E10" r:id="rId9" location="Suppliers!A64" display="Go to &gt;"/>
    <hyperlink ref="E11" r:id="rId10" location="Suppliers!A130" display="Go to &gt;"/>
    <hyperlink ref="E12" r:id="rId11" location="Suppliers!A134" display="Go to &gt;"/>
    <hyperlink ref="E13" r:id="rId12" location="Suppliers!A137" display="Go to &gt;"/>
    <hyperlink ref="E14" r:id="rId13" location="Suppliers!A139" display="Go to &gt;"/>
    <hyperlink ref="E15" r:id="rId14" location="Suppliers!A164" display="Go to &gt;"/>
    <hyperlink ref="E16" r:id="rId15" location="Suppliers!A165" display="Go to &gt;"/>
    <hyperlink ref="E17" r:id="rId16" location="Suppliers!A166" display="Go to &gt;"/>
    <hyperlink ref="E18" r:id="rId17" location="Suppliers!A167" display="Go to &gt;"/>
    <hyperlink ref="E19" r:id="rId18" location="Suppliers!A190" display="Go to &gt;"/>
    <hyperlink ref="E20" r:id="rId19" location="Suppliers!A252" display="Go to &gt;"/>
    <hyperlink ref="E21" r:id="rId20" location="Suppliers!A264" display="Go to &gt;"/>
    <hyperlink ref="E22" r:id="rId21" location="Suppliers!A267" display="Go to &gt;"/>
    <hyperlink ref="E23" r:id="rId22" location="Suppliers!A268" display="Go to &gt;"/>
    <hyperlink ref="E24" r:id="rId23" location="Suppliers!A302" display="Go to &gt;"/>
    <hyperlink ref="E25" r:id="rId24" location="Suppliers!A309" display="Go to &gt;"/>
    <hyperlink ref="E26" r:id="rId25" location="Suppliers!A310" display="Go to &g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52"/>
    <col collapsed="false" customWidth="true" hidden="false" outlineLevel="0" max="4" min="4" style="0" width="46"/>
    <col collapsed="false" customWidth="true" hidden="false" outlineLevel="0" max="5" min="5" style="0" width="16"/>
    <col collapsed="false" customWidth="true" hidden="false" outlineLevel="0" max="6" min="6" style="0" width="12"/>
  </cols>
  <sheetData>
    <row r="1" customFormat="false" ht="19.7" hidden="false" customHeight="false" outlineLevel="0" collapsed="false">
      <c r="A1" s="1" t="s">
        <v>4508</v>
      </c>
    </row>
    <row r="2" customFormat="false" ht="42" hidden="false" customHeight="true" outlineLevel="0" collapsed="false">
      <c r="A2" s="6" t="s">
        <v>4509</v>
      </c>
      <c r="B2" s="6"/>
      <c r="C2" s="6"/>
      <c r="D2" s="6"/>
      <c r="E2" s="6"/>
      <c r="F2" s="6"/>
    </row>
    <row r="4" customFormat="false" ht="31.5" hidden="false" customHeight="true" outlineLevel="0" collapsed="false">
      <c r="A4" s="7" t="s">
        <v>4510</v>
      </c>
      <c r="B4" s="7" t="s">
        <v>4511</v>
      </c>
      <c r="C4" s="7" t="s">
        <v>4512</v>
      </c>
      <c r="D4" s="7" t="s">
        <v>4513</v>
      </c>
      <c r="E4" s="7" t="s">
        <v>4514</v>
      </c>
      <c r="F4" s="7" t="s">
        <v>4515</v>
      </c>
    </row>
    <row r="5" customFormat="false" ht="57.75" hidden="false" customHeight="true" outlineLevel="0" collapsed="false">
      <c r="A5" s="13" t="s">
        <v>108</v>
      </c>
      <c r="B5" s="15" t="s">
        <v>4516</v>
      </c>
      <c r="C5" s="12" t="s">
        <v>4517</v>
      </c>
      <c r="D5" s="12" t="s">
        <v>4518</v>
      </c>
      <c r="E5" s="12" t="n">
        <f aca="false">COUNTIFS(Suppliers!$D$2:$D$359,A5,Suppliers!$K$2:$K$359,"Low-cost")</f>
        <v>7</v>
      </c>
      <c r="F5" s="12" t="n">
        <f aca="false">COUNTIF(Suppliers!$D$2:$D$359,A5)</f>
        <v>30</v>
      </c>
    </row>
    <row r="6" customFormat="false" ht="57.75" hidden="false" customHeight="true" outlineLevel="0" collapsed="false">
      <c r="A6" s="13" t="s">
        <v>143</v>
      </c>
      <c r="B6" s="15" t="s">
        <v>4519</v>
      </c>
      <c r="C6" s="12" t="s">
        <v>4520</v>
      </c>
      <c r="D6" s="12" t="s">
        <v>4521</v>
      </c>
      <c r="E6" s="12" t="n">
        <f aca="false">COUNTIFS(Suppliers!$D$2:$D$359,A6,Suppliers!$K$2:$K$359,"Low-cost")</f>
        <v>24</v>
      </c>
      <c r="F6" s="12" t="n">
        <f aca="false">COUNTIF(Suppliers!$D$2:$D$359,A6)</f>
        <v>38</v>
      </c>
    </row>
    <row r="7" customFormat="false" ht="57.75" hidden="false" customHeight="true" outlineLevel="0" collapsed="false">
      <c r="A7" s="13" t="s">
        <v>166</v>
      </c>
      <c r="B7" s="15" t="s">
        <v>4522</v>
      </c>
      <c r="C7" s="12" t="s">
        <v>4523</v>
      </c>
      <c r="D7" s="12" t="s">
        <v>4524</v>
      </c>
      <c r="E7" s="12" t="n">
        <f aca="false">COUNTIFS(Suppliers!$D$2:$D$359,A7,Suppliers!$K$2:$K$359,"Low-cost")</f>
        <v>9</v>
      </c>
      <c r="F7" s="12" t="n">
        <f aca="false">COUNTIF(Suppliers!$D$2:$D$359,A7)</f>
        <v>30</v>
      </c>
    </row>
    <row r="8" customFormat="false" ht="57.75" hidden="false" customHeight="true" outlineLevel="0" collapsed="false">
      <c r="A8" s="13" t="s">
        <v>229</v>
      </c>
      <c r="B8" s="15" t="s">
        <v>4525</v>
      </c>
      <c r="C8" s="12" t="s">
        <v>4526</v>
      </c>
      <c r="D8" s="12" t="s">
        <v>4527</v>
      </c>
      <c r="E8" s="12" t="n">
        <f aca="false">COUNTIFS(Suppliers!$D$2:$D$359,A8,Suppliers!$K$2:$K$359,"Low-cost")</f>
        <v>4</v>
      </c>
      <c r="F8" s="12" t="n">
        <f aca="false">COUNTIF(Suppliers!$D$2:$D$359,A8)</f>
        <v>11</v>
      </c>
    </row>
    <row r="9" customFormat="false" ht="57.75" hidden="false" customHeight="true" outlineLevel="0" collapsed="false">
      <c r="A9" s="13" t="s">
        <v>260</v>
      </c>
      <c r="B9" s="15" t="s">
        <v>4528</v>
      </c>
      <c r="C9" s="12" t="s">
        <v>4529</v>
      </c>
      <c r="D9" s="12" t="s">
        <v>4530</v>
      </c>
      <c r="E9" s="12" t="n">
        <f aca="false">COUNTIFS(Suppliers!$D$2:$D$359,A9,Suppliers!$K$2:$K$359,"Low-cost")</f>
        <v>0</v>
      </c>
      <c r="F9" s="12" t="n">
        <f aca="false">COUNTIF(Suppliers!$D$2:$D$359,A9)</f>
        <v>8</v>
      </c>
    </row>
    <row r="10" customFormat="false" ht="57.75" hidden="false" customHeight="true" outlineLevel="0" collapsed="false">
      <c r="A10" s="13" t="s">
        <v>281</v>
      </c>
      <c r="B10" s="15" t="s">
        <v>4531</v>
      </c>
      <c r="C10" s="12" t="s">
        <v>4532</v>
      </c>
      <c r="D10" s="12" t="s">
        <v>4533</v>
      </c>
      <c r="E10" s="12" t="n">
        <f aca="false">COUNTIFS(Suppliers!$D$2:$D$359,A10,Suppliers!$K$2:$K$359,"Low-cost")</f>
        <v>14</v>
      </c>
      <c r="F10" s="12" t="n">
        <f aca="false">COUNTIF(Suppliers!$D$2:$D$359,A10)</f>
        <v>34</v>
      </c>
    </row>
    <row r="11" customFormat="false" ht="57.75" hidden="false" customHeight="true" outlineLevel="0" collapsed="false">
      <c r="A11" s="13" t="s">
        <v>307</v>
      </c>
      <c r="B11" s="15" t="s">
        <v>4534</v>
      </c>
      <c r="C11" s="12" t="s">
        <v>4535</v>
      </c>
      <c r="D11" s="12" t="s">
        <v>4536</v>
      </c>
      <c r="E11" s="12" t="n">
        <f aca="false">COUNTIFS(Suppliers!$D$2:$D$359,A11,Suppliers!$K$2:$K$359,"Low-cost")</f>
        <v>19</v>
      </c>
      <c r="F11" s="12" t="n">
        <f aca="false">COUNTIF(Suppliers!$D$2:$D$359,A11)</f>
        <v>49</v>
      </c>
    </row>
    <row r="12" customFormat="false" ht="57.75" hidden="false" customHeight="true" outlineLevel="0" collapsed="false">
      <c r="A12" s="13" t="s">
        <v>353</v>
      </c>
      <c r="B12" s="15" t="s">
        <v>4522</v>
      </c>
      <c r="C12" s="12" t="s">
        <v>4537</v>
      </c>
      <c r="D12" s="12" t="s">
        <v>4538</v>
      </c>
      <c r="E12" s="12" t="n">
        <f aca="false">COUNTIFS(Suppliers!$D$2:$D$359,A12,Suppliers!$K$2:$K$359,"Low-cost")</f>
        <v>10</v>
      </c>
      <c r="F12" s="12" t="n">
        <f aca="false">COUNTIF(Suppliers!$D$2:$D$359,A12)</f>
        <v>41</v>
      </c>
    </row>
    <row r="13" customFormat="false" ht="57.75" hidden="false" customHeight="true" outlineLevel="0" collapsed="false">
      <c r="A13" s="13" t="s">
        <v>374</v>
      </c>
      <c r="B13" s="15" t="s">
        <v>4522</v>
      </c>
      <c r="C13" s="12" t="s">
        <v>4539</v>
      </c>
      <c r="D13" s="12" t="s">
        <v>4540</v>
      </c>
      <c r="E13" s="12" t="n">
        <f aca="false">COUNTIFS(Suppliers!$D$2:$D$359,A13,Suppliers!$K$2:$K$359,"Low-cost")</f>
        <v>9</v>
      </c>
      <c r="F13" s="12" t="n">
        <f aca="false">COUNTIF(Suppliers!$D$2:$D$359,A13)</f>
        <v>31</v>
      </c>
    </row>
    <row r="14" customFormat="false" ht="57.75" hidden="false" customHeight="true" outlineLevel="0" collapsed="false">
      <c r="A14" s="13" t="s">
        <v>380</v>
      </c>
      <c r="B14" s="15" t="s">
        <v>4541</v>
      </c>
      <c r="C14" s="12" t="s">
        <v>4542</v>
      </c>
      <c r="D14" s="12" t="s">
        <v>4543</v>
      </c>
      <c r="E14" s="12" t="n">
        <f aca="false">COUNTIFS(Suppliers!$D$2:$D$359,A14,Suppliers!$K$2:$K$359,"Low-cost")</f>
        <v>6</v>
      </c>
      <c r="F14" s="12" t="n">
        <f aca="false">COUNTIF(Suppliers!$D$2:$D$359,A14)</f>
        <v>29</v>
      </c>
    </row>
    <row r="15" customFormat="false" ht="57.75" hidden="false" customHeight="true" outlineLevel="0" collapsed="false">
      <c r="A15" s="13" t="s">
        <v>405</v>
      </c>
      <c r="B15" s="15" t="s">
        <v>4522</v>
      </c>
      <c r="C15" s="12" t="s">
        <v>4544</v>
      </c>
      <c r="D15" s="12" t="s">
        <v>4545</v>
      </c>
      <c r="E15" s="12" t="n">
        <f aca="false">COUNTIFS(Suppliers!$D$2:$D$359,A15,Suppliers!$K$2:$K$359,"Low-cost")</f>
        <v>13</v>
      </c>
      <c r="F15" s="12" t="n">
        <f aca="false">COUNTIF(Suppliers!$D$2:$D$359,A15)</f>
        <v>54</v>
      </c>
    </row>
    <row r="16" customFormat="false" ht="57.75" hidden="false" customHeight="true" outlineLevel="0" collapsed="false">
      <c r="A16" s="13" t="s">
        <v>99</v>
      </c>
      <c r="B16" s="15" t="s">
        <v>4546</v>
      </c>
      <c r="C16" s="12" t="s">
        <v>4547</v>
      </c>
      <c r="D16" s="12" t="s">
        <v>4548</v>
      </c>
      <c r="E16" s="12" t="n">
        <f aca="false">COUNTIFS(Suppliers!$D$2:$D$359,A16,Suppliers!$K$2:$K$359,"Low-cost")</f>
        <v>0</v>
      </c>
      <c r="F16" s="12" t="n">
        <f aca="false">COUNTIF(Suppliers!$D$2:$D$359,A16)</f>
        <v>3</v>
      </c>
    </row>
    <row r="18" customFormat="false" ht="15" hidden="false" customHeight="false" outlineLevel="0" collapsed="false">
      <c r="A18" s="3" t="s">
        <v>4549</v>
      </c>
    </row>
    <row r="19" customFormat="false" ht="30" hidden="false" customHeight="true" outlineLevel="0" collapsed="false">
      <c r="A19" s="6" t="s">
        <v>4550</v>
      </c>
      <c r="B19" s="6"/>
      <c r="C19" s="6"/>
      <c r="D19" s="6"/>
      <c r="E19" s="6"/>
      <c r="F19" s="6"/>
    </row>
    <row r="20" customFormat="false" ht="30" hidden="false" customHeight="true" outlineLevel="0" collapsed="false">
      <c r="A20" s="6" t="s">
        <v>4551</v>
      </c>
      <c r="B20" s="6"/>
      <c r="C20" s="6"/>
      <c r="D20" s="6"/>
      <c r="E20" s="6"/>
      <c r="F20" s="6"/>
    </row>
    <row r="21" customFormat="false" ht="30" hidden="false" customHeight="true" outlineLevel="0" collapsed="false">
      <c r="A21" s="6" t="s">
        <v>4552</v>
      </c>
      <c r="B21" s="6"/>
      <c r="C21" s="6"/>
      <c r="D21" s="6"/>
      <c r="E21" s="6"/>
      <c r="F21" s="6"/>
    </row>
    <row r="22" customFormat="false" ht="30" hidden="false" customHeight="true" outlineLevel="0" collapsed="false">
      <c r="A22" s="6" t="s">
        <v>4553</v>
      </c>
      <c r="B22" s="6"/>
      <c r="C22" s="6"/>
      <c r="D22" s="6"/>
      <c r="E22" s="6"/>
      <c r="F22" s="6"/>
    </row>
    <row r="23" customFormat="false" ht="30" hidden="false" customHeight="true" outlineLevel="0" collapsed="false">
      <c r="A23" s="6" t="s">
        <v>4554</v>
      </c>
      <c r="B23" s="6"/>
      <c r="C23" s="6"/>
      <c r="D23" s="6"/>
      <c r="E23" s="6"/>
      <c r="F23" s="6"/>
    </row>
  </sheetData>
  <mergeCells count="6">
    <mergeCell ref="A2:F2"/>
    <mergeCell ref="A19:F19"/>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0"/>
    <col collapsed="false" customWidth="true" hidden="false" outlineLevel="0" max="4" min="4" style="0" width="8"/>
    <col collapsed="false" customWidth="true" hidden="false" outlineLevel="0" max="5" min="5" style="0" width="34"/>
    <col collapsed="false" customWidth="true" hidden="false" outlineLevel="0" max="6" min="6" style="0" width="22"/>
    <col collapsed="false" customWidth="true" hidden="false" outlineLevel="0" max="7" min="7" style="0" width="32"/>
    <col collapsed="false" customWidth="true" hidden="false" outlineLevel="0" max="8" min="8" style="0" width="44"/>
    <col collapsed="false" customWidth="true" hidden="false" outlineLevel="0" max="9" min="9" style="0" width="16"/>
    <col collapsed="false" customWidth="true" hidden="false" outlineLevel="0" max="10" min="10" style="0" width="10"/>
  </cols>
  <sheetData>
    <row r="1" customFormat="false" ht="19.7" hidden="false" customHeight="false" outlineLevel="0" collapsed="false">
      <c r="A1" s="1" t="s">
        <v>4555</v>
      </c>
    </row>
    <row r="2" customFormat="false" ht="30" hidden="false" customHeight="true" outlineLevel="0" collapsed="false">
      <c r="A2" s="6" t="s">
        <v>4556</v>
      </c>
      <c r="B2" s="6"/>
      <c r="C2" s="6"/>
      <c r="D2" s="6"/>
      <c r="E2" s="6"/>
      <c r="F2" s="6"/>
      <c r="G2" s="6"/>
      <c r="H2" s="6"/>
      <c r="I2" s="6"/>
      <c r="J2" s="6"/>
    </row>
    <row r="4" customFormat="false" ht="31.5" hidden="false" customHeight="true" outlineLevel="0" collapsed="false">
      <c r="A4" s="7" t="s">
        <v>4490</v>
      </c>
      <c r="B4" s="7" t="s">
        <v>90</v>
      </c>
      <c r="C4" s="7" t="s">
        <v>87</v>
      </c>
      <c r="D4" s="7" t="s">
        <v>88</v>
      </c>
      <c r="E4" s="7" t="s">
        <v>89</v>
      </c>
      <c r="F4" s="7" t="s">
        <v>94</v>
      </c>
      <c r="G4" s="7" t="s">
        <v>95</v>
      </c>
      <c r="H4" s="7" t="s">
        <v>92</v>
      </c>
      <c r="I4" s="7" t="s">
        <v>4557</v>
      </c>
      <c r="J4" s="7" t="s">
        <v>4558</v>
      </c>
    </row>
    <row r="5" customFormat="false" ht="23.85" hidden="false" customHeight="false" outlineLevel="0" collapsed="false">
      <c r="A5" s="15" t="s">
        <v>627</v>
      </c>
      <c r="B5" s="12" t="s">
        <v>237</v>
      </c>
      <c r="C5" s="12" t="s">
        <v>166</v>
      </c>
      <c r="D5" s="12" t="n">
        <v>4</v>
      </c>
      <c r="E5" s="12" t="s">
        <v>696</v>
      </c>
      <c r="F5" s="12"/>
      <c r="G5" s="12" t="s">
        <v>699</v>
      </c>
      <c r="H5" s="12" t="s">
        <v>701</v>
      </c>
      <c r="I5" s="35" t="str">
        <f aca="false">Suppliers!AF19</f>
        <v>Not contacted</v>
      </c>
      <c r="J5" s="36" t="s">
        <v>4559</v>
      </c>
    </row>
    <row r="6" customFormat="false" ht="23.85" hidden="false" customHeight="false" outlineLevel="0" collapsed="false">
      <c r="A6" s="15" t="s">
        <v>627</v>
      </c>
      <c r="B6" s="12" t="s">
        <v>237</v>
      </c>
      <c r="C6" s="12" t="s">
        <v>166</v>
      </c>
      <c r="D6" s="12" t="n">
        <v>4</v>
      </c>
      <c r="E6" s="12" t="s">
        <v>710</v>
      </c>
      <c r="F6" s="12" t="s">
        <v>714</v>
      </c>
      <c r="G6" s="12" t="s">
        <v>715</v>
      </c>
      <c r="H6" s="12" t="s">
        <v>716</v>
      </c>
      <c r="I6" s="35" t="str">
        <f aca="false">Suppliers!AF20</f>
        <v>Not contacted</v>
      </c>
      <c r="J6" s="36" t="s">
        <v>4559</v>
      </c>
    </row>
    <row r="7" customFormat="false" ht="15" hidden="false" customHeight="false" outlineLevel="0" collapsed="false">
      <c r="A7" s="15" t="s">
        <v>627</v>
      </c>
      <c r="B7" s="12" t="s">
        <v>237</v>
      </c>
      <c r="C7" s="12" t="s">
        <v>281</v>
      </c>
      <c r="D7" s="12" t="n">
        <v>4</v>
      </c>
      <c r="E7" s="12" t="s">
        <v>744</v>
      </c>
      <c r="F7" s="12" t="s">
        <v>748</v>
      </c>
      <c r="G7" s="12" t="s">
        <v>749</v>
      </c>
      <c r="H7" s="12" t="s">
        <v>750</v>
      </c>
      <c r="I7" s="35" t="str">
        <f aca="false">Suppliers!AF23</f>
        <v>Not contacted</v>
      </c>
      <c r="J7" s="36" t="s">
        <v>4559</v>
      </c>
    </row>
    <row r="8" customFormat="false" ht="23.85" hidden="false" customHeight="false" outlineLevel="0" collapsed="false">
      <c r="A8" s="15" t="s">
        <v>627</v>
      </c>
      <c r="B8" s="12" t="s">
        <v>237</v>
      </c>
      <c r="C8" s="12" t="s">
        <v>307</v>
      </c>
      <c r="D8" s="12" t="n">
        <v>4</v>
      </c>
      <c r="E8" s="12" t="s">
        <v>802</v>
      </c>
      <c r="F8" s="12" t="s">
        <v>806</v>
      </c>
      <c r="G8" s="12" t="s">
        <v>807</v>
      </c>
      <c r="H8" s="12" t="s">
        <v>809</v>
      </c>
      <c r="I8" s="35" t="str">
        <f aca="false">Suppliers!AF28</f>
        <v>Not contacted</v>
      </c>
      <c r="J8" s="36" t="s">
        <v>4559</v>
      </c>
    </row>
    <row r="9" customFormat="false" ht="23.85" hidden="false" customHeight="false" outlineLevel="0" collapsed="false">
      <c r="A9" s="15" t="s">
        <v>627</v>
      </c>
      <c r="B9" s="12" t="s">
        <v>237</v>
      </c>
      <c r="C9" s="12" t="s">
        <v>307</v>
      </c>
      <c r="D9" s="12" t="n">
        <v>4</v>
      </c>
      <c r="E9" s="12" t="s">
        <v>778</v>
      </c>
      <c r="F9" s="12" t="s">
        <v>782</v>
      </c>
      <c r="G9" s="12"/>
      <c r="H9" s="12" t="s">
        <v>783</v>
      </c>
      <c r="I9" s="35" t="str">
        <f aca="false">Suppliers!AF26</f>
        <v>Not contacted</v>
      </c>
      <c r="J9" s="36" t="s">
        <v>4559</v>
      </c>
    </row>
    <row r="10" customFormat="false" ht="15" hidden="false" customHeight="false" outlineLevel="0" collapsed="false">
      <c r="A10" s="15" t="s">
        <v>627</v>
      </c>
      <c r="B10" s="12" t="s">
        <v>237</v>
      </c>
      <c r="C10" s="12" t="s">
        <v>374</v>
      </c>
      <c r="D10" s="12" t="n">
        <v>4</v>
      </c>
      <c r="E10" s="12" t="s">
        <v>860</v>
      </c>
      <c r="F10" s="12" t="s">
        <v>864</v>
      </c>
      <c r="G10" s="12" t="s">
        <v>865</v>
      </c>
      <c r="H10" s="12" t="s">
        <v>866</v>
      </c>
      <c r="I10" s="35" t="str">
        <f aca="false">Suppliers!AF33</f>
        <v>Not contacted</v>
      </c>
      <c r="J10" s="36" t="s">
        <v>4559</v>
      </c>
    </row>
    <row r="11" customFormat="false" ht="15" hidden="false" customHeight="false" outlineLevel="0" collapsed="false">
      <c r="A11" s="15" t="s">
        <v>627</v>
      </c>
      <c r="B11" s="12" t="s">
        <v>237</v>
      </c>
      <c r="C11" s="12" t="s">
        <v>380</v>
      </c>
      <c r="D11" s="12" t="n">
        <v>4</v>
      </c>
      <c r="E11" s="12" t="s">
        <v>907</v>
      </c>
      <c r="F11" s="12"/>
      <c r="G11" s="12" t="s">
        <v>911</v>
      </c>
      <c r="H11" s="12" t="s">
        <v>912</v>
      </c>
      <c r="I11" s="35" t="str">
        <f aca="false">Suppliers!AF37</f>
        <v>Not contacted</v>
      </c>
      <c r="J11" s="36" t="s">
        <v>4559</v>
      </c>
    </row>
    <row r="12" customFormat="false" ht="23.85" hidden="false" customHeight="false" outlineLevel="0" collapsed="false">
      <c r="A12" s="15" t="s">
        <v>627</v>
      </c>
      <c r="B12" s="12" t="s">
        <v>237</v>
      </c>
      <c r="C12" s="12" t="s">
        <v>405</v>
      </c>
      <c r="D12" s="12" t="n">
        <v>4</v>
      </c>
      <c r="E12" s="12" t="s">
        <v>919</v>
      </c>
      <c r="F12" s="12" t="s">
        <v>923</v>
      </c>
      <c r="G12" s="12" t="s">
        <v>924</v>
      </c>
      <c r="H12" s="12" t="s">
        <v>925</v>
      </c>
      <c r="I12" s="35" t="str">
        <f aca="false">Suppliers!AF38</f>
        <v>Not contacted</v>
      </c>
      <c r="J12" s="36" t="s">
        <v>4559</v>
      </c>
    </row>
    <row r="13" customFormat="false" ht="23.85" hidden="false" customHeight="false" outlineLevel="0" collapsed="false">
      <c r="A13" s="15" t="s">
        <v>627</v>
      </c>
      <c r="B13" s="12" t="s">
        <v>1873</v>
      </c>
      <c r="C13" s="12" t="s">
        <v>143</v>
      </c>
      <c r="D13" s="12" t="n">
        <v>4</v>
      </c>
      <c r="E13" s="12" t="s">
        <v>1895</v>
      </c>
      <c r="F13" s="12" t="s">
        <v>1899</v>
      </c>
      <c r="G13" s="12" t="s">
        <v>1900</v>
      </c>
      <c r="H13" s="12" t="s">
        <v>1902</v>
      </c>
      <c r="I13" s="35" t="str">
        <f aca="false">Suppliers!AF132</f>
        <v>Not contacted</v>
      </c>
      <c r="J13" s="36" t="s">
        <v>4559</v>
      </c>
    </row>
    <row r="14" customFormat="false" ht="23.85" hidden="false" customHeight="false" outlineLevel="0" collapsed="false">
      <c r="A14" s="15" t="s">
        <v>627</v>
      </c>
      <c r="B14" s="12" t="s">
        <v>2234</v>
      </c>
      <c r="C14" s="12" t="s">
        <v>143</v>
      </c>
      <c r="D14" s="12" t="n">
        <v>4</v>
      </c>
      <c r="E14" s="12" t="s">
        <v>2235</v>
      </c>
      <c r="F14" s="12" t="s">
        <v>2239</v>
      </c>
      <c r="G14" s="12"/>
      <c r="H14" s="12" t="s">
        <v>2240</v>
      </c>
      <c r="I14" s="35" t="str">
        <f aca="false">Suppliers!AF165</f>
        <v>Not contacted</v>
      </c>
      <c r="J14" s="36" t="s">
        <v>4559</v>
      </c>
    </row>
    <row r="15" customFormat="false" ht="23.85" hidden="false" customHeight="false" outlineLevel="0" collapsed="false">
      <c r="A15" s="15" t="s">
        <v>627</v>
      </c>
      <c r="B15" s="12" t="s">
        <v>255</v>
      </c>
      <c r="C15" s="12" t="s">
        <v>108</v>
      </c>
      <c r="D15" s="12" t="n">
        <v>5</v>
      </c>
      <c r="E15" s="12" t="s">
        <v>2500</v>
      </c>
      <c r="F15" s="12" t="s">
        <v>2504</v>
      </c>
      <c r="G15" s="12" t="s">
        <v>2505</v>
      </c>
      <c r="H15" s="12" t="s">
        <v>2506</v>
      </c>
      <c r="I15" s="35" t="str">
        <f aca="false">Suppliers!AF190</f>
        <v>Not contacted</v>
      </c>
      <c r="J15" s="36" t="s">
        <v>4559</v>
      </c>
    </row>
    <row r="16" customFormat="false" ht="23.85" hidden="false" customHeight="false" outlineLevel="0" collapsed="false">
      <c r="A16" s="15" t="s">
        <v>627</v>
      </c>
      <c r="B16" s="12" t="s">
        <v>255</v>
      </c>
      <c r="C16" s="12" t="s">
        <v>108</v>
      </c>
      <c r="D16" s="12" t="n">
        <v>4</v>
      </c>
      <c r="E16" s="12" t="s">
        <v>2535</v>
      </c>
      <c r="F16" s="12"/>
      <c r="G16" s="12" t="s">
        <v>2538</v>
      </c>
      <c r="H16" s="12" t="s">
        <v>2539</v>
      </c>
      <c r="I16" s="35" t="str">
        <f aca="false">Suppliers!AF193</f>
        <v>Not contacted</v>
      </c>
      <c r="J16" s="36" t="s">
        <v>4559</v>
      </c>
    </row>
    <row r="17" customFormat="false" ht="23.85" hidden="false" customHeight="false" outlineLevel="0" collapsed="false">
      <c r="A17" s="15" t="s">
        <v>627</v>
      </c>
      <c r="B17" s="12" t="s">
        <v>255</v>
      </c>
      <c r="C17" s="12" t="s">
        <v>108</v>
      </c>
      <c r="D17" s="12" t="n">
        <v>4</v>
      </c>
      <c r="E17" s="12" t="s">
        <v>2546</v>
      </c>
      <c r="F17" s="12"/>
      <c r="G17" s="12" t="s">
        <v>2549</v>
      </c>
      <c r="H17" s="12" t="s">
        <v>2550</v>
      </c>
      <c r="I17" s="35" t="str">
        <f aca="false">Suppliers!AF194</f>
        <v>Not contacted</v>
      </c>
      <c r="J17" s="36" t="s">
        <v>4559</v>
      </c>
    </row>
    <row r="18" customFormat="false" ht="23.85" hidden="false" customHeight="false" outlineLevel="0" collapsed="false">
      <c r="A18" s="15" t="s">
        <v>627</v>
      </c>
      <c r="B18" s="12" t="s">
        <v>255</v>
      </c>
      <c r="C18" s="12" t="s">
        <v>108</v>
      </c>
      <c r="D18" s="12" t="n">
        <v>4</v>
      </c>
      <c r="E18" s="12" t="s">
        <v>2558</v>
      </c>
      <c r="F18" s="12" t="s">
        <v>2561</v>
      </c>
      <c r="G18" s="12" t="s">
        <v>2562</v>
      </c>
      <c r="H18" s="12" t="s">
        <v>2563</v>
      </c>
      <c r="I18" s="35" t="str">
        <f aca="false">Suppliers!AF195</f>
        <v>Not contacted</v>
      </c>
      <c r="J18" s="36" t="s">
        <v>4559</v>
      </c>
    </row>
    <row r="19" customFormat="false" ht="15" hidden="false" customHeight="false" outlineLevel="0" collapsed="false">
      <c r="A19" s="15" t="s">
        <v>627</v>
      </c>
      <c r="B19" s="12" t="s">
        <v>255</v>
      </c>
      <c r="C19" s="12" t="s">
        <v>143</v>
      </c>
      <c r="D19" s="12" t="n">
        <v>4</v>
      </c>
      <c r="E19" s="12" t="s">
        <v>2609</v>
      </c>
      <c r="F19" s="12" t="s">
        <v>2613</v>
      </c>
      <c r="G19" s="12"/>
      <c r="H19" s="12" t="s">
        <v>2614</v>
      </c>
      <c r="I19" s="35" t="str">
        <f aca="false">Suppliers!AF200</f>
        <v>Not contacted</v>
      </c>
      <c r="J19" s="36" t="s">
        <v>4559</v>
      </c>
    </row>
    <row r="20" customFormat="false" ht="23.85" hidden="false" customHeight="false" outlineLevel="0" collapsed="false">
      <c r="A20" s="15" t="s">
        <v>627</v>
      </c>
      <c r="B20" s="12" t="s">
        <v>255</v>
      </c>
      <c r="C20" s="12" t="s">
        <v>143</v>
      </c>
      <c r="D20" s="12" t="n">
        <v>4</v>
      </c>
      <c r="E20" s="12" t="s">
        <v>2620</v>
      </c>
      <c r="F20" s="12" t="s">
        <v>2624</v>
      </c>
      <c r="G20" s="12"/>
      <c r="H20" s="12" t="s">
        <v>2625</v>
      </c>
      <c r="I20" s="35" t="str">
        <f aca="false">Suppliers!AF201</f>
        <v>Not contacted</v>
      </c>
      <c r="J20" s="36" t="s">
        <v>4559</v>
      </c>
    </row>
    <row r="21" customFormat="false" ht="15" hidden="false" customHeight="false" outlineLevel="0" collapsed="false">
      <c r="A21" s="15" t="s">
        <v>627</v>
      </c>
      <c r="B21" s="12" t="s">
        <v>255</v>
      </c>
      <c r="C21" s="12" t="s">
        <v>143</v>
      </c>
      <c r="D21" s="12" t="n">
        <v>4</v>
      </c>
      <c r="E21" s="12" t="s">
        <v>2576</v>
      </c>
      <c r="F21" s="12" t="s">
        <v>2580</v>
      </c>
      <c r="G21" s="12"/>
      <c r="H21" s="12" t="s">
        <v>2582</v>
      </c>
      <c r="I21" s="35" t="str">
        <f aca="false">Suppliers!AF197</f>
        <v>Not contacted</v>
      </c>
      <c r="J21" s="36" t="s">
        <v>4559</v>
      </c>
    </row>
    <row r="22" customFormat="false" ht="23.85" hidden="false" customHeight="false" outlineLevel="0" collapsed="false">
      <c r="A22" s="15" t="s">
        <v>627</v>
      </c>
      <c r="B22" s="12" t="s">
        <v>255</v>
      </c>
      <c r="C22" s="12" t="s">
        <v>166</v>
      </c>
      <c r="D22" s="12" t="n">
        <v>5</v>
      </c>
      <c r="E22" s="12" t="s">
        <v>2682</v>
      </c>
      <c r="F22" s="12" t="s">
        <v>2686</v>
      </c>
      <c r="G22" s="12" t="s">
        <v>2687</v>
      </c>
      <c r="H22" s="12" t="s">
        <v>2688</v>
      </c>
      <c r="I22" s="35" t="str">
        <f aca="false">Suppliers!AF207</f>
        <v>Not contacted</v>
      </c>
      <c r="J22" s="36" t="s">
        <v>4559</v>
      </c>
    </row>
    <row r="23" customFormat="false" ht="23.85" hidden="false" customHeight="false" outlineLevel="0" collapsed="false">
      <c r="A23" s="15" t="s">
        <v>627</v>
      </c>
      <c r="B23" s="12" t="s">
        <v>255</v>
      </c>
      <c r="C23" s="12" t="s">
        <v>166</v>
      </c>
      <c r="D23" s="12" t="n">
        <v>4</v>
      </c>
      <c r="E23" s="12" t="s">
        <v>2716</v>
      </c>
      <c r="F23" s="12"/>
      <c r="G23" s="12" t="s">
        <v>2719</v>
      </c>
      <c r="H23" s="12" t="s">
        <v>2720</v>
      </c>
      <c r="I23" s="35" t="str">
        <f aca="false">Suppliers!AF210</f>
        <v>Not contacted</v>
      </c>
      <c r="J23" s="36" t="s">
        <v>4559</v>
      </c>
    </row>
    <row r="24" customFormat="false" ht="23.85" hidden="false" customHeight="false" outlineLevel="0" collapsed="false">
      <c r="A24" s="15" t="s">
        <v>627</v>
      </c>
      <c r="B24" s="12" t="s">
        <v>255</v>
      </c>
      <c r="C24" s="12" t="s">
        <v>281</v>
      </c>
      <c r="D24" s="12" t="n">
        <v>4</v>
      </c>
      <c r="E24" s="12" t="s">
        <v>2824</v>
      </c>
      <c r="F24" s="12" t="s">
        <v>2828</v>
      </c>
      <c r="G24" s="12" t="s">
        <v>2829</v>
      </c>
      <c r="H24" s="12" t="s">
        <v>2830</v>
      </c>
      <c r="I24" s="35" t="str">
        <f aca="false">Suppliers!AF220</f>
        <v>Not contacted</v>
      </c>
      <c r="J24" s="36" t="s">
        <v>4559</v>
      </c>
    </row>
    <row r="25" customFormat="false" ht="23.85" hidden="false" customHeight="false" outlineLevel="0" collapsed="false">
      <c r="A25" s="15" t="s">
        <v>627</v>
      </c>
      <c r="B25" s="12" t="s">
        <v>255</v>
      </c>
      <c r="C25" s="12" t="s">
        <v>307</v>
      </c>
      <c r="D25" s="12" t="n">
        <v>4</v>
      </c>
      <c r="E25" s="12" t="s">
        <v>2844</v>
      </c>
      <c r="F25" s="12"/>
      <c r="G25" s="12" t="s">
        <v>2848</v>
      </c>
      <c r="H25" s="12" t="s">
        <v>2849</v>
      </c>
      <c r="I25" s="35" t="str">
        <f aca="false">Suppliers!AF222</f>
        <v>Not contacted</v>
      </c>
      <c r="J25" s="36" t="s">
        <v>4559</v>
      </c>
    </row>
    <row r="26" customFormat="false" ht="23.85" hidden="false" customHeight="false" outlineLevel="0" collapsed="false">
      <c r="A26" s="15" t="s">
        <v>627</v>
      </c>
      <c r="B26" s="12" t="s">
        <v>255</v>
      </c>
      <c r="C26" s="12" t="s">
        <v>353</v>
      </c>
      <c r="D26" s="12" t="n">
        <v>4</v>
      </c>
      <c r="E26" s="12" t="s">
        <v>2891</v>
      </c>
      <c r="F26" s="12" t="s">
        <v>2895</v>
      </c>
      <c r="G26" s="12"/>
      <c r="H26" s="12" t="s">
        <v>2896</v>
      </c>
      <c r="I26" s="35" t="str">
        <f aca="false">Suppliers!AF227</f>
        <v>Not contacted</v>
      </c>
      <c r="J26" s="36" t="s">
        <v>4559</v>
      </c>
    </row>
    <row r="27" customFormat="false" ht="15" hidden="false" customHeight="false" outlineLevel="0" collapsed="false">
      <c r="A27" s="15" t="s">
        <v>627</v>
      </c>
      <c r="B27" s="12" t="s">
        <v>255</v>
      </c>
      <c r="C27" s="12" t="s">
        <v>353</v>
      </c>
      <c r="D27" s="12" t="n">
        <v>4</v>
      </c>
      <c r="E27" s="12" t="s">
        <v>2900</v>
      </c>
      <c r="F27" s="12" t="s">
        <v>2903</v>
      </c>
      <c r="G27" s="12" t="s">
        <v>2904</v>
      </c>
      <c r="H27" s="12" t="s">
        <v>2905</v>
      </c>
      <c r="I27" s="35" t="str">
        <f aca="false">Suppliers!AF228</f>
        <v>Not contacted</v>
      </c>
      <c r="J27" s="36" t="s">
        <v>4559</v>
      </c>
    </row>
    <row r="28" customFormat="false" ht="15" hidden="false" customHeight="false" outlineLevel="0" collapsed="false">
      <c r="A28" s="15" t="s">
        <v>627</v>
      </c>
      <c r="B28" s="12" t="s">
        <v>255</v>
      </c>
      <c r="C28" s="12" t="s">
        <v>353</v>
      </c>
      <c r="D28" s="12" t="n">
        <v>4</v>
      </c>
      <c r="E28" s="12" t="s">
        <v>2910</v>
      </c>
      <c r="F28" s="12" t="s">
        <v>2913</v>
      </c>
      <c r="G28" s="12" t="s">
        <v>2914</v>
      </c>
      <c r="H28" s="12" t="s">
        <v>2915</v>
      </c>
      <c r="I28" s="35" t="str">
        <f aca="false">Suppliers!AF229</f>
        <v>Not contacted</v>
      </c>
      <c r="J28" s="36" t="s">
        <v>4559</v>
      </c>
    </row>
    <row r="29" customFormat="false" ht="15" hidden="false" customHeight="false" outlineLevel="0" collapsed="false">
      <c r="A29" s="15" t="s">
        <v>627</v>
      </c>
      <c r="B29" s="12" t="s">
        <v>255</v>
      </c>
      <c r="C29" s="12" t="s">
        <v>353</v>
      </c>
      <c r="D29" s="12" t="n">
        <v>4</v>
      </c>
      <c r="E29" s="12" t="s">
        <v>2922</v>
      </c>
      <c r="F29" s="12" t="s">
        <v>2925</v>
      </c>
      <c r="G29" s="12" t="s">
        <v>2926</v>
      </c>
      <c r="H29" s="12" t="s">
        <v>2927</v>
      </c>
      <c r="I29" s="35" t="str">
        <f aca="false">Suppliers!AF230</f>
        <v>Not contacted</v>
      </c>
      <c r="J29" s="36" t="s">
        <v>4559</v>
      </c>
    </row>
    <row r="30" customFormat="false" ht="15" hidden="false" customHeight="false" outlineLevel="0" collapsed="false">
      <c r="A30" s="15" t="s">
        <v>627</v>
      </c>
      <c r="B30" s="12" t="s">
        <v>255</v>
      </c>
      <c r="C30" s="12" t="s">
        <v>374</v>
      </c>
      <c r="D30" s="12" t="n">
        <v>4</v>
      </c>
      <c r="E30" s="12" t="s">
        <v>2993</v>
      </c>
      <c r="F30" s="12" t="s">
        <v>2996</v>
      </c>
      <c r="G30" s="12"/>
      <c r="H30" s="12" t="s">
        <v>2997</v>
      </c>
      <c r="I30" s="35" t="str">
        <f aca="false">Suppliers!AF237</f>
        <v>Not contacted</v>
      </c>
      <c r="J30" s="36" t="s">
        <v>4559</v>
      </c>
    </row>
    <row r="31" customFormat="false" ht="23.85" hidden="false" customHeight="false" outlineLevel="0" collapsed="false">
      <c r="A31" s="15" t="s">
        <v>627</v>
      </c>
      <c r="B31" s="12" t="s">
        <v>255</v>
      </c>
      <c r="C31" s="12" t="s">
        <v>380</v>
      </c>
      <c r="D31" s="12" t="n">
        <v>4</v>
      </c>
      <c r="E31" s="12" t="s">
        <v>3024</v>
      </c>
      <c r="F31" s="12" t="s">
        <v>3026</v>
      </c>
      <c r="G31" s="12" t="s">
        <v>3027</v>
      </c>
      <c r="H31" s="12" t="s">
        <v>3028</v>
      </c>
      <c r="I31" s="35" t="str">
        <f aca="false">Suppliers!AF240</f>
        <v>Not contacted</v>
      </c>
      <c r="J31" s="36" t="s">
        <v>4559</v>
      </c>
    </row>
    <row r="32" customFormat="false" ht="35.05" hidden="false" customHeight="false" outlineLevel="0" collapsed="false">
      <c r="A32" s="15" t="s">
        <v>627</v>
      </c>
      <c r="B32" s="12" t="s">
        <v>255</v>
      </c>
      <c r="C32" s="12" t="s">
        <v>380</v>
      </c>
      <c r="D32" s="12" t="n">
        <v>4</v>
      </c>
      <c r="E32" s="12" t="s">
        <v>3034</v>
      </c>
      <c r="F32" s="12" t="s">
        <v>3037</v>
      </c>
      <c r="G32" s="12" t="s">
        <v>3038</v>
      </c>
      <c r="H32" s="12" t="s">
        <v>3039</v>
      </c>
      <c r="I32" s="35" t="str">
        <f aca="false">Suppliers!AF241</f>
        <v>Not contacted</v>
      </c>
      <c r="J32" s="36" t="s">
        <v>4559</v>
      </c>
    </row>
    <row r="33" customFormat="false" ht="23.85" hidden="false" customHeight="false" outlineLevel="0" collapsed="false">
      <c r="A33" s="15" t="s">
        <v>627</v>
      </c>
      <c r="B33" s="12" t="s">
        <v>255</v>
      </c>
      <c r="C33" s="12" t="s">
        <v>405</v>
      </c>
      <c r="D33" s="12" t="n">
        <v>4</v>
      </c>
      <c r="E33" s="12" t="s">
        <v>3090</v>
      </c>
      <c r="F33" s="12" t="s">
        <v>3094</v>
      </c>
      <c r="G33" s="12" t="s">
        <v>3095</v>
      </c>
      <c r="H33" s="12" t="s">
        <v>3097</v>
      </c>
      <c r="I33" s="35" t="str">
        <f aca="false">Suppliers!AF246</f>
        <v>Not contacted</v>
      </c>
      <c r="J33" s="36" t="s">
        <v>4559</v>
      </c>
    </row>
    <row r="34" customFormat="false" ht="23.85" hidden="false" customHeight="false" outlineLevel="0" collapsed="false">
      <c r="A34" s="15" t="s">
        <v>627</v>
      </c>
      <c r="B34" s="12" t="s">
        <v>255</v>
      </c>
      <c r="C34" s="12" t="s">
        <v>405</v>
      </c>
      <c r="D34" s="12" t="n">
        <v>4</v>
      </c>
      <c r="E34" s="12" t="s">
        <v>3104</v>
      </c>
      <c r="F34" s="12"/>
      <c r="G34" s="12" t="s">
        <v>3107</v>
      </c>
      <c r="H34" s="12" t="s">
        <v>3108</v>
      </c>
      <c r="I34" s="35" t="str">
        <f aca="false">Suppliers!AF247</f>
        <v>Not contacted</v>
      </c>
      <c r="J34" s="36" t="s">
        <v>4559</v>
      </c>
    </row>
    <row r="35" customFormat="false" ht="15" hidden="false" customHeight="false" outlineLevel="0" collapsed="false">
      <c r="A35" s="15" t="s">
        <v>627</v>
      </c>
      <c r="B35" s="12" t="s">
        <v>255</v>
      </c>
      <c r="C35" s="12" t="s">
        <v>405</v>
      </c>
      <c r="D35" s="12" t="n">
        <v>4</v>
      </c>
      <c r="E35" s="12" t="s">
        <v>3066</v>
      </c>
      <c r="F35" s="12"/>
      <c r="G35" s="12" t="s">
        <v>3069</v>
      </c>
      <c r="H35" s="12" t="s">
        <v>3070</v>
      </c>
      <c r="I35" s="35" t="str">
        <f aca="false">Suppliers!AF244</f>
        <v>Not contacted</v>
      </c>
      <c r="J35" s="36" t="s">
        <v>4559</v>
      </c>
    </row>
    <row r="36" customFormat="false" ht="15" hidden="false" customHeight="false" outlineLevel="0" collapsed="false">
      <c r="A36" s="15" t="s">
        <v>627</v>
      </c>
      <c r="B36" s="12" t="s">
        <v>255</v>
      </c>
      <c r="C36" s="12" t="s">
        <v>405</v>
      </c>
      <c r="D36" s="12" t="n">
        <v>4</v>
      </c>
      <c r="E36" s="12" t="s">
        <v>3113</v>
      </c>
      <c r="F36" s="12" t="s">
        <v>3117</v>
      </c>
      <c r="G36" s="12" t="s">
        <v>3118</v>
      </c>
      <c r="H36" s="12" t="s">
        <v>3119</v>
      </c>
      <c r="I36" s="35" t="str">
        <f aca="false">Suppliers!AF248</f>
        <v>Not contacted</v>
      </c>
      <c r="J36" s="36" t="s">
        <v>4559</v>
      </c>
    </row>
    <row r="37" customFormat="false" ht="15" hidden="false" customHeight="false" outlineLevel="0" collapsed="false">
      <c r="A37" s="15" t="s">
        <v>627</v>
      </c>
      <c r="B37" s="12" t="s">
        <v>3155</v>
      </c>
      <c r="C37" s="12" t="s">
        <v>307</v>
      </c>
      <c r="D37" s="12" t="n">
        <v>4</v>
      </c>
      <c r="E37" s="12" t="s">
        <v>3167</v>
      </c>
      <c r="F37" s="12" t="s">
        <v>3170</v>
      </c>
      <c r="G37" s="12"/>
      <c r="H37" s="12" t="s">
        <v>3171</v>
      </c>
      <c r="I37" s="35" t="str">
        <f aca="false">Suppliers!AF253</f>
        <v>Not contacted</v>
      </c>
      <c r="J37" s="36" t="s">
        <v>4559</v>
      </c>
    </row>
    <row r="38" customFormat="false" ht="15" hidden="false" customHeight="false" outlineLevel="0" collapsed="false">
      <c r="A38" s="15" t="s">
        <v>627</v>
      </c>
      <c r="B38" s="12" t="s">
        <v>3155</v>
      </c>
      <c r="C38" s="12" t="s">
        <v>307</v>
      </c>
      <c r="D38" s="12" t="n">
        <v>4</v>
      </c>
      <c r="E38" s="12" t="s">
        <v>3176</v>
      </c>
      <c r="F38" s="12" t="s">
        <v>3179</v>
      </c>
      <c r="G38" s="12"/>
      <c r="H38" s="12" t="s">
        <v>3181</v>
      </c>
      <c r="I38" s="35" t="str">
        <f aca="false">Suppliers!AF254</f>
        <v>Not contacted</v>
      </c>
      <c r="J38" s="36" t="s">
        <v>4559</v>
      </c>
    </row>
    <row r="39" customFormat="false" ht="23.85" hidden="false" customHeight="false" outlineLevel="0" collapsed="false">
      <c r="A39" s="15" t="s">
        <v>627</v>
      </c>
      <c r="B39" s="12" t="s">
        <v>3155</v>
      </c>
      <c r="C39" s="12" t="s">
        <v>307</v>
      </c>
      <c r="D39" s="12" t="n">
        <v>4</v>
      </c>
      <c r="E39" s="12" t="s">
        <v>3186</v>
      </c>
      <c r="F39" s="12" t="s">
        <v>3189</v>
      </c>
      <c r="G39" s="12"/>
      <c r="H39" s="12" t="s">
        <v>3190</v>
      </c>
      <c r="I39" s="35" t="str">
        <f aca="false">Suppliers!AF255</f>
        <v>Not contacted</v>
      </c>
      <c r="J39" s="36" t="s">
        <v>4559</v>
      </c>
    </row>
    <row r="40" customFormat="false" ht="15" hidden="false" customHeight="false" outlineLevel="0" collapsed="false">
      <c r="A40" s="15" t="s">
        <v>627</v>
      </c>
      <c r="B40" s="12" t="s">
        <v>3155</v>
      </c>
      <c r="C40" s="12" t="s">
        <v>380</v>
      </c>
      <c r="D40" s="12" t="n">
        <v>4</v>
      </c>
      <c r="E40" s="12" t="s">
        <v>3243</v>
      </c>
      <c r="F40" s="12" t="s">
        <v>3246</v>
      </c>
      <c r="G40" s="12"/>
      <c r="H40" s="12" t="s">
        <v>3247</v>
      </c>
      <c r="I40" s="35" t="str">
        <f aca="false">Suppliers!AF261</f>
        <v>Not contacted</v>
      </c>
      <c r="J40" s="36" t="s">
        <v>4559</v>
      </c>
    </row>
    <row r="41" customFormat="false" ht="23.85" hidden="false" customHeight="false" outlineLevel="0" collapsed="false">
      <c r="A41" s="15" t="s">
        <v>627</v>
      </c>
      <c r="B41" s="12" t="s">
        <v>3155</v>
      </c>
      <c r="C41" s="12" t="s">
        <v>380</v>
      </c>
      <c r="D41" s="12" t="n">
        <v>4</v>
      </c>
      <c r="E41" s="12" t="s">
        <v>3253</v>
      </c>
      <c r="F41" s="12" t="s">
        <v>3256</v>
      </c>
      <c r="G41" s="12"/>
      <c r="H41" s="12" t="s">
        <v>3257</v>
      </c>
      <c r="I41" s="35" t="str">
        <f aca="false">Suppliers!AF262</f>
        <v>Not contacted</v>
      </c>
      <c r="J41" s="36" t="s">
        <v>4559</v>
      </c>
    </row>
    <row r="42" customFormat="false" ht="15" hidden="false" customHeight="false" outlineLevel="0" collapsed="false">
      <c r="A42" s="41" t="s">
        <v>1981</v>
      </c>
      <c r="B42" s="12" t="s">
        <v>138</v>
      </c>
      <c r="C42" s="12" t="s">
        <v>166</v>
      </c>
      <c r="D42" s="12" t="n">
        <v>4</v>
      </c>
      <c r="E42" s="12" t="s">
        <v>2019</v>
      </c>
      <c r="F42" s="12" t="s">
        <v>2023</v>
      </c>
      <c r="G42" s="12"/>
      <c r="H42" s="12" t="s">
        <v>2024</v>
      </c>
      <c r="I42" s="35" t="str">
        <f aca="false">Suppliers!AF143</f>
        <v>Not contacted</v>
      </c>
      <c r="J42" s="36" t="s">
        <v>4559</v>
      </c>
    </row>
    <row r="43" customFormat="false" ht="23.85" hidden="false" customHeight="false" outlineLevel="0" collapsed="false">
      <c r="A43" s="41" t="s">
        <v>1981</v>
      </c>
      <c r="B43" s="12" t="s">
        <v>138</v>
      </c>
      <c r="C43" s="12" t="s">
        <v>307</v>
      </c>
      <c r="D43" s="12" t="n">
        <v>4</v>
      </c>
      <c r="E43" s="12" t="s">
        <v>314</v>
      </c>
      <c r="F43" s="12" t="s">
        <v>317</v>
      </c>
      <c r="G43" s="12"/>
      <c r="H43" s="12" t="s">
        <v>315</v>
      </c>
      <c r="I43" s="35" t="str">
        <f aca="false">Suppliers!AF147</f>
        <v>Not contacted</v>
      </c>
      <c r="J43" s="36" t="s">
        <v>4559</v>
      </c>
    </row>
    <row r="44" customFormat="false" ht="23.85" hidden="false" customHeight="false" outlineLevel="0" collapsed="false">
      <c r="A44" s="41" t="s">
        <v>1981</v>
      </c>
      <c r="B44" s="12" t="s">
        <v>138</v>
      </c>
      <c r="C44" s="12" t="s">
        <v>307</v>
      </c>
      <c r="D44" s="12" t="n">
        <v>4</v>
      </c>
      <c r="E44" s="12" t="s">
        <v>2098</v>
      </c>
      <c r="F44" s="12" t="s">
        <v>2102</v>
      </c>
      <c r="G44" s="12"/>
      <c r="H44" s="12" t="s">
        <v>2103</v>
      </c>
      <c r="I44" s="35" t="str">
        <f aca="false">Suppliers!AF151</f>
        <v>Not contacted</v>
      </c>
      <c r="J44" s="36" t="s">
        <v>4559</v>
      </c>
    </row>
    <row r="45" customFormat="false" ht="23.85" hidden="false" customHeight="false" outlineLevel="0" collapsed="false">
      <c r="A45" s="41" t="s">
        <v>1981</v>
      </c>
      <c r="B45" s="12" t="s">
        <v>138</v>
      </c>
      <c r="C45" s="12" t="s">
        <v>353</v>
      </c>
      <c r="D45" s="12" t="n">
        <v>4</v>
      </c>
      <c r="E45" s="12" t="s">
        <v>2108</v>
      </c>
      <c r="F45" s="12" t="s">
        <v>2112</v>
      </c>
      <c r="G45" s="12" t="s">
        <v>2113</v>
      </c>
      <c r="H45" s="12" t="s">
        <v>2114</v>
      </c>
      <c r="I45" s="35" t="str">
        <f aca="false">Suppliers!AF152</f>
        <v>Not contacted</v>
      </c>
      <c r="J45" s="36" t="s">
        <v>4559</v>
      </c>
    </row>
    <row r="46" customFormat="false" ht="15" hidden="false" customHeight="false" outlineLevel="0" collapsed="false">
      <c r="A46" s="41" t="s">
        <v>1981</v>
      </c>
      <c r="B46" s="12" t="s">
        <v>138</v>
      </c>
      <c r="C46" s="12" t="s">
        <v>353</v>
      </c>
      <c r="D46" s="12" t="n">
        <v>4</v>
      </c>
      <c r="E46" s="12" t="s">
        <v>2119</v>
      </c>
      <c r="F46" s="12" t="s">
        <v>2123</v>
      </c>
      <c r="G46" s="12" t="s">
        <v>2124</v>
      </c>
      <c r="H46" s="12" t="s">
        <v>2125</v>
      </c>
      <c r="I46" s="35" t="str">
        <f aca="false">Suppliers!AF153</f>
        <v>Not contacted</v>
      </c>
      <c r="J46" s="36" t="s">
        <v>4559</v>
      </c>
    </row>
    <row r="47" customFormat="false" ht="23.85" hidden="false" customHeight="false" outlineLevel="0" collapsed="false">
      <c r="A47" s="41" t="s">
        <v>1981</v>
      </c>
      <c r="B47" s="12" t="s">
        <v>138</v>
      </c>
      <c r="C47" s="12" t="s">
        <v>380</v>
      </c>
      <c r="D47" s="12" t="n">
        <v>4</v>
      </c>
      <c r="E47" s="12" t="s">
        <v>2183</v>
      </c>
      <c r="F47" s="12"/>
      <c r="G47" s="12" t="s">
        <v>2187</v>
      </c>
      <c r="H47" s="12" t="s">
        <v>2188</v>
      </c>
      <c r="I47" s="35" t="str">
        <f aca="false">Suppliers!AF160</f>
        <v>Not contacted</v>
      </c>
      <c r="J47" s="36" t="s">
        <v>4559</v>
      </c>
    </row>
    <row r="48" customFormat="false" ht="23.85" hidden="false" customHeight="false" outlineLevel="0" collapsed="false">
      <c r="A48" s="41" t="s">
        <v>1981</v>
      </c>
      <c r="B48" s="12" t="s">
        <v>138</v>
      </c>
      <c r="C48" s="12" t="s">
        <v>405</v>
      </c>
      <c r="D48" s="12" t="n">
        <v>4</v>
      </c>
      <c r="E48" s="12" t="s">
        <v>2201</v>
      </c>
      <c r="F48" s="12" t="s">
        <v>2205</v>
      </c>
      <c r="G48" s="12" t="s">
        <v>2206</v>
      </c>
      <c r="H48" s="12" t="s">
        <v>2207</v>
      </c>
      <c r="I48" s="35" t="str">
        <f aca="false">Suppliers!AF162</f>
        <v>Not contacted</v>
      </c>
      <c r="J48" s="36" t="s">
        <v>4559</v>
      </c>
    </row>
    <row r="49" customFormat="false" ht="23.85" hidden="false" customHeight="false" outlineLevel="0" collapsed="false">
      <c r="A49" s="41" t="s">
        <v>1981</v>
      </c>
      <c r="B49" s="12" t="s">
        <v>3321</v>
      </c>
      <c r="C49" s="12" t="s">
        <v>108</v>
      </c>
      <c r="D49" s="12" t="n">
        <v>4</v>
      </c>
      <c r="E49" s="12" t="s">
        <v>3334</v>
      </c>
      <c r="F49" s="12" t="s">
        <v>3337</v>
      </c>
      <c r="G49" s="12" t="s">
        <v>3338</v>
      </c>
      <c r="H49" s="12" t="s">
        <v>3339</v>
      </c>
      <c r="I49" s="35" t="str">
        <f aca="false">Suppliers!AF269</f>
        <v>Not contacted</v>
      </c>
      <c r="J49" s="36" t="s">
        <v>4559</v>
      </c>
    </row>
    <row r="50" customFormat="false" ht="15" hidden="false" customHeight="false" outlineLevel="0" collapsed="false">
      <c r="A50" s="41" t="s">
        <v>1981</v>
      </c>
      <c r="B50" s="12" t="s">
        <v>3321</v>
      </c>
      <c r="C50" s="12" t="s">
        <v>143</v>
      </c>
      <c r="D50" s="12" t="n">
        <v>4</v>
      </c>
      <c r="E50" s="12" t="s">
        <v>3374</v>
      </c>
      <c r="F50" s="12" t="s">
        <v>3377</v>
      </c>
      <c r="G50" s="12" t="s">
        <v>3378</v>
      </c>
      <c r="H50" s="12" t="s">
        <v>3379</v>
      </c>
      <c r="I50" s="35" t="str">
        <f aca="false">Suppliers!AF273</f>
        <v>Not contacted</v>
      </c>
      <c r="J50" s="36" t="s">
        <v>4559</v>
      </c>
    </row>
    <row r="51" customFormat="false" ht="23.85" hidden="false" customHeight="false" outlineLevel="0" collapsed="false">
      <c r="A51" s="41" t="s">
        <v>1981</v>
      </c>
      <c r="B51" s="12" t="s">
        <v>3321</v>
      </c>
      <c r="C51" s="12" t="s">
        <v>166</v>
      </c>
      <c r="D51" s="12" t="n">
        <v>4</v>
      </c>
      <c r="E51" s="12" t="s">
        <v>3431</v>
      </c>
      <c r="F51" s="12" t="s">
        <v>3435</v>
      </c>
      <c r="G51" s="12"/>
      <c r="H51" s="12" t="s">
        <v>3436</v>
      </c>
      <c r="I51" s="35" t="str">
        <f aca="false">Suppliers!AF278</f>
        <v>Not contacted</v>
      </c>
      <c r="J51" s="36" t="s">
        <v>4559</v>
      </c>
    </row>
    <row r="52" customFormat="false" ht="23.85" hidden="false" customHeight="false" outlineLevel="0" collapsed="false">
      <c r="A52" s="41" t="s">
        <v>1981</v>
      </c>
      <c r="B52" s="12" t="s">
        <v>3321</v>
      </c>
      <c r="C52" s="12" t="s">
        <v>307</v>
      </c>
      <c r="D52" s="12" t="n">
        <v>4</v>
      </c>
      <c r="E52" s="12" t="s">
        <v>3495</v>
      </c>
      <c r="F52" s="12" t="s">
        <v>3499</v>
      </c>
      <c r="G52" s="12"/>
      <c r="H52" s="12" t="s">
        <v>3500</v>
      </c>
      <c r="I52" s="35" t="str">
        <f aca="false">Suppliers!AF284</f>
        <v>Not contacted</v>
      </c>
      <c r="J52" s="36" t="s">
        <v>4559</v>
      </c>
    </row>
    <row r="53" customFormat="false" ht="23.85" hidden="false" customHeight="false" outlineLevel="0" collapsed="false">
      <c r="A53" s="41" t="s">
        <v>1981</v>
      </c>
      <c r="B53" s="12" t="s">
        <v>3321</v>
      </c>
      <c r="C53" s="12" t="s">
        <v>307</v>
      </c>
      <c r="D53" s="12" t="n">
        <v>4</v>
      </c>
      <c r="E53" s="12" t="s">
        <v>3475</v>
      </c>
      <c r="F53" s="12"/>
      <c r="G53" s="12" t="s">
        <v>3479</v>
      </c>
      <c r="H53" s="12" t="s">
        <v>3480</v>
      </c>
      <c r="I53" s="35" t="str">
        <f aca="false">Suppliers!AF282</f>
        <v>Not contacted</v>
      </c>
      <c r="J53" s="36" t="s">
        <v>4559</v>
      </c>
    </row>
    <row r="54" customFormat="false" ht="23.85" hidden="false" customHeight="false" outlineLevel="0" collapsed="false">
      <c r="A54" s="41" t="s">
        <v>1981</v>
      </c>
      <c r="B54" s="12" t="s">
        <v>3321</v>
      </c>
      <c r="C54" s="12" t="s">
        <v>380</v>
      </c>
      <c r="D54" s="12" t="n">
        <v>5</v>
      </c>
      <c r="E54" s="12" t="s">
        <v>3557</v>
      </c>
      <c r="F54" s="12" t="s">
        <v>3560</v>
      </c>
      <c r="G54" s="12" t="s">
        <v>3561</v>
      </c>
      <c r="H54" s="12" t="s">
        <v>3562</v>
      </c>
      <c r="I54" s="35" t="str">
        <f aca="false">Suppliers!AF290</f>
        <v>Not contacted</v>
      </c>
      <c r="J54" s="36" t="s">
        <v>4559</v>
      </c>
    </row>
    <row r="55" customFormat="false" ht="15" hidden="false" customHeight="false" outlineLevel="0" collapsed="false">
      <c r="A55" s="41" t="s">
        <v>1981</v>
      </c>
      <c r="B55" s="12" t="s">
        <v>3321</v>
      </c>
      <c r="C55" s="12" t="s">
        <v>380</v>
      </c>
      <c r="D55" s="12" t="n">
        <v>4</v>
      </c>
      <c r="E55" s="12" t="s">
        <v>3569</v>
      </c>
      <c r="F55" s="12" t="s">
        <v>3573</v>
      </c>
      <c r="G55" s="12"/>
      <c r="H55" s="12" t="s">
        <v>3574</v>
      </c>
      <c r="I55" s="35" t="str">
        <f aca="false">Suppliers!AF291</f>
        <v>Not contacted</v>
      </c>
      <c r="J55" s="36" t="s">
        <v>4559</v>
      </c>
    </row>
    <row r="56" customFormat="false" ht="23.85" hidden="false" customHeight="false" outlineLevel="0" collapsed="false">
      <c r="A56" s="41" t="s">
        <v>1981</v>
      </c>
      <c r="B56" s="12" t="s">
        <v>3321</v>
      </c>
      <c r="C56" s="12" t="s">
        <v>405</v>
      </c>
      <c r="D56" s="12" t="n">
        <v>4</v>
      </c>
      <c r="E56" s="12" t="s">
        <v>3624</v>
      </c>
      <c r="F56" s="12" t="s">
        <v>3628</v>
      </c>
      <c r="G56" s="12"/>
      <c r="H56" s="12" t="s">
        <v>3629</v>
      </c>
      <c r="I56" s="35" t="str">
        <f aca="false">Suppliers!AF297</f>
        <v>Not contacted</v>
      </c>
      <c r="J56" s="36" t="s">
        <v>4559</v>
      </c>
    </row>
    <row r="57" customFormat="false" ht="23.85" hidden="false" customHeight="false" outlineLevel="0" collapsed="false">
      <c r="A57" s="42" t="s">
        <v>487</v>
      </c>
      <c r="B57" s="12" t="s">
        <v>523</v>
      </c>
      <c r="C57" s="12" t="s">
        <v>166</v>
      </c>
      <c r="D57" s="12" t="n">
        <v>4</v>
      </c>
      <c r="E57" s="12" t="s">
        <v>524</v>
      </c>
      <c r="F57" s="12" t="s">
        <v>529</v>
      </c>
      <c r="G57" s="12" t="s">
        <v>530</v>
      </c>
      <c r="H57" s="12" t="s">
        <v>531</v>
      </c>
      <c r="I57" s="35" t="str">
        <f aca="false">Suppliers!AF5</f>
        <v>Not contacted</v>
      </c>
      <c r="J57" s="36" t="s">
        <v>4559</v>
      </c>
    </row>
    <row r="58" customFormat="false" ht="23.85" hidden="false" customHeight="false" outlineLevel="0" collapsed="false">
      <c r="A58" s="42" t="s">
        <v>487</v>
      </c>
      <c r="B58" s="12" t="s">
        <v>523</v>
      </c>
      <c r="C58" s="12" t="s">
        <v>353</v>
      </c>
      <c r="D58" s="12" t="n">
        <v>4</v>
      </c>
      <c r="E58" s="12" t="s">
        <v>580</v>
      </c>
      <c r="F58" s="12" t="s">
        <v>584</v>
      </c>
      <c r="G58" s="12" t="s">
        <v>585</v>
      </c>
      <c r="H58" s="12" t="s">
        <v>587</v>
      </c>
      <c r="I58" s="35" t="str">
        <f aca="false">Suppliers!AF9</f>
        <v>Not contacted</v>
      </c>
      <c r="J58" s="36" t="s">
        <v>4559</v>
      </c>
    </row>
    <row r="59" customFormat="false" ht="23.85" hidden="false" customHeight="false" outlineLevel="0" collapsed="false">
      <c r="A59" s="42" t="s">
        <v>487</v>
      </c>
      <c r="B59" s="12" t="s">
        <v>523</v>
      </c>
      <c r="C59" s="12" t="s">
        <v>353</v>
      </c>
      <c r="D59" s="12" t="n">
        <v>4</v>
      </c>
      <c r="E59" s="12" t="s">
        <v>569</v>
      </c>
      <c r="F59" s="12" t="s">
        <v>573</v>
      </c>
      <c r="G59" s="12" t="s">
        <v>574</v>
      </c>
      <c r="H59" s="12" t="s">
        <v>575</v>
      </c>
      <c r="I59" s="35" t="str">
        <f aca="false">Suppliers!AF8</f>
        <v>Not contacted</v>
      </c>
      <c r="J59" s="36" t="s">
        <v>4559</v>
      </c>
    </row>
    <row r="60" customFormat="false" ht="23.85" hidden="false" customHeight="false" outlineLevel="0" collapsed="false">
      <c r="A60" s="42" t="s">
        <v>487</v>
      </c>
      <c r="B60" s="12" t="s">
        <v>376</v>
      </c>
      <c r="C60" s="12" t="s">
        <v>108</v>
      </c>
      <c r="D60" s="12" t="n">
        <v>4</v>
      </c>
      <c r="E60" s="12" t="s">
        <v>955</v>
      </c>
      <c r="F60" s="12"/>
      <c r="G60" s="12" t="s">
        <v>959</v>
      </c>
      <c r="H60" s="12" t="s">
        <v>960</v>
      </c>
      <c r="I60" s="35" t="str">
        <f aca="false">Suppliers!AF41</f>
        <v>Not contacted</v>
      </c>
      <c r="J60" s="36" t="s">
        <v>4559</v>
      </c>
    </row>
    <row r="61" customFormat="false" ht="23.85" hidden="false" customHeight="false" outlineLevel="0" collapsed="false">
      <c r="A61" s="42" t="s">
        <v>487</v>
      </c>
      <c r="B61" s="12" t="s">
        <v>174</v>
      </c>
      <c r="C61" s="12" t="s">
        <v>307</v>
      </c>
      <c r="D61" s="12" t="n">
        <v>4</v>
      </c>
      <c r="E61" s="12" t="s">
        <v>1061</v>
      </c>
      <c r="F61" s="12" t="s">
        <v>1064</v>
      </c>
      <c r="G61" s="12" t="s">
        <v>1065</v>
      </c>
      <c r="H61" s="12" t="s">
        <v>1066</v>
      </c>
      <c r="I61" s="35" t="str">
        <f aca="false">Suppliers!AF51</f>
        <v>Not contacted</v>
      </c>
      <c r="J61" s="36" t="s">
        <v>4559</v>
      </c>
    </row>
    <row r="62" customFormat="false" ht="23.85" hidden="false" customHeight="false" outlineLevel="0" collapsed="false">
      <c r="A62" s="42" t="s">
        <v>487</v>
      </c>
      <c r="B62" s="12" t="s">
        <v>174</v>
      </c>
      <c r="C62" s="12" t="s">
        <v>405</v>
      </c>
      <c r="D62" s="12" t="n">
        <v>5</v>
      </c>
      <c r="E62" s="12" t="s">
        <v>1073</v>
      </c>
      <c r="F62" s="12"/>
      <c r="G62" s="12" t="s">
        <v>1077</v>
      </c>
      <c r="H62" s="12" t="s">
        <v>1078</v>
      </c>
      <c r="I62" s="35" t="str">
        <f aca="false">Suppliers!AF52</f>
        <v>Not contacted</v>
      </c>
      <c r="J62" s="36" t="s">
        <v>4559</v>
      </c>
    </row>
    <row r="63" customFormat="false" ht="15" hidden="false" customHeight="false" outlineLevel="0" collapsed="false">
      <c r="A63" s="42" t="s">
        <v>487</v>
      </c>
      <c r="B63" s="12" t="s">
        <v>118</v>
      </c>
      <c r="C63" s="12" t="s">
        <v>108</v>
      </c>
      <c r="D63" s="12" t="n">
        <v>4</v>
      </c>
      <c r="E63" s="12" t="s">
        <v>1091</v>
      </c>
      <c r="F63" s="12" t="s">
        <v>1095</v>
      </c>
      <c r="G63" s="12"/>
      <c r="H63" s="12" t="s">
        <v>1096</v>
      </c>
      <c r="I63" s="35" t="str">
        <f aca="false">Suppliers!AF54</f>
        <v>Not contacted</v>
      </c>
      <c r="J63" s="36" t="s">
        <v>4559</v>
      </c>
    </row>
    <row r="64" customFormat="false" ht="23.85" hidden="false" customHeight="false" outlineLevel="0" collapsed="false">
      <c r="A64" s="42" t="s">
        <v>487</v>
      </c>
      <c r="B64" s="12" t="s">
        <v>118</v>
      </c>
      <c r="C64" s="12" t="s">
        <v>380</v>
      </c>
      <c r="D64" s="12" t="n">
        <v>4</v>
      </c>
      <c r="E64" s="12" t="s">
        <v>1151</v>
      </c>
      <c r="F64" s="12"/>
      <c r="G64" s="12" t="s">
        <v>1155</v>
      </c>
      <c r="H64" s="12" t="s">
        <v>1156</v>
      </c>
      <c r="I64" s="35" t="str">
        <f aca="false">Suppliers!AF59</f>
        <v>Not contacted</v>
      </c>
      <c r="J64" s="36" t="s">
        <v>4559</v>
      </c>
    </row>
    <row r="65" customFormat="false" ht="23.85" hidden="false" customHeight="false" outlineLevel="0" collapsed="false">
      <c r="A65" s="42" t="s">
        <v>487</v>
      </c>
      <c r="B65" s="12" t="s">
        <v>118</v>
      </c>
      <c r="C65" s="12" t="s">
        <v>380</v>
      </c>
      <c r="D65" s="12" t="n">
        <v>4</v>
      </c>
      <c r="E65" s="12" t="s">
        <v>1163</v>
      </c>
      <c r="F65" s="12" t="s">
        <v>1167</v>
      </c>
      <c r="G65" s="12"/>
      <c r="H65" s="12" t="s">
        <v>1168</v>
      </c>
      <c r="I65" s="35" t="str">
        <f aca="false">Suppliers!AF60</f>
        <v>Not contacted</v>
      </c>
      <c r="J65" s="36" t="s">
        <v>4559</v>
      </c>
    </row>
    <row r="66" customFormat="false" ht="15" hidden="false" customHeight="false" outlineLevel="0" collapsed="false">
      <c r="A66" s="42" t="s">
        <v>487</v>
      </c>
      <c r="B66" s="12" t="s">
        <v>118</v>
      </c>
      <c r="C66" s="12" t="s">
        <v>405</v>
      </c>
      <c r="D66" s="12" t="n">
        <v>4</v>
      </c>
      <c r="E66" s="12" t="s">
        <v>1188</v>
      </c>
      <c r="F66" s="12" t="s">
        <v>1192</v>
      </c>
      <c r="G66" s="12"/>
      <c r="H66" s="12" t="s">
        <v>1193</v>
      </c>
      <c r="I66" s="35" t="str">
        <f aca="false">Suppliers!AF62</f>
        <v>Not contacted</v>
      </c>
      <c r="J66" s="36" t="s">
        <v>4559</v>
      </c>
    </row>
    <row r="67" customFormat="false" ht="23.85" hidden="false" customHeight="false" outlineLevel="0" collapsed="false">
      <c r="A67" s="42" t="s">
        <v>487</v>
      </c>
      <c r="B67" s="12" t="s">
        <v>125</v>
      </c>
      <c r="C67" s="12" t="s">
        <v>108</v>
      </c>
      <c r="D67" s="12" t="n">
        <v>4</v>
      </c>
      <c r="E67" s="12" t="s">
        <v>1252</v>
      </c>
      <c r="F67" s="12" t="s">
        <v>1256</v>
      </c>
      <c r="G67" s="12" t="s">
        <v>1257</v>
      </c>
      <c r="H67" s="12" t="s">
        <v>1258</v>
      </c>
      <c r="I67" s="35" t="str">
        <f aca="false">Suppliers!AF68</f>
        <v>Not contacted</v>
      </c>
      <c r="J67" s="36" t="s">
        <v>4559</v>
      </c>
    </row>
    <row r="68" customFormat="false" ht="15" hidden="false" customHeight="false" outlineLevel="0" collapsed="false">
      <c r="A68" s="42" t="s">
        <v>487</v>
      </c>
      <c r="B68" s="12" t="s">
        <v>125</v>
      </c>
      <c r="C68" s="12" t="s">
        <v>143</v>
      </c>
      <c r="D68" s="12" t="n">
        <v>4</v>
      </c>
      <c r="E68" s="12" t="s">
        <v>144</v>
      </c>
      <c r="F68" s="12" t="s">
        <v>148</v>
      </c>
      <c r="G68" s="12" t="s">
        <v>149</v>
      </c>
      <c r="H68" s="12" t="s">
        <v>146</v>
      </c>
      <c r="I68" s="35" t="str">
        <f aca="false">Suppliers!AF71</f>
        <v>Not contacted</v>
      </c>
      <c r="J68" s="36" t="s">
        <v>4559</v>
      </c>
    </row>
    <row r="69" customFormat="false" ht="23.85" hidden="false" customHeight="false" outlineLevel="0" collapsed="false">
      <c r="A69" s="42" t="s">
        <v>487</v>
      </c>
      <c r="B69" s="12" t="s">
        <v>125</v>
      </c>
      <c r="C69" s="12" t="s">
        <v>143</v>
      </c>
      <c r="D69" s="12" t="n">
        <v>4</v>
      </c>
      <c r="E69" s="12" t="s">
        <v>152</v>
      </c>
      <c r="F69" s="12"/>
      <c r="G69" s="12" t="s">
        <v>155</v>
      </c>
      <c r="H69" s="12" t="s">
        <v>153</v>
      </c>
      <c r="I69" s="35" t="str">
        <f aca="false">Suppliers!AF72</f>
        <v>Not contacted</v>
      </c>
      <c r="J69" s="36" t="s">
        <v>4559</v>
      </c>
    </row>
    <row r="70" customFormat="false" ht="15" hidden="false" customHeight="false" outlineLevel="0" collapsed="false">
      <c r="A70" s="42" t="s">
        <v>487</v>
      </c>
      <c r="B70" s="12" t="s">
        <v>125</v>
      </c>
      <c r="C70" s="12" t="s">
        <v>166</v>
      </c>
      <c r="D70" s="12" t="n">
        <v>4</v>
      </c>
      <c r="E70" s="12" t="s">
        <v>185</v>
      </c>
      <c r="F70" s="12" t="s">
        <v>188</v>
      </c>
      <c r="G70" s="12"/>
      <c r="H70" s="12" t="s">
        <v>186</v>
      </c>
      <c r="I70" s="35" t="str">
        <f aca="false">Suppliers!AF76</f>
        <v>Not contacted</v>
      </c>
      <c r="J70" s="36" t="s">
        <v>4559</v>
      </c>
    </row>
    <row r="71" customFormat="false" ht="23.85" hidden="false" customHeight="false" outlineLevel="0" collapsed="false">
      <c r="A71" s="42" t="s">
        <v>487</v>
      </c>
      <c r="B71" s="12" t="s">
        <v>125</v>
      </c>
      <c r="C71" s="12" t="s">
        <v>166</v>
      </c>
      <c r="D71" s="12" t="n">
        <v>4</v>
      </c>
      <c r="E71" s="12" t="s">
        <v>191</v>
      </c>
      <c r="F71" s="12" t="s">
        <v>195</v>
      </c>
      <c r="G71" s="12" t="s">
        <v>196</v>
      </c>
      <c r="H71" s="12" t="s">
        <v>193</v>
      </c>
      <c r="I71" s="35" t="str">
        <f aca="false">Suppliers!AF77</f>
        <v>Not contacted</v>
      </c>
      <c r="J71" s="36" t="s">
        <v>4559</v>
      </c>
    </row>
    <row r="72" customFormat="false" ht="15" hidden="false" customHeight="false" outlineLevel="0" collapsed="false">
      <c r="A72" s="42" t="s">
        <v>487</v>
      </c>
      <c r="B72" s="12" t="s">
        <v>125</v>
      </c>
      <c r="C72" s="12" t="s">
        <v>166</v>
      </c>
      <c r="D72" s="12" t="n">
        <v>4</v>
      </c>
      <c r="E72" s="12" t="s">
        <v>198</v>
      </c>
      <c r="F72" s="12" t="s">
        <v>201</v>
      </c>
      <c r="G72" s="12" t="s">
        <v>202</v>
      </c>
      <c r="H72" s="12" t="s">
        <v>199</v>
      </c>
      <c r="I72" s="35" t="str">
        <f aca="false">Suppliers!AF78</f>
        <v>Not contacted</v>
      </c>
      <c r="J72" s="36" t="s">
        <v>4559</v>
      </c>
    </row>
    <row r="73" customFormat="false" ht="23.85" hidden="false" customHeight="false" outlineLevel="0" collapsed="false">
      <c r="A73" s="42" t="s">
        <v>487</v>
      </c>
      <c r="B73" s="12" t="s">
        <v>125</v>
      </c>
      <c r="C73" s="12" t="s">
        <v>166</v>
      </c>
      <c r="D73" s="12" t="n">
        <v>4</v>
      </c>
      <c r="E73" s="12" t="s">
        <v>1364</v>
      </c>
      <c r="F73" s="12" t="s">
        <v>1368</v>
      </c>
      <c r="G73" s="12" t="s">
        <v>1369</v>
      </c>
      <c r="H73" s="12" t="s">
        <v>1371</v>
      </c>
      <c r="I73" s="35" t="str">
        <f aca="false">Suppliers!AF81</f>
        <v>Not contacted</v>
      </c>
      <c r="J73" s="36" t="s">
        <v>4559</v>
      </c>
    </row>
    <row r="74" customFormat="false" ht="23.85" hidden="false" customHeight="false" outlineLevel="0" collapsed="false">
      <c r="A74" s="42" t="s">
        <v>487</v>
      </c>
      <c r="B74" s="12" t="s">
        <v>125</v>
      </c>
      <c r="C74" s="12" t="s">
        <v>166</v>
      </c>
      <c r="D74" s="12" t="n">
        <v>4</v>
      </c>
      <c r="E74" s="12" t="s">
        <v>1378</v>
      </c>
      <c r="F74" s="12" t="s">
        <v>1382</v>
      </c>
      <c r="G74" s="12" t="s">
        <v>1383</v>
      </c>
      <c r="H74" s="12" t="s">
        <v>1385</v>
      </c>
      <c r="I74" s="35" t="str">
        <f aca="false">Suppliers!AF82</f>
        <v>Not contacted</v>
      </c>
      <c r="J74" s="36" t="s">
        <v>4559</v>
      </c>
    </row>
    <row r="75" customFormat="false" ht="15" hidden="false" customHeight="false" outlineLevel="0" collapsed="false">
      <c r="A75" s="42" t="s">
        <v>487</v>
      </c>
      <c r="B75" s="12" t="s">
        <v>125</v>
      </c>
      <c r="C75" s="12" t="s">
        <v>166</v>
      </c>
      <c r="D75" s="12" t="n">
        <v>4</v>
      </c>
      <c r="E75" s="12" t="s">
        <v>205</v>
      </c>
      <c r="F75" s="12" t="s">
        <v>208</v>
      </c>
      <c r="G75" s="12" t="s">
        <v>209</v>
      </c>
      <c r="H75" s="12" t="s">
        <v>206</v>
      </c>
      <c r="I75" s="35" t="str">
        <f aca="false">Suppliers!AF79</f>
        <v>Not contacted</v>
      </c>
      <c r="J75" s="36" t="s">
        <v>4559</v>
      </c>
    </row>
    <row r="76" customFormat="false" ht="15" hidden="false" customHeight="false" outlineLevel="0" collapsed="false">
      <c r="A76" s="42" t="s">
        <v>487</v>
      </c>
      <c r="B76" s="12" t="s">
        <v>125</v>
      </c>
      <c r="C76" s="12" t="s">
        <v>166</v>
      </c>
      <c r="D76" s="12" t="n">
        <v>4</v>
      </c>
      <c r="E76" s="12" t="s">
        <v>211</v>
      </c>
      <c r="F76" s="12" t="s">
        <v>213</v>
      </c>
      <c r="G76" s="12" t="s">
        <v>214</v>
      </c>
      <c r="H76" s="12" t="s">
        <v>212</v>
      </c>
      <c r="I76" s="35" t="str">
        <f aca="false">Suppliers!AF80</f>
        <v>Not contacted</v>
      </c>
      <c r="J76" s="36" t="s">
        <v>4559</v>
      </c>
    </row>
    <row r="77" customFormat="false" ht="23.85" hidden="false" customHeight="false" outlineLevel="0" collapsed="false">
      <c r="A77" s="42" t="s">
        <v>487</v>
      </c>
      <c r="B77" s="12" t="s">
        <v>125</v>
      </c>
      <c r="C77" s="12" t="s">
        <v>281</v>
      </c>
      <c r="D77" s="12" t="n">
        <v>4</v>
      </c>
      <c r="E77" s="12" t="s">
        <v>288</v>
      </c>
      <c r="F77" s="12" t="s">
        <v>292</v>
      </c>
      <c r="G77" s="12"/>
      <c r="H77" s="12" t="s">
        <v>290</v>
      </c>
      <c r="I77" s="35" t="str">
        <f aca="false">Suppliers!AF86</f>
        <v>Not contacted</v>
      </c>
      <c r="J77" s="36" t="s">
        <v>4559</v>
      </c>
    </row>
    <row r="78" customFormat="false" ht="23.85" hidden="false" customHeight="false" outlineLevel="0" collapsed="false">
      <c r="A78" s="42" t="s">
        <v>487</v>
      </c>
      <c r="B78" s="12" t="s">
        <v>125</v>
      </c>
      <c r="C78" s="12" t="s">
        <v>307</v>
      </c>
      <c r="D78" s="12" t="n">
        <v>4</v>
      </c>
      <c r="E78" s="12" t="s">
        <v>1479</v>
      </c>
      <c r="F78" s="12" t="s">
        <v>1483</v>
      </c>
      <c r="G78" s="12" t="s">
        <v>1484</v>
      </c>
      <c r="H78" s="12" t="s">
        <v>1485</v>
      </c>
      <c r="I78" s="35" t="str">
        <f aca="false">Suppliers!AF93</f>
        <v>Not contacted</v>
      </c>
      <c r="J78" s="36" t="s">
        <v>4559</v>
      </c>
    </row>
    <row r="79" customFormat="false" ht="23.85" hidden="false" customHeight="false" outlineLevel="0" collapsed="false">
      <c r="A79" s="42" t="s">
        <v>487</v>
      </c>
      <c r="B79" s="12" t="s">
        <v>125</v>
      </c>
      <c r="C79" s="12" t="s">
        <v>307</v>
      </c>
      <c r="D79" s="12" t="n">
        <v>4</v>
      </c>
      <c r="E79" s="12" t="s">
        <v>1491</v>
      </c>
      <c r="F79" s="12" t="s">
        <v>1495</v>
      </c>
      <c r="G79" s="12" t="s">
        <v>1496</v>
      </c>
      <c r="H79" s="12" t="s">
        <v>1497</v>
      </c>
      <c r="I79" s="35" t="str">
        <f aca="false">Suppliers!AF94</f>
        <v>Not contacted</v>
      </c>
      <c r="J79" s="36" t="s">
        <v>4559</v>
      </c>
    </row>
    <row r="80" customFormat="false" ht="15" hidden="false" customHeight="false" outlineLevel="0" collapsed="false">
      <c r="A80" s="42" t="s">
        <v>487</v>
      </c>
      <c r="B80" s="12" t="s">
        <v>125</v>
      </c>
      <c r="C80" s="12" t="s">
        <v>307</v>
      </c>
      <c r="D80" s="12" t="n">
        <v>4</v>
      </c>
      <c r="E80" s="12" t="s">
        <v>1503</v>
      </c>
      <c r="F80" s="12" t="s">
        <v>1507</v>
      </c>
      <c r="G80" s="12"/>
      <c r="H80" s="12" t="s">
        <v>1508</v>
      </c>
      <c r="I80" s="35" t="str">
        <f aca="false">Suppliers!AF95</f>
        <v>Not contacted</v>
      </c>
      <c r="J80" s="36" t="s">
        <v>4559</v>
      </c>
    </row>
    <row r="81" customFormat="false" ht="23.85" hidden="false" customHeight="false" outlineLevel="0" collapsed="false">
      <c r="A81" s="42" t="s">
        <v>487</v>
      </c>
      <c r="B81" s="12" t="s">
        <v>125</v>
      </c>
      <c r="C81" s="12" t="s">
        <v>353</v>
      </c>
      <c r="D81" s="12" t="n">
        <v>5</v>
      </c>
      <c r="E81" s="12" t="s">
        <v>354</v>
      </c>
      <c r="F81" s="12" t="s">
        <v>358</v>
      </c>
      <c r="G81" s="12" t="s">
        <v>359</v>
      </c>
      <c r="H81" s="12" t="s">
        <v>356</v>
      </c>
      <c r="I81" s="35" t="str">
        <f aca="false">Suppliers!AF97</f>
        <v>Not contacted</v>
      </c>
      <c r="J81" s="36" t="s">
        <v>4559</v>
      </c>
    </row>
    <row r="82" customFormat="false" ht="23.85" hidden="false" customHeight="false" outlineLevel="0" collapsed="false">
      <c r="A82" s="42" t="s">
        <v>487</v>
      </c>
      <c r="B82" s="12" t="s">
        <v>125</v>
      </c>
      <c r="C82" s="12" t="s">
        <v>353</v>
      </c>
      <c r="D82" s="12" t="n">
        <v>4</v>
      </c>
      <c r="E82" s="12" t="s">
        <v>1532</v>
      </c>
      <c r="F82" s="12" t="s">
        <v>1536</v>
      </c>
      <c r="G82" s="12" t="s">
        <v>1537</v>
      </c>
      <c r="H82" s="12" t="s">
        <v>1539</v>
      </c>
      <c r="I82" s="35" t="str">
        <f aca="false">Suppliers!AF98</f>
        <v>Not contacted</v>
      </c>
      <c r="J82" s="36" t="s">
        <v>4559</v>
      </c>
    </row>
    <row r="83" customFormat="false" ht="23.85" hidden="false" customHeight="false" outlineLevel="0" collapsed="false">
      <c r="A83" s="42" t="s">
        <v>487</v>
      </c>
      <c r="B83" s="12" t="s">
        <v>125</v>
      </c>
      <c r="C83" s="12" t="s">
        <v>353</v>
      </c>
      <c r="D83" s="12" t="n">
        <v>4</v>
      </c>
      <c r="E83" s="12" t="s">
        <v>1545</v>
      </c>
      <c r="F83" s="12" t="s">
        <v>1549</v>
      </c>
      <c r="G83" s="12" t="s">
        <v>1550</v>
      </c>
      <c r="H83" s="12" t="s">
        <v>1551</v>
      </c>
      <c r="I83" s="35" t="str">
        <f aca="false">Suppliers!AF99</f>
        <v>Not contacted</v>
      </c>
      <c r="J83" s="36" t="s">
        <v>4559</v>
      </c>
    </row>
    <row r="84" customFormat="false" ht="23.85" hidden="false" customHeight="false" outlineLevel="0" collapsed="false">
      <c r="A84" s="42" t="s">
        <v>487</v>
      </c>
      <c r="B84" s="12" t="s">
        <v>125</v>
      </c>
      <c r="C84" s="12" t="s">
        <v>353</v>
      </c>
      <c r="D84" s="12" t="n">
        <v>4</v>
      </c>
      <c r="E84" s="12" t="s">
        <v>1555</v>
      </c>
      <c r="F84" s="12" t="s">
        <v>1559</v>
      </c>
      <c r="G84" s="12" t="s">
        <v>1560</v>
      </c>
      <c r="H84" s="12" t="s">
        <v>1562</v>
      </c>
      <c r="I84" s="35" t="str">
        <f aca="false">Suppliers!AF100</f>
        <v>Not contacted</v>
      </c>
      <c r="J84" s="36" t="s">
        <v>4559</v>
      </c>
    </row>
    <row r="85" customFormat="false" ht="23.85" hidden="false" customHeight="false" outlineLevel="0" collapsed="false">
      <c r="A85" s="42" t="s">
        <v>487</v>
      </c>
      <c r="B85" s="12" t="s">
        <v>125</v>
      </c>
      <c r="C85" s="12" t="s">
        <v>353</v>
      </c>
      <c r="D85" s="12" t="n">
        <v>4</v>
      </c>
      <c r="E85" s="12" t="s">
        <v>1568</v>
      </c>
      <c r="F85" s="12" t="s">
        <v>1572</v>
      </c>
      <c r="G85" s="12" t="s">
        <v>1573</v>
      </c>
      <c r="H85" s="12" t="s">
        <v>1575</v>
      </c>
      <c r="I85" s="35" t="str">
        <f aca="false">Suppliers!AF101</f>
        <v>Not contacted</v>
      </c>
      <c r="J85" s="36" t="s">
        <v>4559</v>
      </c>
    </row>
    <row r="86" customFormat="false" ht="23.85" hidden="false" customHeight="false" outlineLevel="0" collapsed="false">
      <c r="A86" s="42" t="s">
        <v>487</v>
      </c>
      <c r="B86" s="12" t="s">
        <v>125</v>
      </c>
      <c r="C86" s="12" t="s">
        <v>374</v>
      </c>
      <c r="D86" s="12" t="n">
        <v>4</v>
      </c>
      <c r="E86" s="12" t="s">
        <v>1638</v>
      </c>
      <c r="F86" s="12" t="s">
        <v>1642</v>
      </c>
      <c r="G86" s="12" t="s">
        <v>1643</v>
      </c>
      <c r="H86" s="12" t="s">
        <v>1644</v>
      </c>
      <c r="I86" s="35" t="str">
        <f aca="false">Suppliers!AF107</f>
        <v>Not contacted</v>
      </c>
      <c r="J86" s="36" t="s">
        <v>4559</v>
      </c>
    </row>
    <row r="87" customFormat="false" ht="23.85" hidden="false" customHeight="false" outlineLevel="0" collapsed="false">
      <c r="A87" s="42" t="s">
        <v>487</v>
      </c>
      <c r="B87" s="12" t="s">
        <v>125</v>
      </c>
      <c r="C87" s="12" t="s">
        <v>380</v>
      </c>
      <c r="D87" s="12" t="n">
        <v>4</v>
      </c>
      <c r="E87" s="12" t="s">
        <v>1771</v>
      </c>
      <c r="F87" s="12" t="s">
        <v>1775</v>
      </c>
      <c r="G87" s="12"/>
      <c r="H87" s="12" t="s">
        <v>1776</v>
      </c>
      <c r="I87" s="35" t="str">
        <f aca="false">Suppliers!AF119</f>
        <v>Not contacted</v>
      </c>
      <c r="J87" s="36" t="s">
        <v>4559</v>
      </c>
    </row>
    <row r="88" customFormat="false" ht="15" hidden="false" customHeight="false" outlineLevel="0" collapsed="false">
      <c r="A88" s="42" t="s">
        <v>487</v>
      </c>
      <c r="B88" s="12" t="s">
        <v>125</v>
      </c>
      <c r="C88" s="12" t="s">
        <v>380</v>
      </c>
      <c r="D88" s="12" t="n">
        <v>4</v>
      </c>
      <c r="E88" s="12" t="s">
        <v>381</v>
      </c>
      <c r="F88" s="12" t="s">
        <v>384</v>
      </c>
      <c r="G88" s="12" t="s">
        <v>385</v>
      </c>
      <c r="H88" s="12" t="s">
        <v>382</v>
      </c>
      <c r="I88" s="35" t="str">
        <f aca="false">Suppliers!AF117</f>
        <v>Not contacted</v>
      </c>
      <c r="J88" s="36" t="s">
        <v>4559</v>
      </c>
    </row>
    <row r="89" customFormat="false" ht="15" hidden="false" customHeight="false" outlineLevel="0" collapsed="false">
      <c r="A89" s="42" t="s">
        <v>487</v>
      </c>
      <c r="B89" s="12" t="s">
        <v>125</v>
      </c>
      <c r="C89" s="12" t="s">
        <v>380</v>
      </c>
      <c r="D89" s="12" t="n">
        <v>4</v>
      </c>
      <c r="E89" s="12" t="s">
        <v>1783</v>
      </c>
      <c r="F89" s="12" t="s">
        <v>1787</v>
      </c>
      <c r="G89" s="12" t="s">
        <v>1788</v>
      </c>
      <c r="H89" s="12" t="s">
        <v>1789</v>
      </c>
      <c r="I89" s="35" t="str">
        <f aca="false">Suppliers!AF120</f>
        <v>Not contacted</v>
      </c>
      <c r="J89" s="36" t="s">
        <v>4559</v>
      </c>
    </row>
    <row r="90" customFormat="false" ht="23.85" hidden="false" customHeight="false" outlineLevel="0" collapsed="false">
      <c r="A90" s="42" t="s">
        <v>487</v>
      </c>
      <c r="B90" s="12" t="s">
        <v>125</v>
      </c>
      <c r="C90" s="12" t="s">
        <v>380</v>
      </c>
      <c r="D90" s="12" t="n">
        <v>4</v>
      </c>
      <c r="E90" s="12" t="s">
        <v>387</v>
      </c>
      <c r="F90" s="12" t="s">
        <v>390</v>
      </c>
      <c r="G90" s="12" t="s">
        <v>391</v>
      </c>
      <c r="H90" s="12" t="s">
        <v>388</v>
      </c>
      <c r="I90" s="35" t="str">
        <f aca="false">Suppliers!AF118</f>
        <v>Not contacted</v>
      </c>
      <c r="J90" s="36" t="s">
        <v>4559</v>
      </c>
    </row>
    <row r="91" customFormat="false" ht="23.85" hidden="false" customHeight="false" outlineLevel="0" collapsed="false">
      <c r="A91" s="42" t="s">
        <v>487</v>
      </c>
      <c r="B91" s="12" t="s">
        <v>125</v>
      </c>
      <c r="C91" s="12" t="s">
        <v>405</v>
      </c>
      <c r="D91" s="12" t="n">
        <v>5</v>
      </c>
      <c r="E91" s="12" t="s">
        <v>406</v>
      </c>
      <c r="F91" s="12" t="s">
        <v>410</v>
      </c>
      <c r="G91" s="12" t="s">
        <v>411</v>
      </c>
      <c r="H91" s="12" t="s">
        <v>408</v>
      </c>
      <c r="I91" s="35" t="str">
        <f aca="false">Suppliers!AF122</f>
        <v>Not contacted</v>
      </c>
      <c r="J91" s="36" t="s">
        <v>4559</v>
      </c>
    </row>
    <row r="92" customFormat="false" ht="23.85" hidden="false" customHeight="false" outlineLevel="0" collapsed="false">
      <c r="A92" s="42" t="s">
        <v>487</v>
      </c>
      <c r="B92" s="12" t="s">
        <v>125</v>
      </c>
      <c r="C92" s="12" t="s">
        <v>405</v>
      </c>
      <c r="D92" s="12" t="n">
        <v>4</v>
      </c>
      <c r="E92" s="12" t="s">
        <v>1834</v>
      </c>
      <c r="F92" s="12" t="s">
        <v>1838</v>
      </c>
      <c r="G92" s="12" t="s">
        <v>1839</v>
      </c>
      <c r="H92" s="12" t="s">
        <v>1840</v>
      </c>
      <c r="I92" s="35" t="str">
        <f aca="false">Suppliers!AF126</f>
        <v>Not contacted</v>
      </c>
      <c r="J92" s="36" t="s">
        <v>4559</v>
      </c>
    </row>
    <row r="93" customFormat="false" ht="23.85" hidden="false" customHeight="false" outlineLevel="0" collapsed="false">
      <c r="A93" s="42" t="s">
        <v>487</v>
      </c>
      <c r="B93" s="12" t="s">
        <v>125</v>
      </c>
      <c r="C93" s="12" t="s">
        <v>405</v>
      </c>
      <c r="D93" s="12" t="n">
        <v>4</v>
      </c>
      <c r="E93" s="12" t="s">
        <v>438</v>
      </c>
      <c r="F93" s="12" t="s">
        <v>441</v>
      </c>
      <c r="G93" s="12"/>
      <c r="H93" s="12" t="s">
        <v>439</v>
      </c>
      <c r="I93" s="35" t="str">
        <f aca="false">Suppliers!AF124</f>
        <v>Not contacted</v>
      </c>
      <c r="J93" s="36" t="s">
        <v>4559</v>
      </c>
    </row>
    <row r="94" customFormat="false" ht="23.85" hidden="false" customHeight="false" outlineLevel="0" collapsed="false">
      <c r="A94" s="42" t="s">
        <v>487</v>
      </c>
      <c r="B94" s="12" t="s">
        <v>262</v>
      </c>
      <c r="C94" s="12" t="s">
        <v>108</v>
      </c>
      <c r="D94" s="12" t="n">
        <v>4</v>
      </c>
      <c r="E94" s="12" t="s">
        <v>2254</v>
      </c>
      <c r="F94" s="12"/>
      <c r="G94" s="12" t="s">
        <v>2258</v>
      </c>
      <c r="H94" s="12" t="s">
        <v>2260</v>
      </c>
      <c r="I94" s="35" t="str">
        <f aca="false">Suppliers!AF167</f>
        <v>Not contacted</v>
      </c>
      <c r="J94" s="36" t="s">
        <v>4559</v>
      </c>
    </row>
    <row r="95" customFormat="false" ht="23.85" hidden="false" customHeight="false" outlineLevel="0" collapsed="false">
      <c r="A95" s="42" t="s">
        <v>487</v>
      </c>
      <c r="B95" s="12" t="s">
        <v>262</v>
      </c>
      <c r="C95" s="12" t="s">
        <v>260</v>
      </c>
      <c r="D95" s="12" t="n">
        <v>4</v>
      </c>
      <c r="E95" s="12" t="s">
        <v>261</v>
      </c>
      <c r="F95" s="12"/>
      <c r="G95" s="12" t="s">
        <v>266</v>
      </c>
      <c r="H95" s="12" t="s">
        <v>264</v>
      </c>
      <c r="I95" s="35" t="str">
        <f aca="false">Suppliers!AF169</f>
        <v>Not contacted</v>
      </c>
      <c r="J95" s="36" t="s">
        <v>4559</v>
      </c>
    </row>
    <row r="96" customFormat="false" ht="15" hidden="false" customHeight="false" outlineLevel="0" collapsed="false">
      <c r="A96" s="42" t="s">
        <v>487</v>
      </c>
      <c r="B96" s="12" t="s">
        <v>262</v>
      </c>
      <c r="C96" s="12" t="s">
        <v>281</v>
      </c>
      <c r="D96" s="12" t="n">
        <v>4</v>
      </c>
      <c r="E96" s="12" t="s">
        <v>2280</v>
      </c>
      <c r="F96" s="12" t="s">
        <v>2284</v>
      </c>
      <c r="G96" s="12"/>
      <c r="H96" s="12" t="s">
        <v>2286</v>
      </c>
      <c r="I96" s="35" t="str">
        <f aca="false">Suppliers!AF170</f>
        <v>Not contacted</v>
      </c>
      <c r="J96" s="36" t="s">
        <v>4559</v>
      </c>
    </row>
    <row r="97" customFormat="false" ht="15" hidden="false" customHeight="false" outlineLevel="0" collapsed="false">
      <c r="A97" s="42" t="s">
        <v>487</v>
      </c>
      <c r="B97" s="12" t="s">
        <v>262</v>
      </c>
      <c r="C97" s="12" t="s">
        <v>307</v>
      </c>
      <c r="D97" s="12" t="n">
        <v>4</v>
      </c>
      <c r="E97" s="12" t="s">
        <v>2315</v>
      </c>
      <c r="F97" s="12" t="s">
        <v>2319</v>
      </c>
      <c r="G97" s="12"/>
      <c r="H97" s="12" t="s">
        <v>2320</v>
      </c>
      <c r="I97" s="35" t="str">
        <f aca="false">Suppliers!AF173</f>
        <v>Not contacted</v>
      </c>
      <c r="J97" s="36" t="s">
        <v>4559</v>
      </c>
    </row>
    <row r="98" customFormat="false" ht="23.85" hidden="false" customHeight="false" outlineLevel="0" collapsed="false">
      <c r="A98" s="42" t="s">
        <v>487</v>
      </c>
      <c r="B98" s="12" t="s">
        <v>262</v>
      </c>
      <c r="C98" s="12" t="s">
        <v>307</v>
      </c>
      <c r="D98" s="12" t="n">
        <v>4</v>
      </c>
      <c r="E98" s="12" t="s">
        <v>2328</v>
      </c>
      <c r="F98" s="12" t="s">
        <v>2331</v>
      </c>
      <c r="G98" s="12" t="s">
        <v>2332</v>
      </c>
      <c r="H98" s="12" t="s">
        <v>2334</v>
      </c>
      <c r="I98" s="35" t="str">
        <f aca="false">Suppliers!AF174</f>
        <v>Not contacted</v>
      </c>
      <c r="J98" s="36" t="s">
        <v>4559</v>
      </c>
    </row>
    <row r="99" customFormat="false" ht="23.85" hidden="false" customHeight="false" outlineLevel="0" collapsed="false">
      <c r="A99" s="42" t="s">
        <v>487</v>
      </c>
      <c r="B99" s="12" t="s">
        <v>262</v>
      </c>
      <c r="C99" s="12" t="s">
        <v>307</v>
      </c>
      <c r="D99" s="12" t="n">
        <v>4</v>
      </c>
      <c r="E99" s="12" t="s">
        <v>2342</v>
      </c>
      <c r="F99" s="12" t="s">
        <v>2346</v>
      </c>
      <c r="G99" s="12" t="s">
        <v>2347</v>
      </c>
      <c r="H99" s="12" t="s">
        <v>2348</v>
      </c>
      <c r="I99" s="35" t="str">
        <f aca="false">Suppliers!AF175</f>
        <v>Not contacted</v>
      </c>
      <c r="J99" s="36" t="s">
        <v>4559</v>
      </c>
    </row>
    <row r="100" customFormat="false" ht="23.85" hidden="false" customHeight="false" outlineLevel="0" collapsed="false">
      <c r="A100" s="42" t="s">
        <v>487</v>
      </c>
      <c r="B100" s="12" t="s">
        <v>262</v>
      </c>
      <c r="C100" s="12" t="s">
        <v>353</v>
      </c>
      <c r="D100" s="12" t="n">
        <v>4</v>
      </c>
      <c r="E100" s="12" t="s">
        <v>361</v>
      </c>
      <c r="F100" s="12" t="s">
        <v>364</v>
      </c>
      <c r="G100" s="12"/>
      <c r="H100" s="12" t="s">
        <v>362</v>
      </c>
      <c r="I100" s="35" t="str">
        <f aca="false">Suppliers!AF179</f>
        <v>Not contacted</v>
      </c>
      <c r="J100" s="36" t="s">
        <v>4559</v>
      </c>
    </row>
    <row r="101" customFormat="false" ht="23.85" hidden="false" customHeight="false" outlineLevel="0" collapsed="false">
      <c r="A101" s="42" t="s">
        <v>487</v>
      </c>
      <c r="B101" s="12" t="s">
        <v>262</v>
      </c>
      <c r="C101" s="12" t="s">
        <v>405</v>
      </c>
      <c r="D101" s="12" t="n">
        <v>4</v>
      </c>
      <c r="E101" s="12" t="s">
        <v>2442</v>
      </c>
      <c r="F101" s="12"/>
      <c r="G101" s="12" t="s">
        <v>2445</v>
      </c>
      <c r="H101" s="12" t="s">
        <v>2447</v>
      </c>
      <c r="I101" s="35" t="str">
        <f aca="false">Suppliers!AF185</f>
        <v>Not contacted</v>
      </c>
      <c r="J101" s="36" t="s">
        <v>4559</v>
      </c>
    </row>
    <row r="102" customFormat="false" ht="23.85" hidden="false" customHeight="false" outlineLevel="0" collapsed="false">
      <c r="A102" s="42" t="s">
        <v>487</v>
      </c>
      <c r="B102" s="12" t="s">
        <v>262</v>
      </c>
      <c r="C102" s="12" t="s">
        <v>405</v>
      </c>
      <c r="D102" s="12" t="n">
        <v>4</v>
      </c>
      <c r="E102" s="12" t="s">
        <v>2476</v>
      </c>
      <c r="F102" s="12" t="s">
        <v>2480</v>
      </c>
      <c r="G102" s="12"/>
      <c r="H102" s="12" t="s">
        <v>2481</v>
      </c>
      <c r="I102" s="35" t="str">
        <f aca="false">Suppliers!AF188</f>
        <v>Not contacted</v>
      </c>
      <c r="J102" s="36" t="s">
        <v>4559</v>
      </c>
    </row>
    <row r="103" customFormat="false" ht="15" hidden="false" customHeight="false" outlineLevel="0" collapsed="false">
      <c r="A103" s="42" t="s">
        <v>487</v>
      </c>
      <c r="B103" s="12" t="s">
        <v>295</v>
      </c>
      <c r="C103" s="12" t="s">
        <v>281</v>
      </c>
      <c r="D103" s="12" t="n">
        <v>4</v>
      </c>
      <c r="E103" s="12" t="s">
        <v>294</v>
      </c>
      <c r="F103" s="12" t="s">
        <v>298</v>
      </c>
      <c r="G103" s="12" t="s">
        <v>299</v>
      </c>
      <c r="H103" s="12" t="s">
        <v>296</v>
      </c>
      <c r="I103" s="35" t="str">
        <f aca="false">Suppliers!AF304</f>
        <v>Not contacted</v>
      </c>
      <c r="J103" s="36" t="s">
        <v>4559</v>
      </c>
    </row>
  </sheetData>
  <autoFilter ref="A4:J103"/>
  <mergeCells count="1">
    <mergeCell ref="A2:J2"/>
  </mergeCells>
  <hyperlinks>
    <hyperlink ref="J5" r:id="rId1" location="Suppliers!A19" display="Open row &gt;"/>
    <hyperlink ref="J6" r:id="rId2" location="Suppliers!A20" display="Open row &gt;"/>
    <hyperlink ref="J7" r:id="rId3" location="Suppliers!A23" display="Open row &gt;"/>
    <hyperlink ref="J8" r:id="rId4" location="Suppliers!A28" display="Open row &gt;"/>
    <hyperlink ref="J9" r:id="rId5" location="Suppliers!A26" display="Open row &gt;"/>
    <hyperlink ref="J10" r:id="rId6" location="Suppliers!A33" display="Open row &gt;"/>
    <hyperlink ref="J11" r:id="rId7" location="Suppliers!A37" display="Open row &gt;"/>
    <hyperlink ref="J12" r:id="rId8" location="Suppliers!A38" display="Open row &gt;"/>
    <hyperlink ref="J13" r:id="rId9" location="Suppliers!A132" display="Open row &gt;"/>
    <hyperlink ref="J14" r:id="rId10" location="Suppliers!A165" display="Open row &gt;"/>
    <hyperlink ref="J15" r:id="rId11" location="Suppliers!A190" display="Open row &gt;"/>
    <hyperlink ref="J16" r:id="rId12" location="Suppliers!A193" display="Open row &gt;"/>
    <hyperlink ref="J17" r:id="rId13" location="Suppliers!A194" display="Open row &gt;"/>
    <hyperlink ref="J18" r:id="rId14" location="Suppliers!A195" display="Open row &gt;"/>
    <hyperlink ref="J19" r:id="rId15" location="Suppliers!A200" display="Open row &gt;"/>
    <hyperlink ref="J20" r:id="rId16" location="Suppliers!A201" display="Open row &gt;"/>
    <hyperlink ref="J21" r:id="rId17" location="Suppliers!A197" display="Open row &gt;"/>
    <hyperlink ref="J22" r:id="rId18" location="Suppliers!A207" display="Open row &gt;"/>
    <hyperlink ref="J23" r:id="rId19" location="Suppliers!A210" display="Open row &gt;"/>
    <hyperlink ref="J24" r:id="rId20" location="Suppliers!A220" display="Open row &gt;"/>
    <hyperlink ref="J25" r:id="rId21" location="Suppliers!A222" display="Open row &gt;"/>
    <hyperlink ref="J26" r:id="rId22" location="Suppliers!A227" display="Open row &gt;"/>
    <hyperlink ref="J27" r:id="rId23" location="Suppliers!A228" display="Open row &gt;"/>
    <hyperlink ref="J28" r:id="rId24" location="Suppliers!A229" display="Open row &gt;"/>
    <hyperlink ref="J29" r:id="rId25" location="Suppliers!A230" display="Open row &gt;"/>
    <hyperlink ref="J30" r:id="rId26" location="Suppliers!A237" display="Open row &gt;"/>
    <hyperlink ref="J31" r:id="rId27" location="Suppliers!A240" display="Open row &gt;"/>
    <hyperlink ref="J32" r:id="rId28" location="Suppliers!A241" display="Open row &gt;"/>
    <hyperlink ref="J33" r:id="rId29" location="Suppliers!A246" display="Open row &gt;"/>
    <hyperlink ref="J34" r:id="rId30" location="Suppliers!A247" display="Open row &gt;"/>
    <hyperlink ref="J35" r:id="rId31" location="Suppliers!A244" display="Open row &gt;"/>
    <hyperlink ref="J36" r:id="rId32" location="Suppliers!A248" display="Open row &gt;"/>
    <hyperlink ref="J37" r:id="rId33" location="Suppliers!A253" display="Open row &gt;"/>
    <hyperlink ref="J38" r:id="rId34" location="Suppliers!A254" display="Open row &gt;"/>
    <hyperlink ref="J39" r:id="rId35" location="Suppliers!A255" display="Open row &gt;"/>
    <hyperlink ref="J40" r:id="rId36" location="Suppliers!A261" display="Open row &gt;"/>
    <hyperlink ref="J41" r:id="rId37" location="Suppliers!A262" display="Open row &gt;"/>
    <hyperlink ref="J42" r:id="rId38" location="Suppliers!A143" display="Open row &gt;"/>
    <hyperlink ref="J43" r:id="rId39" location="Suppliers!A147" display="Open row &gt;"/>
    <hyperlink ref="J44" r:id="rId40" location="Suppliers!A151" display="Open row &gt;"/>
    <hyperlink ref="J45" r:id="rId41" location="Suppliers!A152" display="Open row &gt;"/>
    <hyperlink ref="J46" r:id="rId42" location="Suppliers!A153" display="Open row &gt;"/>
    <hyperlink ref="J47" r:id="rId43" location="Suppliers!A160" display="Open row &gt;"/>
    <hyperlink ref="J48" r:id="rId44" location="Suppliers!A162" display="Open row &gt;"/>
    <hyperlink ref="J49" r:id="rId45" location="Suppliers!A269" display="Open row &gt;"/>
    <hyperlink ref="J50" r:id="rId46" location="Suppliers!A273" display="Open row &gt;"/>
    <hyperlink ref="J51" r:id="rId47" location="Suppliers!A278" display="Open row &gt;"/>
    <hyperlink ref="J52" r:id="rId48" location="Suppliers!A284" display="Open row &gt;"/>
    <hyperlink ref="J53" r:id="rId49" location="Suppliers!A282" display="Open row &gt;"/>
    <hyperlink ref="J54" r:id="rId50" location="Suppliers!A290" display="Open row &gt;"/>
    <hyperlink ref="J55" r:id="rId51" location="Suppliers!A291" display="Open row &gt;"/>
    <hyperlink ref="J56" r:id="rId52" location="Suppliers!A297" display="Open row &gt;"/>
    <hyperlink ref="J57" r:id="rId53" location="Suppliers!A5" display="Open row &gt;"/>
    <hyperlink ref="J58" r:id="rId54" location="Suppliers!A9" display="Open row &gt;"/>
    <hyperlink ref="J59" r:id="rId55" location="Suppliers!A8" display="Open row &gt;"/>
    <hyperlink ref="J60" r:id="rId56" location="Suppliers!A41" display="Open row &gt;"/>
    <hyperlink ref="J61" r:id="rId57" location="Suppliers!A51" display="Open row &gt;"/>
    <hyperlink ref="J62" r:id="rId58" location="Suppliers!A52" display="Open row &gt;"/>
    <hyperlink ref="J63" r:id="rId59" location="Suppliers!A54" display="Open row &gt;"/>
    <hyperlink ref="J64" r:id="rId60" location="Suppliers!A59" display="Open row &gt;"/>
    <hyperlink ref="J65" r:id="rId61" location="Suppliers!A60" display="Open row &gt;"/>
    <hyperlink ref="J66" r:id="rId62" location="Suppliers!A62" display="Open row &gt;"/>
    <hyperlink ref="J67" r:id="rId63" location="Suppliers!A68" display="Open row &gt;"/>
    <hyperlink ref="J68" r:id="rId64" location="Suppliers!A71" display="Open row &gt;"/>
    <hyperlink ref="J69" r:id="rId65" location="Suppliers!A72" display="Open row &gt;"/>
    <hyperlink ref="J70" r:id="rId66" location="Suppliers!A76" display="Open row &gt;"/>
    <hyperlink ref="J71" r:id="rId67" location="Suppliers!A77" display="Open row &gt;"/>
    <hyperlink ref="J72" r:id="rId68" location="Suppliers!A78" display="Open row &gt;"/>
    <hyperlink ref="J73" r:id="rId69" location="Suppliers!A81" display="Open row &gt;"/>
    <hyperlink ref="J74" r:id="rId70" location="Suppliers!A82" display="Open row &gt;"/>
    <hyperlink ref="J75" r:id="rId71" location="Suppliers!A79" display="Open row &gt;"/>
    <hyperlink ref="J76" r:id="rId72" location="Suppliers!A80" display="Open row &gt;"/>
    <hyperlink ref="J77" r:id="rId73" location="Suppliers!A86" display="Open row &gt;"/>
    <hyperlink ref="J78" r:id="rId74" location="Suppliers!A93" display="Open row &gt;"/>
    <hyperlink ref="J79" r:id="rId75" location="Suppliers!A94" display="Open row &gt;"/>
    <hyperlink ref="J80" r:id="rId76" location="Suppliers!A95" display="Open row &gt;"/>
    <hyperlink ref="J81" r:id="rId77" location="Suppliers!A97" display="Open row &gt;"/>
    <hyperlink ref="J82" r:id="rId78" location="Suppliers!A98" display="Open row &gt;"/>
    <hyperlink ref="J83" r:id="rId79" location="Suppliers!A99" display="Open row &gt;"/>
    <hyperlink ref="J84" r:id="rId80" location="Suppliers!A100" display="Open row &gt;"/>
    <hyperlink ref="J85" r:id="rId81" location="Suppliers!A101" display="Open row &gt;"/>
    <hyperlink ref="J86" r:id="rId82" location="Suppliers!A107" display="Open row &gt;"/>
    <hyperlink ref="J87" r:id="rId83" location="Suppliers!A119" display="Open row &gt;"/>
    <hyperlink ref="J88" r:id="rId84" location="Suppliers!A117" display="Open row &gt;"/>
    <hyperlink ref="J89" r:id="rId85" location="Suppliers!A120" display="Open row &gt;"/>
    <hyperlink ref="J90" r:id="rId86" location="Suppliers!A118" display="Open row &gt;"/>
    <hyperlink ref="J91" r:id="rId87" location="Suppliers!A122" display="Open row &gt;"/>
    <hyperlink ref="J92" r:id="rId88" location="Suppliers!A126" display="Open row &gt;"/>
    <hyperlink ref="J93" r:id="rId89" location="Suppliers!A124" display="Open row &gt;"/>
    <hyperlink ref="J94" r:id="rId90" location="Suppliers!A167" display="Open row &gt;"/>
    <hyperlink ref="J95" r:id="rId91" location="Suppliers!A169" display="Open row &gt;"/>
    <hyperlink ref="J96" r:id="rId92" location="Suppliers!A170" display="Open row &gt;"/>
    <hyperlink ref="J97" r:id="rId93" location="Suppliers!A173" display="Open row &gt;"/>
    <hyperlink ref="J98" r:id="rId94" location="Suppliers!A174" display="Open row &gt;"/>
    <hyperlink ref="J99" r:id="rId95" location="Suppliers!A175" display="Open row &gt;"/>
    <hyperlink ref="J100" r:id="rId96" location="Suppliers!A179" display="Open row &gt;"/>
    <hyperlink ref="J101" r:id="rId97" location="Suppliers!A185" display="Open row &gt;"/>
    <hyperlink ref="J102" r:id="rId98" location="Suppliers!A188" display="Open row &gt;"/>
    <hyperlink ref="J103" r:id="rId99" location="Suppliers!A304" display="Open row &g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3" min="3" style="0" width="10"/>
    <col collapsed="false" customWidth="true" hidden="false" outlineLevel="0" max="4" min="4" style="0" width="42"/>
    <col collapsed="false" customWidth="true" hidden="false" outlineLevel="0" max="5" min="5" style="0" width="46"/>
    <col collapsed="false" customWidth="true" hidden="false" outlineLevel="0" max="6" min="6" style="0" width="40"/>
    <col collapsed="false" customWidth="true" hidden="false" outlineLevel="0" max="7" min="7" style="0" width="44"/>
  </cols>
  <sheetData>
    <row r="1" customFormat="false" ht="31.5" hidden="false" customHeight="true" outlineLevel="0" collapsed="false">
      <c r="A1" s="7" t="s">
        <v>4510</v>
      </c>
      <c r="B1" s="7" t="s">
        <v>4560</v>
      </c>
      <c r="C1" s="7" t="s">
        <v>4487</v>
      </c>
      <c r="D1" s="7" t="s">
        <v>4561</v>
      </c>
      <c r="E1" s="7" t="s">
        <v>4562</v>
      </c>
      <c r="F1" s="7" t="s">
        <v>4563</v>
      </c>
      <c r="G1" s="7" t="s">
        <v>4564</v>
      </c>
    </row>
    <row r="2" customFormat="false" ht="61.5" hidden="false" customHeight="true" outlineLevel="0" collapsed="false">
      <c r="A2" s="13" t="s">
        <v>99</v>
      </c>
      <c r="B2" s="12" t="n">
        <f aca="false">COUNTIF(Suppliers!$D$2:$D$359,A2)</f>
        <v>3</v>
      </c>
      <c r="C2" s="12" t="n">
        <f aca="false">COUNTIFS(Suppliers!$D$2:$D$359,A2,Suppliers!$C$2:$C$359,"&gt;=4")</f>
        <v>1</v>
      </c>
      <c r="D2" s="12" t="s">
        <v>4565</v>
      </c>
      <c r="E2" s="12" t="s">
        <v>4566</v>
      </c>
      <c r="F2" s="12" t="s">
        <v>4567</v>
      </c>
      <c r="G2" s="12" t="s">
        <v>4568</v>
      </c>
    </row>
    <row r="3" customFormat="false" ht="61.5" hidden="false" customHeight="true" outlineLevel="0" collapsed="false">
      <c r="A3" s="13" t="s">
        <v>108</v>
      </c>
      <c r="B3" s="12" t="n">
        <f aca="false">COUNTIF(Suppliers!$D$2:$D$359,A3)</f>
        <v>30</v>
      </c>
      <c r="C3" s="12" t="n">
        <f aca="false">COUNTIFS(Suppliers!$D$2:$D$359,A3,Suppliers!$C$2:$C$359,"&gt;=4")</f>
        <v>14</v>
      </c>
      <c r="D3" s="12" t="s">
        <v>4569</v>
      </c>
      <c r="E3" s="12" t="s">
        <v>4570</v>
      </c>
      <c r="F3" s="12" t="s">
        <v>4571</v>
      </c>
      <c r="G3" s="12" t="s">
        <v>4572</v>
      </c>
    </row>
    <row r="4" customFormat="false" ht="61.5" hidden="false" customHeight="true" outlineLevel="0" collapsed="false">
      <c r="A4" s="13" t="s">
        <v>143</v>
      </c>
      <c r="B4" s="12" t="n">
        <f aca="false">COUNTIF(Suppliers!$D$2:$D$359,A4)</f>
        <v>38</v>
      </c>
      <c r="C4" s="12" t="n">
        <f aca="false">COUNTIFS(Suppliers!$D$2:$D$359,A4,Suppliers!$C$2:$C$359,"&gt;=4")</f>
        <v>16</v>
      </c>
      <c r="D4" s="12" t="s">
        <v>4573</v>
      </c>
      <c r="E4" s="12" t="s">
        <v>4574</v>
      </c>
      <c r="F4" s="12" t="s">
        <v>4575</v>
      </c>
      <c r="G4" s="12" t="s">
        <v>4576</v>
      </c>
    </row>
    <row r="5" customFormat="false" ht="61.5" hidden="false" customHeight="true" outlineLevel="0" collapsed="false">
      <c r="A5" s="13" t="s">
        <v>166</v>
      </c>
      <c r="B5" s="12" t="n">
        <f aca="false">COUNTIF(Suppliers!$D$2:$D$359,A5)</f>
        <v>30</v>
      </c>
      <c r="C5" s="12" t="n">
        <f aca="false">COUNTIFS(Suppliers!$D$2:$D$359,A5,Suppliers!$C$2:$C$359,"&gt;=4")</f>
        <v>19</v>
      </c>
      <c r="D5" s="12" t="s">
        <v>4577</v>
      </c>
      <c r="E5" s="12" t="s">
        <v>4578</v>
      </c>
      <c r="F5" s="12" t="s">
        <v>4579</v>
      </c>
      <c r="G5" s="12" t="s">
        <v>4580</v>
      </c>
    </row>
    <row r="6" customFormat="false" ht="61.5" hidden="false" customHeight="true" outlineLevel="0" collapsed="false">
      <c r="A6" s="13" t="s">
        <v>229</v>
      </c>
      <c r="B6" s="12" t="n">
        <f aca="false">COUNTIF(Suppliers!$D$2:$D$359,A6)</f>
        <v>11</v>
      </c>
      <c r="C6" s="12" t="n">
        <f aca="false">COUNTIFS(Suppliers!$D$2:$D$359,A6,Suppliers!$C$2:$C$359,"&gt;=4")</f>
        <v>4</v>
      </c>
      <c r="D6" s="12" t="s">
        <v>4581</v>
      </c>
      <c r="E6" s="12" t="s">
        <v>4582</v>
      </c>
      <c r="F6" s="12" t="s">
        <v>4583</v>
      </c>
      <c r="G6" s="12" t="s">
        <v>4584</v>
      </c>
    </row>
    <row r="7" customFormat="false" ht="61.5" hidden="false" customHeight="true" outlineLevel="0" collapsed="false">
      <c r="A7" s="13" t="s">
        <v>260</v>
      </c>
      <c r="B7" s="12" t="n">
        <f aca="false">COUNTIF(Suppliers!$D$2:$D$359,A7)</f>
        <v>8</v>
      </c>
      <c r="C7" s="12" t="n">
        <f aca="false">COUNTIFS(Suppliers!$D$2:$D$359,A7,Suppliers!$C$2:$C$359,"&gt;=4")</f>
        <v>2</v>
      </c>
      <c r="D7" s="12" t="s">
        <v>4585</v>
      </c>
      <c r="E7" s="12" t="s">
        <v>4586</v>
      </c>
      <c r="F7" s="12" t="s">
        <v>4587</v>
      </c>
      <c r="G7" s="12" t="s">
        <v>4588</v>
      </c>
    </row>
    <row r="8" customFormat="false" ht="61.5" hidden="false" customHeight="true" outlineLevel="0" collapsed="false">
      <c r="A8" s="13" t="s">
        <v>281</v>
      </c>
      <c r="B8" s="12" t="n">
        <f aca="false">COUNTIF(Suppliers!$D$2:$D$359,A8)</f>
        <v>34</v>
      </c>
      <c r="C8" s="12" t="n">
        <f aca="false">COUNTIFS(Suppliers!$D$2:$D$359,A8,Suppliers!$C$2:$C$359,"&gt;=4")</f>
        <v>14</v>
      </c>
      <c r="D8" s="12" t="s">
        <v>4589</v>
      </c>
      <c r="E8" s="12" t="s">
        <v>4590</v>
      </c>
      <c r="F8" s="12" t="s">
        <v>4591</v>
      </c>
      <c r="G8" s="12" t="s">
        <v>4592</v>
      </c>
    </row>
    <row r="9" customFormat="false" ht="61.5" hidden="false" customHeight="true" outlineLevel="0" collapsed="false">
      <c r="A9" s="13" t="s">
        <v>307</v>
      </c>
      <c r="B9" s="12" t="n">
        <f aca="false">COUNTIF(Suppliers!$D$2:$D$359,A9)</f>
        <v>49</v>
      </c>
      <c r="C9" s="12" t="n">
        <f aca="false">COUNTIFS(Suppliers!$D$2:$D$359,A9,Suppliers!$C$2:$C$359,"&gt;=4")</f>
        <v>21</v>
      </c>
      <c r="D9" s="12" t="s">
        <v>4593</v>
      </c>
      <c r="E9" s="12" t="s">
        <v>4594</v>
      </c>
      <c r="F9" s="12" t="s">
        <v>4595</v>
      </c>
      <c r="G9" s="12" t="s">
        <v>4596</v>
      </c>
    </row>
    <row r="10" customFormat="false" ht="61.5" hidden="false" customHeight="true" outlineLevel="0" collapsed="false">
      <c r="A10" s="13" t="s">
        <v>353</v>
      </c>
      <c r="B10" s="12" t="n">
        <f aca="false">COUNTIF(Suppliers!$D$2:$D$359,A10)</f>
        <v>41</v>
      </c>
      <c r="C10" s="12" t="n">
        <f aca="false">COUNTIFS(Suppliers!$D$2:$D$359,A10,Suppliers!$C$2:$C$359,"&gt;=4")</f>
        <v>17</v>
      </c>
      <c r="D10" s="12" t="s">
        <v>4597</v>
      </c>
      <c r="E10" s="12" t="s">
        <v>4598</v>
      </c>
      <c r="F10" s="12" t="s">
        <v>4599</v>
      </c>
      <c r="G10" s="12" t="s">
        <v>4600</v>
      </c>
    </row>
    <row r="11" customFormat="false" ht="61.5" hidden="false" customHeight="true" outlineLevel="0" collapsed="false">
      <c r="A11" s="13" t="s">
        <v>374</v>
      </c>
      <c r="B11" s="12" t="n">
        <f aca="false">COUNTIF(Suppliers!$D$2:$D$359,A11)</f>
        <v>31</v>
      </c>
      <c r="C11" s="12" t="n">
        <f aca="false">COUNTIFS(Suppliers!$D$2:$D$359,A11,Suppliers!$C$2:$C$359,"&gt;=4")</f>
        <v>13</v>
      </c>
      <c r="D11" s="12" t="s">
        <v>4601</v>
      </c>
      <c r="E11" s="12" t="s">
        <v>4602</v>
      </c>
      <c r="F11" s="12" t="s">
        <v>4603</v>
      </c>
      <c r="G11" s="12" t="s">
        <v>4604</v>
      </c>
    </row>
    <row r="12" customFormat="false" ht="61.5" hidden="false" customHeight="true" outlineLevel="0" collapsed="false">
      <c r="A12" s="13" t="s">
        <v>380</v>
      </c>
      <c r="B12" s="12" t="n">
        <f aca="false">COUNTIF(Suppliers!$D$2:$D$359,A12)</f>
        <v>29</v>
      </c>
      <c r="C12" s="12" t="n">
        <f aca="false">COUNTIFS(Suppliers!$D$2:$D$359,A12,Suppliers!$C$2:$C$359,"&gt;=4")</f>
        <v>18</v>
      </c>
      <c r="D12" s="12" t="s">
        <v>4605</v>
      </c>
      <c r="E12" s="12" t="s">
        <v>4606</v>
      </c>
      <c r="F12" s="12" t="s">
        <v>4607</v>
      </c>
      <c r="G12" s="12" t="s">
        <v>4608</v>
      </c>
    </row>
    <row r="13" customFormat="false" ht="61.5" hidden="false" customHeight="true" outlineLevel="0" collapsed="false">
      <c r="A13" s="13" t="s">
        <v>405</v>
      </c>
      <c r="B13" s="12" t="n">
        <f aca="false">COUNTIF(Suppliers!$D$2:$D$359,A13)</f>
        <v>54</v>
      </c>
      <c r="C13" s="12" t="n">
        <f aca="false">COUNTIFS(Suppliers!$D$2:$D$359,A13,Suppliers!$C$2:$C$359,"&gt;=4")</f>
        <v>31</v>
      </c>
      <c r="D13" s="12" t="s">
        <v>4609</v>
      </c>
      <c r="E13" s="12" t="s">
        <v>4610</v>
      </c>
      <c r="F13" s="12" t="s">
        <v>4611</v>
      </c>
      <c r="G13" s="12" t="s">
        <v>4612</v>
      </c>
    </row>
    <row r="15" customFormat="false" ht="15" hidden="false" customHeight="false" outlineLevel="0" collapsed="false">
      <c r="A15" s="43" t="s">
        <v>4613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4" min="3" style="0" width="13"/>
    <col collapsed="false" customWidth="true" hidden="false" outlineLevel="0" max="6" min="5" style="0" width="9"/>
    <col collapsed="false" customWidth="true" hidden="false" outlineLevel="0" max="8" min="7" style="0" width="10"/>
    <col collapsed="false" customWidth="true" hidden="false" outlineLevel="0" max="11" min="9" style="0" width="9"/>
    <col collapsed="false" customWidth="true" hidden="false" outlineLevel="0" max="13" min="12" style="0" width="11"/>
    <col collapsed="false" customWidth="true" hidden="false" outlineLevel="0" max="14" min="14" style="0" width="8"/>
    <col collapsed="false" customWidth="true" hidden="false" outlineLevel="0" max="15" min="15" style="0" width="11"/>
    <col collapsed="false" customWidth="true" hidden="false" outlineLevel="0" max="16" min="16" style="0" width="9"/>
    <col collapsed="false" customWidth="true" hidden="false" outlineLevel="0" max="17" min="17" style="0" width="10"/>
    <col collapsed="false" customWidth="true" hidden="false" outlineLevel="0" max="18" min="18" style="0" width="9"/>
    <col collapsed="false" customWidth="true" hidden="false" outlineLevel="0" max="19" min="19" style="0" width="10"/>
    <col collapsed="false" customWidth="true" hidden="false" outlineLevel="0" max="20" min="20" style="0" width="11"/>
    <col collapsed="false" customWidth="true" hidden="false" outlineLevel="0" max="22" min="21" style="0" width="9"/>
    <col collapsed="false" customWidth="true" hidden="false" outlineLevel="0" max="23" min="23" style="0" width="12"/>
    <col collapsed="false" customWidth="true" hidden="false" outlineLevel="0" max="24" min="24" style="0" width="10"/>
  </cols>
  <sheetData>
    <row r="1" customFormat="false" ht="19.7" hidden="false" customHeight="false" outlineLevel="0" collapsed="false">
      <c r="A1" s="1" t="s">
        <v>4614</v>
      </c>
    </row>
    <row r="2" customFormat="false" ht="15" hidden="false" customHeight="false" outlineLevel="0" collapsed="false">
      <c r="A2" s="43" t="s">
        <v>4615</v>
      </c>
    </row>
    <row r="4" customFormat="false" ht="15" hidden="false" customHeight="false" outlineLevel="0" collapsed="false">
      <c r="A4" s="40" t="s">
        <v>4616</v>
      </c>
      <c r="B4" s="44" t="n">
        <v>0.85</v>
      </c>
      <c r="C4" s="45" t="s">
        <v>4617</v>
      </c>
    </row>
    <row r="5" customFormat="false" ht="15" hidden="false" customHeight="false" outlineLevel="0" collapsed="false">
      <c r="A5" s="40" t="s">
        <v>4618</v>
      </c>
      <c r="B5" s="46" t="n">
        <v>0.2</v>
      </c>
      <c r="C5" s="45" t="s">
        <v>4619</v>
      </c>
    </row>
    <row r="6" customFormat="false" ht="15" hidden="false" customHeight="false" outlineLevel="0" collapsed="false">
      <c r="A6" s="40" t="s">
        <v>4620</v>
      </c>
      <c r="B6" s="46" t="n">
        <v>0.15</v>
      </c>
      <c r="C6" s="45" t="s">
        <v>4621</v>
      </c>
    </row>
    <row r="7" customFormat="false" ht="15" hidden="false" customHeight="false" outlineLevel="0" collapsed="false">
      <c r="A7" s="40" t="s">
        <v>4622</v>
      </c>
      <c r="B7" s="46" t="n">
        <v>0.3</v>
      </c>
      <c r="C7" s="45" t="s">
        <v>4623</v>
      </c>
    </row>
    <row r="10" customFormat="false" ht="45" hidden="false" customHeight="true" outlineLevel="0" collapsed="false">
      <c r="A10" s="7" t="s">
        <v>4624</v>
      </c>
      <c r="B10" s="7" t="s">
        <v>4625</v>
      </c>
      <c r="C10" s="7" t="s">
        <v>4626</v>
      </c>
      <c r="D10" s="7" t="s">
        <v>4627</v>
      </c>
      <c r="E10" s="7" t="s">
        <v>4628</v>
      </c>
      <c r="F10" s="7" t="s">
        <v>4629</v>
      </c>
      <c r="G10" s="7" t="s">
        <v>4630</v>
      </c>
      <c r="H10" s="7" t="s">
        <v>4631</v>
      </c>
      <c r="I10" s="7" t="s">
        <v>4632</v>
      </c>
      <c r="J10" s="7" t="s">
        <v>4633</v>
      </c>
      <c r="K10" s="7" t="s">
        <v>4634</v>
      </c>
      <c r="L10" s="7" t="s">
        <v>4635</v>
      </c>
      <c r="M10" s="7" t="s">
        <v>4636</v>
      </c>
      <c r="N10" s="7" t="s">
        <v>4637</v>
      </c>
      <c r="O10" s="7" t="s">
        <v>4638</v>
      </c>
      <c r="P10" s="7" t="s">
        <v>4639</v>
      </c>
      <c r="Q10" s="7" t="s">
        <v>4640</v>
      </c>
      <c r="R10" s="7" t="s">
        <v>4641</v>
      </c>
      <c r="S10" s="7" t="s">
        <v>4642</v>
      </c>
      <c r="T10" s="7" t="s">
        <v>4643</v>
      </c>
      <c r="U10" s="7" t="s">
        <v>4644</v>
      </c>
      <c r="V10" s="7" t="s">
        <v>4645</v>
      </c>
      <c r="W10" s="7" t="s">
        <v>4646</v>
      </c>
      <c r="X10" s="7" t="s">
        <v>4647</v>
      </c>
    </row>
    <row r="11" customFormat="false" ht="15" hidden="false" customHeight="false" outlineLevel="0" collapsed="false">
      <c r="A11" s="47" t="s">
        <v>4648</v>
      </c>
      <c r="B11" s="47" t="s">
        <v>236</v>
      </c>
      <c r="C11" s="47" t="s">
        <v>4649</v>
      </c>
      <c r="D11" s="48" t="n">
        <v>12.5</v>
      </c>
      <c r="E11" s="47" t="s">
        <v>4650</v>
      </c>
      <c r="F11" s="49" t="n">
        <f aca="false">IF(D11="","",IF(E11="EUR",$B$4,1))</f>
        <v>0.85</v>
      </c>
      <c r="G11" s="50" t="n">
        <f aca="false">IF(D11="","",D11*F11)</f>
        <v>10.625</v>
      </c>
      <c r="H11" s="51" t="n">
        <v>0.6</v>
      </c>
      <c r="I11" s="52" t="n">
        <v>0</v>
      </c>
      <c r="J11" s="50" t="n">
        <f aca="false">IF(D11="","",(G11+H11)*I11)</f>
        <v>0</v>
      </c>
      <c r="K11" s="51" t="n">
        <v>0.3</v>
      </c>
      <c r="L11" s="50" t="n">
        <f aca="false">IF(D11="","",G11+H11+J11+K11)</f>
        <v>11.525</v>
      </c>
      <c r="M11" s="51" t="n">
        <v>32.99</v>
      </c>
      <c r="N11" s="53" t="n">
        <f aca="false">IF(M11="","",$B$5)</f>
        <v>0.2</v>
      </c>
      <c r="O11" s="50" t="n">
        <f aca="false">IF(M11="","",M11/(1+N11))</f>
        <v>27.4916666666667</v>
      </c>
      <c r="P11" s="53" t="n">
        <f aca="false">IF(M11="","",$B$6)</f>
        <v>0.15</v>
      </c>
      <c r="Q11" s="50" t="n">
        <f aca="false">IF(M11="","",M11*P11)</f>
        <v>4.9485</v>
      </c>
      <c r="R11" s="51" t="n">
        <v>3.4</v>
      </c>
      <c r="S11" s="51" t="n">
        <v>0.15</v>
      </c>
      <c r="T11" s="50" t="n">
        <f aca="false">IF(OR(D11="",M11=""),"",O11-L11-Q11-R11-S11)</f>
        <v>7.46816666666667</v>
      </c>
      <c r="U11" s="54" t="n">
        <f aca="false">IF(T11="","",IF(L11=0,"",T11/L11))</f>
        <v>0.647997107736804</v>
      </c>
      <c r="V11" s="54" t="n">
        <f aca="false">IF(T11="","",T11/O11)</f>
        <v>0.271652015762352</v>
      </c>
      <c r="W11" s="50" t="n">
        <f aca="false">IF(OR(D11="",M11=""),"",IF((1/(1+N11)-P11)&lt;=0,"",(L11+R11+S11)/(1/(1+N11)-P11)))</f>
        <v>22.0609756097561</v>
      </c>
      <c r="X11" s="37" t="str">
        <f aca="false">IF(U11="","",IF(U11&gt;=$B$7,"BUY","SKIP"))</f>
        <v>BUY</v>
      </c>
    </row>
    <row r="12" customFormat="false" ht="15" hidden="false" customHeight="false" outlineLevel="0" collapsed="false">
      <c r="A12" s="47" t="s">
        <v>4651</v>
      </c>
      <c r="B12" s="47" t="s">
        <v>366</v>
      </c>
      <c r="C12" s="47" t="s">
        <v>4652</v>
      </c>
      <c r="D12" s="48" t="n">
        <v>4.2</v>
      </c>
      <c r="E12" s="47" t="s">
        <v>4653</v>
      </c>
      <c r="F12" s="49" t="n">
        <f aca="false">IF(D12="","",IF(E12="EUR",$B$4,1))</f>
        <v>1</v>
      </c>
      <c r="G12" s="50" t="n">
        <f aca="false">IF(D12="","",D12*F12)</f>
        <v>4.2</v>
      </c>
      <c r="H12" s="51" t="n">
        <v>0.25</v>
      </c>
      <c r="I12" s="52" t="n">
        <v>0</v>
      </c>
      <c r="J12" s="50" t="n">
        <f aca="false">IF(D12="","",(G12+H12)*I12)</f>
        <v>0</v>
      </c>
      <c r="K12" s="51" t="n">
        <v>0.1</v>
      </c>
      <c r="L12" s="50" t="n">
        <f aca="false">IF(D12="","",G12+H12+J12+K12)</f>
        <v>4.55</v>
      </c>
      <c r="M12" s="51" t="n">
        <v>12.99</v>
      </c>
      <c r="N12" s="53" t="n">
        <f aca="false">IF(M12="","",$B$5)</f>
        <v>0.2</v>
      </c>
      <c r="O12" s="50" t="n">
        <f aca="false">IF(M12="","",M12/(1+N12))</f>
        <v>10.825</v>
      </c>
      <c r="P12" s="53" t="n">
        <f aca="false">IF(M12="","",$B$6)</f>
        <v>0.15</v>
      </c>
      <c r="Q12" s="50" t="n">
        <f aca="false">IF(M12="","",M12*P12)</f>
        <v>1.9485</v>
      </c>
      <c r="R12" s="51" t="n">
        <v>2.9</v>
      </c>
      <c r="S12" s="51" t="n">
        <v>0.05</v>
      </c>
      <c r="T12" s="50" t="n">
        <f aca="false">IF(OR(D12="",M12=""),"",O12-L12-Q12-R12-S12)</f>
        <v>1.3765</v>
      </c>
      <c r="U12" s="54" t="n">
        <f aca="false">IF(T12="","",IF(L12=0,"",T12/L12))</f>
        <v>0.302527472527473</v>
      </c>
      <c r="V12" s="54" t="n">
        <f aca="false">IF(T12="","",T12/O12)</f>
        <v>0.12715935334873</v>
      </c>
      <c r="W12" s="50" t="n">
        <f aca="false">IF(OR(D12="",M12=""),"",IF((1/(1+N12)-P12)&lt;=0,"",(L12+R12+S12)/(1/(1+N12)-P12)))</f>
        <v>10.9756097560976</v>
      </c>
      <c r="X12" s="37" t="str">
        <f aca="false">IF(U12="","",IF(U12&gt;=$B$7,"BUY","SKIP"))</f>
        <v>BUY</v>
      </c>
    </row>
    <row r="13" customFormat="false" ht="15" hidden="false" customHeight="false" outlineLevel="0" collapsed="false">
      <c r="A13" s="47"/>
      <c r="B13" s="47"/>
      <c r="C13" s="47"/>
      <c r="D13" s="48"/>
      <c r="E13" s="47"/>
      <c r="F13" s="49" t="str">
        <f aca="false">IF(D13="","",IF(E13="EUR",$B$4,1))</f>
        <v/>
      </c>
      <c r="G13" s="50" t="str">
        <f aca="false">IF(D13="","",D13*F13)</f>
        <v/>
      </c>
      <c r="H13" s="51"/>
      <c r="I13" s="52"/>
      <c r="J13" s="50" t="str">
        <f aca="false">IF(D13="","",(G13+H13)*I13)</f>
        <v/>
      </c>
      <c r="K13" s="51"/>
      <c r="L13" s="50" t="str">
        <f aca="false">IF(D13="","",G13+H13+J13+K13)</f>
        <v/>
      </c>
      <c r="M13" s="51"/>
      <c r="N13" s="53" t="str">
        <f aca="false">IF(M13="","",$B$5)</f>
        <v/>
      </c>
      <c r="O13" s="50" t="str">
        <f aca="false">IF(M13="","",M13/(1+N13))</f>
        <v/>
      </c>
      <c r="P13" s="53" t="str">
        <f aca="false">IF(M13="","",$B$6)</f>
        <v/>
      </c>
      <c r="Q13" s="50" t="str">
        <f aca="false">IF(M13="","",M13*P13)</f>
        <v/>
      </c>
      <c r="R13" s="51"/>
      <c r="S13" s="51"/>
      <c r="T13" s="50" t="str">
        <f aca="false">IF(OR(D13="",M13=""),"",O13-L13-Q13-R13-S13)</f>
        <v/>
      </c>
      <c r="U13" s="54" t="str">
        <f aca="false">IF(T13="","",IF(L13=0,"",T13/L13))</f>
        <v/>
      </c>
      <c r="V13" s="54" t="str">
        <f aca="false">IF(T13="","",T13/O13)</f>
        <v/>
      </c>
      <c r="W13" s="50" t="str">
        <f aca="false">IF(OR(D13="",M13=""),"",IF((1/(1+N13)-P13)&lt;=0,"",(L13+R13+S13)/(1/(1+N13)-P13)))</f>
        <v/>
      </c>
      <c r="X13" s="37" t="str">
        <f aca="false">IF(U13="","",IF(U13&gt;=$B$7,"BUY","SKIP"))</f>
        <v/>
      </c>
    </row>
    <row r="14" customFormat="false" ht="15" hidden="false" customHeight="false" outlineLevel="0" collapsed="false">
      <c r="A14" s="47"/>
      <c r="B14" s="47"/>
      <c r="C14" s="47"/>
      <c r="D14" s="48"/>
      <c r="E14" s="47"/>
      <c r="F14" s="49" t="str">
        <f aca="false">IF(D14="","",IF(E14="EUR",$B$4,1))</f>
        <v/>
      </c>
      <c r="G14" s="50" t="str">
        <f aca="false">IF(D14="","",D14*F14)</f>
        <v/>
      </c>
      <c r="H14" s="51"/>
      <c r="I14" s="52"/>
      <c r="J14" s="50" t="str">
        <f aca="false">IF(D14="","",(G14+H14)*I14)</f>
        <v/>
      </c>
      <c r="K14" s="51"/>
      <c r="L14" s="50" t="str">
        <f aca="false">IF(D14="","",G14+H14+J14+K14)</f>
        <v/>
      </c>
      <c r="M14" s="51"/>
      <c r="N14" s="53" t="str">
        <f aca="false">IF(M14="","",$B$5)</f>
        <v/>
      </c>
      <c r="O14" s="50" t="str">
        <f aca="false">IF(M14="","",M14/(1+N14))</f>
        <v/>
      </c>
      <c r="P14" s="53" t="str">
        <f aca="false">IF(M14="","",$B$6)</f>
        <v/>
      </c>
      <c r="Q14" s="50" t="str">
        <f aca="false">IF(M14="","",M14*P14)</f>
        <v/>
      </c>
      <c r="R14" s="51"/>
      <c r="S14" s="51"/>
      <c r="T14" s="50" t="str">
        <f aca="false">IF(OR(D14="",M14=""),"",O14-L14-Q14-R14-S14)</f>
        <v/>
      </c>
      <c r="U14" s="54" t="str">
        <f aca="false">IF(T14="","",IF(L14=0,"",T14/L14))</f>
        <v/>
      </c>
      <c r="V14" s="54" t="str">
        <f aca="false">IF(T14="","",T14/O14)</f>
        <v/>
      </c>
      <c r="W14" s="50" t="str">
        <f aca="false">IF(OR(D14="",M14=""),"",IF((1/(1+N14)-P14)&lt;=0,"",(L14+R14+S14)/(1/(1+N14)-P14)))</f>
        <v/>
      </c>
      <c r="X14" s="37" t="str">
        <f aca="false">IF(U14="","",IF(U14&gt;=$B$7,"BUY","SKIP"))</f>
        <v/>
      </c>
    </row>
    <row r="15" customFormat="false" ht="15" hidden="false" customHeight="false" outlineLevel="0" collapsed="false">
      <c r="A15" s="47"/>
      <c r="B15" s="47"/>
      <c r="C15" s="47"/>
      <c r="D15" s="48"/>
      <c r="E15" s="47"/>
      <c r="F15" s="49" t="str">
        <f aca="false">IF(D15="","",IF(E15="EUR",$B$4,1))</f>
        <v/>
      </c>
      <c r="G15" s="50" t="str">
        <f aca="false">IF(D15="","",D15*F15)</f>
        <v/>
      </c>
      <c r="H15" s="51"/>
      <c r="I15" s="52"/>
      <c r="J15" s="50" t="str">
        <f aca="false">IF(D15="","",(G15+H15)*I15)</f>
        <v/>
      </c>
      <c r="K15" s="51"/>
      <c r="L15" s="50" t="str">
        <f aca="false">IF(D15="","",G15+H15+J15+K15)</f>
        <v/>
      </c>
      <c r="M15" s="51"/>
      <c r="N15" s="53" t="str">
        <f aca="false">IF(M15="","",$B$5)</f>
        <v/>
      </c>
      <c r="O15" s="50" t="str">
        <f aca="false">IF(M15="","",M15/(1+N15))</f>
        <v/>
      </c>
      <c r="P15" s="53" t="str">
        <f aca="false">IF(M15="","",$B$6)</f>
        <v/>
      </c>
      <c r="Q15" s="50" t="str">
        <f aca="false">IF(M15="","",M15*P15)</f>
        <v/>
      </c>
      <c r="R15" s="51"/>
      <c r="S15" s="51"/>
      <c r="T15" s="50" t="str">
        <f aca="false">IF(OR(D15="",M15=""),"",O15-L15-Q15-R15-S15)</f>
        <v/>
      </c>
      <c r="U15" s="54" t="str">
        <f aca="false">IF(T15="","",IF(L15=0,"",T15/L15))</f>
        <v/>
      </c>
      <c r="V15" s="54" t="str">
        <f aca="false">IF(T15="","",T15/O15)</f>
        <v/>
      </c>
      <c r="W15" s="50" t="str">
        <f aca="false">IF(OR(D15="",M15=""),"",IF((1/(1+N15)-P15)&lt;=0,"",(L15+R15+S15)/(1/(1+N15)-P15)))</f>
        <v/>
      </c>
      <c r="X15" s="37" t="str">
        <f aca="false">IF(U15="","",IF(U15&gt;=$B$7,"BUY","SKIP"))</f>
        <v/>
      </c>
    </row>
    <row r="16" customFormat="false" ht="15" hidden="false" customHeight="false" outlineLevel="0" collapsed="false">
      <c r="A16" s="47"/>
      <c r="B16" s="47"/>
      <c r="C16" s="47"/>
      <c r="D16" s="48"/>
      <c r="E16" s="47"/>
      <c r="F16" s="49" t="str">
        <f aca="false">IF(D16="","",IF(E16="EUR",$B$4,1))</f>
        <v/>
      </c>
      <c r="G16" s="50" t="str">
        <f aca="false">IF(D16="","",D16*F16)</f>
        <v/>
      </c>
      <c r="H16" s="51"/>
      <c r="I16" s="52"/>
      <c r="J16" s="50" t="str">
        <f aca="false">IF(D16="","",(G16+H16)*I16)</f>
        <v/>
      </c>
      <c r="K16" s="51"/>
      <c r="L16" s="50" t="str">
        <f aca="false">IF(D16="","",G16+H16+J16+K16)</f>
        <v/>
      </c>
      <c r="M16" s="51"/>
      <c r="N16" s="53" t="str">
        <f aca="false">IF(M16="","",$B$5)</f>
        <v/>
      </c>
      <c r="O16" s="50" t="str">
        <f aca="false">IF(M16="","",M16/(1+N16))</f>
        <v/>
      </c>
      <c r="P16" s="53" t="str">
        <f aca="false">IF(M16="","",$B$6)</f>
        <v/>
      </c>
      <c r="Q16" s="50" t="str">
        <f aca="false">IF(M16="","",M16*P16)</f>
        <v/>
      </c>
      <c r="R16" s="51"/>
      <c r="S16" s="51"/>
      <c r="T16" s="50" t="str">
        <f aca="false">IF(OR(D16="",M16=""),"",O16-L16-Q16-R16-S16)</f>
        <v/>
      </c>
      <c r="U16" s="54" t="str">
        <f aca="false">IF(T16="","",IF(L16=0,"",T16/L16))</f>
        <v/>
      </c>
      <c r="V16" s="54" t="str">
        <f aca="false">IF(T16="","",T16/O16)</f>
        <v/>
      </c>
      <c r="W16" s="50" t="str">
        <f aca="false">IF(OR(D16="",M16=""),"",IF((1/(1+N16)-P16)&lt;=0,"",(L16+R16+S16)/(1/(1+N16)-P16)))</f>
        <v/>
      </c>
      <c r="X16" s="37" t="str">
        <f aca="false">IF(U16="","",IF(U16&gt;=$B$7,"BUY","SKIP"))</f>
        <v/>
      </c>
    </row>
    <row r="17" customFormat="false" ht="15" hidden="false" customHeight="false" outlineLevel="0" collapsed="false">
      <c r="A17" s="47"/>
      <c r="B17" s="47"/>
      <c r="C17" s="47"/>
      <c r="D17" s="48"/>
      <c r="E17" s="47"/>
      <c r="F17" s="49" t="str">
        <f aca="false">IF(D17="","",IF(E17="EUR",$B$4,1))</f>
        <v/>
      </c>
      <c r="G17" s="50" t="str">
        <f aca="false">IF(D17="","",D17*F17)</f>
        <v/>
      </c>
      <c r="H17" s="51"/>
      <c r="I17" s="52"/>
      <c r="J17" s="50" t="str">
        <f aca="false">IF(D17="","",(G17+H17)*I17)</f>
        <v/>
      </c>
      <c r="K17" s="51"/>
      <c r="L17" s="50" t="str">
        <f aca="false">IF(D17="","",G17+H17+J17+K17)</f>
        <v/>
      </c>
      <c r="M17" s="51"/>
      <c r="N17" s="53" t="str">
        <f aca="false">IF(M17="","",$B$5)</f>
        <v/>
      </c>
      <c r="O17" s="50" t="str">
        <f aca="false">IF(M17="","",M17/(1+N17))</f>
        <v/>
      </c>
      <c r="P17" s="53" t="str">
        <f aca="false">IF(M17="","",$B$6)</f>
        <v/>
      </c>
      <c r="Q17" s="50" t="str">
        <f aca="false">IF(M17="","",M17*P17)</f>
        <v/>
      </c>
      <c r="R17" s="51"/>
      <c r="S17" s="51"/>
      <c r="T17" s="50" t="str">
        <f aca="false">IF(OR(D17="",M17=""),"",O17-L17-Q17-R17-S17)</f>
        <v/>
      </c>
      <c r="U17" s="54" t="str">
        <f aca="false">IF(T17="","",IF(L17=0,"",T17/L17))</f>
        <v/>
      </c>
      <c r="V17" s="54" t="str">
        <f aca="false">IF(T17="","",T17/O17)</f>
        <v/>
      </c>
      <c r="W17" s="50" t="str">
        <f aca="false">IF(OR(D17="",M17=""),"",IF((1/(1+N17)-P17)&lt;=0,"",(L17+R17+S17)/(1/(1+N17)-P17)))</f>
        <v/>
      </c>
      <c r="X17" s="37" t="str">
        <f aca="false">IF(U17="","",IF(U17&gt;=$B$7,"BUY","SKIP"))</f>
        <v/>
      </c>
    </row>
    <row r="18" customFormat="false" ht="15" hidden="false" customHeight="false" outlineLevel="0" collapsed="false">
      <c r="A18" s="47"/>
      <c r="B18" s="47"/>
      <c r="C18" s="47"/>
      <c r="D18" s="48"/>
      <c r="E18" s="47"/>
      <c r="F18" s="49" t="str">
        <f aca="false">IF(D18="","",IF(E18="EUR",$B$4,1))</f>
        <v/>
      </c>
      <c r="G18" s="50" t="str">
        <f aca="false">IF(D18="","",D18*F18)</f>
        <v/>
      </c>
      <c r="H18" s="51"/>
      <c r="I18" s="52"/>
      <c r="J18" s="50" t="str">
        <f aca="false">IF(D18="","",(G18+H18)*I18)</f>
        <v/>
      </c>
      <c r="K18" s="51"/>
      <c r="L18" s="50" t="str">
        <f aca="false">IF(D18="","",G18+H18+J18+K18)</f>
        <v/>
      </c>
      <c r="M18" s="51"/>
      <c r="N18" s="53" t="str">
        <f aca="false">IF(M18="","",$B$5)</f>
        <v/>
      </c>
      <c r="O18" s="50" t="str">
        <f aca="false">IF(M18="","",M18/(1+N18))</f>
        <v/>
      </c>
      <c r="P18" s="53" t="str">
        <f aca="false">IF(M18="","",$B$6)</f>
        <v/>
      </c>
      <c r="Q18" s="50" t="str">
        <f aca="false">IF(M18="","",M18*P18)</f>
        <v/>
      </c>
      <c r="R18" s="51"/>
      <c r="S18" s="51"/>
      <c r="T18" s="50" t="str">
        <f aca="false">IF(OR(D18="",M18=""),"",O18-L18-Q18-R18-S18)</f>
        <v/>
      </c>
      <c r="U18" s="54" t="str">
        <f aca="false">IF(T18="","",IF(L18=0,"",T18/L18))</f>
        <v/>
      </c>
      <c r="V18" s="54" t="str">
        <f aca="false">IF(T18="","",T18/O18)</f>
        <v/>
      </c>
      <c r="W18" s="50" t="str">
        <f aca="false">IF(OR(D18="",M18=""),"",IF((1/(1+N18)-P18)&lt;=0,"",(L18+R18+S18)/(1/(1+N18)-P18)))</f>
        <v/>
      </c>
      <c r="X18" s="37" t="str">
        <f aca="false">IF(U18="","",IF(U18&gt;=$B$7,"BUY","SKIP"))</f>
        <v/>
      </c>
    </row>
    <row r="19" customFormat="false" ht="15" hidden="false" customHeight="false" outlineLevel="0" collapsed="false">
      <c r="A19" s="47"/>
      <c r="B19" s="47"/>
      <c r="C19" s="47"/>
      <c r="D19" s="48"/>
      <c r="E19" s="47"/>
      <c r="F19" s="49" t="str">
        <f aca="false">IF(D19="","",IF(E19="EUR",$B$4,1))</f>
        <v/>
      </c>
      <c r="G19" s="50" t="str">
        <f aca="false">IF(D19="","",D19*F19)</f>
        <v/>
      </c>
      <c r="H19" s="51"/>
      <c r="I19" s="52"/>
      <c r="J19" s="50" t="str">
        <f aca="false">IF(D19="","",(G19+H19)*I19)</f>
        <v/>
      </c>
      <c r="K19" s="51"/>
      <c r="L19" s="50" t="str">
        <f aca="false">IF(D19="","",G19+H19+J19+K19)</f>
        <v/>
      </c>
      <c r="M19" s="51"/>
      <c r="N19" s="53" t="str">
        <f aca="false">IF(M19="","",$B$5)</f>
        <v/>
      </c>
      <c r="O19" s="50" t="str">
        <f aca="false">IF(M19="","",M19/(1+N19))</f>
        <v/>
      </c>
      <c r="P19" s="53" t="str">
        <f aca="false">IF(M19="","",$B$6)</f>
        <v/>
      </c>
      <c r="Q19" s="50" t="str">
        <f aca="false">IF(M19="","",M19*P19)</f>
        <v/>
      </c>
      <c r="R19" s="51"/>
      <c r="S19" s="51"/>
      <c r="T19" s="50" t="str">
        <f aca="false">IF(OR(D19="",M19=""),"",O19-L19-Q19-R19-S19)</f>
        <v/>
      </c>
      <c r="U19" s="54" t="str">
        <f aca="false">IF(T19="","",IF(L19=0,"",T19/L19))</f>
        <v/>
      </c>
      <c r="V19" s="54" t="str">
        <f aca="false">IF(T19="","",T19/O19)</f>
        <v/>
      </c>
      <c r="W19" s="50" t="str">
        <f aca="false">IF(OR(D19="",M19=""),"",IF((1/(1+N19)-P19)&lt;=0,"",(L19+R19+S19)/(1/(1+N19)-P19)))</f>
        <v/>
      </c>
      <c r="X19" s="37" t="str">
        <f aca="false">IF(U19="","",IF(U19&gt;=$B$7,"BUY","SKIP"))</f>
        <v/>
      </c>
    </row>
    <row r="20" customFormat="false" ht="15" hidden="false" customHeight="false" outlineLevel="0" collapsed="false">
      <c r="A20" s="47"/>
      <c r="B20" s="47"/>
      <c r="C20" s="47"/>
      <c r="D20" s="48"/>
      <c r="E20" s="47"/>
      <c r="F20" s="49" t="str">
        <f aca="false">IF(D20="","",IF(E20="EUR",$B$4,1))</f>
        <v/>
      </c>
      <c r="G20" s="50" t="str">
        <f aca="false">IF(D20="","",D20*F20)</f>
        <v/>
      </c>
      <c r="H20" s="51"/>
      <c r="I20" s="52"/>
      <c r="J20" s="50" t="str">
        <f aca="false">IF(D20="","",(G20+H20)*I20)</f>
        <v/>
      </c>
      <c r="K20" s="51"/>
      <c r="L20" s="50" t="str">
        <f aca="false">IF(D20="","",G20+H20+J20+K20)</f>
        <v/>
      </c>
      <c r="M20" s="51"/>
      <c r="N20" s="53" t="str">
        <f aca="false">IF(M20="","",$B$5)</f>
        <v/>
      </c>
      <c r="O20" s="50" t="str">
        <f aca="false">IF(M20="","",M20/(1+N20))</f>
        <v/>
      </c>
      <c r="P20" s="53" t="str">
        <f aca="false">IF(M20="","",$B$6)</f>
        <v/>
      </c>
      <c r="Q20" s="50" t="str">
        <f aca="false">IF(M20="","",M20*P20)</f>
        <v/>
      </c>
      <c r="R20" s="51"/>
      <c r="S20" s="51"/>
      <c r="T20" s="50" t="str">
        <f aca="false">IF(OR(D20="",M20=""),"",O20-L20-Q20-R20-S20)</f>
        <v/>
      </c>
      <c r="U20" s="54" t="str">
        <f aca="false">IF(T20="","",IF(L20=0,"",T20/L20))</f>
        <v/>
      </c>
      <c r="V20" s="54" t="str">
        <f aca="false">IF(T20="","",T20/O20)</f>
        <v/>
      </c>
      <c r="W20" s="50" t="str">
        <f aca="false">IF(OR(D20="",M20=""),"",IF((1/(1+N20)-P20)&lt;=0,"",(L20+R20+S20)/(1/(1+N20)-P20)))</f>
        <v/>
      </c>
      <c r="X20" s="37" t="str">
        <f aca="false">IF(U20="","",IF(U20&gt;=$B$7,"BUY","SKIP"))</f>
        <v/>
      </c>
    </row>
    <row r="21" customFormat="false" ht="15" hidden="false" customHeight="false" outlineLevel="0" collapsed="false">
      <c r="A21" s="47"/>
      <c r="B21" s="47"/>
      <c r="C21" s="47"/>
      <c r="D21" s="48"/>
      <c r="E21" s="47"/>
      <c r="F21" s="49" t="str">
        <f aca="false">IF(D21="","",IF(E21="EUR",$B$4,1))</f>
        <v/>
      </c>
      <c r="G21" s="50" t="str">
        <f aca="false">IF(D21="","",D21*F21)</f>
        <v/>
      </c>
      <c r="H21" s="51"/>
      <c r="I21" s="52"/>
      <c r="J21" s="50" t="str">
        <f aca="false">IF(D21="","",(G21+H21)*I21)</f>
        <v/>
      </c>
      <c r="K21" s="51"/>
      <c r="L21" s="50" t="str">
        <f aca="false">IF(D21="","",G21+H21+J21+K21)</f>
        <v/>
      </c>
      <c r="M21" s="51"/>
      <c r="N21" s="53" t="str">
        <f aca="false">IF(M21="","",$B$5)</f>
        <v/>
      </c>
      <c r="O21" s="50" t="str">
        <f aca="false">IF(M21="","",M21/(1+N21))</f>
        <v/>
      </c>
      <c r="P21" s="53" t="str">
        <f aca="false">IF(M21="","",$B$6)</f>
        <v/>
      </c>
      <c r="Q21" s="50" t="str">
        <f aca="false">IF(M21="","",M21*P21)</f>
        <v/>
      </c>
      <c r="R21" s="51"/>
      <c r="S21" s="51"/>
      <c r="T21" s="50" t="str">
        <f aca="false">IF(OR(D21="",M21=""),"",O21-L21-Q21-R21-S21)</f>
        <v/>
      </c>
      <c r="U21" s="54" t="str">
        <f aca="false">IF(T21="","",IF(L21=0,"",T21/L21))</f>
        <v/>
      </c>
      <c r="V21" s="54" t="str">
        <f aca="false">IF(T21="","",T21/O21)</f>
        <v/>
      </c>
      <c r="W21" s="50" t="str">
        <f aca="false">IF(OR(D21="",M21=""),"",IF((1/(1+N21)-P21)&lt;=0,"",(L21+R21+S21)/(1/(1+N21)-P21)))</f>
        <v/>
      </c>
      <c r="X21" s="37" t="str">
        <f aca="false">IF(U21="","",IF(U21&gt;=$B$7,"BUY","SKIP"))</f>
        <v/>
      </c>
    </row>
    <row r="22" customFormat="false" ht="15" hidden="false" customHeight="false" outlineLevel="0" collapsed="false">
      <c r="A22" s="47"/>
      <c r="B22" s="47"/>
      <c r="C22" s="47"/>
      <c r="D22" s="48"/>
      <c r="E22" s="47"/>
      <c r="F22" s="49" t="str">
        <f aca="false">IF(D22="","",IF(E22="EUR",$B$4,1))</f>
        <v/>
      </c>
      <c r="G22" s="50" t="str">
        <f aca="false">IF(D22="","",D22*F22)</f>
        <v/>
      </c>
      <c r="H22" s="51"/>
      <c r="I22" s="52"/>
      <c r="J22" s="50" t="str">
        <f aca="false">IF(D22="","",(G22+H22)*I22)</f>
        <v/>
      </c>
      <c r="K22" s="51"/>
      <c r="L22" s="50" t="str">
        <f aca="false">IF(D22="","",G22+H22+J22+K22)</f>
        <v/>
      </c>
      <c r="M22" s="51"/>
      <c r="N22" s="53" t="str">
        <f aca="false">IF(M22="","",$B$5)</f>
        <v/>
      </c>
      <c r="O22" s="50" t="str">
        <f aca="false">IF(M22="","",M22/(1+N22))</f>
        <v/>
      </c>
      <c r="P22" s="53" t="str">
        <f aca="false">IF(M22="","",$B$6)</f>
        <v/>
      </c>
      <c r="Q22" s="50" t="str">
        <f aca="false">IF(M22="","",M22*P22)</f>
        <v/>
      </c>
      <c r="R22" s="51"/>
      <c r="S22" s="51"/>
      <c r="T22" s="50" t="str">
        <f aca="false">IF(OR(D22="",M22=""),"",O22-L22-Q22-R22-S22)</f>
        <v/>
      </c>
      <c r="U22" s="54" t="str">
        <f aca="false">IF(T22="","",IF(L22=0,"",T22/L22))</f>
        <v/>
      </c>
      <c r="V22" s="54" t="str">
        <f aca="false">IF(T22="","",T22/O22)</f>
        <v/>
      </c>
      <c r="W22" s="50" t="str">
        <f aca="false">IF(OR(D22="",M22=""),"",IF((1/(1+N22)-P22)&lt;=0,"",(L22+R22+S22)/(1/(1+N22)-P22)))</f>
        <v/>
      </c>
      <c r="X22" s="37" t="str">
        <f aca="false">IF(U22="","",IF(U22&gt;=$B$7,"BUY","SKIP"))</f>
        <v/>
      </c>
    </row>
    <row r="23" customFormat="false" ht="15" hidden="false" customHeight="false" outlineLevel="0" collapsed="false">
      <c r="A23" s="47"/>
      <c r="B23" s="47"/>
      <c r="C23" s="47"/>
      <c r="D23" s="48"/>
      <c r="E23" s="47"/>
      <c r="F23" s="49" t="str">
        <f aca="false">IF(D23="","",IF(E23="EUR",$B$4,1))</f>
        <v/>
      </c>
      <c r="G23" s="50" t="str">
        <f aca="false">IF(D23="","",D23*F23)</f>
        <v/>
      </c>
      <c r="H23" s="51"/>
      <c r="I23" s="52"/>
      <c r="J23" s="50" t="str">
        <f aca="false">IF(D23="","",(G23+H23)*I23)</f>
        <v/>
      </c>
      <c r="K23" s="51"/>
      <c r="L23" s="50" t="str">
        <f aca="false">IF(D23="","",G23+H23+J23+K23)</f>
        <v/>
      </c>
      <c r="M23" s="51"/>
      <c r="N23" s="53" t="str">
        <f aca="false">IF(M23="","",$B$5)</f>
        <v/>
      </c>
      <c r="O23" s="50" t="str">
        <f aca="false">IF(M23="","",M23/(1+N23))</f>
        <v/>
      </c>
      <c r="P23" s="53" t="str">
        <f aca="false">IF(M23="","",$B$6)</f>
        <v/>
      </c>
      <c r="Q23" s="50" t="str">
        <f aca="false">IF(M23="","",M23*P23)</f>
        <v/>
      </c>
      <c r="R23" s="51"/>
      <c r="S23" s="51"/>
      <c r="T23" s="50" t="str">
        <f aca="false">IF(OR(D23="",M23=""),"",O23-L23-Q23-R23-S23)</f>
        <v/>
      </c>
      <c r="U23" s="54" t="str">
        <f aca="false">IF(T23="","",IF(L23=0,"",T23/L23))</f>
        <v/>
      </c>
      <c r="V23" s="54" t="str">
        <f aca="false">IF(T23="","",T23/O23)</f>
        <v/>
      </c>
      <c r="W23" s="50" t="str">
        <f aca="false">IF(OR(D23="",M23=""),"",IF((1/(1+N23)-P23)&lt;=0,"",(L23+R23+S23)/(1/(1+N23)-P23)))</f>
        <v/>
      </c>
      <c r="X23" s="37" t="str">
        <f aca="false">IF(U23="","",IF(U23&gt;=$B$7,"BUY","SKIP"))</f>
        <v/>
      </c>
    </row>
    <row r="24" customFormat="false" ht="15" hidden="false" customHeight="false" outlineLevel="0" collapsed="false">
      <c r="A24" s="47"/>
      <c r="B24" s="47"/>
      <c r="C24" s="47"/>
      <c r="D24" s="48"/>
      <c r="E24" s="47"/>
      <c r="F24" s="49" t="str">
        <f aca="false">IF(D24="","",IF(E24="EUR",$B$4,1))</f>
        <v/>
      </c>
      <c r="G24" s="50" t="str">
        <f aca="false">IF(D24="","",D24*F24)</f>
        <v/>
      </c>
      <c r="H24" s="51"/>
      <c r="I24" s="52"/>
      <c r="J24" s="50" t="str">
        <f aca="false">IF(D24="","",(G24+H24)*I24)</f>
        <v/>
      </c>
      <c r="K24" s="51"/>
      <c r="L24" s="50" t="str">
        <f aca="false">IF(D24="","",G24+H24+J24+K24)</f>
        <v/>
      </c>
      <c r="M24" s="51"/>
      <c r="N24" s="53" t="str">
        <f aca="false">IF(M24="","",$B$5)</f>
        <v/>
      </c>
      <c r="O24" s="50" t="str">
        <f aca="false">IF(M24="","",M24/(1+N24))</f>
        <v/>
      </c>
      <c r="P24" s="53" t="str">
        <f aca="false">IF(M24="","",$B$6)</f>
        <v/>
      </c>
      <c r="Q24" s="50" t="str">
        <f aca="false">IF(M24="","",M24*P24)</f>
        <v/>
      </c>
      <c r="R24" s="51"/>
      <c r="S24" s="51"/>
      <c r="T24" s="50" t="str">
        <f aca="false">IF(OR(D24="",M24=""),"",O24-L24-Q24-R24-S24)</f>
        <v/>
      </c>
      <c r="U24" s="54" t="str">
        <f aca="false">IF(T24="","",IF(L24=0,"",T24/L24))</f>
        <v/>
      </c>
      <c r="V24" s="54" t="str">
        <f aca="false">IF(T24="","",T24/O24)</f>
        <v/>
      </c>
      <c r="W24" s="50" t="str">
        <f aca="false">IF(OR(D24="",M24=""),"",IF((1/(1+N24)-P24)&lt;=0,"",(L24+R24+S24)/(1/(1+N24)-P24)))</f>
        <v/>
      </c>
      <c r="X24" s="37" t="str">
        <f aca="false">IF(U24="","",IF(U24&gt;=$B$7,"BUY","SKIP"))</f>
        <v/>
      </c>
    </row>
    <row r="25" customFormat="false" ht="15" hidden="false" customHeight="false" outlineLevel="0" collapsed="false">
      <c r="A25" s="47"/>
      <c r="B25" s="47"/>
      <c r="C25" s="47"/>
      <c r="D25" s="48"/>
      <c r="E25" s="47"/>
      <c r="F25" s="49" t="str">
        <f aca="false">IF(D25="","",IF(E25="EUR",$B$4,1))</f>
        <v/>
      </c>
      <c r="G25" s="50" t="str">
        <f aca="false">IF(D25="","",D25*F25)</f>
        <v/>
      </c>
      <c r="H25" s="51"/>
      <c r="I25" s="52"/>
      <c r="J25" s="50" t="str">
        <f aca="false">IF(D25="","",(G25+H25)*I25)</f>
        <v/>
      </c>
      <c r="K25" s="51"/>
      <c r="L25" s="50" t="str">
        <f aca="false">IF(D25="","",G25+H25+J25+K25)</f>
        <v/>
      </c>
      <c r="M25" s="51"/>
      <c r="N25" s="53" t="str">
        <f aca="false">IF(M25="","",$B$5)</f>
        <v/>
      </c>
      <c r="O25" s="50" t="str">
        <f aca="false">IF(M25="","",M25/(1+N25))</f>
        <v/>
      </c>
      <c r="P25" s="53" t="str">
        <f aca="false">IF(M25="","",$B$6)</f>
        <v/>
      </c>
      <c r="Q25" s="50" t="str">
        <f aca="false">IF(M25="","",M25*P25)</f>
        <v/>
      </c>
      <c r="R25" s="51"/>
      <c r="S25" s="51"/>
      <c r="T25" s="50" t="str">
        <f aca="false">IF(OR(D25="",M25=""),"",O25-L25-Q25-R25-S25)</f>
        <v/>
      </c>
      <c r="U25" s="54" t="str">
        <f aca="false">IF(T25="","",IF(L25=0,"",T25/L25))</f>
        <v/>
      </c>
      <c r="V25" s="54" t="str">
        <f aca="false">IF(T25="","",T25/O25)</f>
        <v/>
      </c>
      <c r="W25" s="50" t="str">
        <f aca="false">IF(OR(D25="",M25=""),"",IF((1/(1+N25)-P25)&lt;=0,"",(L25+R25+S25)/(1/(1+N25)-P25)))</f>
        <v/>
      </c>
      <c r="X25" s="37" t="str">
        <f aca="false">IF(U25="","",IF(U25&gt;=$B$7,"BUY","SKIP"))</f>
        <v/>
      </c>
    </row>
    <row r="26" customFormat="false" ht="15" hidden="false" customHeight="false" outlineLevel="0" collapsed="false">
      <c r="A26" s="47"/>
      <c r="B26" s="47"/>
      <c r="C26" s="47"/>
      <c r="D26" s="48"/>
      <c r="E26" s="47"/>
      <c r="F26" s="49" t="str">
        <f aca="false">IF(D26="","",IF(E26="EUR",$B$4,1))</f>
        <v/>
      </c>
      <c r="G26" s="50" t="str">
        <f aca="false">IF(D26="","",D26*F26)</f>
        <v/>
      </c>
      <c r="H26" s="51"/>
      <c r="I26" s="52"/>
      <c r="J26" s="50" t="str">
        <f aca="false">IF(D26="","",(G26+H26)*I26)</f>
        <v/>
      </c>
      <c r="K26" s="51"/>
      <c r="L26" s="50" t="str">
        <f aca="false">IF(D26="","",G26+H26+J26+K26)</f>
        <v/>
      </c>
      <c r="M26" s="51"/>
      <c r="N26" s="53" t="str">
        <f aca="false">IF(M26="","",$B$5)</f>
        <v/>
      </c>
      <c r="O26" s="50" t="str">
        <f aca="false">IF(M26="","",M26/(1+N26))</f>
        <v/>
      </c>
      <c r="P26" s="53" t="str">
        <f aca="false">IF(M26="","",$B$6)</f>
        <v/>
      </c>
      <c r="Q26" s="50" t="str">
        <f aca="false">IF(M26="","",M26*P26)</f>
        <v/>
      </c>
      <c r="R26" s="51"/>
      <c r="S26" s="51"/>
      <c r="T26" s="50" t="str">
        <f aca="false">IF(OR(D26="",M26=""),"",O26-L26-Q26-R26-S26)</f>
        <v/>
      </c>
      <c r="U26" s="54" t="str">
        <f aca="false">IF(T26="","",IF(L26=0,"",T26/L26))</f>
        <v/>
      </c>
      <c r="V26" s="54" t="str">
        <f aca="false">IF(T26="","",T26/O26)</f>
        <v/>
      </c>
      <c r="W26" s="50" t="str">
        <f aca="false">IF(OR(D26="",M26=""),"",IF((1/(1+N26)-P26)&lt;=0,"",(L26+R26+S26)/(1/(1+N26)-P26)))</f>
        <v/>
      </c>
      <c r="X26" s="37" t="str">
        <f aca="false">IF(U26="","",IF(U26&gt;=$B$7,"BUY","SKIP"))</f>
        <v/>
      </c>
    </row>
    <row r="27" customFormat="false" ht="15" hidden="false" customHeight="false" outlineLevel="0" collapsed="false">
      <c r="A27" s="47"/>
      <c r="B27" s="47"/>
      <c r="C27" s="47"/>
      <c r="D27" s="48"/>
      <c r="E27" s="47"/>
      <c r="F27" s="49" t="str">
        <f aca="false">IF(D27="","",IF(E27="EUR",$B$4,1))</f>
        <v/>
      </c>
      <c r="G27" s="50" t="str">
        <f aca="false">IF(D27="","",D27*F27)</f>
        <v/>
      </c>
      <c r="H27" s="51"/>
      <c r="I27" s="52"/>
      <c r="J27" s="50" t="str">
        <f aca="false">IF(D27="","",(G27+H27)*I27)</f>
        <v/>
      </c>
      <c r="K27" s="51"/>
      <c r="L27" s="50" t="str">
        <f aca="false">IF(D27="","",G27+H27+J27+K27)</f>
        <v/>
      </c>
      <c r="M27" s="51"/>
      <c r="N27" s="53" t="str">
        <f aca="false">IF(M27="","",$B$5)</f>
        <v/>
      </c>
      <c r="O27" s="50" t="str">
        <f aca="false">IF(M27="","",M27/(1+N27))</f>
        <v/>
      </c>
      <c r="P27" s="53" t="str">
        <f aca="false">IF(M27="","",$B$6)</f>
        <v/>
      </c>
      <c r="Q27" s="50" t="str">
        <f aca="false">IF(M27="","",M27*P27)</f>
        <v/>
      </c>
      <c r="R27" s="51"/>
      <c r="S27" s="51"/>
      <c r="T27" s="50" t="str">
        <f aca="false">IF(OR(D27="",M27=""),"",O27-L27-Q27-R27-S27)</f>
        <v/>
      </c>
      <c r="U27" s="54" t="str">
        <f aca="false">IF(T27="","",IF(L27=0,"",T27/L27))</f>
        <v/>
      </c>
      <c r="V27" s="54" t="str">
        <f aca="false">IF(T27="","",T27/O27)</f>
        <v/>
      </c>
      <c r="W27" s="50" t="str">
        <f aca="false">IF(OR(D27="",M27=""),"",IF((1/(1+N27)-P27)&lt;=0,"",(L27+R27+S27)/(1/(1+N27)-P27)))</f>
        <v/>
      </c>
      <c r="X27" s="37" t="str">
        <f aca="false">IF(U27="","",IF(U27&gt;=$B$7,"BUY","SKIP"))</f>
        <v/>
      </c>
    </row>
    <row r="28" customFormat="false" ht="15" hidden="false" customHeight="false" outlineLevel="0" collapsed="false">
      <c r="A28" s="47"/>
      <c r="B28" s="47"/>
      <c r="C28" s="47"/>
      <c r="D28" s="48"/>
      <c r="E28" s="47"/>
      <c r="F28" s="49" t="str">
        <f aca="false">IF(D28="","",IF(E28="EUR",$B$4,1))</f>
        <v/>
      </c>
      <c r="G28" s="50" t="str">
        <f aca="false">IF(D28="","",D28*F28)</f>
        <v/>
      </c>
      <c r="H28" s="51"/>
      <c r="I28" s="52"/>
      <c r="J28" s="50" t="str">
        <f aca="false">IF(D28="","",(G28+H28)*I28)</f>
        <v/>
      </c>
      <c r="K28" s="51"/>
      <c r="L28" s="50" t="str">
        <f aca="false">IF(D28="","",G28+H28+J28+K28)</f>
        <v/>
      </c>
      <c r="M28" s="51"/>
      <c r="N28" s="53" t="str">
        <f aca="false">IF(M28="","",$B$5)</f>
        <v/>
      </c>
      <c r="O28" s="50" t="str">
        <f aca="false">IF(M28="","",M28/(1+N28))</f>
        <v/>
      </c>
      <c r="P28" s="53" t="str">
        <f aca="false">IF(M28="","",$B$6)</f>
        <v/>
      </c>
      <c r="Q28" s="50" t="str">
        <f aca="false">IF(M28="","",M28*P28)</f>
        <v/>
      </c>
      <c r="R28" s="51"/>
      <c r="S28" s="51"/>
      <c r="T28" s="50" t="str">
        <f aca="false">IF(OR(D28="",M28=""),"",O28-L28-Q28-R28-S28)</f>
        <v/>
      </c>
      <c r="U28" s="54" t="str">
        <f aca="false">IF(T28="","",IF(L28=0,"",T28/L28))</f>
        <v/>
      </c>
      <c r="V28" s="54" t="str">
        <f aca="false">IF(T28="","",T28/O28)</f>
        <v/>
      </c>
      <c r="W28" s="50" t="str">
        <f aca="false">IF(OR(D28="",M28=""),"",IF((1/(1+N28)-P28)&lt;=0,"",(L28+R28+S28)/(1/(1+N28)-P28)))</f>
        <v/>
      </c>
      <c r="X28" s="37" t="str">
        <f aca="false">IF(U28="","",IF(U28&gt;=$B$7,"BUY","SKIP"))</f>
        <v/>
      </c>
    </row>
    <row r="29" customFormat="false" ht="15" hidden="false" customHeight="false" outlineLevel="0" collapsed="false">
      <c r="A29" s="47"/>
      <c r="B29" s="47"/>
      <c r="C29" s="47"/>
      <c r="D29" s="48"/>
      <c r="E29" s="47"/>
      <c r="F29" s="49" t="str">
        <f aca="false">IF(D29="","",IF(E29="EUR",$B$4,1))</f>
        <v/>
      </c>
      <c r="G29" s="50" t="str">
        <f aca="false">IF(D29="","",D29*F29)</f>
        <v/>
      </c>
      <c r="H29" s="51"/>
      <c r="I29" s="52"/>
      <c r="J29" s="50" t="str">
        <f aca="false">IF(D29="","",(G29+H29)*I29)</f>
        <v/>
      </c>
      <c r="K29" s="51"/>
      <c r="L29" s="50" t="str">
        <f aca="false">IF(D29="","",G29+H29+J29+K29)</f>
        <v/>
      </c>
      <c r="M29" s="51"/>
      <c r="N29" s="53" t="str">
        <f aca="false">IF(M29="","",$B$5)</f>
        <v/>
      </c>
      <c r="O29" s="50" t="str">
        <f aca="false">IF(M29="","",M29/(1+N29))</f>
        <v/>
      </c>
      <c r="P29" s="53" t="str">
        <f aca="false">IF(M29="","",$B$6)</f>
        <v/>
      </c>
      <c r="Q29" s="50" t="str">
        <f aca="false">IF(M29="","",M29*P29)</f>
        <v/>
      </c>
      <c r="R29" s="51"/>
      <c r="S29" s="51"/>
      <c r="T29" s="50" t="str">
        <f aca="false">IF(OR(D29="",M29=""),"",O29-L29-Q29-R29-S29)</f>
        <v/>
      </c>
      <c r="U29" s="54" t="str">
        <f aca="false">IF(T29="","",IF(L29=0,"",T29/L29))</f>
        <v/>
      </c>
      <c r="V29" s="54" t="str">
        <f aca="false">IF(T29="","",T29/O29)</f>
        <v/>
      </c>
      <c r="W29" s="50" t="str">
        <f aca="false">IF(OR(D29="",M29=""),"",IF((1/(1+N29)-P29)&lt;=0,"",(L29+R29+S29)/(1/(1+N29)-P29)))</f>
        <v/>
      </c>
      <c r="X29" s="37" t="str">
        <f aca="false">IF(U29="","",IF(U29&gt;=$B$7,"BUY","SKIP"))</f>
        <v/>
      </c>
    </row>
    <row r="30" customFormat="false" ht="15" hidden="false" customHeight="false" outlineLevel="0" collapsed="false">
      <c r="A30" s="47"/>
      <c r="B30" s="47"/>
      <c r="C30" s="47"/>
      <c r="D30" s="48"/>
      <c r="E30" s="47"/>
      <c r="F30" s="49" t="str">
        <f aca="false">IF(D30="","",IF(E30="EUR",$B$4,1))</f>
        <v/>
      </c>
      <c r="G30" s="50" t="str">
        <f aca="false">IF(D30="","",D30*F30)</f>
        <v/>
      </c>
      <c r="H30" s="51"/>
      <c r="I30" s="52"/>
      <c r="J30" s="50" t="str">
        <f aca="false">IF(D30="","",(G30+H30)*I30)</f>
        <v/>
      </c>
      <c r="K30" s="51"/>
      <c r="L30" s="50" t="str">
        <f aca="false">IF(D30="","",G30+H30+J30+K30)</f>
        <v/>
      </c>
      <c r="M30" s="51"/>
      <c r="N30" s="53" t="str">
        <f aca="false">IF(M30="","",$B$5)</f>
        <v/>
      </c>
      <c r="O30" s="50" t="str">
        <f aca="false">IF(M30="","",M30/(1+N30))</f>
        <v/>
      </c>
      <c r="P30" s="53" t="str">
        <f aca="false">IF(M30="","",$B$6)</f>
        <v/>
      </c>
      <c r="Q30" s="50" t="str">
        <f aca="false">IF(M30="","",M30*P30)</f>
        <v/>
      </c>
      <c r="R30" s="51"/>
      <c r="S30" s="51"/>
      <c r="T30" s="50" t="str">
        <f aca="false">IF(OR(D30="",M30=""),"",O30-L30-Q30-R30-S30)</f>
        <v/>
      </c>
      <c r="U30" s="54" t="str">
        <f aca="false">IF(T30="","",IF(L30=0,"",T30/L30))</f>
        <v/>
      </c>
      <c r="V30" s="54" t="str">
        <f aca="false">IF(T30="","",T30/O30)</f>
        <v/>
      </c>
      <c r="W30" s="50" t="str">
        <f aca="false">IF(OR(D30="",M30=""),"",IF((1/(1+N30)-P30)&lt;=0,"",(L30+R30+S30)/(1/(1+N30)-P30)))</f>
        <v/>
      </c>
      <c r="X30" s="37" t="str">
        <f aca="false">IF(U30="","",IF(U30&gt;=$B$7,"BUY","SKIP"))</f>
        <v/>
      </c>
    </row>
    <row r="31" customFormat="false" ht="15" hidden="false" customHeight="false" outlineLevel="0" collapsed="false">
      <c r="A31" s="47"/>
      <c r="B31" s="47"/>
      <c r="C31" s="47"/>
      <c r="D31" s="48"/>
      <c r="E31" s="47"/>
      <c r="F31" s="49" t="str">
        <f aca="false">IF(D31="","",IF(E31="EUR",$B$4,1))</f>
        <v/>
      </c>
      <c r="G31" s="50" t="str">
        <f aca="false">IF(D31="","",D31*F31)</f>
        <v/>
      </c>
      <c r="H31" s="51"/>
      <c r="I31" s="52"/>
      <c r="J31" s="50" t="str">
        <f aca="false">IF(D31="","",(G31+H31)*I31)</f>
        <v/>
      </c>
      <c r="K31" s="51"/>
      <c r="L31" s="50" t="str">
        <f aca="false">IF(D31="","",G31+H31+J31+K31)</f>
        <v/>
      </c>
      <c r="M31" s="51"/>
      <c r="N31" s="53" t="str">
        <f aca="false">IF(M31="","",$B$5)</f>
        <v/>
      </c>
      <c r="O31" s="50" t="str">
        <f aca="false">IF(M31="","",M31/(1+N31))</f>
        <v/>
      </c>
      <c r="P31" s="53" t="str">
        <f aca="false">IF(M31="","",$B$6)</f>
        <v/>
      </c>
      <c r="Q31" s="50" t="str">
        <f aca="false">IF(M31="","",M31*P31)</f>
        <v/>
      </c>
      <c r="R31" s="51"/>
      <c r="S31" s="51"/>
      <c r="T31" s="50" t="str">
        <f aca="false">IF(OR(D31="",M31=""),"",O31-L31-Q31-R31-S31)</f>
        <v/>
      </c>
      <c r="U31" s="54" t="str">
        <f aca="false">IF(T31="","",IF(L31=0,"",T31/L31))</f>
        <v/>
      </c>
      <c r="V31" s="54" t="str">
        <f aca="false">IF(T31="","",T31/O31)</f>
        <v/>
      </c>
      <c r="W31" s="50" t="str">
        <f aca="false">IF(OR(D31="",M31=""),"",IF((1/(1+N31)-P31)&lt;=0,"",(L31+R31+S31)/(1/(1+N31)-P31)))</f>
        <v/>
      </c>
      <c r="X31" s="37" t="str">
        <f aca="false">IF(U31="","",IF(U31&gt;=$B$7,"BUY","SKIP"))</f>
        <v/>
      </c>
    </row>
    <row r="32" customFormat="false" ht="15" hidden="false" customHeight="false" outlineLevel="0" collapsed="false">
      <c r="A32" s="47"/>
      <c r="B32" s="47"/>
      <c r="C32" s="47"/>
      <c r="D32" s="48"/>
      <c r="E32" s="47"/>
      <c r="F32" s="49" t="str">
        <f aca="false">IF(D32="","",IF(E32="EUR",$B$4,1))</f>
        <v/>
      </c>
      <c r="G32" s="50" t="str">
        <f aca="false">IF(D32="","",D32*F32)</f>
        <v/>
      </c>
      <c r="H32" s="51"/>
      <c r="I32" s="52"/>
      <c r="J32" s="50" t="str">
        <f aca="false">IF(D32="","",(G32+H32)*I32)</f>
        <v/>
      </c>
      <c r="K32" s="51"/>
      <c r="L32" s="50" t="str">
        <f aca="false">IF(D32="","",G32+H32+J32+K32)</f>
        <v/>
      </c>
      <c r="M32" s="51"/>
      <c r="N32" s="53" t="str">
        <f aca="false">IF(M32="","",$B$5)</f>
        <v/>
      </c>
      <c r="O32" s="50" t="str">
        <f aca="false">IF(M32="","",M32/(1+N32))</f>
        <v/>
      </c>
      <c r="P32" s="53" t="str">
        <f aca="false">IF(M32="","",$B$6)</f>
        <v/>
      </c>
      <c r="Q32" s="50" t="str">
        <f aca="false">IF(M32="","",M32*P32)</f>
        <v/>
      </c>
      <c r="R32" s="51"/>
      <c r="S32" s="51"/>
      <c r="T32" s="50" t="str">
        <f aca="false">IF(OR(D32="",M32=""),"",O32-L32-Q32-R32-S32)</f>
        <v/>
      </c>
      <c r="U32" s="54" t="str">
        <f aca="false">IF(T32="","",IF(L32=0,"",T32/L32))</f>
        <v/>
      </c>
      <c r="V32" s="54" t="str">
        <f aca="false">IF(T32="","",T32/O32)</f>
        <v/>
      </c>
      <c r="W32" s="50" t="str">
        <f aca="false">IF(OR(D32="",M32=""),"",IF((1/(1+N32)-P32)&lt;=0,"",(L32+R32+S32)/(1/(1+N32)-P32)))</f>
        <v/>
      </c>
      <c r="X32" s="37" t="str">
        <f aca="false">IF(U32="","",IF(U32&gt;=$B$7,"BUY","SKIP"))</f>
        <v/>
      </c>
    </row>
    <row r="33" customFormat="false" ht="15" hidden="false" customHeight="false" outlineLevel="0" collapsed="false">
      <c r="A33" s="47"/>
      <c r="B33" s="47"/>
      <c r="C33" s="47"/>
      <c r="D33" s="48"/>
      <c r="E33" s="47"/>
      <c r="F33" s="49" t="str">
        <f aca="false">IF(D33="","",IF(E33="EUR",$B$4,1))</f>
        <v/>
      </c>
      <c r="G33" s="50" t="str">
        <f aca="false">IF(D33="","",D33*F33)</f>
        <v/>
      </c>
      <c r="H33" s="51"/>
      <c r="I33" s="52"/>
      <c r="J33" s="50" t="str">
        <f aca="false">IF(D33="","",(G33+H33)*I33)</f>
        <v/>
      </c>
      <c r="K33" s="51"/>
      <c r="L33" s="50" t="str">
        <f aca="false">IF(D33="","",G33+H33+J33+K33)</f>
        <v/>
      </c>
      <c r="M33" s="51"/>
      <c r="N33" s="53" t="str">
        <f aca="false">IF(M33="","",$B$5)</f>
        <v/>
      </c>
      <c r="O33" s="50" t="str">
        <f aca="false">IF(M33="","",M33/(1+N33))</f>
        <v/>
      </c>
      <c r="P33" s="53" t="str">
        <f aca="false">IF(M33="","",$B$6)</f>
        <v/>
      </c>
      <c r="Q33" s="50" t="str">
        <f aca="false">IF(M33="","",M33*P33)</f>
        <v/>
      </c>
      <c r="R33" s="51"/>
      <c r="S33" s="51"/>
      <c r="T33" s="50" t="str">
        <f aca="false">IF(OR(D33="",M33=""),"",O33-L33-Q33-R33-S33)</f>
        <v/>
      </c>
      <c r="U33" s="54" t="str">
        <f aca="false">IF(T33="","",IF(L33=0,"",T33/L33))</f>
        <v/>
      </c>
      <c r="V33" s="54" t="str">
        <f aca="false">IF(T33="","",T33/O33)</f>
        <v/>
      </c>
      <c r="W33" s="50" t="str">
        <f aca="false">IF(OR(D33="",M33=""),"",IF((1/(1+N33)-P33)&lt;=0,"",(L33+R33+S33)/(1/(1+N33)-P33)))</f>
        <v/>
      </c>
      <c r="X33" s="37" t="str">
        <f aca="false">IF(U33="","",IF(U33&gt;=$B$7,"BUY","SKIP"))</f>
        <v/>
      </c>
    </row>
    <row r="34" customFormat="false" ht="15" hidden="false" customHeight="false" outlineLevel="0" collapsed="false">
      <c r="A34" s="47"/>
      <c r="B34" s="47"/>
      <c r="C34" s="47"/>
      <c r="D34" s="48"/>
      <c r="E34" s="47"/>
      <c r="F34" s="49" t="str">
        <f aca="false">IF(D34="","",IF(E34="EUR",$B$4,1))</f>
        <v/>
      </c>
      <c r="G34" s="50" t="str">
        <f aca="false">IF(D34="","",D34*F34)</f>
        <v/>
      </c>
      <c r="H34" s="51"/>
      <c r="I34" s="52"/>
      <c r="J34" s="50" t="str">
        <f aca="false">IF(D34="","",(G34+H34)*I34)</f>
        <v/>
      </c>
      <c r="K34" s="51"/>
      <c r="L34" s="50" t="str">
        <f aca="false">IF(D34="","",G34+H34+J34+K34)</f>
        <v/>
      </c>
      <c r="M34" s="51"/>
      <c r="N34" s="53" t="str">
        <f aca="false">IF(M34="","",$B$5)</f>
        <v/>
      </c>
      <c r="O34" s="50" t="str">
        <f aca="false">IF(M34="","",M34/(1+N34))</f>
        <v/>
      </c>
      <c r="P34" s="53" t="str">
        <f aca="false">IF(M34="","",$B$6)</f>
        <v/>
      </c>
      <c r="Q34" s="50" t="str">
        <f aca="false">IF(M34="","",M34*P34)</f>
        <v/>
      </c>
      <c r="R34" s="51"/>
      <c r="S34" s="51"/>
      <c r="T34" s="50" t="str">
        <f aca="false">IF(OR(D34="",M34=""),"",O34-L34-Q34-R34-S34)</f>
        <v/>
      </c>
      <c r="U34" s="54" t="str">
        <f aca="false">IF(T34="","",IF(L34=0,"",T34/L34))</f>
        <v/>
      </c>
      <c r="V34" s="54" t="str">
        <f aca="false">IF(T34="","",T34/O34)</f>
        <v/>
      </c>
      <c r="W34" s="50" t="str">
        <f aca="false">IF(OR(D34="",M34=""),"",IF((1/(1+N34)-P34)&lt;=0,"",(L34+R34+S34)/(1/(1+N34)-P34)))</f>
        <v/>
      </c>
      <c r="X34" s="37" t="str">
        <f aca="false">IF(U34="","",IF(U34&gt;=$B$7,"BUY","SKIP"))</f>
        <v/>
      </c>
    </row>
    <row r="35" customFormat="false" ht="15" hidden="false" customHeight="false" outlineLevel="0" collapsed="false">
      <c r="A35" s="47"/>
      <c r="B35" s="47"/>
      <c r="C35" s="47"/>
      <c r="D35" s="48"/>
      <c r="E35" s="47"/>
      <c r="F35" s="49" t="str">
        <f aca="false">IF(D35="","",IF(E35="EUR",$B$4,1))</f>
        <v/>
      </c>
      <c r="G35" s="50" t="str">
        <f aca="false">IF(D35="","",D35*F35)</f>
        <v/>
      </c>
      <c r="H35" s="51"/>
      <c r="I35" s="52"/>
      <c r="J35" s="50" t="str">
        <f aca="false">IF(D35="","",(G35+H35)*I35)</f>
        <v/>
      </c>
      <c r="K35" s="51"/>
      <c r="L35" s="50" t="str">
        <f aca="false">IF(D35="","",G35+H35+J35+K35)</f>
        <v/>
      </c>
      <c r="M35" s="51"/>
      <c r="N35" s="53" t="str">
        <f aca="false">IF(M35="","",$B$5)</f>
        <v/>
      </c>
      <c r="O35" s="50" t="str">
        <f aca="false">IF(M35="","",M35/(1+N35))</f>
        <v/>
      </c>
      <c r="P35" s="53" t="str">
        <f aca="false">IF(M35="","",$B$6)</f>
        <v/>
      </c>
      <c r="Q35" s="50" t="str">
        <f aca="false">IF(M35="","",M35*P35)</f>
        <v/>
      </c>
      <c r="R35" s="51"/>
      <c r="S35" s="51"/>
      <c r="T35" s="50" t="str">
        <f aca="false">IF(OR(D35="",M35=""),"",O35-L35-Q35-R35-S35)</f>
        <v/>
      </c>
      <c r="U35" s="54" t="str">
        <f aca="false">IF(T35="","",IF(L35=0,"",T35/L35))</f>
        <v/>
      </c>
      <c r="V35" s="54" t="str">
        <f aca="false">IF(T35="","",T35/O35)</f>
        <v/>
      </c>
      <c r="W35" s="50" t="str">
        <f aca="false">IF(OR(D35="",M35=""),"",IF((1/(1+N35)-P35)&lt;=0,"",(L35+R35+S35)/(1/(1+N35)-P35)))</f>
        <v/>
      </c>
      <c r="X35" s="37" t="str">
        <f aca="false">IF(U35="","",IF(U35&gt;=$B$7,"BUY","SKIP"))</f>
        <v/>
      </c>
    </row>
    <row r="36" customFormat="false" ht="15" hidden="false" customHeight="false" outlineLevel="0" collapsed="false">
      <c r="A36" s="47"/>
      <c r="B36" s="47"/>
      <c r="C36" s="47"/>
      <c r="D36" s="48"/>
      <c r="E36" s="47"/>
      <c r="F36" s="49" t="str">
        <f aca="false">IF(D36="","",IF(E36="EUR",$B$4,1))</f>
        <v/>
      </c>
      <c r="G36" s="50" t="str">
        <f aca="false">IF(D36="","",D36*F36)</f>
        <v/>
      </c>
      <c r="H36" s="51"/>
      <c r="I36" s="52"/>
      <c r="J36" s="50" t="str">
        <f aca="false">IF(D36="","",(G36+H36)*I36)</f>
        <v/>
      </c>
      <c r="K36" s="51"/>
      <c r="L36" s="50" t="str">
        <f aca="false">IF(D36="","",G36+H36+J36+K36)</f>
        <v/>
      </c>
      <c r="M36" s="51"/>
      <c r="N36" s="53" t="str">
        <f aca="false">IF(M36="","",$B$5)</f>
        <v/>
      </c>
      <c r="O36" s="50" t="str">
        <f aca="false">IF(M36="","",M36/(1+N36))</f>
        <v/>
      </c>
      <c r="P36" s="53" t="str">
        <f aca="false">IF(M36="","",$B$6)</f>
        <v/>
      </c>
      <c r="Q36" s="50" t="str">
        <f aca="false">IF(M36="","",M36*P36)</f>
        <v/>
      </c>
      <c r="R36" s="51"/>
      <c r="S36" s="51"/>
      <c r="T36" s="50" t="str">
        <f aca="false">IF(OR(D36="",M36=""),"",O36-L36-Q36-R36-S36)</f>
        <v/>
      </c>
      <c r="U36" s="54" t="str">
        <f aca="false">IF(T36="","",IF(L36=0,"",T36/L36))</f>
        <v/>
      </c>
      <c r="V36" s="54" t="str">
        <f aca="false">IF(T36="","",T36/O36)</f>
        <v/>
      </c>
      <c r="W36" s="50" t="str">
        <f aca="false">IF(OR(D36="",M36=""),"",IF((1/(1+N36)-P36)&lt;=0,"",(L36+R36+S36)/(1/(1+N36)-P36)))</f>
        <v/>
      </c>
      <c r="X36" s="37" t="str">
        <f aca="false">IF(U36="","",IF(U36&gt;=$B$7,"BUY","SKIP"))</f>
        <v/>
      </c>
    </row>
    <row r="37" customFormat="false" ht="15" hidden="false" customHeight="false" outlineLevel="0" collapsed="false">
      <c r="A37" s="47"/>
      <c r="B37" s="47"/>
      <c r="C37" s="47"/>
      <c r="D37" s="48"/>
      <c r="E37" s="47"/>
      <c r="F37" s="49" t="str">
        <f aca="false">IF(D37="","",IF(E37="EUR",$B$4,1))</f>
        <v/>
      </c>
      <c r="G37" s="50" t="str">
        <f aca="false">IF(D37="","",D37*F37)</f>
        <v/>
      </c>
      <c r="H37" s="51"/>
      <c r="I37" s="52"/>
      <c r="J37" s="50" t="str">
        <f aca="false">IF(D37="","",(G37+H37)*I37)</f>
        <v/>
      </c>
      <c r="K37" s="51"/>
      <c r="L37" s="50" t="str">
        <f aca="false">IF(D37="","",G37+H37+J37+K37)</f>
        <v/>
      </c>
      <c r="M37" s="51"/>
      <c r="N37" s="53" t="str">
        <f aca="false">IF(M37="","",$B$5)</f>
        <v/>
      </c>
      <c r="O37" s="50" t="str">
        <f aca="false">IF(M37="","",M37/(1+N37))</f>
        <v/>
      </c>
      <c r="P37" s="53" t="str">
        <f aca="false">IF(M37="","",$B$6)</f>
        <v/>
      </c>
      <c r="Q37" s="50" t="str">
        <f aca="false">IF(M37="","",M37*P37)</f>
        <v/>
      </c>
      <c r="R37" s="51"/>
      <c r="S37" s="51"/>
      <c r="T37" s="50" t="str">
        <f aca="false">IF(OR(D37="",M37=""),"",O37-L37-Q37-R37-S37)</f>
        <v/>
      </c>
      <c r="U37" s="54" t="str">
        <f aca="false">IF(T37="","",IF(L37=0,"",T37/L37))</f>
        <v/>
      </c>
      <c r="V37" s="54" t="str">
        <f aca="false">IF(T37="","",T37/O37)</f>
        <v/>
      </c>
      <c r="W37" s="50" t="str">
        <f aca="false">IF(OR(D37="",M37=""),"",IF((1/(1+N37)-P37)&lt;=0,"",(L37+R37+S37)/(1/(1+N37)-P37)))</f>
        <v/>
      </c>
      <c r="X37" s="37" t="str">
        <f aca="false">IF(U37="","",IF(U37&gt;=$B$7,"BUY","SKIP"))</f>
        <v/>
      </c>
    </row>
    <row r="38" customFormat="false" ht="15" hidden="false" customHeight="false" outlineLevel="0" collapsed="false">
      <c r="A38" s="47"/>
      <c r="B38" s="47"/>
      <c r="C38" s="47"/>
      <c r="D38" s="48"/>
      <c r="E38" s="47"/>
      <c r="F38" s="49" t="str">
        <f aca="false">IF(D38="","",IF(E38="EUR",$B$4,1))</f>
        <v/>
      </c>
      <c r="G38" s="50" t="str">
        <f aca="false">IF(D38="","",D38*F38)</f>
        <v/>
      </c>
      <c r="H38" s="51"/>
      <c r="I38" s="52"/>
      <c r="J38" s="50" t="str">
        <f aca="false">IF(D38="","",(G38+H38)*I38)</f>
        <v/>
      </c>
      <c r="K38" s="51"/>
      <c r="L38" s="50" t="str">
        <f aca="false">IF(D38="","",G38+H38+J38+K38)</f>
        <v/>
      </c>
      <c r="M38" s="51"/>
      <c r="N38" s="53" t="str">
        <f aca="false">IF(M38="","",$B$5)</f>
        <v/>
      </c>
      <c r="O38" s="50" t="str">
        <f aca="false">IF(M38="","",M38/(1+N38))</f>
        <v/>
      </c>
      <c r="P38" s="53" t="str">
        <f aca="false">IF(M38="","",$B$6)</f>
        <v/>
      </c>
      <c r="Q38" s="50" t="str">
        <f aca="false">IF(M38="","",M38*P38)</f>
        <v/>
      </c>
      <c r="R38" s="51"/>
      <c r="S38" s="51"/>
      <c r="T38" s="50" t="str">
        <f aca="false">IF(OR(D38="",M38=""),"",O38-L38-Q38-R38-S38)</f>
        <v/>
      </c>
      <c r="U38" s="54" t="str">
        <f aca="false">IF(T38="","",IF(L38=0,"",T38/L38))</f>
        <v/>
      </c>
      <c r="V38" s="54" t="str">
        <f aca="false">IF(T38="","",T38/O38)</f>
        <v/>
      </c>
      <c r="W38" s="50" t="str">
        <f aca="false">IF(OR(D38="",M38=""),"",IF((1/(1+N38)-P38)&lt;=0,"",(L38+R38+S38)/(1/(1+N38)-P38)))</f>
        <v/>
      </c>
      <c r="X38" s="37" t="str">
        <f aca="false">IF(U38="","",IF(U38&gt;=$B$7,"BUY","SKIP"))</f>
        <v/>
      </c>
    </row>
    <row r="39" customFormat="false" ht="15" hidden="false" customHeight="false" outlineLevel="0" collapsed="false">
      <c r="A39" s="47"/>
      <c r="B39" s="47"/>
      <c r="C39" s="47"/>
      <c r="D39" s="48"/>
      <c r="E39" s="47"/>
      <c r="F39" s="49" t="str">
        <f aca="false">IF(D39="","",IF(E39="EUR",$B$4,1))</f>
        <v/>
      </c>
      <c r="G39" s="50" t="str">
        <f aca="false">IF(D39="","",D39*F39)</f>
        <v/>
      </c>
      <c r="H39" s="51"/>
      <c r="I39" s="52"/>
      <c r="J39" s="50" t="str">
        <f aca="false">IF(D39="","",(G39+H39)*I39)</f>
        <v/>
      </c>
      <c r="K39" s="51"/>
      <c r="L39" s="50" t="str">
        <f aca="false">IF(D39="","",G39+H39+J39+K39)</f>
        <v/>
      </c>
      <c r="M39" s="51"/>
      <c r="N39" s="53" t="str">
        <f aca="false">IF(M39="","",$B$5)</f>
        <v/>
      </c>
      <c r="O39" s="50" t="str">
        <f aca="false">IF(M39="","",M39/(1+N39))</f>
        <v/>
      </c>
      <c r="P39" s="53" t="str">
        <f aca="false">IF(M39="","",$B$6)</f>
        <v/>
      </c>
      <c r="Q39" s="50" t="str">
        <f aca="false">IF(M39="","",M39*P39)</f>
        <v/>
      </c>
      <c r="R39" s="51"/>
      <c r="S39" s="51"/>
      <c r="T39" s="50" t="str">
        <f aca="false">IF(OR(D39="",M39=""),"",O39-L39-Q39-R39-S39)</f>
        <v/>
      </c>
      <c r="U39" s="54" t="str">
        <f aca="false">IF(T39="","",IF(L39=0,"",T39/L39))</f>
        <v/>
      </c>
      <c r="V39" s="54" t="str">
        <f aca="false">IF(T39="","",T39/O39)</f>
        <v/>
      </c>
      <c r="W39" s="50" t="str">
        <f aca="false">IF(OR(D39="",M39=""),"",IF((1/(1+N39)-P39)&lt;=0,"",(L39+R39+S39)/(1/(1+N39)-P39)))</f>
        <v/>
      </c>
      <c r="X39" s="37" t="str">
        <f aca="false">IF(U39="","",IF(U39&gt;=$B$7,"BUY","SKIP"))</f>
        <v/>
      </c>
    </row>
    <row r="40" customFormat="false" ht="15" hidden="false" customHeight="false" outlineLevel="0" collapsed="false">
      <c r="A40" s="47"/>
      <c r="B40" s="47"/>
      <c r="C40" s="47"/>
      <c r="D40" s="48"/>
      <c r="E40" s="47"/>
      <c r="F40" s="49" t="str">
        <f aca="false">IF(D40="","",IF(E40="EUR",$B$4,1))</f>
        <v/>
      </c>
      <c r="G40" s="50" t="str">
        <f aca="false">IF(D40="","",D40*F40)</f>
        <v/>
      </c>
      <c r="H40" s="51"/>
      <c r="I40" s="52"/>
      <c r="J40" s="50" t="str">
        <f aca="false">IF(D40="","",(G40+H40)*I40)</f>
        <v/>
      </c>
      <c r="K40" s="51"/>
      <c r="L40" s="50" t="str">
        <f aca="false">IF(D40="","",G40+H40+J40+K40)</f>
        <v/>
      </c>
      <c r="M40" s="51"/>
      <c r="N40" s="53" t="str">
        <f aca="false">IF(M40="","",$B$5)</f>
        <v/>
      </c>
      <c r="O40" s="50" t="str">
        <f aca="false">IF(M40="","",M40/(1+N40))</f>
        <v/>
      </c>
      <c r="P40" s="53" t="str">
        <f aca="false">IF(M40="","",$B$6)</f>
        <v/>
      </c>
      <c r="Q40" s="50" t="str">
        <f aca="false">IF(M40="","",M40*P40)</f>
        <v/>
      </c>
      <c r="R40" s="51"/>
      <c r="S40" s="51"/>
      <c r="T40" s="50" t="str">
        <f aca="false">IF(OR(D40="",M40=""),"",O40-L40-Q40-R40-S40)</f>
        <v/>
      </c>
      <c r="U40" s="54" t="str">
        <f aca="false">IF(T40="","",IF(L40=0,"",T40/L40))</f>
        <v/>
      </c>
      <c r="V40" s="54" t="str">
        <f aca="false">IF(T40="","",T40/O40)</f>
        <v/>
      </c>
      <c r="W40" s="50" t="str">
        <f aca="false">IF(OR(D40="",M40=""),"",IF((1/(1+N40)-P40)&lt;=0,"",(L40+R40+S40)/(1/(1+N40)-P40)))</f>
        <v/>
      </c>
      <c r="X40" s="37" t="str">
        <f aca="false">IF(U40="","",IF(U40&gt;=$B$7,"BUY","SKIP"))</f>
        <v/>
      </c>
    </row>
    <row r="41" customFormat="false" ht="15" hidden="false" customHeight="false" outlineLevel="0" collapsed="false">
      <c r="A41" s="47"/>
      <c r="B41" s="47"/>
      <c r="C41" s="47"/>
      <c r="D41" s="48"/>
      <c r="E41" s="47"/>
      <c r="F41" s="49" t="str">
        <f aca="false">IF(D41="","",IF(E41="EUR",$B$4,1))</f>
        <v/>
      </c>
      <c r="G41" s="50" t="str">
        <f aca="false">IF(D41="","",D41*F41)</f>
        <v/>
      </c>
      <c r="H41" s="51"/>
      <c r="I41" s="52"/>
      <c r="J41" s="50" t="str">
        <f aca="false">IF(D41="","",(G41+H41)*I41)</f>
        <v/>
      </c>
      <c r="K41" s="51"/>
      <c r="L41" s="50" t="str">
        <f aca="false">IF(D41="","",G41+H41+J41+K41)</f>
        <v/>
      </c>
      <c r="M41" s="51"/>
      <c r="N41" s="53" t="str">
        <f aca="false">IF(M41="","",$B$5)</f>
        <v/>
      </c>
      <c r="O41" s="50" t="str">
        <f aca="false">IF(M41="","",M41/(1+N41))</f>
        <v/>
      </c>
      <c r="P41" s="53" t="str">
        <f aca="false">IF(M41="","",$B$6)</f>
        <v/>
      </c>
      <c r="Q41" s="50" t="str">
        <f aca="false">IF(M41="","",M41*P41)</f>
        <v/>
      </c>
      <c r="R41" s="51"/>
      <c r="S41" s="51"/>
      <c r="T41" s="50" t="str">
        <f aca="false">IF(OR(D41="",M41=""),"",O41-L41-Q41-R41-S41)</f>
        <v/>
      </c>
      <c r="U41" s="54" t="str">
        <f aca="false">IF(T41="","",IF(L41=0,"",T41/L41))</f>
        <v/>
      </c>
      <c r="V41" s="54" t="str">
        <f aca="false">IF(T41="","",T41/O41)</f>
        <v/>
      </c>
      <c r="W41" s="50" t="str">
        <f aca="false">IF(OR(D41="",M41=""),"",IF((1/(1+N41)-P41)&lt;=0,"",(L41+R41+S41)/(1/(1+N41)-P41)))</f>
        <v/>
      </c>
      <c r="X41" s="37" t="str">
        <f aca="false">IF(U41="","",IF(U41&gt;=$B$7,"BUY","SKIP"))</f>
        <v/>
      </c>
    </row>
    <row r="42" customFormat="false" ht="15" hidden="false" customHeight="false" outlineLevel="0" collapsed="false">
      <c r="A42" s="47"/>
      <c r="B42" s="47"/>
      <c r="C42" s="47"/>
      <c r="D42" s="48"/>
      <c r="E42" s="47"/>
      <c r="F42" s="49" t="str">
        <f aca="false">IF(D42="","",IF(E42="EUR",$B$4,1))</f>
        <v/>
      </c>
      <c r="G42" s="50" t="str">
        <f aca="false">IF(D42="","",D42*F42)</f>
        <v/>
      </c>
      <c r="H42" s="51"/>
      <c r="I42" s="52"/>
      <c r="J42" s="50" t="str">
        <f aca="false">IF(D42="","",(G42+H42)*I42)</f>
        <v/>
      </c>
      <c r="K42" s="51"/>
      <c r="L42" s="50" t="str">
        <f aca="false">IF(D42="","",G42+H42+J42+K42)</f>
        <v/>
      </c>
      <c r="M42" s="51"/>
      <c r="N42" s="53" t="str">
        <f aca="false">IF(M42="","",$B$5)</f>
        <v/>
      </c>
      <c r="O42" s="50" t="str">
        <f aca="false">IF(M42="","",M42/(1+N42))</f>
        <v/>
      </c>
      <c r="P42" s="53" t="str">
        <f aca="false">IF(M42="","",$B$6)</f>
        <v/>
      </c>
      <c r="Q42" s="50" t="str">
        <f aca="false">IF(M42="","",M42*P42)</f>
        <v/>
      </c>
      <c r="R42" s="51"/>
      <c r="S42" s="51"/>
      <c r="T42" s="50" t="str">
        <f aca="false">IF(OR(D42="",M42=""),"",O42-L42-Q42-R42-S42)</f>
        <v/>
      </c>
      <c r="U42" s="54" t="str">
        <f aca="false">IF(T42="","",IF(L42=0,"",T42/L42))</f>
        <v/>
      </c>
      <c r="V42" s="54" t="str">
        <f aca="false">IF(T42="","",T42/O42)</f>
        <v/>
      </c>
      <c r="W42" s="50" t="str">
        <f aca="false">IF(OR(D42="",M42=""),"",IF((1/(1+N42)-P42)&lt;=0,"",(L42+R42+S42)/(1/(1+N42)-P42)))</f>
        <v/>
      </c>
      <c r="X42" s="37" t="str">
        <f aca="false">IF(U42="","",IF(U42&gt;=$B$7,"BUY","SKIP"))</f>
        <v/>
      </c>
    </row>
    <row r="43" customFormat="false" ht="15" hidden="false" customHeight="false" outlineLevel="0" collapsed="false">
      <c r="A43" s="47"/>
      <c r="B43" s="47"/>
      <c r="C43" s="47"/>
      <c r="D43" s="48"/>
      <c r="E43" s="47"/>
      <c r="F43" s="49" t="str">
        <f aca="false">IF(D43="","",IF(E43="EUR",$B$4,1))</f>
        <v/>
      </c>
      <c r="G43" s="50" t="str">
        <f aca="false">IF(D43="","",D43*F43)</f>
        <v/>
      </c>
      <c r="H43" s="51"/>
      <c r="I43" s="52"/>
      <c r="J43" s="50" t="str">
        <f aca="false">IF(D43="","",(G43+H43)*I43)</f>
        <v/>
      </c>
      <c r="K43" s="51"/>
      <c r="L43" s="50" t="str">
        <f aca="false">IF(D43="","",G43+H43+J43+K43)</f>
        <v/>
      </c>
      <c r="M43" s="51"/>
      <c r="N43" s="53" t="str">
        <f aca="false">IF(M43="","",$B$5)</f>
        <v/>
      </c>
      <c r="O43" s="50" t="str">
        <f aca="false">IF(M43="","",M43/(1+N43))</f>
        <v/>
      </c>
      <c r="P43" s="53" t="str">
        <f aca="false">IF(M43="","",$B$6)</f>
        <v/>
      </c>
      <c r="Q43" s="50" t="str">
        <f aca="false">IF(M43="","",M43*P43)</f>
        <v/>
      </c>
      <c r="R43" s="51"/>
      <c r="S43" s="51"/>
      <c r="T43" s="50" t="str">
        <f aca="false">IF(OR(D43="",M43=""),"",O43-L43-Q43-R43-S43)</f>
        <v/>
      </c>
      <c r="U43" s="54" t="str">
        <f aca="false">IF(T43="","",IF(L43=0,"",T43/L43))</f>
        <v/>
      </c>
      <c r="V43" s="54" t="str">
        <f aca="false">IF(T43="","",T43/O43)</f>
        <v/>
      </c>
      <c r="W43" s="50" t="str">
        <f aca="false">IF(OR(D43="",M43=""),"",IF((1/(1+N43)-P43)&lt;=0,"",(L43+R43+S43)/(1/(1+N43)-P43)))</f>
        <v/>
      </c>
      <c r="X43" s="37" t="str">
        <f aca="false">IF(U43="","",IF(U43&gt;=$B$7,"BUY","SKIP"))</f>
        <v/>
      </c>
    </row>
    <row r="44" customFormat="false" ht="15" hidden="false" customHeight="false" outlineLevel="0" collapsed="false">
      <c r="A44" s="47"/>
      <c r="B44" s="47"/>
      <c r="C44" s="47"/>
      <c r="D44" s="48"/>
      <c r="E44" s="47"/>
      <c r="F44" s="49" t="str">
        <f aca="false">IF(D44="","",IF(E44="EUR",$B$4,1))</f>
        <v/>
      </c>
      <c r="G44" s="50" t="str">
        <f aca="false">IF(D44="","",D44*F44)</f>
        <v/>
      </c>
      <c r="H44" s="51"/>
      <c r="I44" s="52"/>
      <c r="J44" s="50" t="str">
        <f aca="false">IF(D44="","",(G44+H44)*I44)</f>
        <v/>
      </c>
      <c r="K44" s="51"/>
      <c r="L44" s="50" t="str">
        <f aca="false">IF(D44="","",G44+H44+J44+K44)</f>
        <v/>
      </c>
      <c r="M44" s="51"/>
      <c r="N44" s="53" t="str">
        <f aca="false">IF(M44="","",$B$5)</f>
        <v/>
      </c>
      <c r="O44" s="50" t="str">
        <f aca="false">IF(M44="","",M44/(1+N44))</f>
        <v/>
      </c>
      <c r="P44" s="53" t="str">
        <f aca="false">IF(M44="","",$B$6)</f>
        <v/>
      </c>
      <c r="Q44" s="50" t="str">
        <f aca="false">IF(M44="","",M44*P44)</f>
        <v/>
      </c>
      <c r="R44" s="51"/>
      <c r="S44" s="51"/>
      <c r="T44" s="50" t="str">
        <f aca="false">IF(OR(D44="",M44=""),"",O44-L44-Q44-R44-S44)</f>
        <v/>
      </c>
      <c r="U44" s="54" t="str">
        <f aca="false">IF(T44="","",IF(L44=0,"",T44/L44))</f>
        <v/>
      </c>
      <c r="V44" s="54" t="str">
        <f aca="false">IF(T44="","",T44/O44)</f>
        <v/>
      </c>
      <c r="W44" s="50" t="str">
        <f aca="false">IF(OR(D44="",M44=""),"",IF((1/(1+N44)-P44)&lt;=0,"",(L44+R44+S44)/(1/(1+N44)-P44)))</f>
        <v/>
      </c>
      <c r="X44" s="37" t="str">
        <f aca="false">IF(U44="","",IF(U44&gt;=$B$7,"BUY","SKIP"))</f>
        <v/>
      </c>
    </row>
    <row r="45" customFormat="false" ht="15" hidden="false" customHeight="false" outlineLevel="0" collapsed="false">
      <c r="A45" s="47"/>
      <c r="B45" s="47"/>
      <c r="C45" s="47"/>
      <c r="D45" s="48"/>
      <c r="E45" s="47"/>
      <c r="F45" s="49" t="str">
        <f aca="false">IF(D45="","",IF(E45="EUR",$B$4,1))</f>
        <v/>
      </c>
      <c r="G45" s="50" t="str">
        <f aca="false">IF(D45="","",D45*F45)</f>
        <v/>
      </c>
      <c r="H45" s="51"/>
      <c r="I45" s="52"/>
      <c r="J45" s="50" t="str">
        <f aca="false">IF(D45="","",(G45+H45)*I45)</f>
        <v/>
      </c>
      <c r="K45" s="51"/>
      <c r="L45" s="50" t="str">
        <f aca="false">IF(D45="","",G45+H45+J45+K45)</f>
        <v/>
      </c>
      <c r="M45" s="51"/>
      <c r="N45" s="53" t="str">
        <f aca="false">IF(M45="","",$B$5)</f>
        <v/>
      </c>
      <c r="O45" s="50" t="str">
        <f aca="false">IF(M45="","",M45/(1+N45))</f>
        <v/>
      </c>
      <c r="P45" s="53" t="str">
        <f aca="false">IF(M45="","",$B$6)</f>
        <v/>
      </c>
      <c r="Q45" s="50" t="str">
        <f aca="false">IF(M45="","",M45*P45)</f>
        <v/>
      </c>
      <c r="R45" s="51"/>
      <c r="S45" s="51"/>
      <c r="T45" s="50" t="str">
        <f aca="false">IF(OR(D45="",M45=""),"",O45-L45-Q45-R45-S45)</f>
        <v/>
      </c>
      <c r="U45" s="54" t="str">
        <f aca="false">IF(T45="","",IF(L45=0,"",T45/L45))</f>
        <v/>
      </c>
      <c r="V45" s="54" t="str">
        <f aca="false">IF(T45="","",T45/O45)</f>
        <v/>
      </c>
      <c r="W45" s="50" t="str">
        <f aca="false">IF(OR(D45="",M45=""),"",IF((1/(1+N45)-P45)&lt;=0,"",(L45+R45+S45)/(1/(1+N45)-P45)))</f>
        <v/>
      </c>
      <c r="X45" s="37" t="str">
        <f aca="false">IF(U45="","",IF(U45&gt;=$B$7,"BUY","SKIP"))</f>
        <v/>
      </c>
    </row>
    <row r="46" customFormat="false" ht="15" hidden="false" customHeight="false" outlineLevel="0" collapsed="false">
      <c r="A46" s="47"/>
      <c r="B46" s="47"/>
      <c r="C46" s="47"/>
      <c r="D46" s="48"/>
      <c r="E46" s="47"/>
      <c r="F46" s="49" t="str">
        <f aca="false">IF(D46="","",IF(E46="EUR",$B$4,1))</f>
        <v/>
      </c>
      <c r="G46" s="50" t="str">
        <f aca="false">IF(D46="","",D46*F46)</f>
        <v/>
      </c>
      <c r="H46" s="51"/>
      <c r="I46" s="52"/>
      <c r="J46" s="50" t="str">
        <f aca="false">IF(D46="","",(G46+H46)*I46)</f>
        <v/>
      </c>
      <c r="K46" s="51"/>
      <c r="L46" s="50" t="str">
        <f aca="false">IF(D46="","",G46+H46+J46+K46)</f>
        <v/>
      </c>
      <c r="M46" s="51"/>
      <c r="N46" s="53" t="str">
        <f aca="false">IF(M46="","",$B$5)</f>
        <v/>
      </c>
      <c r="O46" s="50" t="str">
        <f aca="false">IF(M46="","",M46/(1+N46))</f>
        <v/>
      </c>
      <c r="P46" s="53" t="str">
        <f aca="false">IF(M46="","",$B$6)</f>
        <v/>
      </c>
      <c r="Q46" s="50" t="str">
        <f aca="false">IF(M46="","",M46*P46)</f>
        <v/>
      </c>
      <c r="R46" s="51"/>
      <c r="S46" s="51"/>
      <c r="T46" s="50" t="str">
        <f aca="false">IF(OR(D46="",M46=""),"",O46-L46-Q46-R46-S46)</f>
        <v/>
      </c>
      <c r="U46" s="54" t="str">
        <f aca="false">IF(T46="","",IF(L46=0,"",T46/L46))</f>
        <v/>
      </c>
      <c r="V46" s="54" t="str">
        <f aca="false">IF(T46="","",T46/O46)</f>
        <v/>
      </c>
      <c r="W46" s="50" t="str">
        <f aca="false">IF(OR(D46="",M46=""),"",IF((1/(1+N46)-P46)&lt;=0,"",(L46+R46+S46)/(1/(1+N46)-P46)))</f>
        <v/>
      </c>
      <c r="X46" s="37" t="str">
        <f aca="false">IF(U46="","",IF(U46&gt;=$B$7,"BUY","SKIP"))</f>
        <v/>
      </c>
    </row>
    <row r="47" customFormat="false" ht="15" hidden="false" customHeight="false" outlineLevel="0" collapsed="false">
      <c r="A47" s="47"/>
      <c r="B47" s="47"/>
      <c r="C47" s="47"/>
      <c r="D47" s="48"/>
      <c r="E47" s="47"/>
      <c r="F47" s="49" t="str">
        <f aca="false">IF(D47="","",IF(E47="EUR",$B$4,1))</f>
        <v/>
      </c>
      <c r="G47" s="50" t="str">
        <f aca="false">IF(D47="","",D47*F47)</f>
        <v/>
      </c>
      <c r="H47" s="51"/>
      <c r="I47" s="52"/>
      <c r="J47" s="50" t="str">
        <f aca="false">IF(D47="","",(G47+H47)*I47)</f>
        <v/>
      </c>
      <c r="K47" s="51"/>
      <c r="L47" s="50" t="str">
        <f aca="false">IF(D47="","",G47+H47+J47+K47)</f>
        <v/>
      </c>
      <c r="M47" s="51"/>
      <c r="N47" s="53" t="str">
        <f aca="false">IF(M47="","",$B$5)</f>
        <v/>
      </c>
      <c r="O47" s="50" t="str">
        <f aca="false">IF(M47="","",M47/(1+N47))</f>
        <v/>
      </c>
      <c r="P47" s="53" t="str">
        <f aca="false">IF(M47="","",$B$6)</f>
        <v/>
      </c>
      <c r="Q47" s="50" t="str">
        <f aca="false">IF(M47="","",M47*P47)</f>
        <v/>
      </c>
      <c r="R47" s="51"/>
      <c r="S47" s="51"/>
      <c r="T47" s="50" t="str">
        <f aca="false">IF(OR(D47="",M47=""),"",O47-L47-Q47-R47-S47)</f>
        <v/>
      </c>
      <c r="U47" s="54" t="str">
        <f aca="false">IF(T47="","",IF(L47=0,"",T47/L47))</f>
        <v/>
      </c>
      <c r="V47" s="54" t="str">
        <f aca="false">IF(T47="","",T47/O47)</f>
        <v/>
      </c>
      <c r="W47" s="50" t="str">
        <f aca="false">IF(OR(D47="",M47=""),"",IF((1/(1+N47)-P47)&lt;=0,"",(L47+R47+S47)/(1/(1+N47)-P47)))</f>
        <v/>
      </c>
      <c r="X47" s="37" t="str">
        <f aca="false">IF(U47="","",IF(U47&gt;=$B$7,"BUY","SKIP"))</f>
        <v/>
      </c>
    </row>
    <row r="48" customFormat="false" ht="15" hidden="false" customHeight="false" outlineLevel="0" collapsed="false">
      <c r="A48" s="47"/>
      <c r="B48" s="47"/>
      <c r="C48" s="47"/>
      <c r="D48" s="48"/>
      <c r="E48" s="47"/>
      <c r="F48" s="49" t="str">
        <f aca="false">IF(D48="","",IF(E48="EUR",$B$4,1))</f>
        <v/>
      </c>
      <c r="G48" s="50" t="str">
        <f aca="false">IF(D48="","",D48*F48)</f>
        <v/>
      </c>
      <c r="H48" s="51"/>
      <c r="I48" s="52"/>
      <c r="J48" s="50" t="str">
        <f aca="false">IF(D48="","",(G48+H48)*I48)</f>
        <v/>
      </c>
      <c r="K48" s="51"/>
      <c r="L48" s="50" t="str">
        <f aca="false">IF(D48="","",G48+H48+J48+K48)</f>
        <v/>
      </c>
      <c r="M48" s="51"/>
      <c r="N48" s="53" t="str">
        <f aca="false">IF(M48="","",$B$5)</f>
        <v/>
      </c>
      <c r="O48" s="50" t="str">
        <f aca="false">IF(M48="","",M48/(1+N48))</f>
        <v/>
      </c>
      <c r="P48" s="53" t="str">
        <f aca="false">IF(M48="","",$B$6)</f>
        <v/>
      </c>
      <c r="Q48" s="50" t="str">
        <f aca="false">IF(M48="","",M48*P48)</f>
        <v/>
      </c>
      <c r="R48" s="51"/>
      <c r="S48" s="51"/>
      <c r="T48" s="50" t="str">
        <f aca="false">IF(OR(D48="",M48=""),"",O48-L48-Q48-R48-S48)</f>
        <v/>
      </c>
      <c r="U48" s="54" t="str">
        <f aca="false">IF(T48="","",IF(L48=0,"",T48/L48))</f>
        <v/>
      </c>
      <c r="V48" s="54" t="str">
        <f aca="false">IF(T48="","",T48/O48)</f>
        <v/>
      </c>
      <c r="W48" s="50" t="str">
        <f aca="false">IF(OR(D48="",M48=""),"",IF((1/(1+N48)-P48)&lt;=0,"",(L48+R48+S48)/(1/(1+N48)-P48)))</f>
        <v/>
      </c>
      <c r="X48" s="37" t="str">
        <f aca="false">IF(U48="","",IF(U48&gt;=$B$7,"BUY","SKIP"))</f>
        <v/>
      </c>
    </row>
    <row r="49" customFormat="false" ht="15" hidden="false" customHeight="false" outlineLevel="0" collapsed="false">
      <c r="A49" s="47"/>
      <c r="B49" s="47"/>
      <c r="C49" s="47"/>
      <c r="D49" s="48"/>
      <c r="E49" s="47"/>
      <c r="F49" s="49" t="str">
        <f aca="false">IF(D49="","",IF(E49="EUR",$B$4,1))</f>
        <v/>
      </c>
      <c r="G49" s="50" t="str">
        <f aca="false">IF(D49="","",D49*F49)</f>
        <v/>
      </c>
      <c r="H49" s="51"/>
      <c r="I49" s="52"/>
      <c r="J49" s="50" t="str">
        <f aca="false">IF(D49="","",(G49+H49)*I49)</f>
        <v/>
      </c>
      <c r="K49" s="51"/>
      <c r="L49" s="50" t="str">
        <f aca="false">IF(D49="","",G49+H49+J49+K49)</f>
        <v/>
      </c>
      <c r="M49" s="51"/>
      <c r="N49" s="53" t="str">
        <f aca="false">IF(M49="","",$B$5)</f>
        <v/>
      </c>
      <c r="O49" s="50" t="str">
        <f aca="false">IF(M49="","",M49/(1+N49))</f>
        <v/>
      </c>
      <c r="P49" s="53" t="str">
        <f aca="false">IF(M49="","",$B$6)</f>
        <v/>
      </c>
      <c r="Q49" s="50" t="str">
        <f aca="false">IF(M49="","",M49*P49)</f>
        <v/>
      </c>
      <c r="R49" s="51"/>
      <c r="S49" s="51"/>
      <c r="T49" s="50" t="str">
        <f aca="false">IF(OR(D49="",M49=""),"",O49-L49-Q49-R49-S49)</f>
        <v/>
      </c>
      <c r="U49" s="54" t="str">
        <f aca="false">IF(T49="","",IF(L49=0,"",T49/L49))</f>
        <v/>
      </c>
      <c r="V49" s="54" t="str">
        <f aca="false">IF(T49="","",T49/O49)</f>
        <v/>
      </c>
      <c r="W49" s="50" t="str">
        <f aca="false">IF(OR(D49="",M49=""),"",IF((1/(1+N49)-P49)&lt;=0,"",(L49+R49+S49)/(1/(1+N49)-P49)))</f>
        <v/>
      </c>
      <c r="X49" s="37" t="str">
        <f aca="false">IF(U49="","",IF(U49&gt;=$B$7,"BUY","SKIP"))</f>
        <v/>
      </c>
    </row>
    <row r="50" customFormat="false" ht="15" hidden="false" customHeight="false" outlineLevel="0" collapsed="false">
      <c r="A50" s="47"/>
      <c r="B50" s="47"/>
      <c r="C50" s="47"/>
      <c r="D50" s="48"/>
      <c r="E50" s="47"/>
      <c r="F50" s="49" t="str">
        <f aca="false">IF(D50="","",IF(E50="EUR",$B$4,1))</f>
        <v/>
      </c>
      <c r="G50" s="50" t="str">
        <f aca="false">IF(D50="","",D50*F50)</f>
        <v/>
      </c>
      <c r="H50" s="51"/>
      <c r="I50" s="52"/>
      <c r="J50" s="50" t="str">
        <f aca="false">IF(D50="","",(G50+H50)*I50)</f>
        <v/>
      </c>
      <c r="K50" s="51"/>
      <c r="L50" s="50" t="str">
        <f aca="false">IF(D50="","",G50+H50+J50+K50)</f>
        <v/>
      </c>
      <c r="M50" s="51"/>
      <c r="N50" s="53" t="str">
        <f aca="false">IF(M50="","",$B$5)</f>
        <v/>
      </c>
      <c r="O50" s="50" t="str">
        <f aca="false">IF(M50="","",M50/(1+N50))</f>
        <v/>
      </c>
      <c r="P50" s="53" t="str">
        <f aca="false">IF(M50="","",$B$6)</f>
        <v/>
      </c>
      <c r="Q50" s="50" t="str">
        <f aca="false">IF(M50="","",M50*P50)</f>
        <v/>
      </c>
      <c r="R50" s="51"/>
      <c r="S50" s="51"/>
      <c r="T50" s="50" t="str">
        <f aca="false">IF(OR(D50="",M50=""),"",O50-L50-Q50-R50-S50)</f>
        <v/>
      </c>
      <c r="U50" s="54" t="str">
        <f aca="false">IF(T50="","",IF(L50=0,"",T50/L50))</f>
        <v/>
      </c>
      <c r="V50" s="54" t="str">
        <f aca="false">IF(T50="","",T50/O50)</f>
        <v/>
      </c>
      <c r="W50" s="50" t="str">
        <f aca="false">IF(OR(D50="",M50=""),"",IF((1/(1+N50)-P50)&lt;=0,"",(L50+R50+S50)/(1/(1+N50)-P50)))</f>
        <v/>
      </c>
      <c r="X50" s="37" t="str">
        <f aca="false">IF(U50="","",IF(U50&gt;=$B$7,"BUY","SKIP"))</f>
        <v/>
      </c>
    </row>
    <row r="52" customFormat="false" ht="48" hidden="false" customHeight="true" outlineLevel="0" collapsed="false">
      <c r="A52" s="55" t="s">
        <v>4654</v>
      </c>
      <c r="B52" s="55"/>
      <c r="C52" s="55"/>
      <c r="D52" s="55"/>
      <c r="E52" s="55"/>
      <c r="F52" s="55"/>
      <c r="G52" s="55"/>
      <c r="H52" s="55"/>
      <c r="I52" s="55"/>
      <c r="J52" s="55"/>
      <c r="K52" s="55"/>
      <c r="L52" s="55"/>
      <c r="M52" s="55"/>
      <c r="N52" s="55"/>
    </row>
  </sheetData>
  <mergeCells count="1">
    <mergeCell ref="A52:N52"/>
  </mergeCells>
  <conditionalFormatting sqref="X11:X50">
    <cfRule type="cellIs" priority="2" operator="equal" aboveAverage="0" equalAverage="0" bottom="0" percent="0" rank="0" text="" dxfId="28">
      <formula>"BUY"</formula>
    </cfRule>
    <cfRule type="cellIs" priority="3" operator="equal" aboveAverage="0" equalAverage="0" bottom="0" percent="0" rank="0" text="" dxfId="29">
      <formula>"SKIP"</formula>
    </cfRule>
  </conditionalFormatting>
  <dataValidations count="1">
    <dataValidation allowBlank="true" errorStyle="stop" operator="between" showDropDown="false" showErrorMessage="false" showInputMessage="false" sqref="E11:E50" type="list">
      <formula1>"GBP,EUR"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00"/>
  </cols>
  <sheetData>
    <row r="2" customFormat="false" ht="19.7" hidden="false" customHeight="false" outlineLevel="0" collapsed="false">
      <c r="B2" s="1" t="s">
        <v>4655</v>
      </c>
    </row>
    <row r="4" customFormat="false" ht="15" hidden="false" customHeight="false" outlineLevel="0" collapsed="false">
      <c r="B4" s="3" t="s">
        <v>4656</v>
      </c>
      <c r="C4" s="40" t="s">
        <v>4657</v>
      </c>
    </row>
    <row r="5" customFormat="false" ht="375" hidden="false" customHeight="true" outlineLevel="0" collapsed="false">
      <c r="C5" s="56" t="s">
        <v>4658</v>
      </c>
    </row>
    <row r="7" customFormat="false" ht="15" hidden="false" customHeight="false" outlineLevel="0" collapsed="false">
      <c r="B7" s="3" t="s">
        <v>4659</v>
      </c>
      <c r="C7" s="40" t="s">
        <v>4660</v>
      </c>
    </row>
    <row r="8" customFormat="false" ht="375" hidden="false" customHeight="true" outlineLevel="0" collapsed="false">
      <c r="C8" s="56" t="s">
        <v>4661</v>
      </c>
    </row>
    <row r="10" customFormat="false" ht="15" hidden="false" customHeight="false" outlineLevel="0" collapsed="false">
      <c r="B10" s="3" t="s">
        <v>4662</v>
      </c>
      <c r="C10" s="40" t="s">
        <v>4663</v>
      </c>
    </row>
    <row r="11" customFormat="false" ht="165" hidden="false" customHeight="true" outlineLevel="0" collapsed="false">
      <c r="C11" s="56" t="s">
        <v>4664</v>
      </c>
    </row>
    <row r="13" customFormat="false" ht="45" hidden="false" customHeight="true" outlineLevel="0" collapsed="false">
      <c r="B13" s="3" t="s">
        <v>4665</v>
      </c>
      <c r="C13" s="56" t="s">
        <v>4666</v>
      </c>
    </row>
    <row r="15" customFormat="false" ht="135" hidden="false" customHeight="true" outlineLevel="0" collapsed="false">
      <c r="B15" s="3" t="s">
        <v>4667</v>
      </c>
      <c r="C15" s="56" t="s">
        <v>4668</v>
      </c>
    </row>
    <row r="17" customFormat="false" ht="15" hidden="false" customHeight="false" outlineLevel="0" collapsed="false">
      <c r="B17" s="3" t="s">
        <v>4669</v>
      </c>
      <c r="C17" s="40" t="s">
        <v>4670</v>
      </c>
    </row>
    <row r="18" customFormat="false" ht="255" hidden="false" customHeight="true" outlineLevel="0" collapsed="false">
      <c r="C18" s="56" t="s">
        <v>4671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9" min="3" style="0" width="14"/>
  </cols>
  <sheetData>
    <row r="2" customFormat="false" ht="19.7" hidden="false" customHeight="false" outlineLevel="0" collapsed="false">
      <c r="B2" s="1" t="s">
        <v>4672</v>
      </c>
    </row>
    <row r="3" customFormat="false" ht="15" hidden="false" customHeight="false" outlineLevel="0" collapsed="false">
      <c r="B3" s="2" t="s">
        <v>4673</v>
      </c>
    </row>
    <row r="5" customFormat="false" ht="15" hidden="false" customHeight="false" outlineLevel="0" collapsed="false">
      <c r="B5" s="57" t="s">
        <v>4510</v>
      </c>
      <c r="C5" s="57" t="s">
        <v>4486</v>
      </c>
      <c r="D5" s="57" t="s">
        <v>101</v>
      </c>
      <c r="E5" s="57" t="s">
        <v>486</v>
      </c>
      <c r="F5" s="57" t="s">
        <v>4487</v>
      </c>
      <c r="G5" s="57" t="s">
        <v>4674</v>
      </c>
      <c r="H5" s="57" t="s">
        <v>4675</v>
      </c>
      <c r="I5" s="57" t="s">
        <v>4676</v>
      </c>
    </row>
    <row r="6" customFormat="false" ht="15" hidden="false" customHeight="false" outlineLevel="0" collapsed="false">
      <c r="B6" s="37" t="s">
        <v>99</v>
      </c>
      <c r="C6" s="37" t="n">
        <f aca="false">COUNTIF(Suppliers!$D$2:$D$359,B6)</f>
        <v>3</v>
      </c>
      <c r="D6" s="37" t="n">
        <f aca="false">COUNTIFS(Suppliers!$D$2:$D$359,B6,Suppliers!$J$2:$J$359,"UK")</f>
        <v>1</v>
      </c>
      <c r="E6" s="37" t="n">
        <f aca="false">COUNTIFS(Suppliers!$D$2:$D$359,B6,Suppliers!$J$2:$J$359,"&lt;&gt;UK")</f>
        <v>2</v>
      </c>
      <c r="F6" s="37" t="n">
        <f aca="false">COUNTIFS(Suppliers!$D$2:$D$359,B6,Suppliers!$C$2:$C$359,"&gt;=4")</f>
        <v>1</v>
      </c>
      <c r="G6" s="37" t="n">
        <f aca="false">COUNTIFS(Suppliers!$D$2:$D$359,B6,Suppliers!$AF$2:$AF$359,"&lt;&gt;Not contacted")</f>
        <v>0</v>
      </c>
      <c r="H6" s="37" t="n">
        <f aca="false">COUNTIFS(Suppliers!$D$2:$D$359,B6,Suppliers!$AL$2:$AL$359,"Yes")</f>
        <v>0</v>
      </c>
      <c r="I6" s="37" t="n">
        <f aca="false">COUNTIFS(Suppliers!$D$2:$D$359,B6,Suppliers!$K$2:$K$359,"Low-cost")</f>
        <v>0</v>
      </c>
    </row>
    <row r="7" customFormat="false" ht="15" hidden="false" customHeight="false" outlineLevel="0" collapsed="false">
      <c r="B7" s="37" t="s">
        <v>108</v>
      </c>
      <c r="C7" s="37" t="n">
        <f aca="false">COUNTIF(Suppliers!$D$2:$D$359,B7)</f>
        <v>30</v>
      </c>
      <c r="D7" s="37" t="n">
        <f aca="false">COUNTIFS(Suppliers!$D$2:$D$359,B7,Suppliers!$J$2:$J$359,"UK")</f>
        <v>3</v>
      </c>
      <c r="E7" s="37" t="n">
        <f aca="false">COUNTIFS(Suppliers!$D$2:$D$359,B7,Suppliers!$J$2:$J$359,"&lt;&gt;UK")</f>
        <v>27</v>
      </c>
      <c r="F7" s="37" t="n">
        <f aca="false">COUNTIFS(Suppliers!$D$2:$D$359,B7,Suppliers!$C$2:$C$359,"&gt;=4")</f>
        <v>14</v>
      </c>
      <c r="G7" s="37" t="n">
        <f aca="false">COUNTIFS(Suppliers!$D$2:$D$359,B7,Suppliers!$AF$2:$AF$359,"&lt;&gt;Not contacted")</f>
        <v>0</v>
      </c>
      <c r="H7" s="37" t="n">
        <f aca="false">COUNTIFS(Suppliers!$D$2:$D$359,B7,Suppliers!$AL$2:$AL$359,"Yes")</f>
        <v>0</v>
      </c>
      <c r="I7" s="37" t="n">
        <f aca="false">COUNTIFS(Suppliers!$D$2:$D$359,B7,Suppliers!$K$2:$K$359,"Low-cost")</f>
        <v>7</v>
      </c>
    </row>
    <row r="8" customFormat="false" ht="15" hidden="false" customHeight="false" outlineLevel="0" collapsed="false">
      <c r="B8" s="37" t="s">
        <v>143</v>
      </c>
      <c r="C8" s="37" t="n">
        <f aca="false">COUNTIF(Suppliers!$D$2:$D$359,B8)</f>
        <v>38</v>
      </c>
      <c r="D8" s="37" t="n">
        <f aca="false">COUNTIFS(Suppliers!$D$2:$D$359,B8,Suppliers!$J$2:$J$359,"UK")</f>
        <v>0</v>
      </c>
      <c r="E8" s="37" t="n">
        <f aca="false">COUNTIFS(Suppliers!$D$2:$D$359,B8,Suppliers!$J$2:$J$359,"&lt;&gt;UK")</f>
        <v>38</v>
      </c>
      <c r="F8" s="37" t="n">
        <f aca="false">COUNTIFS(Suppliers!$D$2:$D$359,B8,Suppliers!$C$2:$C$359,"&gt;=4")</f>
        <v>16</v>
      </c>
      <c r="G8" s="37" t="n">
        <f aca="false">COUNTIFS(Suppliers!$D$2:$D$359,B8,Suppliers!$AF$2:$AF$359,"&lt;&gt;Not contacted")</f>
        <v>0</v>
      </c>
      <c r="H8" s="37" t="n">
        <f aca="false">COUNTIFS(Suppliers!$D$2:$D$359,B8,Suppliers!$AL$2:$AL$359,"Yes")</f>
        <v>0</v>
      </c>
      <c r="I8" s="37" t="n">
        <f aca="false">COUNTIFS(Suppliers!$D$2:$D$359,B8,Suppliers!$K$2:$K$359,"Low-cost")</f>
        <v>24</v>
      </c>
    </row>
    <row r="9" customFormat="false" ht="15" hidden="false" customHeight="false" outlineLevel="0" collapsed="false">
      <c r="B9" s="37" t="s">
        <v>166</v>
      </c>
      <c r="C9" s="37" t="n">
        <f aca="false">COUNTIF(Suppliers!$D$2:$D$359,B9)</f>
        <v>30</v>
      </c>
      <c r="D9" s="37" t="n">
        <f aca="false">COUNTIFS(Suppliers!$D$2:$D$359,B9,Suppliers!$J$2:$J$359,"UK")</f>
        <v>4</v>
      </c>
      <c r="E9" s="37" t="n">
        <f aca="false">COUNTIFS(Suppliers!$D$2:$D$359,B9,Suppliers!$J$2:$J$359,"&lt;&gt;UK")</f>
        <v>26</v>
      </c>
      <c r="F9" s="37" t="n">
        <f aca="false">COUNTIFS(Suppliers!$D$2:$D$359,B9,Suppliers!$C$2:$C$359,"&gt;=4")</f>
        <v>19</v>
      </c>
      <c r="G9" s="37" t="n">
        <f aca="false">COUNTIFS(Suppliers!$D$2:$D$359,B9,Suppliers!$AF$2:$AF$359,"&lt;&gt;Not contacted")</f>
        <v>0</v>
      </c>
      <c r="H9" s="37" t="n">
        <f aca="false">COUNTIFS(Suppliers!$D$2:$D$359,B9,Suppliers!$AL$2:$AL$359,"Yes")</f>
        <v>0</v>
      </c>
      <c r="I9" s="37" t="n">
        <f aca="false">COUNTIFS(Suppliers!$D$2:$D$359,B9,Suppliers!$K$2:$K$359,"Low-cost")</f>
        <v>9</v>
      </c>
    </row>
    <row r="10" customFormat="false" ht="15" hidden="false" customHeight="false" outlineLevel="0" collapsed="false">
      <c r="B10" s="37" t="s">
        <v>229</v>
      </c>
      <c r="C10" s="37" t="n">
        <f aca="false">COUNTIF(Suppliers!$D$2:$D$359,B10)</f>
        <v>11</v>
      </c>
      <c r="D10" s="37" t="n">
        <f aca="false">COUNTIFS(Suppliers!$D$2:$D$359,B10,Suppliers!$J$2:$J$359,"UK")</f>
        <v>4</v>
      </c>
      <c r="E10" s="37" t="n">
        <f aca="false">COUNTIFS(Suppliers!$D$2:$D$359,B10,Suppliers!$J$2:$J$359,"&lt;&gt;UK")</f>
        <v>7</v>
      </c>
      <c r="F10" s="37" t="n">
        <f aca="false">COUNTIFS(Suppliers!$D$2:$D$359,B10,Suppliers!$C$2:$C$359,"&gt;=4")</f>
        <v>4</v>
      </c>
      <c r="G10" s="37" t="n">
        <f aca="false">COUNTIFS(Suppliers!$D$2:$D$359,B10,Suppliers!$AF$2:$AF$359,"&lt;&gt;Not contacted")</f>
        <v>0</v>
      </c>
      <c r="H10" s="37" t="n">
        <f aca="false">COUNTIFS(Suppliers!$D$2:$D$359,B10,Suppliers!$AL$2:$AL$359,"Yes")</f>
        <v>0</v>
      </c>
      <c r="I10" s="37" t="n">
        <f aca="false">COUNTIFS(Suppliers!$D$2:$D$359,B10,Suppliers!$K$2:$K$359,"Low-cost")</f>
        <v>4</v>
      </c>
    </row>
    <row r="11" customFormat="false" ht="15" hidden="false" customHeight="false" outlineLevel="0" collapsed="false">
      <c r="B11" s="37" t="s">
        <v>260</v>
      </c>
      <c r="C11" s="37" t="n">
        <f aca="false">COUNTIF(Suppliers!$D$2:$D$359,B11)</f>
        <v>8</v>
      </c>
      <c r="D11" s="37" t="n">
        <f aca="false">COUNTIFS(Suppliers!$D$2:$D$359,B11,Suppliers!$J$2:$J$359,"UK")</f>
        <v>7</v>
      </c>
      <c r="E11" s="37" t="n">
        <f aca="false">COUNTIFS(Suppliers!$D$2:$D$359,B11,Suppliers!$J$2:$J$359,"&lt;&gt;UK")</f>
        <v>1</v>
      </c>
      <c r="F11" s="37" t="n">
        <f aca="false">COUNTIFS(Suppliers!$D$2:$D$359,B11,Suppliers!$C$2:$C$359,"&gt;=4")</f>
        <v>2</v>
      </c>
      <c r="G11" s="37" t="n">
        <f aca="false">COUNTIFS(Suppliers!$D$2:$D$359,B11,Suppliers!$AF$2:$AF$359,"&lt;&gt;Not contacted")</f>
        <v>0</v>
      </c>
      <c r="H11" s="37" t="n">
        <f aca="false">COUNTIFS(Suppliers!$D$2:$D$359,B11,Suppliers!$AL$2:$AL$359,"Yes")</f>
        <v>0</v>
      </c>
      <c r="I11" s="37" t="n">
        <f aca="false">COUNTIFS(Suppliers!$D$2:$D$359,B11,Suppliers!$K$2:$K$359,"Low-cost")</f>
        <v>0</v>
      </c>
    </row>
    <row r="12" customFormat="false" ht="15" hidden="false" customHeight="false" outlineLevel="0" collapsed="false">
      <c r="B12" s="37" t="s">
        <v>281</v>
      </c>
      <c r="C12" s="37" t="n">
        <f aca="false">COUNTIF(Suppliers!$D$2:$D$359,B12)</f>
        <v>34</v>
      </c>
      <c r="D12" s="37" t="n">
        <f aca="false">COUNTIFS(Suppliers!$D$2:$D$359,B12,Suppliers!$J$2:$J$359,"UK")</f>
        <v>6</v>
      </c>
      <c r="E12" s="37" t="n">
        <f aca="false">COUNTIFS(Suppliers!$D$2:$D$359,B12,Suppliers!$J$2:$J$359,"&lt;&gt;UK")</f>
        <v>28</v>
      </c>
      <c r="F12" s="37" t="n">
        <f aca="false">COUNTIFS(Suppliers!$D$2:$D$359,B12,Suppliers!$C$2:$C$359,"&gt;=4")</f>
        <v>14</v>
      </c>
      <c r="G12" s="37" t="n">
        <f aca="false">COUNTIFS(Suppliers!$D$2:$D$359,B12,Suppliers!$AF$2:$AF$359,"&lt;&gt;Not contacted")</f>
        <v>0</v>
      </c>
      <c r="H12" s="37" t="n">
        <f aca="false">COUNTIFS(Suppliers!$D$2:$D$359,B12,Suppliers!$AL$2:$AL$359,"Yes")</f>
        <v>0</v>
      </c>
      <c r="I12" s="37" t="n">
        <f aca="false">COUNTIFS(Suppliers!$D$2:$D$359,B12,Suppliers!$K$2:$K$359,"Low-cost")</f>
        <v>14</v>
      </c>
    </row>
    <row r="13" customFormat="false" ht="15" hidden="false" customHeight="false" outlineLevel="0" collapsed="false">
      <c r="B13" s="37" t="s">
        <v>307</v>
      </c>
      <c r="C13" s="37" t="n">
        <f aca="false">COUNTIF(Suppliers!$D$2:$D$359,B13)</f>
        <v>49</v>
      </c>
      <c r="D13" s="37" t="n">
        <f aca="false">COUNTIFS(Suppliers!$D$2:$D$359,B13,Suppliers!$J$2:$J$359,"UK")</f>
        <v>6</v>
      </c>
      <c r="E13" s="37" t="n">
        <f aca="false">COUNTIFS(Suppliers!$D$2:$D$359,B13,Suppliers!$J$2:$J$359,"&lt;&gt;UK")</f>
        <v>43</v>
      </c>
      <c r="F13" s="37" t="n">
        <f aca="false">COUNTIFS(Suppliers!$D$2:$D$359,B13,Suppliers!$C$2:$C$359,"&gt;=4")</f>
        <v>21</v>
      </c>
      <c r="G13" s="37" t="n">
        <f aca="false">COUNTIFS(Suppliers!$D$2:$D$359,B13,Suppliers!$AF$2:$AF$359,"&lt;&gt;Not contacted")</f>
        <v>0</v>
      </c>
      <c r="H13" s="37" t="n">
        <f aca="false">COUNTIFS(Suppliers!$D$2:$D$359,B13,Suppliers!$AL$2:$AL$359,"Yes")</f>
        <v>0</v>
      </c>
      <c r="I13" s="37" t="n">
        <f aca="false">COUNTIFS(Suppliers!$D$2:$D$359,B13,Suppliers!$K$2:$K$359,"Low-cost")</f>
        <v>19</v>
      </c>
    </row>
    <row r="14" customFormat="false" ht="15" hidden="false" customHeight="false" outlineLevel="0" collapsed="false">
      <c r="B14" s="37" t="s">
        <v>353</v>
      </c>
      <c r="C14" s="37" t="n">
        <f aca="false">COUNTIF(Suppliers!$D$2:$D$359,B14)</f>
        <v>41</v>
      </c>
      <c r="D14" s="37" t="n">
        <f aca="false">COUNTIFS(Suppliers!$D$2:$D$359,B14,Suppliers!$J$2:$J$359,"UK")</f>
        <v>3</v>
      </c>
      <c r="E14" s="37" t="n">
        <f aca="false">COUNTIFS(Suppliers!$D$2:$D$359,B14,Suppliers!$J$2:$J$359,"&lt;&gt;UK")</f>
        <v>38</v>
      </c>
      <c r="F14" s="37" t="n">
        <f aca="false">COUNTIFS(Suppliers!$D$2:$D$359,B14,Suppliers!$C$2:$C$359,"&gt;=4")</f>
        <v>17</v>
      </c>
      <c r="G14" s="37" t="n">
        <f aca="false">COUNTIFS(Suppliers!$D$2:$D$359,B14,Suppliers!$AF$2:$AF$359,"&lt;&gt;Not contacted")</f>
        <v>0</v>
      </c>
      <c r="H14" s="37" t="n">
        <f aca="false">COUNTIFS(Suppliers!$D$2:$D$359,B14,Suppliers!$AL$2:$AL$359,"Yes")</f>
        <v>0</v>
      </c>
      <c r="I14" s="37" t="n">
        <f aca="false">COUNTIFS(Suppliers!$D$2:$D$359,B14,Suppliers!$K$2:$K$359,"Low-cost")</f>
        <v>10</v>
      </c>
    </row>
    <row r="15" customFormat="false" ht="15" hidden="false" customHeight="false" outlineLevel="0" collapsed="false">
      <c r="B15" s="37" t="s">
        <v>374</v>
      </c>
      <c r="C15" s="37" t="n">
        <f aca="false">COUNTIF(Suppliers!$D$2:$D$359,B15)</f>
        <v>31</v>
      </c>
      <c r="D15" s="37" t="n">
        <f aca="false">COUNTIFS(Suppliers!$D$2:$D$359,B15,Suppliers!$J$2:$J$359,"UK")</f>
        <v>3</v>
      </c>
      <c r="E15" s="37" t="n">
        <f aca="false">COUNTIFS(Suppliers!$D$2:$D$359,B15,Suppliers!$J$2:$J$359,"&lt;&gt;UK")</f>
        <v>28</v>
      </c>
      <c r="F15" s="37" t="n">
        <f aca="false">COUNTIFS(Suppliers!$D$2:$D$359,B15,Suppliers!$C$2:$C$359,"&gt;=4")</f>
        <v>13</v>
      </c>
      <c r="G15" s="37" t="n">
        <f aca="false">COUNTIFS(Suppliers!$D$2:$D$359,B15,Suppliers!$AF$2:$AF$359,"&lt;&gt;Not contacted")</f>
        <v>0</v>
      </c>
      <c r="H15" s="37" t="n">
        <f aca="false">COUNTIFS(Suppliers!$D$2:$D$359,B15,Suppliers!$AL$2:$AL$359,"Yes")</f>
        <v>0</v>
      </c>
      <c r="I15" s="37" t="n">
        <f aca="false">COUNTIFS(Suppliers!$D$2:$D$359,B15,Suppliers!$K$2:$K$359,"Low-cost")</f>
        <v>9</v>
      </c>
    </row>
    <row r="16" customFormat="false" ht="15" hidden="false" customHeight="false" outlineLevel="0" collapsed="false">
      <c r="B16" s="37" t="s">
        <v>380</v>
      </c>
      <c r="C16" s="37" t="n">
        <f aca="false">COUNTIF(Suppliers!$D$2:$D$359,B16)</f>
        <v>29</v>
      </c>
      <c r="D16" s="37" t="n">
        <f aca="false">COUNTIFS(Suppliers!$D$2:$D$359,B16,Suppliers!$J$2:$J$359,"UK")</f>
        <v>4</v>
      </c>
      <c r="E16" s="37" t="n">
        <f aca="false">COUNTIFS(Suppliers!$D$2:$D$359,B16,Suppliers!$J$2:$J$359,"&lt;&gt;UK")</f>
        <v>25</v>
      </c>
      <c r="F16" s="37" t="n">
        <f aca="false">COUNTIFS(Suppliers!$D$2:$D$359,B16,Suppliers!$C$2:$C$359,"&gt;=4")</f>
        <v>18</v>
      </c>
      <c r="G16" s="37" t="n">
        <f aca="false">COUNTIFS(Suppliers!$D$2:$D$359,B16,Suppliers!$AF$2:$AF$359,"&lt;&gt;Not contacted")</f>
        <v>0</v>
      </c>
      <c r="H16" s="37" t="n">
        <f aca="false">COUNTIFS(Suppliers!$D$2:$D$359,B16,Suppliers!$AL$2:$AL$359,"Yes")</f>
        <v>0</v>
      </c>
      <c r="I16" s="37" t="n">
        <f aca="false">COUNTIFS(Suppliers!$D$2:$D$359,B16,Suppliers!$K$2:$K$359,"Low-cost")</f>
        <v>6</v>
      </c>
    </row>
    <row r="17" customFormat="false" ht="15" hidden="false" customHeight="false" outlineLevel="0" collapsed="false">
      <c r="B17" s="37" t="s">
        <v>405</v>
      </c>
      <c r="C17" s="37" t="n">
        <f aca="false">COUNTIF(Suppliers!$D$2:$D$359,B17)</f>
        <v>54</v>
      </c>
      <c r="D17" s="37" t="n">
        <f aca="false">COUNTIFS(Suppliers!$D$2:$D$359,B17,Suppliers!$J$2:$J$359,"UK")</f>
        <v>9</v>
      </c>
      <c r="E17" s="37" t="n">
        <f aca="false">COUNTIFS(Suppliers!$D$2:$D$359,B17,Suppliers!$J$2:$J$359,"&lt;&gt;UK")</f>
        <v>45</v>
      </c>
      <c r="F17" s="37" t="n">
        <f aca="false">COUNTIFS(Suppliers!$D$2:$D$359,B17,Suppliers!$C$2:$C$359,"&gt;=4")</f>
        <v>31</v>
      </c>
      <c r="G17" s="37" t="n">
        <f aca="false">COUNTIFS(Suppliers!$D$2:$D$359,B17,Suppliers!$AF$2:$AF$359,"&lt;&gt;Not contacted")</f>
        <v>0</v>
      </c>
      <c r="H17" s="37" t="n">
        <f aca="false">COUNTIFS(Suppliers!$D$2:$D$359,B17,Suppliers!$AL$2:$AL$359,"Yes")</f>
        <v>0</v>
      </c>
      <c r="I17" s="37" t="n">
        <f aca="false">COUNTIFS(Suppliers!$D$2:$D$359,B17,Suppliers!$K$2:$K$359,"Low-cost")</f>
        <v>13</v>
      </c>
    </row>
    <row r="18" customFormat="false" ht="15" hidden="false" customHeight="false" outlineLevel="0" collapsed="false">
      <c r="B18" s="58" t="s">
        <v>4507</v>
      </c>
      <c r="C18" s="58" t="n">
        <f aca="false">SUM(C6:C17)</f>
        <v>358</v>
      </c>
      <c r="D18" s="58" t="n">
        <f aca="false">SUM(D6:D17)</f>
        <v>50</v>
      </c>
      <c r="E18" s="58" t="n">
        <f aca="false">SUM(E6:E17)</f>
        <v>308</v>
      </c>
      <c r="F18" s="58" t="n">
        <f aca="false">SUM(F6:F17)</f>
        <v>170</v>
      </c>
      <c r="G18" s="58" t="n">
        <f aca="false">SUM(G6:G17)</f>
        <v>0</v>
      </c>
      <c r="H18" s="58" t="n">
        <f aca="false">SUM(H6:H17)</f>
        <v>0</v>
      </c>
      <c r="I18" s="58" t="n">
        <f aca="false">SUM(I6:I17)</f>
        <v>115</v>
      </c>
    </row>
    <row r="21" customFormat="false" ht="15" hidden="false" customHeight="false" outlineLevel="0" collapsed="false">
      <c r="B21" s="57" t="s">
        <v>4677</v>
      </c>
      <c r="C21" s="57" t="s">
        <v>4678</v>
      </c>
      <c r="D21" s="57" t="s">
        <v>4679</v>
      </c>
    </row>
    <row r="22" customFormat="false" ht="15" hidden="false" customHeight="false" outlineLevel="0" collapsed="false">
      <c r="B22" s="37" t="s">
        <v>501</v>
      </c>
      <c r="C22" s="37" t="n">
        <f aca="false">COUNTIF(Suppliers!$AF$2:$AF$359,B22)</f>
        <v>358</v>
      </c>
      <c r="D22" s="59" t="n">
        <f aca="false">IF(COUNTA(Suppliers!$D$2:$D$359)=0,0,C22/COUNTA(Suppliers!$D$2:$D$359))</f>
        <v>1</v>
      </c>
    </row>
    <row r="23" customFormat="false" ht="15" hidden="false" customHeight="false" outlineLevel="0" collapsed="false">
      <c r="B23" s="37" t="s">
        <v>4680</v>
      </c>
      <c r="C23" s="37" t="n">
        <f aca="false">COUNTIF(Suppliers!$AF$2:$AF$359,B23)</f>
        <v>0</v>
      </c>
      <c r="D23" s="59" t="n">
        <f aca="false">IF(COUNTA(Suppliers!$D$2:$D$359)=0,0,C23/COUNTA(Suppliers!$D$2:$D$359))</f>
        <v>0</v>
      </c>
    </row>
    <row r="24" customFormat="false" ht="15" hidden="false" customHeight="false" outlineLevel="0" collapsed="false">
      <c r="B24" s="37" t="s">
        <v>4681</v>
      </c>
      <c r="C24" s="37" t="n">
        <f aca="false">COUNTIF(Suppliers!$AF$2:$AF$359,B24)</f>
        <v>0</v>
      </c>
      <c r="D24" s="59" t="n">
        <f aca="false">IF(COUNTA(Suppliers!$D$2:$D$359)=0,0,C24/COUNTA(Suppliers!$D$2:$D$359))</f>
        <v>0</v>
      </c>
    </row>
    <row r="25" customFormat="false" ht="15" hidden="false" customHeight="false" outlineLevel="0" collapsed="false">
      <c r="B25" s="37" t="s">
        <v>4682</v>
      </c>
      <c r="C25" s="37" t="n">
        <f aca="false">COUNTIF(Suppliers!$AF$2:$AF$359,B25)</f>
        <v>0</v>
      </c>
      <c r="D25" s="59" t="n">
        <f aca="false">IF(COUNTA(Suppliers!$D$2:$D$359)=0,0,C25/COUNTA(Suppliers!$D$2:$D$359))</f>
        <v>0</v>
      </c>
    </row>
    <row r="26" customFormat="false" ht="15" hidden="false" customHeight="false" outlineLevel="0" collapsed="false">
      <c r="B26" s="37" t="s">
        <v>4683</v>
      </c>
      <c r="C26" s="37" t="n">
        <f aca="false">COUNTIF(Suppliers!$AF$2:$AF$359,B26)</f>
        <v>0</v>
      </c>
      <c r="D26" s="59" t="n">
        <f aca="false">IF(COUNTA(Suppliers!$D$2:$D$359)=0,0,C26/COUNTA(Suppliers!$D$2:$D$359))</f>
        <v>0</v>
      </c>
    </row>
    <row r="27" customFormat="false" ht="15" hidden="false" customHeight="false" outlineLevel="0" collapsed="false">
      <c r="B27" s="37" t="s">
        <v>4684</v>
      </c>
      <c r="C27" s="37" t="n">
        <f aca="false">COUNTIF(Suppliers!$AF$2:$AF$359,B27)</f>
        <v>0</v>
      </c>
      <c r="D27" s="59" t="n">
        <f aca="false">IF(COUNTA(Suppliers!$D$2:$D$359)=0,0,C27/COUNTA(Suppliers!$D$2:$D$359))</f>
        <v>0</v>
      </c>
    </row>
    <row r="28" customFormat="false" ht="15" hidden="false" customHeight="false" outlineLevel="0" collapsed="false">
      <c r="B28" s="37" t="s">
        <v>4685</v>
      </c>
      <c r="C28" s="37" t="n">
        <f aca="false">COUNTIF(Suppliers!$AF$2:$AF$359,B28)</f>
        <v>0</v>
      </c>
      <c r="D28" s="59" t="n">
        <f aca="false">IF(COUNTA(Suppliers!$D$2:$D$359)=0,0,C28/COUNTA(Suppliers!$D$2:$D$359))</f>
        <v>0</v>
      </c>
    </row>
    <row r="29" customFormat="false" ht="15" hidden="false" customHeight="false" outlineLevel="0" collapsed="false">
      <c r="B29" s="37" t="s">
        <v>4686</v>
      </c>
      <c r="C29" s="37" t="n">
        <f aca="false">COUNTIF(Suppliers!$AF$2:$AF$359,B29)</f>
        <v>0</v>
      </c>
      <c r="D29" s="59" t="n">
        <f aca="false">IF(COUNTA(Suppliers!$D$2:$D$359)=0,0,C29/COUNTA(Suppliers!$D$2:$D$359))</f>
        <v>0</v>
      </c>
    </row>
    <row r="30" customFormat="false" ht="15" hidden="false" customHeight="false" outlineLevel="0" collapsed="false">
      <c r="B30" s="37" t="s">
        <v>4687</v>
      </c>
      <c r="C30" s="37" t="n">
        <f aca="false">COUNTIF(Suppliers!$AF$2:$AF$359,B30)</f>
        <v>0</v>
      </c>
      <c r="D30" s="59" t="n">
        <f aca="false">IF(COUNTA(Suppliers!$D$2:$D$359)=0,0,C30/COUNTA(Suppliers!$D$2:$D$359))</f>
        <v>0</v>
      </c>
    </row>
    <row r="31" customFormat="false" ht="15" hidden="false" customHeight="false" outlineLevel="0" collapsed="false">
      <c r="B31" s="37" t="s">
        <v>4688</v>
      </c>
      <c r="C31" s="37" t="n">
        <f aca="false">COUNTIF(Suppliers!$AF$2:$AF$359,B31)</f>
        <v>0</v>
      </c>
      <c r="D31" s="59" t="n">
        <f aca="false">IF(COUNTA(Suppliers!$D$2:$D$359)=0,0,C31/COUNTA(Suppliers!$D$2:$D$359))</f>
        <v>0</v>
      </c>
    </row>
    <row r="33" customFormat="false" ht="15" hidden="false" customHeight="false" outlineLevel="0" collapsed="false">
      <c r="B33" s="40" t="s">
        <v>4689</v>
      </c>
      <c r="C33" s="40" t="n">
        <f aca="true">SUMPRODUCT((Suppliers!$AK$2:$AK$359&lt;&gt;"")*(Suppliers!$AK$2:$AK$359&lt;=TODAY())*((Suppliers!$AF$2:$AF$359="Contacted")+(Suppliers!$AF$2:$AF$359="Follow-up sent")))</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62"/>
    <col collapsed="false" customWidth="true" hidden="false" outlineLevel="0" max="4" min="4" style="0" width="45"/>
  </cols>
  <sheetData>
    <row r="1" customFormat="false" ht="31.5" hidden="false" customHeight="true" outlineLevel="0" collapsed="false">
      <c r="A1" s="7" t="s">
        <v>4690</v>
      </c>
      <c r="B1" s="7" t="s">
        <v>4691</v>
      </c>
      <c r="C1" s="7" t="s">
        <v>4692</v>
      </c>
      <c r="D1" s="7" t="s">
        <v>4693</v>
      </c>
    </row>
    <row r="2" customFormat="false" ht="23.85" hidden="false" customHeight="false" outlineLevel="0" collapsed="false">
      <c r="A2" s="12" t="s">
        <v>4694</v>
      </c>
      <c r="B2" s="12" t="s">
        <v>4695</v>
      </c>
      <c r="C2" s="12" t="s">
        <v>4696</v>
      </c>
      <c r="D2" s="36" t="s">
        <v>4697</v>
      </c>
    </row>
    <row r="3" customFormat="false" ht="15" hidden="false" customHeight="false" outlineLevel="0" collapsed="false">
      <c r="A3" s="12" t="s">
        <v>4698</v>
      </c>
      <c r="B3" s="12" t="s">
        <v>4699</v>
      </c>
      <c r="C3" s="12" t="s">
        <v>4700</v>
      </c>
      <c r="D3" s="36" t="s">
        <v>4701</v>
      </c>
    </row>
    <row r="4" customFormat="false" ht="15" hidden="false" customHeight="false" outlineLevel="0" collapsed="false">
      <c r="A4" s="12" t="s">
        <v>4702</v>
      </c>
      <c r="B4" s="12" t="s">
        <v>4699</v>
      </c>
      <c r="C4" s="12" t="s">
        <v>4703</v>
      </c>
      <c r="D4" s="36" t="s">
        <v>4704</v>
      </c>
    </row>
    <row r="5" customFormat="false" ht="15" hidden="false" customHeight="false" outlineLevel="0" collapsed="false">
      <c r="A5" s="12" t="s">
        <v>4705</v>
      </c>
      <c r="B5" s="12" t="s">
        <v>4699</v>
      </c>
      <c r="C5" s="12" t="s">
        <v>4706</v>
      </c>
      <c r="D5" s="36" t="s">
        <v>4707</v>
      </c>
    </row>
    <row r="6" customFormat="false" ht="15" hidden="false" customHeight="false" outlineLevel="0" collapsed="false">
      <c r="A6" s="12" t="s">
        <v>4708</v>
      </c>
      <c r="B6" s="12" t="s">
        <v>4699</v>
      </c>
      <c r="C6" s="12" t="s">
        <v>4709</v>
      </c>
      <c r="D6" s="36" t="s">
        <v>4710</v>
      </c>
    </row>
    <row r="7" customFormat="false" ht="15" hidden="false" customHeight="false" outlineLevel="0" collapsed="false">
      <c r="A7" s="12" t="s">
        <v>4711</v>
      </c>
      <c r="B7" s="12" t="s">
        <v>4712</v>
      </c>
      <c r="C7" s="12" t="s">
        <v>4713</v>
      </c>
      <c r="D7" s="36" t="s">
        <v>4714</v>
      </c>
    </row>
    <row r="8" customFormat="false" ht="15" hidden="false" customHeight="false" outlineLevel="0" collapsed="false">
      <c r="A8" s="12" t="s">
        <v>4715</v>
      </c>
      <c r="B8" s="12" t="s">
        <v>4716</v>
      </c>
      <c r="C8" s="12" t="s">
        <v>4717</v>
      </c>
      <c r="D8" s="36" t="s">
        <v>4718</v>
      </c>
    </row>
    <row r="9" customFormat="false" ht="15" hidden="false" customHeight="false" outlineLevel="0" collapsed="false">
      <c r="A9" s="12" t="s">
        <v>4719</v>
      </c>
      <c r="B9" s="12" t="s">
        <v>4720</v>
      </c>
      <c r="C9" s="12" t="s">
        <v>4721</v>
      </c>
      <c r="D9" s="36" t="s">
        <v>4722</v>
      </c>
    </row>
    <row r="10" customFormat="false" ht="15" hidden="false" customHeight="false" outlineLevel="0" collapsed="false">
      <c r="A10" s="12" t="s">
        <v>4723</v>
      </c>
      <c r="B10" s="12" t="s">
        <v>4724</v>
      </c>
      <c r="C10" s="12" t="s">
        <v>4725</v>
      </c>
      <c r="D10" s="36" t="s">
        <v>4726</v>
      </c>
    </row>
    <row r="11" customFormat="false" ht="15" hidden="false" customHeight="false" outlineLevel="0" collapsed="false">
      <c r="A11" s="12" t="s">
        <v>4727</v>
      </c>
      <c r="B11" s="12" t="s">
        <v>4724</v>
      </c>
      <c r="C11" s="12" t="s">
        <v>4728</v>
      </c>
      <c r="D11" s="36" t="s">
        <v>4729</v>
      </c>
    </row>
    <row r="12" customFormat="false" ht="15" hidden="false" customHeight="false" outlineLevel="0" collapsed="false">
      <c r="A12" s="12" t="s">
        <v>4730</v>
      </c>
      <c r="B12" s="12" t="s">
        <v>4724</v>
      </c>
      <c r="C12" s="12" t="s">
        <v>4731</v>
      </c>
      <c r="D12" s="36" t="s">
        <v>4732</v>
      </c>
    </row>
    <row r="13" customFormat="false" ht="15" hidden="false" customHeight="false" outlineLevel="0" collapsed="false">
      <c r="A13" s="12" t="s">
        <v>4055</v>
      </c>
      <c r="B13" s="12" t="s">
        <v>4724</v>
      </c>
      <c r="C13" s="12" t="s">
        <v>4733</v>
      </c>
      <c r="D13" s="36" t="s">
        <v>4734</v>
      </c>
    </row>
    <row r="14" customFormat="false" ht="15" hidden="false" customHeight="false" outlineLevel="0" collapsed="false">
      <c r="A14" s="12" t="s">
        <v>4735</v>
      </c>
      <c r="B14" s="12" t="s">
        <v>4736</v>
      </c>
      <c r="C14" s="12" t="s">
        <v>4737</v>
      </c>
      <c r="D14" s="36" t="s">
        <v>4738</v>
      </c>
    </row>
    <row r="15" customFormat="false" ht="15" hidden="false" customHeight="false" outlineLevel="0" collapsed="false">
      <c r="A15" s="12" t="s">
        <v>4739</v>
      </c>
      <c r="B15" s="12" t="s">
        <v>4740</v>
      </c>
      <c r="C15" s="12" t="s">
        <v>4741</v>
      </c>
      <c r="D15" s="36" t="s">
        <v>4742</v>
      </c>
    </row>
    <row r="16" customFormat="false" ht="15" hidden="false" customHeight="false" outlineLevel="0" collapsed="false">
      <c r="A16" s="12" t="s">
        <v>4743</v>
      </c>
      <c r="B16" s="12" t="s">
        <v>4744</v>
      </c>
      <c r="C16" s="12" t="s">
        <v>4745</v>
      </c>
      <c r="D16" s="36" t="s">
        <v>4746</v>
      </c>
    </row>
    <row r="17" customFormat="false" ht="15" hidden="false" customHeight="false" outlineLevel="0" collapsed="false">
      <c r="A17" s="12" t="s">
        <v>4747</v>
      </c>
      <c r="B17" s="12" t="s">
        <v>4748</v>
      </c>
      <c r="C17" s="12" t="s">
        <v>4749</v>
      </c>
      <c r="D17" s="36" t="s">
        <v>4750</v>
      </c>
    </row>
    <row r="18" customFormat="false" ht="15" hidden="false" customHeight="false" outlineLevel="0" collapsed="false">
      <c r="A18" s="12" t="s">
        <v>4751</v>
      </c>
      <c r="B18" s="12" t="s">
        <v>4752</v>
      </c>
      <c r="C18" s="12" t="s">
        <v>4753</v>
      </c>
      <c r="D18" s="36" t="s">
        <v>4754</v>
      </c>
    </row>
    <row r="19" customFormat="false" ht="15" hidden="false" customHeight="false" outlineLevel="0" collapsed="false">
      <c r="A19" s="12" t="s">
        <v>4755</v>
      </c>
      <c r="B19" s="12" t="s">
        <v>4756</v>
      </c>
      <c r="C19" s="12" t="s">
        <v>4757</v>
      </c>
      <c r="D19" s="36" t="s">
        <v>4758</v>
      </c>
    </row>
    <row r="20" customFormat="false" ht="15" hidden="false" customHeight="false" outlineLevel="0" collapsed="false">
      <c r="A20" s="12" t="s">
        <v>4759</v>
      </c>
      <c r="B20" s="12" t="s">
        <v>4760</v>
      </c>
      <c r="C20" s="12" t="s">
        <v>4761</v>
      </c>
      <c r="D20" s="36" t="s">
        <v>4762</v>
      </c>
    </row>
    <row r="21" customFormat="false" ht="15" hidden="false" customHeight="false" outlineLevel="0" collapsed="false">
      <c r="A21" s="12" t="s">
        <v>4763</v>
      </c>
      <c r="B21" s="12" t="s">
        <v>4764</v>
      </c>
      <c r="C21" s="12" t="s">
        <v>4765</v>
      </c>
      <c r="D21" s="36" t="s">
        <v>4766</v>
      </c>
    </row>
    <row r="22" customFormat="false" ht="15" hidden="false" customHeight="false" outlineLevel="0" collapsed="false">
      <c r="A22" s="12" t="s">
        <v>4767</v>
      </c>
      <c r="B22" s="12" t="s">
        <v>4768</v>
      </c>
      <c r="C22" s="12" t="s">
        <v>4769</v>
      </c>
      <c r="D22" s="36" t="s">
        <v>4770</v>
      </c>
    </row>
    <row r="23" customFormat="false" ht="15" hidden="false" customHeight="false" outlineLevel="0" collapsed="false">
      <c r="A23" s="12" t="s">
        <v>4771</v>
      </c>
      <c r="B23" s="12" t="s">
        <v>4772</v>
      </c>
      <c r="C23" s="12" t="s">
        <v>4773</v>
      </c>
      <c r="D23" s="36" t="s">
        <v>4774</v>
      </c>
    </row>
    <row r="24" customFormat="false" ht="23.85" hidden="false" customHeight="false" outlineLevel="0" collapsed="false">
      <c r="A24" s="12" t="s">
        <v>4775</v>
      </c>
      <c r="B24" s="12" t="s">
        <v>4776</v>
      </c>
      <c r="C24" s="12" t="s">
        <v>4777</v>
      </c>
      <c r="D24" s="36" t="s">
        <v>4778</v>
      </c>
    </row>
    <row r="25" customFormat="false" ht="15" hidden="false" customHeight="false" outlineLevel="0" collapsed="false">
      <c r="A25" s="12" t="s">
        <v>4779</v>
      </c>
      <c r="B25" s="12" t="s">
        <v>4780</v>
      </c>
      <c r="C25" s="12" t="s">
        <v>4781</v>
      </c>
      <c r="D25" s="36" t="s">
        <v>4782</v>
      </c>
    </row>
    <row r="26" customFormat="false" ht="15" hidden="false" customHeight="false" outlineLevel="0" collapsed="false">
      <c r="A26" s="12" t="s">
        <v>4783</v>
      </c>
      <c r="B26" s="12" t="s">
        <v>4780</v>
      </c>
      <c r="C26" s="12" t="s">
        <v>4784</v>
      </c>
      <c r="D26" s="36" t="s">
        <v>4785</v>
      </c>
    </row>
    <row r="27" customFormat="false" ht="15" hidden="false" customHeight="false" outlineLevel="0" collapsed="false">
      <c r="A27" s="12" t="s">
        <v>4786</v>
      </c>
      <c r="B27" s="12" t="s">
        <v>4787</v>
      </c>
      <c r="C27" s="12" t="s">
        <v>4788</v>
      </c>
      <c r="D27" s="36" t="s">
        <v>4789</v>
      </c>
    </row>
    <row r="28" customFormat="false" ht="15" hidden="false" customHeight="false" outlineLevel="0" collapsed="false">
      <c r="A28" s="12" t="s">
        <v>4790</v>
      </c>
      <c r="B28" s="12" t="s">
        <v>4791</v>
      </c>
      <c r="C28" s="12" t="s">
        <v>4792</v>
      </c>
      <c r="D28" s="36" t="s">
        <v>4793</v>
      </c>
    </row>
    <row r="29" customFormat="false" ht="15" hidden="false" customHeight="false" outlineLevel="0" collapsed="false">
      <c r="A29" s="12" t="s">
        <v>4794</v>
      </c>
      <c r="B29" s="12" t="s">
        <v>4795</v>
      </c>
      <c r="C29" s="12" t="s">
        <v>4796</v>
      </c>
      <c r="D29" s="36" t="s">
        <v>4797</v>
      </c>
    </row>
    <row r="30" customFormat="false" ht="23.85" hidden="false" customHeight="false" outlineLevel="0" collapsed="false">
      <c r="A30" s="12" t="s">
        <v>4798</v>
      </c>
      <c r="B30" s="12" t="s">
        <v>4799</v>
      </c>
      <c r="C30" s="12" t="s">
        <v>4800</v>
      </c>
      <c r="D30" s="36" t="s">
        <v>4801</v>
      </c>
    </row>
    <row r="31" customFormat="false" ht="15" hidden="false" customHeight="false" outlineLevel="0" collapsed="false">
      <c r="A31" s="12" t="s">
        <v>4802</v>
      </c>
      <c r="B31" s="12" t="s">
        <v>4803</v>
      </c>
      <c r="C31" s="12" t="s">
        <v>4804</v>
      </c>
      <c r="D31" s="36" t="s">
        <v>4805</v>
      </c>
    </row>
    <row r="32" customFormat="false" ht="15" hidden="false" customHeight="false" outlineLevel="0" collapsed="false">
      <c r="A32" s="12" t="s">
        <v>4806</v>
      </c>
      <c r="B32" s="12" t="s">
        <v>4780</v>
      </c>
      <c r="C32" s="12" t="s">
        <v>4807</v>
      </c>
      <c r="D32" s="36" t="s">
        <v>4808</v>
      </c>
    </row>
    <row r="33" customFormat="false" ht="15" hidden="false" customHeight="false" outlineLevel="0" collapsed="false">
      <c r="A33" s="12" t="s">
        <v>4809</v>
      </c>
      <c r="B33" s="12" t="s">
        <v>4780</v>
      </c>
      <c r="C33" s="12" t="s">
        <v>4810</v>
      </c>
      <c r="D33" s="36" t="s">
        <v>4811</v>
      </c>
    </row>
    <row r="34" customFormat="false" ht="15" hidden="false" customHeight="false" outlineLevel="0" collapsed="false">
      <c r="A34" s="12" t="s">
        <v>4812</v>
      </c>
      <c r="B34" s="12" t="s">
        <v>4780</v>
      </c>
      <c r="C34" s="12" t="s">
        <v>4813</v>
      </c>
      <c r="D34" s="36" t="s">
        <v>4814</v>
      </c>
    </row>
    <row r="35" customFormat="false" ht="15" hidden="false" customHeight="false" outlineLevel="0" collapsed="false">
      <c r="A35" s="12" t="s">
        <v>4815</v>
      </c>
      <c r="B35" s="12" t="s">
        <v>4780</v>
      </c>
      <c r="C35" s="12" t="s">
        <v>4816</v>
      </c>
      <c r="D35" s="36" t="s">
        <v>4817</v>
      </c>
    </row>
    <row r="36" customFormat="false" ht="15" hidden="false" customHeight="false" outlineLevel="0" collapsed="false">
      <c r="A36" s="12" t="s">
        <v>4818</v>
      </c>
      <c r="B36" s="12" t="s">
        <v>4780</v>
      </c>
      <c r="C36" s="12" t="s">
        <v>4819</v>
      </c>
      <c r="D36" s="36" t="s">
        <v>4820</v>
      </c>
    </row>
    <row r="37" customFormat="false" ht="15" hidden="false" customHeight="false" outlineLevel="0" collapsed="false">
      <c r="A37" s="12" t="s">
        <v>4821</v>
      </c>
      <c r="B37" s="12" t="s">
        <v>4780</v>
      </c>
      <c r="C37" s="12" t="s">
        <v>4822</v>
      </c>
      <c r="D37" s="36" t="s">
        <v>4823</v>
      </c>
    </row>
    <row r="38" customFormat="false" ht="15" hidden="false" customHeight="false" outlineLevel="0" collapsed="false">
      <c r="A38" s="12" t="s">
        <v>4824</v>
      </c>
      <c r="B38" s="12" t="s">
        <v>4780</v>
      </c>
      <c r="C38" s="12" t="s">
        <v>4825</v>
      </c>
      <c r="D38" s="36" t="s">
        <v>4826</v>
      </c>
    </row>
    <row r="39" customFormat="false" ht="15" hidden="false" customHeight="false" outlineLevel="0" collapsed="false">
      <c r="A39" s="12" t="s">
        <v>4827</v>
      </c>
      <c r="B39" s="12" t="s">
        <v>4780</v>
      </c>
      <c r="C39" s="12" t="s">
        <v>4828</v>
      </c>
      <c r="D39" s="36" t="s">
        <v>4829</v>
      </c>
    </row>
    <row r="40" customFormat="false" ht="15" hidden="false" customHeight="false" outlineLevel="0" collapsed="false">
      <c r="A40" s="12" t="s">
        <v>4830</v>
      </c>
      <c r="B40" s="12" t="s">
        <v>4780</v>
      </c>
      <c r="C40" s="12" t="s">
        <v>4831</v>
      </c>
      <c r="D40" s="36" t="s">
        <v>4832</v>
      </c>
    </row>
    <row r="41" customFormat="false" ht="15" hidden="false" customHeight="false" outlineLevel="0" collapsed="false">
      <c r="A41" s="12" t="s">
        <v>4833</v>
      </c>
      <c r="B41" s="12" t="s">
        <v>4780</v>
      </c>
      <c r="C41" s="12" t="s">
        <v>4834</v>
      </c>
      <c r="D41" s="36" t="s">
        <v>4835</v>
      </c>
    </row>
    <row r="42" customFormat="false" ht="15" hidden="false" customHeight="false" outlineLevel="0" collapsed="false">
      <c r="A42" s="12" t="s">
        <v>4836</v>
      </c>
      <c r="B42" s="12" t="s">
        <v>4780</v>
      </c>
      <c r="C42" s="12" t="s">
        <v>4837</v>
      </c>
      <c r="D42" s="36" t="s">
        <v>4838</v>
      </c>
    </row>
    <row r="43" customFormat="false" ht="15" hidden="false" customHeight="false" outlineLevel="0" collapsed="false">
      <c r="A43" s="12" t="s">
        <v>4839</v>
      </c>
      <c r="B43" s="12" t="s">
        <v>4780</v>
      </c>
      <c r="C43" s="12" t="s">
        <v>4840</v>
      </c>
      <c r="D43" s="36" t="s">
        <v>4841</v>
      </c>
    </row>
    <row r="44" customFormat="false" ht="23.85" hidden="false" customHeight="false" outlineLevel="0" collapsed="false">
      <c r="A44" s="12" t="s">
        <v>4842</v>
      </c>
      <c r="B44" s="12" t="s">
        <v>475</v>
      </c>
      <c r="C44" s="12" t="s">
        <v>4843</v>
      </c>
      <c r="D44" s="60"/>
    </row>
    <row r="45" customFormat="false" ht="23.85" hidden="false" customHeight="false" outlineLevel="0" collapsed="false">
      <c r="A45" s="12" t="s">
        <v>4844</v>
      </c>
      <c r="B45" s="12" t="s">
        <v>475</v>
      </c>
      <c r="C45" s="12" t="s">
        <v>4845</v>
      </c>
      <c r="D45" s="36" t="s">
        <v>4846</v>
      </c>
    </row>
  </sheetData>
  <hyperlinks>
    <hyperlink ref="D2" r:id="rId1" display="https://find-and-update.company-information.service.gov.uk/"/>
    <hyperlink ref="D3" r:id="rId2" display="https://ec.europa.eu/taxation_customs/vies/"/>
    <hyperlink ref="D4" r:id="rId3" display="https://www.kvk.nl/en/"/>
    <hyperlink ref="D5" r:id="rId4" display="https://rejestr.io/"/>
    <hyperlink ref="D6" r:id="rId5" display="https://www.handelsregister.de/"/>
    <hyperlink ref="D7" r:id="rId6" display="https://search.gleif.org/"/>
    <hyperlink ref="D8" r:id="rId7" display="https://cms.mhra.gov.uk/mhra/wholesale-dealer-licences"/>
    <hyperlink ref="D9" r:id="rId8" display="https://www.gov.uk/trade-tariff"/>
    <hyperlink ref="D10" r:id="rId9" display="https://supplier-directory.betterretailing.com/"/>
    <hyperlink ref="D11" r:id="rId10" display="https://bira.co.uk/"/>
    <hyperlink ref="D12" r:id="rId11" display="https://www.bheta.co.uk/"/>
    <hyperlink ref="D13" r:id="rId12" display="https://www.petbusinessworld.co.uk/trade-directory/"/>
    <hyperlink ref="D14" r:id="rId13" display="https://www.great.gov.uk/international/buy-from-the-uk/find-a-supplier/"/>
    <hyperlink ref="D15" r:id="rId14" display="https://www.trade.gov.pl/en/"/>
    <hyperlink ref="D16" r:id="rId15" display="https://exporters.czechtrade.cz/en"/>
    <hyperlink ref="D17" r:id="rId16" display="https://ares.gov.cz/"/>
    <hyperlink ref="D18" r:id="rId17" display="https://portal.registryagency.bg/en/"/>
    <hyperlink ref="D19" r:id="rId18" display="https://www.onrc.ro/index.php/en/"/>
    <hyperlink ref="D20" r:id="rId19" display="https://www.registrucentras.lt/en/"/>
    <hyperlink ref="D21" r:id="rId20" display="https://www.enterpriselithuania.com/en/"/>
    <hyperlink ref="D22" r:id="rId21" display="https://www.portugalglobal.pt/en/"/>
    <hyperlink ref="D23" r:id="rId22" display="https://www.icex.es/en/"/>
    <hyperlink ref="D24" r:id="rId23" display="https://asepri.com/en/"/>
    <hyperlink ref="D25" r:id="rId24" display="https://heimtextil.messefrankfurt.com/"/>
    <hyperlink ref="D26" r:id="rId25" display="https://www.targikielce.pl/en/kids-time"/>
    <hyperlink ref="D27" r:id="rId26" display="https://een.ec.europa.eu/partnering-opportunities"/>
    <hyperlink ref="D28" r:id="rId27" display="https://www.europages.co.uk/"/>
    <hyperlink ref="D29" r:id="rId28" display="https://www.wlw.de/"/>
    <hyperlink ref="D30" r:id="rId29" display="https://www.kompass.com/"/>
    <hyperlink ref="D31" r:id="rId30" display="https://www.cosmeticindex.com/~cosmetic-distributors-wholesalers_Europe"/>
    <hyperlink ref="D32" r:id="rId31" display="https://www.interzoo.com/en/exhibitors"/>
    <hyperlink ref="D33" r:id="rId32" display="https://www.zoomark.it/en/"/>
    <hyperlink ref="D34" r:id="rId33" display="https://ambiente.messefrankfurt.com/"/>
    <hyperlink ref="D35" r:id="rId34" display="https://www.ifa-berlin.com/"/>
    <hyperlink ref="D36" r:id="rId35" display="https://www.fibo.com/"/>
    <hyperlink ref="D37" r:id="rId36" display="https://www.eurobike.com/"/>
    <hyperlink ref="D38" r:id="rId37" display="https://www.kindundjugend.com/"/>
    <hyperlink ref="D39" r:id="rId38" display="https://creativeworld.messefrankfurt.com/"/>
    <hyperlink ref="D40" r:id="rId39" display="https://www.toyfair.co.uk/"/>
    <hyperlink ref="D41" r:id="rId40" display="https://www.spielwarenmesse.de/"/>
    <hyperlink ref="D42" r:id="rId41" display="https://www.cosmoprof.com/"/>
    <hyperlink ref="D43" r:id="rId42" display="https://www.springfair.com/"/>
    <hyperlink ref="D45" r:id="rId43" display="https://www.linkedin.com/search/results/companies/?keywords=distributo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60"/>
    <col collapsed="false" customWidth="true" hidden="false" outlineLevel="0" max="3" min="3" style="0" width="54"/>
  </cols>
  <sheetData>
    <row r="1" customFormat="false" ht="31.5" hidden="false" customHeight="true" outlineLevel="0" collapsed="false">
      <c r="A1" s="7" t="s">
        <v>547</v>
      </c>
      <c r="B1" s="7" t="s">
        <v>4847</v>
      </c>
      <c r="C1" s="7" t="s">
        <v>4848</v>
      </c>
    </row>
    <row r="2" customFormat="false" ht="23.85" hidden="false" customHeight="false" outlineLevel="0" collapsed="false">
      <c r="A2" s="12" t="s">
        <v>4849</v>
      </c>
      <c r="B2" s="12" t="s">
        <v>4850</v>
      </c>
      <c r="C2" s="12" t="s">
        <v>4851</v>
      </c>
    </row>
    <row r="3" customFormat="false" ht="23.85" hidden="false" customHeight="false" outlineLevel="0" collapsed="false">
      <c r="A3" s="12" t="s">
        <v>4852</v>
      </c>
      <c r="B3" s="12" t="s">
        <v>4853</v>
      </c>
      <c r="C3" s="12" t="s">
        <v>4854</v>
      </c>
    </row>
    <row r="4" customFormat="false" ht="15" hidden="false" customHeight="false" outlineLevel="0" collapsed="false">
      <c r="A4" s="12" t="s">
        <v>4855</v>
      </c>
      <c r="B4" s="12" t="s">
        <v>4856</v>
      </c>
      <c r="C4" s="12" t="s">
        <v>4857</v>
      </c>
    </row>
    <row r="5" customFormat="false" ht="15" hidden="false" customHeight="false" outlineLevel="0" collapsed="false">
      <c r="A5" s="12" t="s">
        <v>4858</v>
      </c>
      <c r="B5" s="12" t="s">
        <v>4859</v>
      </c>
      <c r="C5" s="12" t="s">
        <v>4860</v>
      </c>
    </row>
    <row r="6" customFormat="false" ht="23.85" hidden="false" customHeight="false" outlineLevel="0" collapsed="false">
      <c r="A6" s="12" t="s">
        <v>4861</v>
      </c>
      <c r="B6" s="12" t="s">
        <v>4862</v>
      </c>
      <c r="C6" s="12" t="s">
        <v>4863</v>
      </c>
    </row>
    <row r="7" customFormat="false" ht="15" hidden="false" customHeight="false" outlineLevel="0" collapsed="false">
      <c r="A7" s="12" t="s">
        <v>4864</v>
      </c>
      <c r="B7" s="12" t="s">
        <v>4865</v>
      </c>
      <c r="C7" s="12" t="s">
        <v>4866</v>
      </c>
    </row>
    <row r="8" customFormat="false" ht="23.85" hidden="false" customHeight="false" outlineLevel="0" collapsed="false">
      <c r="A8" s="12" t="s">
        <v>4867</v>
      </c>
      <c r="B8" s="12" t="s">
        <v>4868</v>
      </c>
      <c r="C8" s="12" t="s">
        <v>4869</v>
      </c>
    </row>
    <row r="9" customFormat="false" ht="15" hidden="false" customHeight="false" outlineLevel="0" collapsed="false">
      <c r="A9" s="12" t="s">
        <v>4870</v>
      </c>
      <c r="B9" s="12" t="s">
        <v>4871</v>
      </c>
      <c r="C9" s="12" t="s">
        <v>4872</v>
      </c>
    </row>
    <row r="10" customFormat="false" ht="23.85" hidden="false" customHeight="false" outlineLevel="0" collapsed="false">
      <c r="A10" s="12" t="s">
        <v>4873</v>
      </c>
      <c r="B10" s="12" t="s">
        <v>4874</v>
      </c>
      <c r="C10" s="12" t="s">
        <v>4875</v>
      </c>
    </row>
    <row r="11" customFormat="false" ht="23.85" hidden="false" customHeight="false" outlineLevel="0" collapsed="false">
      <c r="A11" s="12" t="s">
        <v>77</v>
      </c>
      <c r="B11" s="12" t="s">
        <v>4876</v>
      </c>
      <c r="C11" s="12" t="s">
        <v>4877</v>
      </c>
    </row>
    <row r="12" customFormat="false" ht="23.85" hidden="false" customHeight="false" outlineLevel="0" collapsed="false">
      <c r="A12" s="12" t="s">
        <v>4878</v>
      </c>
      <c r="B12" s="12" t="s">
        <v>4879</v>
      </c>
      <c r="C12" s="12" t="s">
        <v>4880</v>
      </c>
    </row>
    <row r="13" customFormat="false" ht="15" hidden="false" customHeight="false" outlineLevel="0" collapsed="false">
      <c r="A13" s="12" t="s">
        <v>4881</v>
      </c>
      <c r="B13" s="12" t="s">
        <v>4882</v>
      </c>
      <c r="C13" s="12" t="s">
        <v>4883</v>
      </c>
    </row>
    <row r="14" customFormat="false" ht="15" hidden="false" customHeight="false" outlineLevel="0" collapsed="false">
      <c r="A14" s="12" t="s">
        <v>4884</v>
      </c>
      <c r="B14" s="12" t="s">
        <v>4885</v>
      </c>
      <c r="C14" s="12" t="s">
        <v>4886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20"/>
    <col collapsed="false" customWidth="true" hidden="false" outlineLevel="0" max="4" min="4" style="0" width="80"/>
    <col collapsed="false" customWidth="true" hidden="false" outlineLevel="0" max="5" min="5" style="0" width="34"/>
  </cols>
  <sheetData>
    <row r="1" customFormat="false" ht="19.7" hidden="false" customHeight="false" outlineLevel="0" collapsed="false">
      <c r="A1" s="1" t="s">
        <v>4887</v>
      </c>
    </row>
    <row r="2" customFormat="false" ht="30" hidden="false" customHeight="true" outlineLevel="0" collapsed="false">
      <c r="A2" s="6" t="s">
        <v>4888</v>
      </c>
      <c r="B2" s="6"/>
      <c r="C2" s="6"/>
      <c r="D2" s="6"/>
      <c r="E2" s="6"/>
    </row>
    <row r="4" customFormat="false" ht="31.5" hidden="false" customHeight="true" outlineLevel="0" collapsed="false">
      <c r="A4" s="7" t="s">
        <v>89</v>
      </c>
      <c r="B4" s="7" t="s">
        <v>90</v>
      </c>
      <c r="C4" s="7" t="s">
        <v>87</v>
      </c>
      <c r="D4" s="7" t="s">
        <v>4889</v>
      </c>
      <c r="E4" s="7" t="s">
        <v>4890</v>
      </c>
    </row>
    <row r="5" customFormat="false" ht="15" hidden="false" customHeight="false" outlineLevel="0" collapsed="false">
      <c r="A5" s="12" t="s">
        <v>4891</v>
      </c>
      <c r="B5" s="12" t="s">
        <v>523</v>
      </c>
      <c r="C5" s="12" t="s">
        <v>143</v>
      </c>
      <c r="D5" s="32" t="s">
        <v>4892</v>
      </c>
      <c r="E5" s="12" t="s">
        <v>4893</v>
      </c>
    </row>
    <row r="6" customFormat="false" ht="15" hidden="false" customHeight="false" outlineLevel="0" collapsed="false">
      <c r="A6" s="12" t="s">
        <v>4894</v>
      </c>
      <c r="B6" s="12" t="s">
        <v>125</v>
      </c>
      <c r="C6" s="12" t="s">
        <v>108</v>
      </c>
      <c r="D6" s="32" t="s">
        <v>4895</v>
      </c>
      <c r="E6" s="12"/>
    </row>
    <row r="7" customFormat="false" ht="15" hidden="false" customHeight="false" outlineLevel="0" collapsed="false">
      <c r="A7" s="12" t="s">
        <v>4896</v>
      </c>
      <c r="B7" s="12" t="s">
        <v>125</v>
      </c>
      <c r="C7" s="12" t="s">
        <v>143</v>
      </c>
      <c r="D7" s="32" t="s">
        <v>4897</v>
      </c>
      <c r="E7" s="12"/>
    </row>
    <row r="8" customFormat="false" ht="35.05" hidden="false" customHeight="false" outlineLevel="0" collapsed="false">
      <c r="A8" s="12" t="s">
        <v>4898</v>
      </c>
      <c r="B8" s="12" t="s">
        <v>138</v>
      </c>
      <c r="C8" s="12" t="s">
        <v>229</v>
      </c>
      <c r="D8" s="32" t="s">
        <v>4899</v>
      </c>
      <c r="E8" s="12" t="s">
        <v>4900</v>
      </c>
    </row>
    <row r="9" customFormat="false" ht="23.85" hidden="false" customHeight="false" outlineLevel="0" collapsed="false">
      <c r="A9" s="12" t="s">
        <v>4901</v>
      </c>
      <c r="B9" s="12" t="s">
        <v>262</v>
      </c>
      <c r="C9" s="12" t="s">
        <v>143</v>
      </c>
      <c r="D9" s="32" t="s">
        <v>4902</v>
      </c>
      <c r="E9" s="12" t="s">
        <v>4903</v>
      </c>
    </row>
    <row r="10" customFormat="false" ht="23.85" hidden="false" customHeight="false" outlineLevel="0" collapsed="false">
      <c r="A10" s="12" t="s">
        <v>4904</v>
      </c>
      <c r="B10" s="12" t="s">
        <v>262</v>
      </c>
      <c r="C10" s="12" t="s">
        <v>229</v>
      </c>
      <c r="D10" s="32" t="s">
        <v>4905</v>
      </c>
      <c r="E10" s="12" t="s">
        <v>4906</v>
      </c>
    </row>
    <row r="11" customFormat="false" ht="23.85" hidden="false" customHeight="false" outlineLevel="0" collapsed="false">
      <c r="A11" s="12" t="s">
        <v>4907</v>
      </c>
      <c r="B11" s="12" t="s">
        <v>262</v>
      </c>
      <c r="C11" s="12" t="s">
        <v>281</v>
      </c>
      <c r="D11" s="32" t="s">
        <v>4908</v>
      </c>
      <c r="E11" s="12" t="s">
        <v>4909</v>
      </c>
    </row>
    <row r="12" customFormat="false" ht="15" hidden="false" customHeight="false" outlineLevel="0" collapsed="false">
      <c r="A12" s="12" t="s">
        <v>4910</v>
      </c>
      <c r="B12" s="12" t="s">
        <v>262</v>
      </c>
      <c r="C12" s="12" t="s">
        <v>143</v>
      </c>
      <c r="D12" s="32" t="s">
        <v>4911</v>
      </c>
      <c r="E12" s="12" t="s">
        <v>4912</v>
      </c>
    </row>
    <row r="13" customFormat="false" ht="35.05" hidden="false" customHeight="false" outlineLevel="0" collapsed="false">
      <c r="A13" s="12" t="s">
        <v>4913</v>
      </c>
      <c r="B13" s="12" t="s">
        <v>262</v>
      </c>
      <c r="C13" s="12" t="s">
        <v>229</v>
      </c>
      <c r="D13" s="32" t="s">
        <v>4914</v>
      </c>
      <c r="E13" s="12" t="s">
        <v>4915</v>
      </c>
    </row>
    <row r="14" customFormat="false" ht="23.85" hidden="false" customHeight="false" outlineLevel="0" collapsed="false">
      <c r="A14" s="12" t="s">
        <v>4916</v>
      </c>
      <c r="B14" s="12" t="s">
        <v>262</v>
      </c>
      <c r="C14" s="12" t="s">
        <v>374</v>
      </c>
      <c r="D14" s="32" t="s">
        <v>4917</v>
      </c>
      <c r="E14" s="12" t="s">
        <v>4918</v>
      </c>
    </row>
    <row r="15" customFormat="false" ht="15" hidden="false" customHeight="false" outlineLevel="0" collapsed="false">
      <c r="A15" s="12" t="s">
        <v>4919</v>
      </c>
      <c r="B15" s="12" t="s">
        <v>262</v>
      </c>
      <c r="C15" s="12" t="s">
        <v>281</v>
      </c>
      <c r="D15" s="32" t="s">
        <v>4920</v>
      </c>
      <c r="E15" s="12" t="s">
        <v>4921</v>
      </c>
    </row>
    <row r="16" customFormat="false" ht="23.85" hidden="false" customHeight="false" outlineLevel="0" collapsed="false">
      <c r="A16" s="12" t="s">
        <v>4922</v>
      </c>
      <c r="B16" s="12" t="s">
        <v>4460</v>
      </c>
      <c r="C16" s="12" t="s">
        <v>143</v>
      </c>
      <c r="D16" s="32" t="s">
        <v>4923</v>
      </c>
      <c r="E16" s="12" t="s">
        <v>4924</v>
      </c>
    </row>
    <row r="17" customFormat="false" ht="15" hidden="false" customHeight="false" outlineLevel="0" collapsed="false">
      <c r="A17" s="12" t="s">
        <v>4925</v>
      </c>
      <c r="B17" s="12" t="s">
        <v>255</v>
      </c>
      <c r="C17" s="12" t="s">
        <v>380</v>
      </c>
      <c r="D17" s="32" t="s">
        <v>4926</v>
      </c>
      <c r="E17" s="12" t="s">
        <v>4927</v>
      </c>
    </row>
    <row r="18" customFormat="false" ht="15" hidden="false" customHeight="false" outlineLevel="0" collapsed="false">
      <c r="A18" s="12" t="s">
        <v>4928</v>
      </c>
      <c r="B18" s="12" t="s">
        <v>255</v>
      </c>
      <c r="C18" s="12" t="s">
        <v>405</v>
      </c>
      <c r="D18" s="32" t="s">
        <v>4929</v>
      </c>
      <c r="E18" s="12" t="s">
        <v>4930</v>
      </c>
    </row>
    <row r="19" customFormat="false" ht="23.85" hidden="false" customHeight="false" outlineLevel="0" collapsed="false">
      <c r="A19" s="12" t="s">
        <v>4931</v>
      </c>
      <c r="B19" s="12" t="s">
        <v>3321</v>
      </c>
      <c r="C19" s="12" t="s">
        <v>229</v>
      </c>
      <c r="D19" s="32" t="s">
        <v>4932</v>
      </c>
      <c r="E19" s="12" t="s">
        <v>4933</v>
      </c>
    </row>
    <row r="20" customFormat="false" ht="23.85" hidden="false" customHeight="false" outlineLevel="0" collapsed="false">
      <c r="A20" s="12" t="s">
        <v>4934</v>
      </c>
      <c r="B20" s="12" t="s">
        <v>3321</v>
      </c>
      <c r="C20" s="12" t="s">
        <v>166</v>
      </c>
      <c r="D20" s="32" t="s">
        <v>4935</v>
      </c>
      <c r="E20" s="12" t="s">
        <v>4936</v>
      </c>
    </row>
    <row r="21" customFormat="false" ht="15" hidden="false" customHeight="false" outlineLevel="0" collapsed="false">
      <c r="A21" s="12" t="s">
        <v>4937</v>
      </c>
      <c r="B21" s="12" t="s">
        <v>101</v>
      </c>
      <c r="C21" s="12" t="s">
        <v>143</v>
      </c>
      <c r="D21" s="32" t="s">
        <v>4938</v>
      </c>
      <c r="E21" s="12" t="s">
        <v>4939</v>
      </c>
    </row>
    <row r="22" customFormat="false" ht="23.85" hidden="false" customHeight="false" outlineLevel="0" collapsed="false">
      <c r="A22" s="12" t="s">
        <v>4940</v>
      </c>
      <c r="B22" s="12" t="s">
        <v>101</v>
      </c>
      <c r="C22" s="12" t="s">
        <v>307</v>
      </c>
      <c r="D22" s="32" t="s">
        <v>4941</v>
      </c>
      <c r="E22" s="12" t="s">
        <v>4942</v>
      </c>
    </row>
    <row r="23" customFormat="false" ht="15" hidden="false" customHeight="false" outlineLevel="0" collapsed="false">
      <c r="A23" s="12" t="s">
        <v>4943</v>
      </c>
      <c r="B23" s="12" t="s">
        <v>101</v>
      </c>
      <c r="C23" s="12" t="s">
        <v>281</v>
      </c>
      <c r="D23" s="32" t="s">
        <v>4944</v>
      </c>
      <c r="E23" s="12"/>
    </row>
    <row r="24" customFormat="false" ht="15" hidden="false" customHeight="false" outlineLevel="0" collapsed="false">
      <c r="A24" s="12" t="s">
        <v>4945</v>
      </c>
      <c r="B24" s="12" t="s">
        <v>101</v>
      </c>
      <c r="C24" s="12" t="s">
        <v>281</v>
      </c>
      <c r="D24" s="32" t="s">
        <v>4946</v>
      </c>
      <c r="E24" s="12" t="s">
        <v>4947</v>
      </c>
    </row>
    <row r="25" customFormat="false" ht="15" hidden="false" customHeight="false" outlineLevel="0" collapsed="false">
      <c r="A25" s="12" t="s">
        <v>4948</v>
      </c>
      <c r="B25" s="12" t="s">
        <v>101</v>
      </c>
      <c r="C25" s="12" t="s">
        <v>143</v>
      </c>
      <c r="D25" s="32" t="s">
        <v>4949</v>
      </c>
      <c r="E25" s="12" t="s">
        <v>4950</v>
      </c>
    </row>
    <row r="26" customFormat="false" ht="23.85" hidden="false" customHeight="false" outlineLevel="0" collapsed="false">
      <c r="A26" s="12" t="s">
        <v>4951</v>
      </c>
      <c r="B26" s="12" t="s">
        <v>101</v>
      </c>
      <c r="C26" s="12" t="s">
        <v>143</v>
      </c>
      <c r="D26" s="32" t="s">
        <v>4952</v>
      </c>
      <c r="E26" s="12" t="s">
        <v>4953</v>
      </c>
    </row>
    <row r="27" customFormat="false" ht="23.85" hidden="false" customHeight="false" outlineLevel="0" collapsed="false">
      <c r="A27" s="12" t="s">
        <v>4954</v>
      </c>
      <c r="B27" s="12" t="s">
        <v>101</v>
      </c>
      <c r="C27" s="12" t="s">
        <v>143</v>
      </c>
      <c r="D27" s="32" t="s">
        <v>4955</v>
      </c>
      <c r="E27" s="12" t="s">
        <v>4956</v>
      </c>
    </row>
    <row r="28" customFormat="false" ht="23.85" hidden="false" customHeight="false" outlineLevel="0" collapsed="false">
      <c r="A28" s="12" t="s">
        <v>4957</v>
      </c>
      <c r="B28" s="12" t="s">
        <v>101</v>
      </c>
      <c r="C28" s="12" t="s">
        <v>229</v>
      </c>
      <c r="D28" s="32" t="s">
        <v>4958</v>
      </c>
      <c r="E28" s="12" t="s">
        <v>4959</v>
      </c>
    </row>
    <row r="29" customFormat="false" ht="15" hidden="false" customHeight="false" outlineLevel="0" collapsed="false">
      <c r="A29" s="12" t="s">
        <v>4960</v>
      </c>
      <c r="B29" s="12" t="s">
        <v>101</v>
      </c>
      <c r="C29" s="12" t="s">
        <v>166</v>
      </c>
      <c r="D29" s="32" t="s">
        <v>4961</v>
      </c>
      <c r="E29" s="12"/>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2026-10-13T12:32:30Z</dcterms:created>
  <dc:creator>openpyxl</dc:creator>
  <dc:description/>
  <dc:language>en-US</dc:language>
  <cp:lastModifiedBy/>
  <dcterms:modified xsi:type="dcterms:W3CDTF">2026-10-13T12:32:31Z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